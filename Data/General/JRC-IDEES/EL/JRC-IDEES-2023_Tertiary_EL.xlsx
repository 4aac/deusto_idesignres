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EL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Y67" i="6"/>
  <c r="X67" i="6"/>
  <c r="Y27" i="6"/>
  <c r="Y119" i="6"/>
  <c r="Y173" i="6" s="1"/>
  <c r="X119" i="6"/>
  <c r="X173" i="6" s="1"/>
  <c r="X26" i="12"/>
  <c r="X24" i="12"/>
  <c r="Y16" i="7"/>
  <c r="X16" i="7"/>
  <c r="Y14" i="13"/>
  <c r="X13" i="12"/>
  <c r="X23" i="12"/>
  <c r="X21" i="12"/>
  <c r="X20" i="12"/>
  <c r="X16" i="8"/>
  <c r="X7" i="12"/>
  <c r="Y6" i="12"/>
  <c r="Y33" i="10"/>
  <c r="Y22" i="13"/>
  <c r="X22" i="13"/>
  <c r="Y21" i="13"/>
  <c r="X21" i="13"/>
  <c r="Y20" i="13"/>
  <c r="Y18" i="13"/>
  <c r="Y17" i="13"/>
  <c r="X17" i="10"/>
  <c r="Y6" i="13"/>
  <c r="Y18" i="10"/>
  <c r="X18" i="10"/>
  <c r="X6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Y31" i="12"/>
  <c r="X31" i="12"/>
  <c r="Y22" i="12"/>
  <c r="X17" i="12"/>
  <c r="X14" i="12"/>
  <c r="Y33" i="13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9" i="18"/>
  <c r="X28" i="23"/>
  <c r="Y26" i="23"/>
  <c r="Y24" i="25"/>
  <c r="Y24" i="28" s="1"/>
  <c r="Y14" i="24"/>
  <c r="X13" i="23"/>
  <c r="Y10" i="24"/>
  <c r="X9" i="23"/>
  <c r="Y8" i="23"/>
  <c r="Y7" i="25"/>
  <c r="Y7" i="28" s="1"/>
  <c r="X24" i="23"/>
  <c r="Y23" i="23"/>
  <c r="X23" i="23"/>
  <c r="Y22" i="23"/>
  <c r="Y20" i="23"/>
  <c r="Y20" i="26" s="1"/>
  <c r="X5" i="21"/>
  <c r="Y33" i="24"/>
  <c r="Y22" i="24"/>
  <c r="Y20" i="21"/>
  <c r="X20" i="21"/>
  <c r="Y18" i="21"/>
  <c r="X18" i="24"/>
  <c r="Y17" i="24"/>
  <c r="Y33" i="25"/>
  <c r="Y33" i="28" s="1"/>
  <c r="X33" i="25"/>
  <c r="X33" i="28" s="1"/>
  <c r="Y26" i="25"/>
  <c r="Y26" i="28" s="1"/>
  <c r="X25" i="25"/>
  <c r="X25" i="28" s="1"/>
  <c r="Y23" i="25"/>
  <c r="X23" i="25"/>
  <c r="Y22" i="25"/>
  <c r="Y20" i="25"/>
  <c r="Y20" i="28" s="1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Y21" i="24"/>
  <c r="X21" i="24"/>
  <c r="Y20" i="24"/>
  <c r="Y20" i="27" s="1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X26" i="25"/>
  <c r="X26" i="28" s="1"/>
  <c r="Y25" i="25"/>
  <c r="Y25" i="28" s="1"/>
  <c r="X24" i="25"/>
  <c r="Y15" i="25"/>
  <c r="Y15" i="28" s="1"/>
  <c r="X15" i="25"/>
  <c r="X15" i="28" s="1"/>
  <c r="X11" i="25"/>
  <c r="X11" i="28" s="1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X12" i="29"/>
  <c r="X5" i="30" s="1"/>
  <c r="Y12" i="35"/>
  <c r="X12" i="35"/>
  <c r="Y12" i="34"/>
  <c r="X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Y10" i="30"/>
  <c r="X8" i="30"/>
  <c r="X14" i="32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14" i="36"/>
  <c r="Y9" i="36"/>
  <c r="Y33" i="27" l="1"/>
  <c r="Y17" i="10"/>
  <c r="Y5" i="10"/>
  <c r="X25" i="23"/>
  <c r="X25" i="26" s="1"/>
  <c r="Y24" i="12"/>
  <c r="X25" i="12"/>
  <c r="Y23" i="10"/>
  <c r="Y10" i="12"/>
  <c r="X8" i="13"/>
  <c r="X11" i="12"/>
  <c r="X7" i="21"/>
  <c r="X8" i="24"/>
  <c r="X9" i="21"/>
  <c r="X25" i="24"/>
  <c r="X17" i="24"/>
  <c r="X25" i="13"/>
  <c r="X12" i="12"/>
  <c r="X7" i="14"/>
  <c r="Y25" i="13"/>
  <c r="X31" i="23"/>
  <c r="X31" i="26" s="1"/>
  <c r="X26" i="13"/>
  <c r="Y10" i="13"/>
  <c r="Y10" i="16" s="1"/>
  <c r="Y26" i="13"/>
  <c r="X11" i="13"/>
  <c r="X5" i="10"/>
  <c r="Y14" i="12"/>
  <c r="Y7" i="24"/>
  <c r="Y7" i="27" s="1"/>
  <c r="X32" i="23"/>
  <c r="X12" i="24"/>
  <c r="X12" i="13"/>
  <c r="X30" i="13"/>
  <c r="Y24" i="23"/>
  <c r="Y24" i="26" s="1"/>
  <c r="Y8" i="13"/>
  <c r="Y13" i="29"/>
  <c r="Y5" i="29" s="1"/>
  <c r="Y21" i="25"/>
  <c r="Y21" i="28" s="1"/>
  <c r="Y12" i="13"/>
  <c r="Y8" i="25"/>
  <c r="Y8" i="28" s="1"/>
  <c r="Y9" i="25"/>
  <c r="Y9" i="28" s="1"/>
  <c r="Y12" i="24"/>
  <c r="Y52" i="38"/>
  <c r="X14" i="29"/>
  <c r="X6" i="29" s="1"/>
  <c r="X10" i="25"/>
  <c r="X13" i="21"/>
  <c r="X31" i="24"/>
  <c r="X17" i="23"/>
  <c r="X17" i="26" s="1"/>
  <c r="X22" i="24"/>
  <c r="X22" i="27" s="1"/>
  <c r="Y10" i="14"/>
  <c r="Y10" i="17" s="1"/>
  <c r="X31" i="13"/>
  <c r="Y33" i="12"/>
  <c r="X8" i="12"/>
  <c r="Y26" i="24"/>
  <c r="Y26" i="27" s="1"/>
  <c r="X13" i="29"/>
  <c r="X5" i="31" s="1"/>
  <c r="X30" i="14"/>
  <c r="Y17" i="23"/>
  <c r="Y17" i="26" s="1"/>
  <c r="X31" i="14"/>
  <c r="Y31" i="13"/>
  <c r="X23" i="21"/>
  <c r="Y8" i="24"/>
  <c r="Y8" i="27" s="1"/>
  <c r="X14" i="30"/>
  <c r="Y31" i="23"/>
  <c r="Y31" i="26" s="1"/>
  <c r="X8" i="25"/>
  <c r="Y11" i="24"/>
  <c r="Y53" i="38"/>
  <c r="Y31" i="14"/>
  <c r="X32" i="10"/>
  <c r="X21" i="21"/>
  <c r="Y23" i="28"/>
  <c r="X27" i="21"/>
  <c r="X10" i="14"/>
  <c r="X9" i="36"/>
  <c r="Y14" i="21"/>
  <c r="Y32" i="21"/>
  <c r="X17" i="13"/>
  <c r="Y19" i="22"/>
  <c r="Y45" i="37"/>
  <c r="X15" i="21"/>
  <c r="X33" i="21"/>
  <c r="X33" i="10"/>
  <c r="Y33" i="21"/>
  <c r="Y12" i="23"/>
  <c r="Y12" i="26" s="1"/>
  <c r="X6" i="14"/>
  <c r="X10" i="12"/>
  <c r="X14" i="13"/>
  <c r="X13" i="24"/>
  <c r="X32" i="25"/>
  <c r="X11" i="24"/>
  <c r="X29" i="19"/>
  <c r="X71" i="6"/>
  <c r="X7" i="25"/>
  <c r="X7" i="28" s="1"/>
  <c r="X17" i="25"/>
  <c r="Y31" i="21"/>
  <c r="Y6" i="23"/>
  <c r="Y6" i="26" s="1"/>
  <c r="Y10" i="23"/>
  <c r="Y10" i="26" s="1"/>
  <c r="Y14" i="23"/>
  <c r="Y14" i="26" s="1"/>
  <c r="Y19" i="19"/>
  <c r="Y5" i="23"/>
  <c r="Y5" i="26" s="1"/>
  <c r="X14" i="36"/>
  <c r="X12" i="36" s="1"/>
  <c r="X22" i="25"/>
  <c r="X22" i="28" s="1"/>
  <c r="X17" i="21"/>
  <c r="X32" i="21"/>
  <c r="X7" i="23"/>
  <c r="X7" i="26" s="1"/>
  <c r="X11" i="23"/>
  <c r="X11" i="26" s="1"/>
  <c r="Y26" i="12"/>
  <c r="Y29" i="7"/>
  <c r="Y23" i="26"/>
  <c r="Y37" i="6"/>
  <c r="X33" i="24"/>
  <c r="Y30" i="14"/>
  <c r="Y24" i="13"/>
  <c r="Y30" i="13"/>
  <c r="X18" i="12"/>
  <c r="X23" i="14"/>
  <c r="X28" i="12"/>
  <c r="X33" i="12"/>
  <c r="X27" i="6"/>
  <c r="X25" i="27" s="1"/>
  <c r="Y8" i="14"/>
  <c r="Y12" i="12"/>
  <c r="Y18" i="12"/>
  <c r="Y28" i="12"/>
  <c r="X82" i="6"/>
  <c r="X81" i="6" s="1"/>
  <c r="X113" i="6" s="1"/>
  <c r="X107" i="6"/>
  <c r="X24" i="28"/>
  <c r="X9" i="25"/>
  <c r="X9" i="28" s="1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68" i="29"/>
  <c r="Y6" i="30" s="1"/>
  <c r="X101" i="6"/>
  <c r="X122" i="6" s="1"/>
  <c r="X118" i="6"/>
  <c r="Y73" i="29"/>
  <c r="Y6" i="35" s="1"/>
  <c r="Y118" i="6"/>
  <c r="X48" i="6"/>
  <c r="X47" i="6" s="1"/>
  <c r="X60" i="6" s="1"/>
  <c r="X37" i="6"/>
  <c r="Y12" i="27"/>
  <c r="X21" i="27"/>
  <c r="X29" i="8"/>
  <c r="X30" i="12"/>
  <c r="X30" i="10"/>
  <c r="X4" i="7"/>
  <c r="X3" i="7" s="1"/>
  <c r="X5" i="12"/>
  <c r="X32" i="14"/>
  <c r="X29" i="11"/>
  <c r="Y20" i="12"/>
  <c r="Y20" i="10"/>
  <c r="X33" i="6"/>
  <c r="X5" i="24"/>
  <c r="X5" i="23"/>
  <c r="X30" i="23"/>
  <c r="X18" i="13"/>
  <c r="X20" i="10"/>
  <c r="X10" i="13"/>
  <c r="X14" i="10"/>
  <c r="X19" i="9"/>
  <c r="X24" i="13"/>
  <c r="X29" i="9"/>
  <c r="Y8" i="12"/>
  <c r="X22" i="12"/>
  <c r="Y31" i="10"/>
  <c r="Y24" i="14"/>
  <c r="Y101" i="6"/>
  <c r="Y122" i="6" s="1"/>
  <c r="X117" i="6"/>
  <c r="X9" i="13"/>
  <c r="X23" i="13"/>
  <c r="X52" i="37"/>
  <c r="Y31" i="24"/>
  <c r="Y31" i="27" s="1"/>
  <c r="X21" i="25"/>
  <c r="Y12" i="21"/>
  <c r="X9" i="24"/>
  <c r="X12" i="21"/>
  <c r="X17" i="14"/>
  <c r="X5" i="13"/>
  <c r="X6" i="12"/>
  <c r="Y14" i="10"/>
  <c r="X4" i="8"/>
  <c r="X9" i="12"/>
  <c r="Y117" i="6"/>
  <c r="X17" i="28"/>
  <c r="Y29" i="22"/>
  <c r="Y29" i="25" s="1"/>
  <c r="Y29" i="28" s="1"/>
  <c r="Y5" i="21"/>
  <c r="Y23" i="24"/>
  <c r="Y23" i="27" s="1"/>
  <c r="Y28" i="24"/>
  <c r="Y28" i="27" s="1"/>
  <c r="Y16" i="18"/>
  <c r="Y32" i="25"/>
  <c r="Y32" i="28" s="1"/>
  <c r="Y5" i="13"/>
  <c r="X5" i="14"/>
  <c r="X19" i="11"/>
  <c r="X4" i="9"/>
  <c r="X15" i="10"/>
  <c r="Y13" i="12"/>
  <c r="X27" i="10"/>
  <c r="Y11" i="12"/>
  <c r="Y21" i="27"/>
  <c r="X5" i="25"/>
  <c r="X28" i="13"/>
  <c r="Y9" i="13"/>
  <c r="Y16" i="9"/>
  <c r="Y16" i="13" s="1"/>
  <c r="Y9" i="39"/>
  <c r="Y5" i="39" s="1"/>
  <c r="Y37" i="39" s="1"/>
  <c r="Y17" i="38"/>
  <c r="Y46" i="37"/>
  <c r="Y17" i="27"/>
  <c r="X6" i="25"/>
  <c r="X6" i="28" s="1"/>
  <c r="Y15" i="21"/>
  <c r="X51" i="39"/>
  <c r="Y32" i="24"/>
  <c r="Y32" i="27" s="1"/>
  <c r="Y16" i="22"/>
  <c r="X6" i="24"/>
  <c r="X6" i="27" s="1"/>
  <c r="X24" i="24"/>
  <c r="X30" i="24"/>
  <c r="X6" i="13"/>
  <c r="Y11" i="10"/>
  <c r="Y15" i="10"/>
  <c r="X8" i="14"/>
  <c r="Y22" i="26"/>
  <c r="X13" i="13"/>
  <c r="X9" i="39"/>
  <c r="X46" i="37"/>
  <c r="X21" i="23"/>
  <c r="Y13" i="13"/>
  <c r="X19" i="7"/>
  <c r="X27" i="12" s="1"/>
  <c r="X29" i="7"/>
  <c r="Y19" i="18"/>
  <c r="Y31" i="25"/>
  <c r="Y31" i="28" s="1"/>
  <c r="Y9" i="38"/>
  <c r="Y52" i="37"/>
  <c r="X32" i="24"/>
  <c r="X32" i="27" s="1"/>
  <c r="Y51" i="39"/>
  <c r="Y6" i="24"/>
  <c r="Y6" i="27" s="1"/>
  <c r="Y24" i="24"/>
  <c r="Y24" i="27" s="1"/>
  <c r="Y18" i="23"/>
  <c r="Y18" i="26" s="1"/>
  <c r="X16" i="9"/>
  <c r="X16" i="13" s="1"/>
  <c r="X19" i="8"/>
  <c r="Y33" i="6"/>
  <c r="X103" i="6"/>
  <c r="X124" i="6" s="1"/>
  <c r="X17" i="37"/>
  <c r="X50" i="37" s="1"/>
  <c r="Y11" i="23"/>
  <c r="Y11" i="26" s="1"/>
  <c r="Y71" i="6"/>
  <c r="Y104" i="6"/>
  <c r="Y10" i="21"/>
  <c r="X21" i="10"/>
  <c r="X105" i="6"/>
  <c r="X8" i="33"/>
  <c r="Y9" i="21"/>
  <c r="Y25" i="21"/>
  <c r="Y13" i="23"/>
  <c r="Y13" i="26" s="1"/>
  <c r="Y21" i="10"/>
  <c r="Y9" i="12"/>
  <c r="Y105" i="6"/>
  <c r="X72" i="29"/>
  <c r="X6" i="34" s="1"/>
  <c r="X5" i="28"/>
  <c r="X10" i="21"/>
  <c r="X26" i="21"/>
  <c r="X14" i="23"/>
  <c r="X14" i="26" s="1"/>
  <c r="X22" i="10"/>
  <c r="Y72" i="29"/>
  <c r="Y6" i="34" s="1"/>
  <c r="Y22" i="10"/>
  <c r="Y25" i="12"/>
  <c r="X29" i="18"/>
  <c r="X29" i="23" s="1"/>
  <c r="X29" i="26" s="1"/>
  <c r="X17" i="29"/>
  <c r="X5" i="35" s="1"/>
  <c r="X11" i="21"/>
  <c r="X23" i="10"/>
  <c r="X24" i="10"/>
  <c r="X104" i="6"/>
  <c r="Y8" i="30"/>
  <c r="Y24" i="10"/>
  <c r="Y16" i="11"/>
  <c r="Y16" i="14" s="1"/>
  <c r="Y6" i="10"/>
  <c r="X25" i="10"/>
  <c r="X8" i="28"/>
  <c r="X16" i="19"/>
  <c r="X7" i="10"/>
  <c r="Y25" i="10"/>
  <c r="Y19" i="9"/>
  <c r="X12" i="23"/>
  <c r="X12" i="26" s="1"/>
  <c r="Y22" i="21"/>
  <c r="Y13" i="21"/>
  <c r="Y16" i="19"/>
  <c r="X8" i="10"/>
  <c r="X26" i="10"/>
  <c r="X30" i="25"/>
  <c r="X30" i="28" s="1"/>
  <c r="Y23" i="21"/>
  <c r="X14" i="21"/>
  <c r="X33" i="23"/>
  <c r="X4" i="11"/>
  <c r="Y8" i="10"/>
  <c r="Y26" i="10"/>
  <c r="X15" i="7"/>
  <c r="X15" i="13" s="1"/>
  <c r="Y19" i="7"/>
  <c r="Y27" i="12" s="1"/>
  <c r="Y17" i="37"/>
  <c r="X31" i="25"/>
  <c r="X31" i="28" s="1"/>
  <c r="Y24" i="21"/>
  <c r="X7" i="13"/>
  <c r="X9" i="10"/>
  <c r="X115" i="6"/>
  <c r="X10" i="28"/>
  <c r="X23" i="24"/>
  <c r="X23" i="27" s="1"/>
  <c r="X25" i="21"/>
  <c r="Y9" i="10"/>
  <c r="Y6" i="21"/>
  <c r="Y103" i="6"/>
  <c r="Y19" i="36"/>
  <c r="Y12" i="36" s="1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9" i="37"/>
  <c r="X48" i="37" s="1"/>
  <c r="X12" i="10"/>
  <c r="Y23" i="6"/>
  <c r="Y70" i="29"/>
  <c r="Y6" i="32" s="1"/>
  <c r="X4" i="29"/>
  <c r="Y25" i="24"/>
  <c r="Y25" i="27" s="1"/>
  <c r="X29" i="22"/>
  <c r="Y12" i="10"/>
  <c r="X24" i="6"/>
  <c r="X23" i="28"/>
  <c r="X17" i="38"/>
  <c r="X53" i="37"/>
  <c r="X17" i="39"/>
  <c r="X47" i="38"/>
  <c r="Y14" i="29"/>
  <c r="X7" i="24"/>
  <c r="X26" i="24"/>
  <c r="Y21" i="23"/>
  <c r="Y21" i="26" s="1"/>
  <c r="X13" i="10"/>
  <c r="Y24" i="6"/>
  <c r="Y17" i="39"/>
  <c r="Y47" i="38"/>
  <c r="X15" i="29"/>
  <c r="X7" i="29" s="1"/>
  <c r="Y17" i="25"/>
  <c r="Y17" i="28" s="1"/>
  <c r="Y25" i="23"/>
  <c r="Y25" i="26" s="1"/>
  <c r="X25" i="6"/>
  <c r="X51" i="38"/>
  <c r="Y15" i="29"/>
  <c r="Y5" i="33" s="1"/>
  <c r="X28" i="24"/>
  <c r="X28" i="27" s="1"/>
  <c r="X23" i="26"/>
  <c r="X4" i="19"/>
  <c r="X26" i="23"/>
  <c r="X26" i="26" s="1"/>
  <c r="Y9" i="14"/>
  <c r="Y25" i="6"/>
  <c r="Y49" i="37"/>
  <c r="X16" i="29"/>
  <c r="Y9" i="23"/>
  <c r="Y9" i="26" s="1"/>
  <c r="X26" i="6"/>
  <c r="X33" i="39"/>
  <c r="Y51" i="38"/>
  <c r="X9" i="38"/>
  <c r="X52" i="38"/>
  <c r="X68" i="29"/>
  <c r="X6" i="30" s="1"/>
  <c r="X10" i="23"/>
  <c r="X10" i="26" s="1"/>
  <c r="Y12" i="29"/>
  <c r="Y16" i="29"/>
  <c r="X8" i="23"/>
  <c r="Y30" i="23"/>
  <c r="Y30" i="26" s="1"/>
  <c r="X24" i="21"/>
  <c r="X29" i="20"/>
  <c r="X31" i="21"/>
  <c r="X4" i="18"/>
  <c r="X3" i="18" s="1"/>
  <c r="X15" i="18"/>
  <c r="X6" i="23"/>
  <c r="X6" i="26" s="1"/>
  <c r="Y32" i="14"/>
  <c r="Y29" i="11"/>
  <c r="Y29" i="8"/>
  <c r="Y30" i="12"/>
  <c r="X69" i="29"/>
  <c r="X6" i="31" s="1"/>
  <c r="Y22" i="28"/>
  <c r="Y8" i="26"/>
  <c r="Y13" i="24"/>
  <c r="Y13" i="27" s="1"/>
  <c r="X4" i="22"/>
  <c r="Y48" i="6"/>
  <c r="Y102" i="6"/>
  <c r="X8" i="35"/>
  <c r="Y4" i="18"/>
  <c r="Y3" i="18" s="1"/>
  <c r="Y15" i="18"/>
  <c r="Y15" i="24" s="1"/>
  <c r="Y15" i="27" s="1"/>
  <c r="X16" i="14"/>
  <c r="X16" i="12"/>
  <c r="Y8" i="35"/>
  <c r="X8" i="34"/>
  <c r="Y26" i="26"/>
  <c r="Y5" i="25"/>
  <c r="Y5" i="28" s="1"/>
  <c r="X20" i="23"/>
  <c r="X20" i="26" s="1"/>
  <c r="Y30" i="25"/>
  <c r="Y30" i="28" s="1"/>
  <c r="Y11" i="21"/>
  <c r="Y19" i="20"/>
  <c r="Y21" i="21"/>
  <c r="Y19" i="8"/>
  <c r="Y21" i="12"/>
  <c r="Y82" i="6"/>
  <c r="Y116" i="6"/>
  <c r="X73" i="29"/>
  <c r="X6" i="35" s="1"/>
  <c r="Y4" i="19"/>
  <c r="Y7" i="23"/>
  <c r="Y7" i="26" s="1"/>
  <c r="Y21" i="6"/>
  <c r="Y20" i="6"/>
  <c r="Y69" i="29"/>
  <c r="Y6" i="31" s="1"/>
  <c r="Y5" i="24"/>
  <c r="Y5" i="27" s="1"/>
  <c r="Y32" i="12"/>
  <c r="Y7" i="10"/>
  <c r="Y4" i="9"/>
  <c r="Y23" i="12"/>
  <c r="Y23" i="14"/>
  <c r="X70" i="29"/>
  <c r="X6" i="32" s="1"/>
  <c r="Y29" i="20"/>
  <c r="Y30" i="21"/>
  <c r="Y30" i="24"/>
  <c r="Y30" i="27" s="1"/>
  <c r="X8" i="31"/>
  <c r="Y8" i="34"/>
  <c r="Y8" i="31"/>
  <c r="Y17" i="29"/>
  <c r="Y6" i="25"/>
  <c r="Y6" i="28" s="1"/>
  <c r="Y4" i="22"/>
  <c r="X22" i="21"/>
  <c r="X19" i="20"/>
  <c r="X19" i="18"/>
  <c r="X22" i="23"/>
  <c r="Y22" i="14"/>
  <c r="Y13" i="10"/>
  <c r="Y16" i="8"/>
  <c r="Y16" i="12" s="1"/>
  <c r="Y17" i="12"/>
  <c r="Y107" i="6"/>
  <c r="Y32" i="10"/>
  <c r="Y29" i="9"/>
  <c r="Y32" i="13"/>
  <c r="Y9" i="24"/>
  <c r="Y9" i="27" s="1"/>
  <c r="X4" i="20"/>
  <c r="X6" i="21"/>
  <c r="Y27" i="10"/>
  <c r="Y28" i="13"/>
  <c r="Y28" i="16" s="1"/>
  <c r="Y7" i="12"/>
  <c r="Y4" i="7"/>
  <c r="Y3" i="7" s="1"/>
  <c r="Y7" i="14"/>
  <c r="Y15" i="7"/>
  <c r="Y15" i="12" s="1"/>
  <c r="X10" i="24"/>
  <c r="X10" i="27" s="1"/>
  <c r="X19" i="22"/>
  <c r="Y4" i="20"/>
  <c r="Y16" i="20"/>
  <c r="Y17" i="21"/>
  <c r="Y32" i="23"/>
  <c r="Y32" i="26" s="1"/>
  <c r="Y29" i="19"/>
  <c r="Y29" i="23" s="1"/>
  <c r="Y29" i="26" s="1"/>
  <c r="Y4" i="11"/>
  <c r="Y5" i="14"/>
  <c r="Y4" i="8"/>
  <c r="Y5" i="12"/>
  <c r="Y149" i="6"/>
  <c r="Y11" i="27"/>
  <c r="X14" i="24"/>
  <c r="X14" i="27" s="1"/>
  <c r="Y10" i="27"/>
  <c r="Y14" i="27"/>
  <c r="Y18" i="27"/>
  <c r="Y22" i="27"/>
  <c r="Y33" i="26"/>
  <c r="X16" i="22"/>
  <c r="Y7" i="21"/>
  <c r="X16" i="20"/>
  <c r="X18" i="21"/>
  <c r="Y28" i="23"/>
  <c r="Y28" i="26" s="1"/>
  <c r="X16" i="18"/>
  <c r="X18" i="23"/>
  <c r="X18" i="26" s="1"/>
  <c r="Y7" i="13"/>
  <c r="Y11" i="13"/>
  <c r="Y23" i="13"/>
  <c r="X149" i="6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X17" i="27" l="1"/>
  <c r="Y19" i="23"/>
  <c r="Y19" i="26" s="1"/>
  <c r="X4" i="13"/>
  <c r="X8" i="27"/>
  <c r="X21" i="26"/>
  <c r="X8" i="26"/>
  <c r="X18" i="27"/>
  <c r="X19" i="10"/>
  <c r="X29" i="13"/>
  <c r="X5" i="32"/>
  <c r="X5" i="39"/>
  <c r="Y5" i="31"/>
  <c r="X163" i="6"/>
  <c r="X30" i="26"/>
  <c r="X4" i="14"/>
  <c r="X4" i="17" s="1"/>
  <c r="X31" i="6"/>
  <c r="X15" i="12"/>
  <c r="X114" i="6"/>
  <c r="X144" i="6" s="1"/>
  <c r="X16" i="10"/>
  <c r="Y24" i="15"/>
  <c r="Y29" i="12"/>
  <c r="Y29" i="15" s="1"/>
  <c r="Y29" i="14"/>
  <c r="Y29" i="17" s="1"/>
  <c r="Y16" i="23"/>
  <c r="Y16" i="26" s="1"/>
  <c r="Y31" i="6"/>
  <c r="X4" i="23"/>
  <c r="X4" i="26" s="1"/>
  <c r="X29" i="10"/>
  <c r="Y5" i="37"/>
  <c r="Y44" i="39" s="1"/>
  <c r="X3" i="8"/>
  <c r="X91" i="6"/>
  <c r="X3" i="19"/>
  <c r="X3" i="23" s="1"/>
  <c r="X9" i="29"/>
  <c r="X3" i="35" s="1"/>
  <c r="X5" i="29"/>
  <c r="X3" i="31" s="1"/>
  <c r="Y27" i="24"/>
  <c r="Y27" i="27" s="1"/>
  <c r="X5" i="26"/>
  <c r="X13" i="26"/>
  <c r="X5" i="27"/>
  <c r="X90" i="6"/>
  <c r="X11" i="27"/>
  <c r="X94" i="6"/>
  <c r="X92" i="6"/>
  <c r="X27" i="13"/>
  <c r="X27" i="16" s="1"/>
  <c r="X28" i="26"/>
  <c r="X33" i="27"/>
  <c r="X9" i="27"/>
  <c r="X13" i="27"/>
  <c r="X89" i="6"/>
  <c r="Y139" i="6"/>
  <c r="X26" i="27"/>
  <c r="X21" i="28"/>
  <c r="X93" i="6"/>
  <c r="X22" i="26"/>
  <c r="X4" i="12"/>
  <c r="X4" i="15" s="1"/>
  <c r="X7" i="27"/>
  <c r="X30" i="27"/>
  <c r="X24" i="27"/>
  <c r="Y30" i="15"/>
  <c r="Y15" i="13"/>
  <c r="Y15" i="16" s="1"/>
  <c r="X33" i="26"/>
  <c r="X32" i="26"/>
  <c r="Y16" i="25"/>
  <c r="Y16" i="28" s="1"/>
  <c r="X22" i="15"/>
  <c r="X57" i="6"/>
  <c r="X56" i="6"/>
  <c r="X19" i="13"/>
  <c r="X19" i="16" s="1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29" i="6" s="1"/>
  <c r="X12" i="27"/>
  <c r="X24" i="26"/>
  <c r="X58" i="6"/>
  <c r="Y50" i="39"/>
  <c r="Y48" i="38"/>
  <c r="X19" i="14"/>
  <c r="X19" i="17" s="1"/>
  <c r="X31" i="27"/>
  <c r="X16" i="23"/>
  <c r="X16" i="26" s="1"/>
  <c r="X5" i="37"/>
  <c r="X48" i="39"/>
  <c r="Y27" i="23"/>
  <c r="Y27" i="26" s="1"/>
  <c r="X55" i="6"/>
  <c r="X32" i="28"/>
  <c r="X161" i="6"/>
  <c r="Y5" i="16"/>
  <c r="X169" i="6"/>
  <c r="X159" i="6"/>
  <c r="X155" i="6"/>
  <c r="X171" i="6"/>
  <c r="X131" i="6"/>
  <c r="X165" i="6"/>
  <c r="Y14" i="15"/>
  <c r="Y9" i="17"/>
  <c r="Y23" i="16"/>
  <c r="X156" i="6"/>
  <c r="X11" i="29"/>
  <c r="Y147" i="6"/>
  <c r="X168" i="6"/>
  <c r="Y11" i="15"/>
  <c r="Y158" i="6"/>
  <c r="X164" i="6"/>
  <c r="X16" i="17"/>
  <c r="X172" i="6"/>
  <c r="Y12" i="15"/>
  <c r="X170" i="6"/>
  <c r="Y24" i="17"/>
  <c r="Y10" i="15"/>
  <c r="Y6" i="16"/>
  <c r="Y138" i="6"/>
  <c r="Y7" i="15"/>
  <c r="Y16" i="17"/>
  <c r="Y24" i="16"/>
  <c r="Y9" i="16"/>
  <c r="Y18" i="15"/>
  <c r="Y14" i="16"/>
  <c r="Y5" i="15"/>
  <c r="Y32" i="15"/>
  <c r="Y20" i="15"/>
  <c r="Y25" i="15"/>
  <c r="Y11" i="16"/>
  <c r="Y17" i="16"/>
  <c r="Y22" i="15"/>
  <c r="Y18" i="16"/>
  <c r="Y17" i="15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4" i="16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29" i="16"/>
  <c r="X8" i="16"/>
  <c r="X36" i="39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9" i="15"/>
  <c r="X50" i="38"/>
  <c r="X21" i="17"/>
  <c r="X7" i="15"/>
  <c r="X132" i="6"/>
  <c r="Y19" i="12"/>
  <c r="Y19" i="15" s="1"/>
  <c r="X23" i="17"/>
  <c r="X28" i="16"/>
  <c r="Y50" i="37"/>
  <c r="Y44" i="37" s="1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29" i="25"/>
  <c r="X29" i="28" s="1"/>
  <c r="X140" i="6"/>
  <c r="X16" i="15"/>
  <c r="X20" i="17"/>
  <c r="X32" i="16"/>
  <c r="X8" i="15"/>
  <c r="X23" i="15"/>
  <c r="Y31" i="36"/>
  <c r="Y34" i="36"/>
  <c r="Y32" i="36"/>
  <c r="X8" i="36"/>
  <c r="X3" i="11"/>
  <c r="Y159" i="6"/>
  <c r="Y135" i="6"/>
  <c r="X5" i="38"/>
  <c r="X38" i="38" s="1"/>
  <c r="X44" i="37"/>
  <c r="Y163" i="6"/>
  <c r="Y165" i="6"/>
  <c r="Y3" i="31"/>
  <c r="X158" i="6"/>
  <c r="X125" i="6"/>
  <c r="Y164" i="6"/>
  <c r="X3" i="32"/>
  <c r="X3" i="30"/>
  <c r="X3" i="33"/>
  <c r="Y171" i="6"/>
  <c r="Y162" i="6"/>
  <c r="Y157" i="6"/>
  <c r="Y124" i="6"/>
  <c r="Y134" i="6"/>
  <c r="Y125" i="6"/>
  <c r="X12" i="15"/>
  <c r="X13" i="16"/>
  <c r="X16" i="16"/>
  <c r="Y169" i="6"/>
  <c r="X35" i="39"/>
  <c r="X15" i="15"/>
  <c r="X16" i="25"/>
  <c r="X16" i="28" s="1"/>
  <c r="X30" i="16"/>
  <c r="X9" i="17"/>
  <c r="X31" i="17"/>
  <c r="X147" i="6"/>
  <c r="X26" i="15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36" i="39"/>
  <c r="Y155" i="6"/>
  <c r="X8" i="29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X143" i="6"/>
  <c r="X167" i="6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Y123" i="6"/>
  <c r="Y132" i="6"/>
  <c r="Y156" i="6"/>
  <c r="Y16" i="10"/>
  <c r="Y38" i="39"/>
  <c r="Y35" i="39"/>
  <c r="X31" i="36"/>
  <c r="X34" i="36"/>
  <c r="X32" i="36"/>
  <c r="X38" i="39"/>
  <c r="X37" i="39"/>
  <c r="X44" i="39" l="1"/>
  <c r="X32" i="37"/>
  <c r="X33" i="37"/>
  <c r="X39" i="37"/>
  <c r="X40" i="37"/>
  <c r="Y34" i="37"/>
  <c r="X3" i="29"/>
  <c r="Y37" i="37"/>
  <c r="Y32" i="37"/>
  <c r="Y40" i="37"/>
  <c r="Y33" i="37"/>
  <c r="Y38" i="37"/>
  <c r="X36" i="37"/>
  <c r="Y39" i="37"/>
  <c r="X35" i="37"/>
  <c r="X38" i="37"/>
  <c r="Y36" i="37"/>
  <c r="X37" i="37"/>
  <c r="Y35" i="37"/>
  <c r="Y31" i="37" s="1"/>
  <c r="X153" i="6"/>
  <c r="X3" i="12"/>
  <c r="X34" i="37"/>
  <c r="X31" i="37" s="1"/>
  <c r="X3" i="13"/>
  <c r="X3" i="16" s="1"/>
  <c r="Y39" i="38"/>
  <c r="Y44" i="38"/>
  <c r="X3" i="10"/>
  <c r="X3" i="14"/>
  <c r="X154" i="6"/>
  <c r="X121" i="6"/>
  <c r="X31" i="39"/>
  <c r="Y33" i="38"/>
  <c r="Y34" i="38"/>
  <c r="Y35" i="38"/>
  <c r="Y32" i="38"/>
  <c r="Y36" i="38"/>
  <c r="Y40" i="38"/>
  <c r="Y38" i="38"/>
  <c r="Y37" i="38"/>
  <c r="Y3" i="32"/>
  <c r="Y31" i="39"/>
  <c r="Y3" i="12"/>
  <c r="Y3" i="33"/>
  <c r="X36" i="38"/>
  <c r="X35" i="38"/>
  <c r="X44" i="38"/>
  <c r="X33" i="38"/>
  <c r="Y121" i="6"/>
  <c r="X3" i="26"/>
  <c r="X39" i="38"/>
  <c r="X37" i="38"/>
  <c r="Y3" i="35"/>
  <c r="X32" i="38"/>
  <c r="Y3" i="14"/>
  <c r="Y3" i="34"/>
  <c r="Y3" i="2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X3" i="15" l="1"/>
  <c r="X3" i="17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K5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V4" i="29" l="1"/>
  <c r="T7" i="29"/>
  <c r="R7" i="29"/>
  <c r="V8" i="29"/>
  <c r="W8" i="29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S8" i="32"/>
  <c r="W8" i="30"/>
  <c r="W8" i="35"/>
  <c r="S8" i="33"/>
  <c r="U8" i="32"/>
  <c r="W8" i="31"/>
  <c r="B69" i="29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S8" i="30"/>
  <c r="G3" i="29"/>
  <c r="P11" i="29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N3" i="29" l="1"/>
  <c r="R3" i="35"/>
  <c r="W3" i="31"/>
  <c r="T3" i="35"/>
  <c r="U3" i="32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V3" i="23" l="1"/>
  <c r="T3" i="14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T56" i="6" l="1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30" i="27"/>
  <c r="L30" i="21"/>
  <c r="L29" i="20"/>
  <c r="H30" i="21"/>
  <c r="H29" i="20"/>
  <c r="D30" i="21"/>
  <c r="D29" i="20"/>
  <c r="I29" i="20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J19" i="24" l="1"/>
  <c r="K29" i="12"/>
  <c r="P29" i="25"/>
  <c r="P29" i="28" s="1"/>
  <c r="K29" i="13"/>
  <c r="I29" i="24"/>
  <c r="N19" i="24"/>
  <c r="O4" i="24"/>
  <c r="E4" i="24"/>
  <c r="K16" i="24"/>
  <c r="E19" i="14"/>
  <c r="J29" i="12"/>
  <c r="O4" i="23"/>
  <c r="N19" i="23"/>
  <c r="G16" i="12"/>
  <c r="C4" i="13"/>
  <c r="O4" i="12"/>
  <c r="C16" i="13"/>
  <c r="E4" i="23"/>
  <c r="H4" i="12"/>
  <c r="J29" i="13"/>
  <c r="C4" i="12"/>
  <c r="F4" i="24"/>
  <c r="P29" i="24"/>
  <c r="G19" i="24"/>
  <c r="G19" i="27" s="1"/>
  <c r="P29" i="12"/>
  <c r="P29" i="15" s="1"/>
  <c r="H29" i="23"/>
  <c r="H29" i="26" s="1"/>
  <c r="O29" i="13"/>
  <c r="O29" i="16" s="1"/>
  <c r="P19" i="24"/>
  <c r="P19" i="27" s="1"/>
  <c r="J19" i="23"/>
  <c r="J19" i="26" s="1"/>
  <c r="P29" i="13"/>
  <c r="P29" i="16" s="1"/>
  <c r="H29" i="24"/>
  <c r="G19" i="23"/>
  <c r="G19" i="26" s="1"/>
  <c r="O29" i="23"/>
  <c r="O29" i="26" s="1"/>
  <c r="O29" i="12"/>
  <c r="O29" i="15" s="1"/>
  <c r="C17" i="16"/>
  <c r="E4" i="13"/>
  <c r="P4" i="12"/>
  <c r="O4" i="13"/>
  <c r="O4" i="16" s="1"/>
  <c r="K4" i="24"/>
  <c r="K4" i="27" s="1"/>
  <c r="D16" i="13"/>
  <c r="O16" i="24"/>
  <c r="B16" i="13"/>
  <c r="M29" i="24"/>
  <c r="L19" i="24"/>
  <c r="N29" i="13"/>
  <c r="K19" i="12"/>
  <c r="K19" i="15" s="1"/>
  <c r="H29" i="12"/>
  <c r="D16" i="25"/>
  <c r="O29" i="24"/>
  <c r="J4" i="12"/>
  <c r="H4" i="23"/>
  <c r="Q16" i="13"/>
  <c r="O16" i="12"/>
  <c r="N4" i="12"/>
  <c r="N4" i="15" s="1"/>
  <c r="L4" i="23"/>
  <c r="L4" i="26" s="1"/>
  <c r="N29" i="24"/>
  <c r="N29" i="27" s="1"/>
  <c r="D16" i="14"/>
  <c r="D16" i="17" s="1"/>
  <c r="K16" i="12"/>
  <c r="K16" i="15" s="1"/>
  <c r="I29" i="23"/>
  <c r="C19" i="23"/>
  <c r="F4" i="12"/>
  <c r="F4" i="15" s="1"/>
  <c r="E19" i="24"/>
  <c r="E19" i="27" s="1"/>
  <c r="P16" i="25"/>
  <c r="G29" i="12"/>
  <c r="G29" i="13"/>
  <c r="G29" i="16" s="1"/>
  <c r="I4" i="23"/>
  <c r="I4" i="26" s="1"/>
  <c r="G16" i="13"/>
  <c r="G16" i="16" s="1"/>
  <c r="N29" i="23"/>
  <c r="C19" i="13"/>
  <c r="C19" i="16" s="1"/>
  <c r="K19" i="24"/>
  <c r="K19" i="27" s="1"/>
  <c r="O19" i="23"/>
  <c r="O19" i="26" s="1"/>
  <c r="Q29" i="24"/>
  <c r="G29" i="24"/>
  <c r="G29" i="27" s="1"/>
  <c r="C19" i="12"/>
  <c r="C19" i="15" s="1"/>
  <c r="P16" i="23"/>
  <c r="P16" i="26" s="1"/>
  <c r="M4" i="14"/>
  <c r="O16" i="13"/>
  <c r="O16" i="23"/>
  <c r="O16" i="26" s="1"/>
  <c r="F19" i="12"/>
  <c r="F19" i="15" s="1"/>
  <c r="M16" i="24"/>
  <c r="J4" i="23"/>
  <c r="J4" i="26" s="1"/>
  <c r="P19" i="12"/>
  <c r="P19" i="15" s="1"/>
  <c r="H4" i="24"/>
  <c r="M4" i="12"/>
  <c r="M4" i="15" s="1"/>
  <c r="O19" i="24"/>
  <c r="O19" i="27" s="1"/>
  <c r="P16" i="24"/>
  <c r="P16" i="27" s="1"/>
  <c r="L19" i="13"/>
  <c r="L19" i="16" s="1"/>
  <c r="G4" i="23"/>
  <c r="G4" i="26" s="1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M29" i="16" s="1"/>
  <c r="D19" i="24"/>
  <c r="D19" i="27" s="1"/>
  <c r="D4" i="24"/>
  <c r="D4" i="27" s="1"/>
  <c r="P19" i="23"/>
  <c r="P19" i="26" s="1"/>
  <c r="N16" i="14"/>
  <c r="N16" i="17" s="1"/>
  <c r="D4" i="13"/>
  <c r="D4" i="16" s="1"/>
  <c r="N16" i="12"/>
  <c r="N16" i="15" s="1"/>
  <c r="E16" i="12"/>
  <c r="E16" i="15" s="1"/>
  <c r="I16" i="14"/>
  <c r="I16" i="17" s="1"/>
  <c r="Q4" i="23"/>
  <c r="J29" i="24"/>
  <c r="J29" i="27" s="1"/>
  <c r="P16" i="13"/>
  <c r="P16" i="16" s="1"/>
  <c r="C29" i="12"/>
  <c r="G16" i="24"/>
  <c r="I4" i="12"/>
  <c r="I4" i="15" s="1"/>
  <c r="L16" i="13"/>
  <c r="L16" i="16" s="1"/>
  <c r="B29" i="13"/>
  <c r="B29" i="16" s="1"/>
  <c r="L4" i="24"/>
  <c r="L4" i="27" s="1"/>
  <c r="Q29" i="23"/>
  <c r="Q29" i="26" s="1"/>
  <c r="G16" i="25"/>
  <c r="G16" i="28" s="1"/>
  <c r="Q4" i="24"/>
  <c r="D4" i="23"/>
  <c r="C29" i="13"/>
  <c r="B29" i="12"/>
  <c r="H19" i="24"/>
  <c r="H19" i="27" s="1"/>
  <c r="Q4" i="12"/>
  <c r="B4" i="14"/>
  <c r="B4" i="17" s="1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B4" i="16" s="1"/>
  <c r="M4" i="23"/>
  <c r="M4" i="26" s="1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E29" i="13"/>
  <c r="L16" i="24"/>
  <c r="L16" i="27" s="1"/>
  <c r="M4" i="13"/>
  <c r="M4" i="16" s="1"/>
  <c r="D27" i="13"/>
  <c r="D27" i="16" s="1"/>
  <c r="D27" i="12"/>
  <c r="D27" i="15" s="1"/>
  <c r="M27" i="12"/>
  <c r="M27" i="15" s="1"/>
  <c r="M27" i="13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M16" i="15" s="1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2"/>
  <c r="I27" i="15" s="1"/>
  <c r="E27" i="12"/>
  <c r="E27" i="13"/>
  <c r="E27" i="16" s="1"/>
  <c r="E19" i="23"/>
  <c r="E19" i="26" s="1"/>
  <c r="D15" i="23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Q19" i="26" s="1"/>
  <c r="G15" i="23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G29" i="26" s="1"/>
  <c r="B19" i="13"/>
  <c r="B19" i="16" s="1"/>
  <c r="K27" i="12"/>
  <c r="K27" i="15" s="1"/>
  <c r="K27" i="13"/>
  <c r="K27" i="16" s="1"/>
  <c r="H15" i="23"/>
  <c r="H15" i="26" s="1"/>
  <c r="H15" i="24"/>
  <c r="H15" i="27" s="1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6" s="1"/>
  <c r="L27" i="24"/>
  <c r="L27" i="27" s="1"/>
  <c r="O19" i="12"/>
  <c r="G27" i="24"/>
  <c r="G27" i="27" s="1"/>
  <c r="G27" i="23"/>
  <c r="G27" i="26" s="1"/>
  <c r="L4" i="13"/>
  <c r="L4" i="16" s="1"/>
  <c r="K4" i="12"/>
  <c r="K4" i="15" s="1"/>
  <c r="P4" i="23"/>
  <c r="P4" i="26" s="1"/>
  <c r="K29" i="23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4"/>
  <c r="K27" i="27" s="1"/>
  <c r="B27" i="12"/>
  <c r="B27" i="15" s="1"/>
  <c r="B27" i="13"/>
  <c r="B27" i="16" s="1"/>
  <c r="Q19" i="24"/>
  <c r="Q19" i="27" s="1"/>
  <c r="K15" i="23"/>
  <c r="K15" i="24"/>
  <c r="K15" i="27" s="1"/>
  <c r="P27" i="23"/>
  <c r="P27" i="26" s="1"/>
  <c r="P27" i="24"/>
  <c r="P27" i="27" s="1"/>
  <c r="P16" i="12"/>
  <c r="F4" i="13"/>
  <c r="F4" i="16" s="1"/>
  <c r="L29" i="13"/>
  <c r="L29" i="16" s="1"/>
  <c r="L15" i="23"/>
  <c r="L15" i="26" s="1"/>
  <c r="L15" i="24"/>
  <c r="J27" i="12"/>
  <c r="J27" i="15" s="1"/>
  <c r="J27" i="13"/>
  <c r="J27" i="16" s="1"/>
  <c r="E16" i="24"/>
  <c r="E16" i="27" s="1"/>
  <c r="D16" i="12"/>
  <c r="D16" i="15" s="1"/>
  <c r="M15" i="23"/>
  <c r="M15" i="26" s="1"/>
  <c r="M15" i="24"/>
  <c r="M15" i="27" s="1"/>
  <c r="D19" i="23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N4" i="13"/>
  <c r="N4" i="16" s="1"/>
  <c r="Q16" i="12"/>
  <c r="Q16" i="15" s="1"/>
  <c r="L27" i="13"/>
  <c r="L27" i="12"/>
  <c r="L27" i="15" s="1"/>
  <c r="K4" i="13"/>
  <c r="K4" i="16" s="1"/>
  <c r="I29" i="13"/>
  <c r="I29" i="16" s="1"/>
  <c r="J16" i="24"/>
  <c r="J16" i="27" s="1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I27" i="23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F27" i="13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N19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H19" i="10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N27" i="16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O8" i="17"/>
  <c r="O31" i="15"/>
  <c r="O16" i="17"/>
  <c r="B30" i="16"/>
  <c r="J33" i="1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0"/>
  <c r="F3" i="8"/>
  <c r="F16" i="15"/>
  <c r="G16" i="21"/>
  <c r="G16" i="27"/>
  <c r="O3" i="19"/>
  <c r="O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1"/>
  <c r="G19" i="21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7"/>
  <c r="M16" i="21"/>
  <c r="H19" i="21"/>
  <c r="D3" i="19"/>
  <c r="D4" i="26"/>
  <c r="L3" i="19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H16" i="10"/>
  <c r="F17" i="16"/>
  <c r="B18" i="16"/>
  <c r="L19" i="10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0"/>
  <c r="N3" i="8"/>
  <c r="N19" i="15"/>
  <c r="N29" i="15"/>
  <c r="G3" i="22"/>
  <c r="G3" i="25" s="1"/>
  <c r="G3" i="28" s="1"/>
  <c r="G4" i="25"/>
  <c r="G4" i="28" s="1"/>
  <c r="L19" i="27"/>
  <c r="L19" i="21"/>
  <c r="P19" i="21"/>
  <c r="M3" i="19"/>
  <c r="C3" i="22"/>
  <c r="C3" i="25" s="1"/>
  <c r="C3" i="28" s="1"/>
  <c r="C4" i="25"/>
  <c r="C4" i="28" s="1"/>
  <c r="D4" i="21"/>
  <c r="D3" i="20"/>
  <c r="D3" i="24" s="1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3" i="9"/>
  <c r="L3" i="13" s="1"/>
  <c r="N16" i="16"/>
  <c r="N16" i="10"/>
  <c r="F18" i="16"/>
  <c r="F31" i="16"/>
  <c r="C16" i="15"/>
  <c r="E16" i="21"/>
  <c r="N4" i="26"/>
  <c r="E19" i="10"/>
  <c r="J29" i="10"/>
  <c r="J29" i="16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0"/>
  <c r="C29" i="16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1"/>
  <c r="D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G3" i="13" l="1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7" i="4"/>
  <c r="B35" i="4"/>
  <c r="B38" i="4"/>
  <c r="B42" i="4"/>
  <c r="B11" i="4"/>
  <c r="B15" i="4"/>
  <c r="B17" i="4"/>
  <c r="B37" i="4"/>
  <c r="B34" i="4"/>
  <c r="B33" i="4"/>
  <c r="B29" i="4"/>
  <c r="B9" i="4"/>
  <c r="B27" i="4"/>
  <c r="B4" i="4"/>
  <c r="B43" i="4"/>
  <c r="B44" i="4"/>
  <c r="B23" i="4"/>
  <c r="B10" i="4"/>
  <c r="B25" i="4"/>
  <c r="B45" i="4"/>
  <c r="B36" i="4"/>
  <c r="B14" i="4"/>
  <c r="B28" i="4"/>
  <c r="B21" i="4"/>
  <c r="B26" i="4"/>
  <c r="B13" i="4"/>
  <c r="B39" i="4"/>
  <c r="B20" i="4"/>
  <c r="B16" i="4"/>
  <c r="B24" i="4"/>
  <c r="B22" i="4"/>
  <c r="B30" i="4"/>
  <c r="B12" i="4"/>
  <c r="B8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<sst xmlns="http://schemas.openxmlformats.org/spreadsheetml/2006/main" count="2101" uniqueCount="1057">
  <si>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</si>
  <si>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</si>
  <si>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</si>
  <si>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</si>
  <si>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</si>
  <si>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</si>
  <si>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</si>
  <si>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</si>
  <si>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</si>
  <si>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</si>
  <si>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</si>
  <si>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</si>
  <si>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</si>
  <si>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</si>
  <si>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</si>
  <si>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</si>
  <si>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</si>
  <si>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</si>
  <si>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</si>
  <si>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</si>
  <si>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</si>
  <si>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</si>
  <si>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</si>
  <si>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</si>
  <si>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</si>
  <si>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</si>
  <si>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</si>
  <si>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</si>
  <si>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</si>
  <si>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</si>
  <si>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</si>
  <si>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</si>
  <si>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</si>
  <si>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</si>
  <si>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</si>
  <si>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</si>
  <si>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</si>
  <si>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</si>
  <si>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</si>
  <si>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</si>
  <si>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</si>
  <si>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</si>
  <si>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</si>
  <si>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</si>
  <si>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</si>
  <si>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</si>
  <si>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</si>
  <si>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</si>
  <si>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</si>
  <si>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</si>
  <si>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</si>
  <si>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</si>
  <si>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</si>
  <si>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</si>
  <si>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</si>
  <si>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</si>
  <si>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</si>
  <si>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</si>
  <si>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</si>
  <si>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</si>
  <si>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</si>
  <si>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</si>
  <si>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</si>
  <si>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</si>
  <si>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</si>
  <si>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</si>
  <si>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</si>
  <si>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</si>
  <si>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</si>
  <si>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</si>
  <si>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</si>
  <si>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</si>
  <si>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</si>
  <si>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</si>
  <si>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</si>
  <si>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</si>
  <si>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</si>
  <si>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</si>
  <si>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</si>
  <si>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</si>
  <si>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</si>
  <si>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</si>
  <si>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</si>
  <si>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</si>
  <si>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</si>
  <si>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</si>
  <si>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</si>
  <si>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</si>
  <si>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</si>
  <si>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</si>
  <si>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</si>
  <si>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</si>
  <si>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</si>
  <si>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</si>
  <si>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</si>
  <si>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</si>
  <si>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</si>
  <si>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</si>
  <si>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</si>
  <si>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</si>
  <si>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</si>
  <si>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</si>
  <si>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</si>
  <si>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</si>
  <si>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</si>
  <si>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</si>
  <si>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</si>
  <si>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</si>
  <si>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</si>
  <si>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</si>
  <si>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</si>
  <si>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</si>
  <si>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</si>
  <si>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</si>
  <si>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</si>
  <si>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</si>
  <si>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</si>
  <si>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</si>
  <si>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</si>
  <si>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</si>
  <si>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</si>
  <si>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</si>
  <si>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</si>
  <si>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</si>
  <si>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</si>
  <si>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</si>
  <si>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</si>
  <si>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</si>
  <si>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</si>
  <si>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</si>
  <si>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</si>
  <si>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</si>
  <si>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</si>
  <si>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</si>
  <si>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</si>
  <si>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</si>
  <si>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</si>
  <si>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</si>
  <si>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</si>
  <si>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</si>
  <si>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</si>
  <si>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</si>
  <si>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</si>
  <si>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</si>
  <si>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</si>
  <si>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</si>
  <si>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</si>
  <si>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</si>
  <si>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</si>
  <si>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</si>
  <si>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</si>
  <si>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</si>
  <si>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</si>
  <si>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</si>
  <si>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</si>
  <si>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</si>
  <si>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</si>
  <si>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</si>
  <si>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</si>
  <si>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</si>
  <si>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</si>
  <si>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</si>
  <si>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</si>
  <si>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</si>
  <si>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</si>
  <si>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</si>
  <si>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</si>
  <si>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</si>
  <si>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</si>
  <si>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</si>
  <si>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</si>
  <si>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</si>
  <si>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</si>
  <si>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</si>
  <si>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</si>
  <si>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</si>
  <si>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</si>
  <si>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</si>
  <si>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</si>
  <si>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</si>
  <si>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</si>
  <si>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</si>
  <si>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</si>
  <si>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</si>
  <si>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</si>
  <si>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EL</t>
  </si>
  <si>
    <t>Greece</t>
  </si>
  <si>
    <t>EL - Services sector summary</t>
  </si>
  <si>
    <t>Macro.number.EL.Population</t>
  </si>
  <si>
    <t>Macro.Meuro2015.EL.GDP</t>
  </si>
  <si>
    <t>Macro.Meuro2015.EL.VA</t>
  </si>
  <si>
    <t>Macro.number.EL.Employees</t>
  </si>
  <si>
    <t>NUM.number.EL.Ser.Bld</t>
  </si>
  <si>
    <t>SurfaceArea.ksqm.EL.Ser.Bld</t>
  </si>
  <si>
    <t>NUM.number.EL.Ser.BldNew</t>
  </si>
  <si>
    <t>SurfaceArea.ksqm.EL.Ser.BldNew</t>
  </si>
  <si>
    <t>HDD.Celsius.EL.Actual</t>
  </si>
  <si>
    <t>HDD.Celsius.EL.Mean</t>
  </si>
  <si>
    <t>HDD.ratio.EL.Relative</t>
  </si>
  <si>
    <t>FEC.ktoe.EL.ES.Ser</t>
  </si>
  <si>
    <t>FEC.ktoe.EL.ES.Ser.Solids</t>
  </si>
  <si>
    <t>FEC.ktoe.EL.ES.Ser.LPG</t>
  </si>
  <si>
    <t>FEC.ktoe.EL.ES.Ser.Oil</t>
  </si>
  <si>
    <t>FEC.ktoe.EL.ES.Ser.NG</t>
  </si>
  <si>
    <t>FEC.ktoe.EL.ES.Ser.Biomass_Waste</t>
  </si>
  <si>
    <t>FEC.ktoe.EL.ES.Ser.Biogas</t>
  </si>
  <si>
    <t>FEC.ktoe.EL.ES.Ser.LiqBio</t>
  </si>
  <si>
    <t>FEC.ktoe.EL.ES.Ser.Solar</t>
  </si>
  <si>
    <t>FEC.ktoe.EL.ES.Ser.Geo</t>
  </si>
  <si>
    <t>FEC.ktoe.EL.ES.Ser.Ambient</t>
  </si>
  <si>
    <t>FEC.ktoe.EL.ES.Ser.Steam_Distr</t>
  </si>
  <si>
    <t>FEC.ktoe.EL.ES.Ser.Elec</t>
  </si>
  <si>
    <t>FEC.ktoe.EL.Ser</t>
  </si>
  <si>
    <t>FEC.ktoe.EL.Ser.Bld.Thermal</t>
  </si>
  <si>
    <t>FEC.ktoe.EL.Ser.Bld.Thermal.SH</t>
  </si>
  <si>
    <t>FEC.ktoe.EL.Ser.Bld.Thermal.SC</t>
  </si>
  <si>
    <t>FEC.ktoe.EL.Ser.Bld.Thermal.HW</t>
  </si>
  <si>
    <t>FEC.ktoe.EL.Ser.Bld.Thermal.CA</t>
  </si>
  <si>
    <t>FEC.ktoe.EL.Ser.SEU</t>
  </si>
  <si>
    <t>EMI.ktCO2.EL.ES.Ser</t>
  </si>
  <si>
    <t>EMI.ktCO2.EL.ES.Ser.Solids</t>
  </si>
  <si>
    <t>EMI.ktCO2.EL.ES.Ser.LPG</t>
  </si>
  <si>
    <t>EMI.ktCO2.EL.ES.Ser.Oil</t>
  </si>
  <si>
    <t>EMI.ktCO2.EL.ES.Ser.NG</t>
  </si>
  <si>
    <t>EMI.ktCO2.EL.ES.Ser.Biomass_Waste</t>
  </si>
  <si>
    <t>EMI.ktCO2.EL.ES.Ser.Biogas</t>
  </si>
  <si>
    <t>EMI.ktCO2.EL.ES.Ser.LiqBio</t>
  </si>
  <si>
    <t>EMI.ktCO2.EL.ES.Ser.Solar</t>
  </si>
  <si>
    <t>EMI.ktCO2.EL.ES.Ser.Geo</t>
  </si>
  <si>
    <t>EMI.ktCO2.EL.ES.Ser.Ambient</t>
  </si>
  <si>
    <t>EMI.ktCO2.EL.ES.Ser.Steam_Distr</t>
  </si>
  <si>
    <t>EMI.ktCO2.EL.ES.Ser.Elec</t>
  </si>
  <si>
    <t>EMI.ktCO2.EL.Ser</t>
  </si>
  <si>
    <t>EMI.ktCO2.EL.Ser.Bld.Thermal</t>
  </si>
  <si>
    <t>EMI.ktCO2.EL.Ser.Bld.Thermal.SH</t>
  </si>
  <si>
    <t>EMI.ktCO2.EL.Ser.Bld.Thermal.SC</t>
  </si>
  <si>
    <t>EMI.ktCO2.EL.Ser.Bld.Thermal.HW</t>
  </si>
  <si>
    <t>EMI.ktCO2.EL.Ser.Bld.Thermal.CA</t>
  </si>
  <si>
    <t>EMI.ktCO2.EL.Ser.SEU</t>
  </si>
  <si>
    <t>Eff.ratio.EL.Ser.Bld.Thermal</t>
  </si>
  <si>
    <t>Eff.ratio.EL.Ser.Bld.Thermal.SH</t>
  </si>
  <si>
    <t>Eff.ratio.EL.Ser.Bld.Thermal.SC</t>
  </si>
  <si>
    <t>Eff.ratio.EL.Ser.Bld.Thermal.HW</t>
  </si>
  <si>
    <t>Eff.ratio.EL.Ser.Bld.Thermal.CA</t>
  </si>
  <si>
    <t>EL - Number of buildings</t>
  </si>
  <si>
    <t>NUM.number.EL.Ser.Bld.Thermal</t>
  </si>
  <si>
    <t>NUM.number.EL.Ser.Bld.Thermal.SH</t>
  </si>
  <si>
    <t>NUM.number.EL.Ser.Bld.Thermal.SH.Solids</t>
  </si>
  <si>
    <t>NUM.number.EL.Ser.Bld.Thermal.SH.LPG</t>
  </si>
  <si>
    <t>NUM.number.EL.Ser.Bld.Thermal.SH.Oil</t>
  </si>
  <si>
    <t>NUM.number.EL.Ser.Bld.Thermal.SH.GasHP</t>
  </si>
  <si>
    <t>NUM.number.EL.Ser.Bld.Thermal.SH.GasTH</t>
  </si>
  <si>
    <t>NUM.number.EL.Ser.Bld.Thermal.SH.Biomass</t>
  </si>
  <si>
    <t>NUM.number.EL.Ser.Bld.Thermal.SH.Geo</t>
  </si>
  <si>
    <t>NUM.number.EL.Ser.Bld.Thermal.SH.DistrHeat</t>
  </si>
  <si>
    <t>NUM.number.EL.Ser.Bld.Thermal.SH.AdvElc</t>
  </si>
  <si>
    <t>NUM.number.EL.Ser.Bld.Thermal.SH.ConvElc</t>
  </si>
  <si>
    <t>NUM.number.EL.Ser.Bld.Thermal.SC</t>
  </si>
  <si>
    <t>NUM.number.EL.Ser.Bld.Thermal.SC.GasHP</t>
  </si>
  <si>
    <t>NUM.number.EL.Ser.Bld.Thermal.SC.AC</t>
  </si>
  <si>
    <t>NUM.number.EL.Ser.Bld.Thermal.HW</t>
  </si>
  <si>
    <t>NUM.number.EL.Ser.Bld.Thermal.HW.Solids</t>
  </si>
  <si>
    <t>NUM.number.EL.Ser.Bld.Thermal.HW.LPG</t>
  </si>
  <si>
    <t>NUM.number.EL.Ser.Bld.Thermal.HW.Oil</t>
  </si>
  <si>
    <t>NUM.number.EL.Ser.Bld.Thermal.HW.Gas</t>
  </si>
  <si>
    <t>NUM.number.EL.Ser.Bld.Thermal.HW.Biomass</t>
  </si>
  <si>
    <t>NUM.number.EL.Ser.Bld.Thermal.HW.DistrHeat</t>
  </si>
  <si>
    <t>NUM.number.EL.Ser.Bld.Thermal.HW.Elc</t>
  </si>
  <si>
    <t>NUM.number.EL.Ser.Bld.Thermal.HW.Solar</t>
  </si>
  <si>
    <t>NUM.number.EL.Ser.Bld.Thermal.CA</t>
  </si>
  <si>
    <t>NUM.number.EL.Ser.Bld.Thermal.CA.LPG</t>
  </si>
  <si>
    <t>NUM.number.EL.Ser.Bld.Thermal.CA.Gas</t>
  </si>
  <si>
    <t>NUM.number.EL.Ser.Bld.Thermal.CA.Biomass</t>
  </si>
  <si>
    <t>NUM.number.EL.Ser.Bld.Thermal.CA.Elc</t>
  </si>
  <si>
    <t>EL - Final energy consumption</t>
  </si>
  <si>
    <t>FEC.ktoe.EL.Ser.Bld.Thermal.SH.Solids.Solids</t>
  </si>
  <si>
    <t>FEC.ktoe.EL.Ser.Bld.Thermal.SH.LPG.LPG</t>
  </si>
  <si>
    <t>FEC.ktoe.EL.Ser.Bld.Thermal.SH.Oil.Oil_LiqBio</t>
  </si>
  <si>
    <t>FEC.ktoe.EL.Ser.Bld.Thermal.SH.GasHP.NG_Biogas</t>
  </si>
  <si>
    <t>FEC.ktoe.EL.Ser.Bld.Thermal.SH.GasTH.NG_Biogas</t>
  </si>
  <si>
    <t>FEC.ktoe.EL.Ser.Bld.Thermal.SH.Biomass.Biomass_Waste</t>
  </si>
  <si>
    <t>FEC.ktoe.EL.Ser.Bld.Thermal.SH.Geo.Geo</t>
  </si>
  <si>
    <t>FEC.ktoe.EL.Ser.Bld.Thermal.SH.DistrHeat.Steam_Distr</t>
  </si>
  <si>
    <t>FEC.ktoe.EL.Ser.Bld.Thermal.SH.AdvElc.Elec</t>
  </si>
  <si>
    <t>FEC.ktoe.EL.Ser.Bld.Thermal.SH.ConvElc.Elec</t>
  </si>
  <si>
    <t>FEC.ktoe.EL.Ser.Bld.Thermal.SH.TotalCirculation.Elec</t>
  </si>
  <si>
    <t>FEC.ktoe.EL.Ser.Bld.Thermal.SC.GasHP.NG_Biogas</t>
  </si>
  <si>
    <t>FEC.ktoe.EL.Ser.Bld.Thermal.SC.AC.Elec</t>
  </si>
  <si>
    <t>FEC.ktoe.EL.Ser.Bld.Thermal.HW.Solids.Solids</t>
  </si>
  <si>
    <t>FEC.ktoe.EL.Ser.Bld.Thermal.HW.LPG.LPG</t>
  </si>
  <si>
    <t>FEC.ktoe.EL.Ser.Bld.Thermal.HW.Oil.Oil_LiqBio</t>
  </si>
  <si>
    <t>FEC.ktoe.EL.Ser.Bld.Thermal.HW.Gas.NG_Biogas</t>
  </si>
  <si>
    <t>FEC.ktoe.EL.Ser.Bld.Thermal.HW.Biomass.Biomass_Waste</t>
  </si>
  <si>
    <t>FEC.ktoe.EL.Ser.Bld.Thermal.HW.DistrHeat.Steam_Distr</t>
  </si>
  <si>
    <t>FEC.ktoe.EL.Ser.Bld.Thermal.HW.Elc.Elec</t>
  </si>
  <si>
    <t>FEC.ktoe.EL.Ser.Bld.Thermal.HW.TotalSolar.Solar</t>
  </si>
  <si>
    <t>FEC.ktoe.EL.Ser.Bld.Thermal.CA.LPG</t>
  </si>
  <si>
    <t>FEC.ktoe.EL.Ser.Bld.Thermal.CA.Gas.NG_Biogas</t>
  </si>
  <si>
    <t>FEC.ktoe.EL.Ser.Bld.Thermal.CA.Biomass.Biomass_Waste</t>
  </si>
  <si>
    <t>FEC.ktoe.EL.Ser.Bld.Thermal.CA.Elc.Elec</t>
  </si>
  <si>
    <t>EL - Thermal energy service</t>
  </si>
  <si>
    <t>TES.ktoe.EL.Ser.Bld.Thermal</t>
  </si>
  <si>
    <t>TES.ktoe.EL.Ser.Bld.Thermal.SH</t>
  </si>
  <si>
    <t>TES.ktoe.EL.Ser.Bld.Thermal.SH.Solids.Solids</t>
  </si>
  <si>
    <t>TES.ktoe.EL.Ser.Bld.Thermal.SH.LPG.LPG</t>
  </si>
  <si>
    <t>TES.ktoe.EL.Ser.Bld.Thermal.SH.Oil.Oil_LiqBio</t>
  </si>
  <si>
    <t>TES.ktoe.EL.Ser.Bld.Thermal.SH.GasHP.NG_Biogas</t>
  </si>
  <si>
    <t>TES.ktoe.EL.Ser.Bld.Thermal.SH.GasTH.NG_Biogas</t>
  </si>
  <si>
    <t>TES.ktoe.EL.Ser.Bld.Thermal.SH.Biomass.Biomass_Waste</t>
  </si>
  <si>
    <t>TES.ktoe.EL.Ser.Bld.Thermal.SH.Geo.Geo</t>
  </si>
  <si>
    <t>TES.ktoe.EL.Ser.Bld.Thermal.SH.DistrHeat.Steam_Distr</t>
  </si>
  <si>
    <t>TES.ktoe.EL.Ser.Bld.Thermal.SH.AdvElc.Elec</t>
  </si>
  <si>
    <t>TES.ktoe.EL.Ser.Bld.Thermal.SH.ConvElc.Elec</t>
  </si>
  <si>
    <t>TES.ktoe.EL.Ser.Bld.Thermal.SH.TotalCirculation.Elec</t>
  </si>
  <si>
    <t>TES.ktoe.EL.Ser.Bld.Thermal.SC</t>
  </si>
  <si>
    <t>TES.ktoe.EL.Ser.Bld.Thermal.SC.GasHP.NG_Biogas</t>
  </si>
  <si>
    <t>TES.ktoe.EL.Ser.Bld.Thermal.SC.AC.Elec</t>
  </si>
  <si>
    <t>TES.ktoe.EL.Ser.Bld.Thermal.HW</t>
  </si>
  <si>
    <t>TES.ktoe.EL.Ser.Bld.Thermal.HW.Solids.Solids</t>
  </si>
  <si>
    <t>TES.ktoe.EL.Ser.Bld.Thermal.HW.LPG.LPG</t>
  </si>
  <si>
    <t>TES.ktoe.EL.Ser.Bld.Thermal.HW.Oil.Oil_LiqBio</t>
  </si>
  <si>
    <t>TES.ktoe.EL.Ser.Bld.Thermal.HW.Gas.NG_Biogas</t>
  </si>
  <si>
    <t>TES.ktoe.EL.Ser.Bld.Thermal.HW.Biomass.Biomass_Waste</t>
  </si>
  <si>
    <t>TES.ktoe.EL.Ser.Bld.Thermal.HW.DistrHeat.Steam_Distr</t>
  </si>
  <si>
    <t>TES.ktoe.EL.Ser.Bld.Thermal.HW.Elc.Elec</t>
  </si>
  <si>
    <t>TES.ktoe.EL.Ser.Bld.Thermal.HW.TotalSolar.Solar</t>
  </si>
  <si>
    <t>TES.ktoe.EL.Ser.Bld.Thermal.CA</t>
  </si>
  <si>
    <t>TES.ktoe.EL.Ser.Bld.Thermal.CA.LPG</t>
  </si>
  <si>
    <t>TES.ktoe.EL.Ser.Bld.Thermal.CA.Gas.NG_Biogas</t>
  </si>
  <si>
    <t>TES.ktoe.EL.Ser.Bld.Thermal.CA.Biomass.Biomass_Waste</t>
  </si>
  <si>
    <t>TES.ktoe.EL.Ser.Bld.Thermal.CA.Elc.Elec</t>
  </si>
  <si>
    <t>EL - System efficiency indicator of total stock</t>
  </si>
  <si>
    <t>Eff.ratio.EL.Ser.Bld.Thermal.SH.Solids.Solids</t>
  </si>
  <si>
    <t>Eff.ratio.EL.Ser.Bld.Thermal.SH.LPG.LPG</t>
  </si>
  <si>
    <t>Eff.ratio.EL.Ser.Bld.Thermal.SH.Oil.Oil_LiqBio</t>
  </si>
  <si>
    <t>Eff.ratio.EL.Ser.Bld.Thermal.SH.GasHP.NG_Biogas</t>
  </si>
  <si>
    <t>Eff.ratio.EL.Ser.Bld.Thermal.SH.GasTH.NG_Biogas</t>
  </si>
  <si>
    <t>Eff.ratio.EL.Ser.Bld.Thermal.SH.Biomass.Biomass_Waste</t>
  </si>
  <si>
    <t>Eff.ratio.EL.Ser.Bld.Thermal.SH.Geo.Geo</t>
  </si>
  <si>
    <t>Eff.ratio.EL.Ser.Bld.Thermal.SH.DistrHeat.Steam_Distr</t>
  </si>
  <si>
    <t>Eff.ratio.EL.Ser.Bld.Thermal.SH.AdvElc.Elec</t>
  </si>
  <si>
    <t>Eff.ratio.EL.Ser.Bld.Thermal.SH.ConvElc.Elec</t>
  </si>
  <si>
    <t>Eff.ratio.EL.Ser.Bld.Thermal.SH.TotalCirculation.Elec</t>
  </si>
  <si>
    <t>Eff.ratio.EL.Ser.Bld.Thermal.SC.GasHP.NG_Biogas</t>
  </si>
  <si>
    <t>Eff.ratio.EL.Ser.Bld.Thermal.SC.AC.Elec</t>
  </si>
  <si>
    <t>Eff.ratio.EL.Ser.Bld.Thermal.HW.Solids.Solids</t>
  </si>
  <si>
    <t>Eff.ratio.EL.Ser.Bld.Thermal.HW.LPG.LPG</t>
  </si>
  <si>
    <t>Eff.ratio.EL.Ser.Bld.Thermal.HW.Oil.Oil_LiqBio</t>
  </si>
  <si>
    <t>Eff.ratio.EL.Ser.Bld.Thermal.HW.Gas.NG_Biogas</t>
  </si>
  <si>
    <t>Eff.ratio.EL.Ser.Bld.Thermal.HW.Biomass.Biomass_Waste</t>
  </si>
  <si>
    <t>Eff.ratio.EL.Ser.Bld.Thermal.HW.DistrHeat.Steam_Distr</t>
  </si>
  <si>
    <t>Eff.ratio.EL.Ser.Bld.Thermal.HW.Elc.Elec</t>
  </si>
  <si>
    <t>Eff.ratio.EL.Ser.Bld.Thermal.HW.TotalSolar.Solar</t>
  </si>
  <si>
    <t>Eff.ratio.EL.Ser.Bld.Thermal.CA.LPG</t>
  </si>
  <si>
    <t>Eff.ratio.EL.Ser.Bld.Thermal.CA.Gas.NG_Biogas</t>
  </si>
  <si>
    <t>Eff.ratio.EL.Ser.Bld.Thermal.CA.Biomass.Biomass_Waste</t>
  </si>
  <si>
    <t>Eff.ratio.EL.Ser.Bld.Thermal.CA.Elc.Elec</t>
  </si>
  <si>
    <t>EL - CO2 emissions</t>
  </si>
  <si>
    <t>EMI.ktCO2.EL.Ser.Bld.Thermal.SH.Solids.Solids</t>
  </si>
  <si>
    <t>EMI.ktCO2.EL.Ser.Bld.Thermal.SH.LPG.LPG</t>
  </si>
  <si>
    <t>EMI.ktCO2.EL.Ser.Bld.Thermal.SH.Oil.Oil_LiqBio</t>
  </si>
  <si>
    <t>EMI.ktCO2.EL.Ser.Bld.Thermal.SH.GasHP.NG_Biogas</t>
  </si>
  <si>
    <t>EMI.ktCO2.EL.Ser.Bld.Thermal.SH.GasTH.NG_Biogas</t>
  </si>
  <si>
    <t>EMI.ktCO2.EL.Ser.Bld.Thermal.SH.Biomass.Biomass_Waste</t>
  </si>
  <si>
    <t>EMI.ktCO2.EL.Ser.Bld.Thermal.SH.Geo.Geo</t>
  </si>
  <si>
    <t>EMI.ktCO2.EL.Ser.Bld.Thermal.SH.DistrHeat.Steam_Distr</t>
  </si>
  <si>
    <t>EMI.ktCO2.EL.Ser.Bld.Thermal.SH.AdvElc.Elec</t>
  </si>
  <si>
    <t>EMI.ktCO2.EL.Ser.Bld.Thermal.SH.ConvElc.Elec</t>
  </si>
  <si>
    <t>EMI.ktCO2.EL.Ser.Bld.Thermal.SH.TotalCirculation.Elec</t>
  </si>
  <si>
    <t>EMI.ktCO2.EL.Ser.Bld.Thermal.SC.GasHP.NG_Biogas</t>
  </si>
  <si>
    <t>EMI.ktCO2.EL.Ser.Bld.Thermal.SC.AC.Elec</t>
  </si>
  <si>
    <t>EMI.ktCO2.EL.Ser.Bld.Thermal.HW.Solids.Solids</t>
  </si>
  <si>
    <t>EMI.ktCO2.EL.Ser.Bld.Thermal.HW.LPG.LPG</t>
  </si>
  <si>
    <t>EMI.ktCO2.EL.Ser.Bld.Thermal.HW.Oil.Oil_LiqBio</t>
  </si>
  <si>
    <t>EMI.ktCO2.EL.Ser.Bld.Thermal.HW.Gas.NG_Biogas</t>
  </si>
  <si>
    <t>EMI.ktCO2.EL.Ser.Bld.Thermal.HW.Biomass.Biomass_Waste</t>
  </si>
  <si>
    <t>EMI.ktCO2.EL.Ser.Bld.Thermal.HW.DistrHeat.Steam_Distr</t>
  </si>
  <si>
    <t>EMI.ktCO2.EL.Ser.Bld.Thermal.HW.Elc.Elec</t>
  </si>
  <si>
    <t>EMI.ktCO2.EL.Ser.Bld.Thermal.HW.TotalSolar.Solar</t>
  </si>
  <si>
    <t>EMI.ktCO2.EL.Ser.Bld.Thermal.CA.LPG</t>
  </si>
  <si>
    <t>EMI.ktCO2.EL.Ser.Bld.Thermal.CA.Gas.NG_Biogas</t>
  </si>
  <si>
    <t>EMI.ktCO2.EL.Ser.Bld.Thermal.CA.Biomass.Biomass_Waste</t>
  </si>
  <si>
    <t>EMI.ktCO2.EL.Ser.Bld.Thermal.CA.Elc.Elec</t>
  </si>
  <si>
    <t>EL - Final energy consumption per building</t>
  </si>
  <si>
    <t>FEC_per_building.kWh.EL.Ser.Bld.Thermal</t>
  </si>
  <si>
    <t>FEC_per_building.kWh.EL.Ser.Bld.Thermal.SH</t>
  </si>
  <si>
    <t>FEC_per_building.kWh.EL.Ser.Bld.Thermal.SH.Solids.Solids</t>
  </si>
  <si>
    <t>FEC_per_building.kWh.EL.Ser.Bld.Thermal.SH.LPG.LPG</t>
  </si>
  <si>
    <t>FEC_per_building.kWh.EL.Ser.Bld.Thermal.SH.Oil.Oil_LiqBio</t>
  </si>
  <si>
    <t>FEC_per_building.kWh.EL.Ser.Bld.Thermal.SH.GasHP.NG_Biogas</t>
  </si>
  <si>
    <t>FEC_per_building.kWh.EL.Ser.Bld.Thermal.SH.GasTH.NG_Biogas</t>
  </si>
  <si>
    <t>FEC_per_building.kWh.EL.Ser.Bld.Thermal.SH.Biomass.Biomass_Waste</t>
  </si>
  <si>
    <t>FEC_per_building.kWh.EL.Ser.Bld.Thermal.SH.Geo.Geo</t>
  </si>
  <si>
    <t>FEC_per_building.kWh.EL.Ser.Bld.Thermal.SH.DistrHeat.Steam_Distr</t>
  </si>
  <si>
    <t>FEC_per_building.kWh.EL.Ser.Bld.Thermal.SH.AdvElc.Elec</t>
  </si>
  <si>
    <t>FEC_per_building.kWh.EL.Ser.Bld.Thermal.SH.ConvElc.Elec</t>
  </si>
  <si>
    <t>FEC_per_building.kWh.EL.Ser.Bld.Thermal.SH.TotalCirculation.Elec</t>
  </si>
  <si>
    <t>FEC_per_building.kWh.EL.Ser.Bld.Thermal.SC</t>
  </si>
  <si>
    <t>FEC_per_building.kWh.EL.Ser.Bld.Thermal.SC.GasHP.NG_Biogas</t>
  </si>
  <si>
    <t>FEC_per_building.kWh.EL.Ser.Bld.Thermal.SC.AC.Elec</t>
  </si>
  <si>
    <t>FEC_per_building.kWh.EL.Ser.Bld.Thermal.HW</t>
  </si>
  <si>
    <t>FEC_per_building.kWh.EL.Ser.Bld.Thermal.HW.Solids.Solids</t>
  </si>
  <si>
    <t>FEC_per_building.kWh.EL.Ser.Bld.Thermal.HW.LPG.LPG</t>
  </si>
  <si>
    <t>FEC_per_building.kWh.EL.Ser.Bld.Thermal.HW.Oil.Oil_LiqBio</t>
  </si>
  <si>
    <t>FEC_per_building.kWh.EL.Ser.Bld.Thermal.HW.Gas.NG_Biogas</t>
  </si>
  <si>
    <t>FEC_per_building.kWh.EL.Ser.Bld.Thermal.HW.Biomass.Biomass_Waste</t>
  </si>
  <si>
    <t>FEC_per_building.kWh.EL.Ser.Bld.Thermal.HW.DistrHeat.Steam_Distr</t>
  </si>
  <si>
    <t>FEC_per_building.kWh.EL.Ser.Bld.Thermal.HW.Elc.Elec</t>
  </si>
  <si>
    <t>FEC_per_building.kWh.EL.Ser.Bld.Thermal.HW.TotalSolar.Solar</t>
  </si>
  <si>
    <t>FEC_per_building.kWh.EL.Ser.Bld.Thermal.CA</t>
  </si>
  <si>
    <t>FEC_per_building.kWh.EL.Ser.Bld.Thermal.CA.LPG</t>
  </si>
  <si>
    <t>FEC_per_building.kWh.EL.Ser.Bld.Thermal.CA.Gas.NG_Biogas</t>
  </si>
  <si>
    <t>FEC_per_building.kWh.EL.Ser.Bld.Thermal.CA.Biomass.Biomass_Waste</t>
  </si>
  <si>
    <t>FEC_per_building.kWh.EL.Ser.Bld.Thermal.CA.Elc.Elec</t>
  </si>
  <si>
    <t>EL - Thermal energy service per building</t>
  </si>
  <si>
    <t>TES_per_building.kWh.EL.Ser.Bld.Thermal</t>
  </si>
  <si>
    <t>TES_per_building.kWh.EL.Ser.Bld.Thermal.SH</t>
  </si>
  <si>
    <t>TES_per_building.kWh.EL.Ser.Bld.Thermal.SH.Solids.Solids</t>
  </si>
  <si>
    <t>TES_per_building.kWh.EL.Ser.Bld.Thermal.SH.LPG.LPG</t>
  </si>
  <si>
    <t>TES_per_building.kWh.EL.Ser.Bld.Thermal.SH.Oil.Oil_LiqBio</t>
  </si>
  <si>
    <t>TES_per_building.kWh.EL.Ser.Bld.Thermal.SH.GasHP.NG_Biogas</t>
  </si>
  <si>
    <t>TES_per_building.kWh.EL.Ser.Bld.Thermal.SH.GasTH.NG_Biogas</t>
  </si>
  <si>
    <t>TES_per_building.kWh.EL.Ser.Bld.Thermal.SH.Biomass.Biomass_Waste</t>
  </si>
  <si>
    <t>TES_per_building.kWh.EL.Ser.Bld.Thermal.SH.Geo.Geo</t>
  </si>
  <si>
    <t>TES_per_building.kWh.EL.Ser.Bld.Thermal.SH.DistrHeat.Steam_Distr</t>
  </si>
  <si>
    <t>TES_per_building.kWh.EL.Ser.Bld.Thermal.SH.AdvElc.Elec</t>
  </si>
  <si>
    <t>TES_per_building.kWh.EL.Ser.Bld.Thermal.SH.ConvElc.Elec</t>
  </si>
  <si>
    <t>TES_per_building.kWh.EL.Ser.Bld.Thermal.SH.TotalCirculation.Elec</t>
  </si>
  <si>
    <t>TES_per_building.kWh.EL.Ser.Bld.Thermal.SC</t>
  </si>
  <si>
    <t>TES_per_building.kWh.EL.Ser.Bld.Thermal.SC.GasHP.NG_Biogas</t>
  </si>
  <si>
    <t>TES_per_building.kWh.EL.Ser.Bld.Thermal.SC.AC.Elec</t>
  </si>
  <si>
    <t>TES_per_building.kWh.EL.Ser.Bld.Thermal.HW</t>
  </si>
  <si>
    <t>TES_per_building.kWh.EL.Ser.Bld.Thermal.HW.Solids.Solids</t>
  </si>
  <si>
    <t>TES_per_building.kWh.EL.Ser.Bld.Thermal.HW.LPG.LPG</t>
  </si>
  <si>
    <t>TES_per_building.kWh.EL.Ser.Bld.Thermal.HW.Oil.Oil_LiqBio</t>
  </si>
  <si>
    <t>TES_per_building.kWh.EL.Ser.Bld.Thermal.HW.Gas.NG_Biogas</t>
  </si>
  <si>
    <t>TES_per_building.kWh.EL.Ser.Bld.Thermal.HW.Biomass.Biomass_Waste</t>
  </si>
  <si>
    <t>TES_per_building.kWh.EL.Ser.Bld.Thermal.HW.DistrHeat.Steam_Distr</t>
  </si>
  <si>
    <t>TES_per_building.kWh.EL.Ser.Bld.Thermal.HW.Elc.Elec</t>
  </si>
  <si>
    <t>TES_per_building.kWh.EL.Ser.Bld.Thermal.HW.TotalSolar.Solar</t>
  </si>
  <si>
    <t>TES_per_building.kWh.EL.Ser.Bld.Thermal.CA</t>
  </si>
  <si>
    <t>TES_per_building.kWh.EL.Ser.Bld.Thermal.CA.LPG</t>
  </si>
  <si>
    <t>TES_per_building.kWh.EL.Ser.Bld.Thermal.CA.Gas.NG_Biogas</t>
  </si>
  <si>
    <t>TES_per_building.kWh.EL.Ser.Bld.Thermal.CA.Biomass.Biomass_Waste</t>
  </si>
  <si>
    <t>TES_per_building.kWh.EL.Ser.Bld.Thermal.CA.Elc.Elec</t>
  </si>
  <si>
    <t>EL - CO2 emissions per building</t>
  </si>
  <si>
    <t>EMI_per_building.kgCO2.EL.Ser.Bld.Thermal</t>
  </si>
  <si>
    <t>EMI_per_building.kgCO2.EL.Ser.Bld.Thermal.SH</t>
  </si>
  <si>
    <t>EMI_per_building.kgCO2.EL.Ser.Bld.Thermal.SH.Solids.Solids</t>
  </si>
  <si>
    <t>EMI_per_building.kgCO2.EL.Ser.Bld.Thermal.SH.LPG.LPG</t>
  </si>
  <si>
    <t>EMI_per_building.kgCO2.EL.Ser.Bld.Thermal.SH.Oil.Oil_LiqBio</t>
  </si>
  <si>
    <t>EMI_per_building.kgCO2.EL.Ser.Bld.Thermal.SH.GasHP.NG_Biogas</t>
  </si>
  <si>
    <t>EMI_per_building.kgCO2.EL.Ser.Bld.Thermal.SH.GasTH.NG_Biogas</t>
  </si>
  <si>
    <t>EMI_per_building.kgCO2.EL.Ser.Bld.Thermal.SH.Biomass.Biomass_Waste</t>
  </si>
  <si>
    <t>EMI_per_building.kgCO2.EL.Ser.Bld.Thermal.SH.Geo.Geo</t>
  </si>
  <si>
    <t>EMI_per_building.kgCO2.EL.Ser.Bld.Thermal.SH.DistrHeat.Steam_Distr</t>
  </si>
  <si>
    <t>EMI_per_building.kgCO2.EL.Ser.Bld.Thermal.SH.AdvElc.Elec</t>
  </si>
  <si>
    <t>EMI_per_building.kgCO2.EL.Ser.Bld.Thermal.SH.ConvElc.Elec</t>
  </si>
  <si>
    <t>EMI_per_building.kgCO2.EL.Ser.Bld.Thermal.SH.TotalCirculation.Elec</t>
  </si>
  <si>
    <t>EMI_per_building.kgCO2.EL.Ser.Bld.Thermal.SC</t>
  </si>
  <si>
    <t>EMI_per_building.kgCO2.EL.Ser.Bld.Thermal.SC.GasHP.NG_Biogas</t>
  </si>
  <si>
    <t>EMI_per_building.kgCO2.EL.Ser.Bld.Thermal.SC.AC.Elec</t>
  </si>
  <si>
    <t>EMI_per_building.kgCO2.EL.Ser.Bld.Thermal.HW</t>
  </si>
  <si>
    <t>EMI_per_building.kgCO2.EL.Ser.Bld.Thermal.HW.Solids.Solids</t>
  </si>
  <si>
    <t>EMI_per_building.kgCO2.EL.Ser.Bld.Thermal.HW.LPG.LPG</t>
  </si>
  <si>
    <t>EMI_per_building.kgCO2.EL.Ser.Bld.Thermal.HW.Oil.Oil_LiqBio</t>
  </si>
  <si>
    <t>EMI_per_building.kgCO2.EL.Ser.Bld.Thermal.HW.Gas.NG_Biogas</t>
  </si>
  <si>
    <t>EMI_per_building.kgCO2.EL.Ser.Bld.Thermal.HW.Biomass.Biomass_Waste</t>
  </si>
  <si>
    <t>EMI_per_building.kgCO2.EL.Ser.Bld.Thermal.HW.DistrHeat.Steam_Distr</t>
  </si>
  <si>
    <t>EMI_per_building.kgCO2.EL.Ser.Bld.Thermal.HW.Elc.Elec</t>
  </si>
  <si>
    <t>EMI_per_building.kgCO2.EL.Ser.Bld.Thermal.HW.TotalSolar.Solar</t>
  </si>
  <si>
    <t>EMI_per_building.kgCO2.EL.Ser.Bld.Thermal.CA</t>
  </si>
  <si>
    <t>EMI_per_building.kgCO2.EL.Ser.Bld.Thermal.CA.LPG</t>
  </si>
  <si>
    <t>EMI_per_building.kgCO2.EL.Ser.Bld.Thermal.CA.Gas.NG_Biogas</t>
  </si>
  <si>
    <t>EMI_per_building.kgCO2.EL.Ser.Bld.Thermal.CA.Biomass.Biomass_Waste</t>
  </si>
  <si>
    <t>EMI_per_building.kgCO2.EL.Ser.Bld.Thermal.CA.Elc.Elec</t>
  </si>
  <si>
    <t>EL - Final energy consumption per useful surface area</t>
  </si>
  <si>
    <t>FEC_per_sqm.kWh.EL.Ser.Bld.Thermal</t>
  </si>
  <si>
    <t>FEC_per_sqm.kWh.EL.Ser.Bld.Thermal.SH</t>
  </si>
  <si>
    <t>FEC_per_sqm.kWh.EL.Ser.Bld.Thermal.SH.Solids.Solids</t>
  </si>
  <si>
    <t>FEC_per_sqm.kWh.EL.Ser.Bld.Thermal.SH.LPG.LPG</t>
  </si>
  <si>
    <t>FEC_per_sqm.kWh.EL.Ser.Bld.Thermal.SH.Oil.Oil_LiqBio</t>
  </si>
  <si>
    <t>FEC_per_sqm.kWh.EL.Ser.Bld.Thermal.SH.GasHP.NG_Biogas</t>
  </si>
  <si>
    <t>FEC_per_sqm.kWh.EL.Ser.Bld.Thermal.SH.GasTH.NG_Biogas</t>
  </si>
  <si>
    <t>FEC_per_sqm.kWh.EL.Ser.Bld.Thermal.SH.Biomass.Biomass_Waste</t>
  </si>
  <si>
    <t>FEC_per_sqm.kWh.EL.Ser.Bld.Thermal.SH.Geo.Geo</t>
  </si>
  <si>
    <t>FEC_per_sqm.kWh.EL.Ser.Bld.Thermal.SH.DistrHeat.Steam_Distr</t>
  </si>
  <si>
    <t>FEC_per_sqm.kWh.EL.Ser.Bld.Thermal.SH.AdvElc.Elec</t>
  </si>
  <si>
    <t>FEC_per_sqm.kWh.EL.Ser.Bld.Thermal.SH.ConvElc.Elec</t>
  </si>
  <si>
    <t>FEC_per_sqm.kWh.EL.Ser.Bld.Thermal.SH.TotalCirculation.Elec</t>
  </si>
  <si>
    <t>FEC_per_sqm.kWh.EL.Ser.Bld.Thermal.SC</t>
  </si>
  <si>
    <t>FEC_per_sqm.kWh.EL.Ser.Bld.Thermal.SC.GasHP.NG_Biogas</t>
  </si>
  <si>
    <t>FEC_per_sqm.kWh.EL.Ser.Bld.Thermal.SC.AC.Elec</t>
  </si>
  <si>
    <t>FEC_per_sqm.kWh.EL.Ser.Bld.Thermal.HW</t>
  </si>
  <si>
    <t>FEC_per_sqm.kWh.EL.Ser.Bld.Thermal.HW.Solids.Solids</t>
  </si>
  <si>
    <t>FEC_per_sqm.kWh.EL.Ser.Bld.Thermal.HW.LPG.LPG</t>
  </si>
  <si>
    <t>FEC_per_sqm.kWh.EL.Ser.Bld.Thermal.HW.Oil.Oil_LiqBio</t>
  </si>
  <si>
    <t>FEC_per_sqm.kWh.EL.Ser.Bld.Thermal.HW.Gas.NG_Biogas</t>
  </si>
  <si>
    <t>FEC_per_sqm.kWh.EL.Ser.Bld.Thermal.HW.Biomass.Biomass_Waste</t>
  </si>
  <si>
    <t>FEC_per_sqm.kWh.EL.Ser.Bld.Thermal.HW.DistrHeat.Steam_Distr</t>
  </si>
  <si>
    <t>FEC_per_sqm.kWh.EL.Ser.Bld.Thermal.HW.Elc.Elec</t>
  </si>
  <si>
    <t>FEC_per_sqm.kWh.EL.Ser.Bld.Thermal.HW.TotalSolar.Solar</t>
  </si>
  <si>
    <t>FEC_per_sqm.kWh.EL.Ser.Bld.Thermal.CA</t>
  </si>
  <si>
    <t>FEC_per_sqm.kWh.EL.Ser.Bld.Thermal.CA.LPG</t>
  </si>
  <si>
    <t>FEC_per_sqm.kWh.EL.Ser.Bld.Thermal.CA.Gas.NG_Biogas</t>
  </si>
  <si>
    <t>FEC_per_sqm.kWh.EL.Ser.Bld.Thermal.CA.Biomass.Biomass_Waste</t>
  </si>
  <si>
    <t>FEC_per_sqm.kWh.EL.Ser.Bld.Thermal.CA.Elc.Elec</t>
  </si>
  <si>
    <t>EL - Thermal energy service per useful surface area</t>
  </si>
  <si>
    <t>TES_per_sqm.kWh.EL.Ser.Bld.Thermal</t>
  </si>
  <si>
    <t>TES_per_sqm.kWh.EL.Ser.Bld.Thermal.SH</t>
  </si>
  <si>
    <t>TES_per_sqm.kWh.EL.Ser.Bld.Thermal.SH.Solids.Solids</t>
  </si>
  <si>
    <t>TES_per_sqm.kWh.EL.Ser.Bld.Thermal.SH.LPG.LPG</t>
  </si>
  <si>
    <t>TES_per_sqm.kWh.EL.Ser.Bld.Thermal.SH.Oil.Oil_LiqBio</t>
  </si>
  <si>
    <t>TES_per_sqm.kWh.EL.Ser.Bld.Thermal.SH.GasHP.NG_Biogas</t>
  </si>
  <si>
    <t>TES_per_sqm.kWh.EL.Ser.Bld.Thermal.SH.GasTH.NG_Biogas</t>
  </si>
  <si>
    <t>TES_per_sqm.kWh.EL.Ser.Bld.Thermal.SH.Biomass.Biomass_Waste</t>
  </si>
  <si>
    <t>TES_per_sqm.kWh.EL.Ser.Bld.Thermal.SH.Geo.Geo</t>
  </si>
  <si>
    <t>TES_per_sqm.kWh.EL.Ser.Bld.Thermal.SH.DistrHeat.Steam_Distr</t>
  </si>
  <si>
    <t>TES_per_sqm.kWh.EL.Ser.Bld.Thermal.SH.AdvElc.Elec</t>
  </si>
  <si>
    <t>TES_per_sqm.kWh.EL.Ser.Bld.Thermal.SH.ConvElc.Elec</t>
  </si>
  <si>
    <t>TES_per_sqm.kWh.EL.Ser.Bld.Thermal.SH.TotalCirculation.Elec</t>
  </si>
  <si>
    <t>TES_per_sqm.kWh.EL.Ser.Bld.Thermal.SC</t>
  </si>
  <si>
    <t>TES_per_sqm.kWh.EL.Ser.Bld.Thermal.SC.GasHP.NG_Biogas</t>
  </si>
  <si>
    <t>TES_per_sqm.kWh.EL.Ser.Bld.Thermal.SC.AC.Elec</t>
  </si>
  <si>
    <t>TES_per_sqm.kWh.EL.Ser.Bld.Thermal.HW</t>
  </si>
  <si>
    <t>TES_per_sqm.kWh.EL.Ser.Bld.Thermal.HW.Solids.Solids</t>
  </si>
  <si>
    <t>TES_per_sqm.kWh.EL.Ser.Bld.Thermal.HW.LPG.LPG</t>
  </si>
  <si>
    <t>TES_per_sqm.kWh.EL.Ser.Bld.Thermal.HW.Oil.Oil_LiqBio</t>
  </si>
  <si>
    <t>TES_per_sqm.kWh.EL.Ser.Bld.Thermal.HW.Gas.NG_Biogas</t>
  </si>
  <si>
    <t>TES_per_sqm.kWh.EL.Ser.Bld.Thermal.HW.Biomass.Biomass_Waste</t>
  </si>
  <si>
    <t>TES_per_sqm.kWh.EL.Ser.Bld.Thermal.HW.DistrHeat.Steam_Distr</t>
  </si>
  <si>
    <t>TES_per_sqm.kWh.EL.Ser.Bld.Thermal.HW.Elc.Elec</t>
  </si>
  <si>
    <t>TES_per_sqm.kWh.EL.Ser.Bld.Thermal.HW.TotalSolar.Solar</t>
  </si>
  <si>
    <t>TES_per_sqm.kWh.EL.Ser.Bld.Thermal.CA</t>
  </si>
  <si>
    <t>TES_per_sqm.kWh.EL.Ser.Bld.Thermal.CA.LPG</t>
  </si>
  <si>
    <t>TES_per_sqm.kWh.EL.Ser.Bld.Thermal.CA.Gas.NG_Biogas</t>
  </si>
  <si>
    <t>TES_per_sqm.kWh.EL.Ser.Bld.Thermal.CA.Biomass.Biomass_Waste</t>
  </si>
  <si>
    <t>TES_per_sqm.kWh.EL.Ser.Bld.Thermal.CA.Elc.Elec</t>
  </si>
  <si>
    <t>EL - CO2 emissions per useful surface area</t>
  </si>
  <si>
    <t>EMI_per_sqm.kgCO2.EL.Ser.Bld.Thermal</t>
  </si>
  <si>
    <t>EMI_per_sqm.kgCO2.EL.Ser.Bld.Thermal.SH</t>
  </si>
  <si>
    <t>EMI_per_sqm.kgCO2.EL.Ser.Bld.Thermal.SH.Solids.Solids</t>
  </si>
  <si>
    <t>EMI_per_sqm.kgCO2.EL.Ser.Bld.Thermal.SH.LPG.LPG</t>
  </si>
  <si>
    <t>EMI_per_sqm.kgCO2.EL.Ser.Bld.Thermal.SH.Oil.Oil_LiqBio</t>
  </si>
  <si>
    <t>EMI_per_sqm.kgCO2.EL.Ser.Bld.Thermal.SH.GasHP.NG_Biogas</t>
  </si>
  <si>
    <t>EMI_per_sqm.kgCO2.EL.Ser.Bld.Thermal.SH.GasTH.NG_Biogas</t>
  </si>
  <si>
    <t>EMI_per_sqm.kgCO2.EL.Ser.Bld.Thermal.SH.Biomass.Biomass_Waste</t>
  </si>
  <si>
    <t>EMI_per_sqm.kgCO2.EL.Ser.Bld.Thermal.SH.Geo.Geo</t>
  </si>
  <si>
    <t>EMI_per_sqm.kgCO2.EL.Ser.Bld.Thermal.SH.DistrHeat.Steam_Distr</t>
  </si>
  <si>
    <t>EMI_per_sqm.kgCO2.EL.Ser.Bld.Thermal.SH.AdvElc.Elec</t>
  </si>
  <si>
    <t>EMI_per_sqm.kgCO2.EL.Ser.Bld.Thermal.SH.ConvElc.Elec</t>
  </si>
  <si>
    <t>EMI_per_sqm.kgCO2.EL.Ser.Bld.Thermal.SH.TotalCirculation.Elec</t>
  </si>
  <si>
    <t>EMI_per_sqm.kgCO2.EL.Ser.Bld.Thermal.SC</t>
  </si>
  <si>
    <t>EMI_per_sqm.kgCO2.EL.Ser.Bld.Thermal.SC.GasHP.NG_Biogas</t>
  </si>
  <si>
    <t>EMI_per_sqm.kgCO2.EL.Ser.Bld.Thermal.SC.AC.Elec</t>
  </si>
  <si>
    <t>EMI_per_sqm.kgCO2.EL.Ser.Bld.Thermal.HW</t>
  </si>
  <si>
    <t>EMI_per_sqm.kgCO2.EL.Ser.Bld.Thermal.HW.Solids.Solids</t>
  </si>
  <si>
    <t>EMI_per_sqm.kgCO2.EL.Ser.Bld.Thermal.HW.LPG.LPG</t>
  </si>
  <si>
    <t>EMI_per_sqm.kgCO2.EL.Ser.Bld.Thermal.HW.Oil.Oil_LiqBio</t>
  </si>
  <si>
    <t>EMI_per_sqm.kgCO2.EL.Ser.Bld.Thermal.HW.Gas.NG_Biogas</t>
  </si>
  <si>
    <t>EMI_per_sqm.kgCO2.EL.Ser.Bld.Thermal.HW.Biomass.Biomass_Waste</t>
  </si>
  <si>
    <t>EMI_per_sqm.kgCO2.EL.Ser.Bld.Thermal.HW.DistrHeat.Steam_Distr</t>
  </si>
  <si>
    <t>EMI_per_sqm.kgCO2.EL.Ser.Bld.Thermal.HW.Elc.Elec</t>
  </si>
  <si>
    <t>EMI_per_sqm.kgCO2.EL.Ser.Bld.Thermal.HW.TotalSolar.Solar</t>
  </si>
  <si>
    <t>EMI_per_sqm.kgCO2.EL.Ser.Bld.Thermal.CA</t>
  </si>
  <si>
    <t>EMI_per_sqm.kgCO2.EL.Ser.Bld.Thermal.CA.LPG</t>
  </si>
  <si>
    <t>EMI_per_sqm.kgCO2.EL.Ser.Bld.Thermal.CA.Gas.NG_Biogas</t>
  </si>
  <si>
    <t>EMI_per_sqm.kgCO2.EL.Ser.Bld.Thermal.CA.Biomass.Biomass_Waste</t>
  </si>
  <si>
    <t>EMI_per_sqm.kgCO2.EL.Ser.Bld.Thermal.CA.Elc.Elec</t>
  </si>
  <si>
    <t>EL - Number of new and renovated buildings</t>
  </si>
  <si>
    <t>NUM.number.EL.Ser.BldNew.Thermal</t>
  </si>
  <si>
    <t>NUM.number.EL.Ser.BldNew.Thermal.SH</t>
  </si>
  <si>
    <t>NUM.number.EL.Ser.BldNew.Thermal.SH.Solids</t>
  </si>
  <si>
    <t>NUM.number.EL.Ser.BldNew.Thermal.SH.LPG</t>
  </si>
  <si>
    <t>NUM.number.EL.Ser.BldNew.Thermal.SH.Oil</t>
  </si>
  <si>
    <t>NUM.number.EL.Ser.BldNew.Thermal.SH.GasHP</t>
  </si>
  <si>
    <t>NUM.number.EL.Ser.BldNew.Thermal.SH.GasTH</t>
  </si>
  <si>
    <t>NUM.number.EL.Ser.BldNew.Thermal.SH.Biomass</t>
  </si>
  <si>
    <t>NUM.number.EL.Ser.BldNew.Thermal.SH.Geo</t>
  </si>
  <si>
    <t>NUM.number.EL.Ser.BldNew.Thermal.SH.DistrHeat</t>
  </si>
  <si>
    <t>NUM.number.EL.Ser.BldNew.Thermal.SH.AdvElc</t>
  </si>
  <si>
    <t>NUM.number.EL.Ser.BldNew.Thermal.SH.ConvElc</t>
  </si>
  <si>
    <t>NUM.number.EL.Ser.BldNew.Thermal.SC</t>
  </si>
  <si>
    <t>NUM.number.EL.Ser.BldNew.Thermal.SC.GasHP</t>
  </si>
  <si>
    <t>NUM.number.EL.Ser.BldNew.Thermal.SC.AC</t>
  </si>
  <si>
    <t>NUM.number.EL.Ser.BldNew.Thermal.HW</t>
  </si>
  <si>
    <t>NUM.number.EL.Ser.BldNew.Thermal.HW.Solids</t>
  </si>
  <si>
    <t>NUM.number.EL.Ser.BldNew.Thermal.HW.LPG</t>
  </si>
  <si>
    <t>NUM.number.EL.Ser.BldNew.Thermal.HW.Oil</t>
  </si>
  <si>
    <t>NUM.number.EL.Ser.BldNew.Thermal.HW.Gas</t>
  </si>
  <si>
    <t>NUM.number.EL.Ser.BldNew.Thermal.HW.Biomass</t>
  </si>
  <si>
    <t>NUM.number.EL.Ser.BldNew.Thermal.HW.DistrHeat</t>
  </si>
  <si>
    <t>NUM.number.EL.Ser.BldNew.Thermal.HW.Elc</t>
  </si>
  <si>
    <t>NUM.number.EL.Ser.BldNew.Thermal.HW.Solar</t>
  </si>
  <si>
    <t>NUM.number.EL.Ser.BldNew.Thermal.CA</t>
  </si>
  <si>
    <t>NUM.number.EL.Ser.BldNew.Thermal.CA.LPG</t>
  </si>
  <si>
    <t>NUM.number.EL.Ser.BldNew.Thermal.CA.Gas</t>
  </si>
  <si>
    <t>NUM.number.EL.Ser.BldNew.Thermal.CA.Biomass</t>
  </si>
  <si>
    <t>NUM.number.EL.Ser.BldNew.Thermal.CA.Elc</t>
  </si>
  <si>
    <t>EL - Final energy consumption in new and renovated buildings</t>
  </si>
  <si>
    <t>FEC.ktoe.EL.Ser.BldNew.Thermal</t>
  </si>
  <si>
    <t>FEC.ktoe.EL.Ser.BldNew.Thermal.SH</t>
  </si>
  <si>
    <t>FEC.ktoe.EL.Ser.BldNew.Thermal.SH.Solids.Solids</t>
  </si>
  <si>
    <t>FEC.ktoe.EL.Ser.BldNew.Thermal.SH.LPG.LPG</t>
  </si>
  <si>
    <t>FEC.ktoe.EL.Ser.BldNew.Thermal.SH.Oil.Oil_LiqBio</t>
  </si>
  <si>
    <t>FEC.ktoe.EL.Ser.BldNew.Thermal.SH.GasHP.NG_Biogas</t>
  </si>
  <si>
    <t>FEC.ktoe.EL.Ser.BldNew.Thermal.SH.GasTH.NG_Biogas</t>
  </si>
  <si>
    <t>FEC.ktoe.EL.Ser.BldNew.Thermal.SH.Biomass.Biomass_Waste</t>
  </si>
  <si>
    <t>FEC.ktoe.EL.Ser.BldNew.Thermal.SH.Geo.Geo</t>
  </si>
  <si>
    <t>FEC.ktoe.EL.Ser.BldNew.Thermal.SH.DistrHeat.Steam_Distr</t>
  </si>
  <si>
    <t>FEC.ktoe.EL.Ser.BldNew.Thermal.SH.AdvElc.Elec</t>
  </si>
  <si>
    <t>FEC.ktoe.EL.Ser.BldNew.Thermal.SH.ConvElc.Elec</t>
  </si>
  <si>
    <t>FEC.ktoe.EL.Ser.BldNew.Thermal.SH.TotalCirculation.Elec</t>
  </si>
  <si>
    <t>FEC.ktoe.EL.Ser.BldNew.Thermal.SC</t>
  </si>
  <si>
    <t>FEC.ktoe.EL.Ser.BldNew.Thermal.SC.GasHP.NG_Biogas</t>
  </si>
  <si>
    <t>FEC.ktoe.EL.Ser.BldNew.Thermal.SC.AC.Elec</t>
  </si>
  <si>
    <t>FEC.ktoe.EL.Ser.BldNew.Thermal.HW</t>
  </si>
  <si>
    <t>FEC.ktoe.EL.Ser.BldNew.Thermal.HW.Solids.Solids</t>
  </si>
  <si>
    <t>FEC.ktoe.EL.Ser.BldNew.Thermal.HW.LPG.LPG</t>
  </si>
  <si>
    <t>FEC.ktoe.EL.Ser.BldNew.Thermal.HW.Oil.Oil_LiqBio</t>
  </si>
  <si>
    <t>FEC.ktoe.EL.Ser.BldNew.Thermal.HW.Gas.NG_Biogas</t>
  </si>
  <si>
    <t>FEC.ktoe.EL.Ser.BldNew.Thermal.HW.Biomass.Biomass_Waste</t>
  </si>
  <si>
    <t>FEC.ktoe.EL.Ser.BldNew.Thermal.HW.DistrHeat.Steam_Distr</t>
  </si>
  <si>
    <t>FEC.ktoe.EL.Ser.BldNew.Thermal.HW.Elc.Elec</t>
  </si>
  <si>
    <t>FEC.ktoe.EL.Ser.BldNew.Thermal.HW.TotalSolar.Solar</t>
  </si>
  <si>
    <t>FEC.ktoe.EL.Ser.BldNew.Thermal.CA</t>
  </si>
  <si>
    <t>FEC.ktoe.EL.Ser.BldNew.Thermal.CA.LPG</t>
  </si>
  <si>
    <t>FEC.ktoe.EL.Ser.BldNew.Thermal.CA.Gas.NG_Biogas</t>
  </si>
  <si>
    <t>FEC.ktoe.EL.Ser.BldNew.Thermal.CA.Biomass.Biomass_Waste</t>
  </si>
  <si>
    <t>FEC.ktoe.EL.Ser.BldNew.Thermal.CA.Elc.Elec</t>
  </si>
  <si>
    <t>EL - Thermal energy service in new and renovated buildings</t>
  </si>
  <si>
    <t>TES.ktoe.EL.Ser.BldNew.Thermal</t>
  </si>
  <si>
    <t>TES.ktoe.EL.Ser.BldNew.Thermal.SH</t>
  </si>
  <si>
    <t>TES.ktoe.EL.Ser.BldNew.Thermal.SH.Solids.Solids</t>
  </si>
  <si>
    <t>TES.ktoe.EL.Ser.BldNew.Thermal.SH.LPG.LPG</t>
  </si>
  <si>
    <t>TES.ktoe.EL.Ser.BldNew.Thermal.SH.Oil.Oil_LiqBio</t>
  </si>
  <si>
    <t>TES.ktoe.EL.Ser.BldNew.Thermal.SH.GasHP.NG_Biogas</t>
  </si>
  <si>
    <t>TES.ktoe.EL.Ser.BldNew.Thermal.SH.GasTH.NG_Biogas</t>
  </si>
  <si>
    <t>TES.ktoe.EL.Ser.BldNew.Thermal.SH.Biomass.Biomass_Waste</t>
  </si>
  <si>
    <t>TES.ktoe.EL.Ser.BldNew.Thermal.SH.Geo.Geo</t>
  </si>
  <si>
    <t>TES.ktoe.EL.Ser.BldNew.Thermal.SH.DistrHeat.Steam_Distr</t>
  </si>
  <si>
    <t>TES.ktoe.EL.Ser.BldNew.Thermal.SH.AdvElc.Elec</t>
  </si>
  <si>
    <t>TES.ktoe.EL.Ser.BldNew.Thermal.SH.ConvElc.Elec</t>
  </si>
  <si>
    <t>TES.ktoe.EL.Ser.BldNew.Thermal.SH.TotalCirculation.Elec</t>
  </si>
  <si>
    <t>TES.ktoe.EL.Ser.BldNew.Thermal.SC</t>
  </si>
  <si>
    <t>TES.ktoe.EL.Ser.BldNew.Thermal.SC.GasHP.NG_Biogas</t>
  </si>
  <si>
    <t>TES.ktoe.EL.Ser.BldNew.Thermal.SC.AC.Elec</t>
  </si>
  <si>
    <t>TES.ktoe.EL.Ser.BldNew.Thermal.HW</t>
  </si>
  <si>
    <t>TES.ktoe.EL.Ser.BldNew.Thermal.HW.Solids.Solids</t>
  </si>
  <si>
    <t>TES.ktoe.EL.Ser.BldNew.Thermal.HW.LPG.LPG</t>
  </si>
  <si>
    <t>TES.ktoe.EL.Ser.BldNew.Thermal.HW.Oil.Oil_LiqBio</t>
  </si>
  <si>
    <t>TES.ktoe.EL.Ser.BldNew.Thermal.HW.Gas.NG_Biogas</t>
  </si>
  <si>
    <t>TES.ktoe.EL.Ser.BldNew.Thermal.HW.Biomass.Biomass_Waste</t>
  </si>
  <si>
    <t>TES.ktoe.EL.Ser.BldNew.Thermal.HW.DistrHeat.Steam_Distr</t>
  </si>
  <si>
    <t>TES.ktoe.EL.Ser.BldNew.Thermal.HW.Elc.Elec</t>
  </si>
  <si>
    <t>TES.ktoe.EL.Ser.BldNew.Thermal.HW.TotalSolar.Solar</t>
  </si>
  <si>
    <t>TES.ktoe.EL.Ser.BldNew.Thermal.CA</t>
  </si>
  <si>
    <t>TES.ktoe.EL.Ser.BldNew.Thermal.CA.LPG</t>
  </si>
  <si>
    <t>TES.ktoe.EL.Ser.BldNew.Thermal.CA.Gas.NG_Biogas</t>
  </si>
  <si>
    <t>TES.ktoe.EL.Ser.BldNew.Thermal.CA.Biomass.Biomass_Waste</t>
  </si>
  <si>
    <t>TES.ktoe.EL.Ser.BldNew.Thermal.CA.Elc.Elec</t>
  </si>
  <si>
    <t>EL - System efficiency indicator of new and renovated buildings</t>
  </si>
  <si>
    <t>Eff.ratio.EL.Ser.BldNew.Thermal</t>
  </si>
  <si>
    <t>Eff.ratio.EL.Ser.BldNew.Thermal.SH</t>
  </si>
  <si>
    <t>Eff.ratio.EL.Ser.BldNew.Thermal.SH.Solids.Solids</t>
  </si>
  <si>
    <t>Eff.ratio.EL.Ser.BldNew.Thermal.SH.LPG.LPG</t>
  </si>
  <si>
    <t>Eff.ratio.EL.Ser.BldNew.Thermal.SH.Oil.Oil_LiqBio</t>
  </si>
  <si>
    <t>Eff.ratio.EL.Ser.BldNew.Thermal.SH.GasHP.NG_Biogas</t>
  </si>
  <si>
    <t>Eff.ratio.EL.Ser.BldNew.Thermal.SH.GasTH.NG_Biogas</t>
  </si>
  <si>
    <t>Eff.ratio.EL.Ser.BldNew.Thermal.SH.Biomass.Biomass_Waste</t>
  </si>
  <si>
    <t>Eff.ratio.EL.Ser.BldNew.Thermal.SH.Geo.Geo</t>
  </si>
  <si>
    <t>Eff.ratio.EL.Ser.BldNew.Thermal.SH.DistrHeat.Steam_Distr</t>
  </si>
  <si>
    <t>Eff.ratio.EL.Ser.BldNew.Thermal.SH.AdvElc.Elec</t>
  </si>
  <si>
    <t>Eff.ratio.EL.Ser.BldNew.Thermal.SH.ConvElc.Elec</t>
  </si>
  <si>
    <t>Eff.ratio.EL.Ser.BldNew.Thermal.SH.TotalCirculation.Elec</t>
  </si>
  <si>
    <t>Eff.ratio.EL.Ser.BldNew.Thermal.SC</t>
  </si>
  <si>
    <t>Eff.ratio.EL.Ser.BldNew.Thermal.SC.GasHP.NG_Biogas</t>
  </si>
  <si>
    <t>Eff.ratio.EL.Ser.BldNew.Thermal.SC.AC.Elec</t>
  </si>
  <si>
    <t>Eff.ratio.EL.Ser.BldNew.Thermal.HW</t>
  </si>
  <si>
    <t>Eff.ratio.EL.Ser.BldNew.Thermal.HW.Solids.Solids</t>
  </si>
  <si>
    <t>Eff.ratio.EL.Ser.BldNew.Thermal.HW.LPG.LPG</t>
  </si>
  <si>
    <t>Eff.ratio.EL.Ser.BldNew.Thermal.HW.Oil.Oil_LiqBio</t>
  </si>
  <si>
    <t>Eff.ratio.EL.Ser.BldNew.Thermal.HW.Gas.NG_Biogas</t>
  </si>
  <si>
    <t>Eff.ratio.EL.Ser.BldNew.Thermal.HW.Biomass.Biomass_Waste</t>
  </si>
  <si>
    <t>Eff.ratio.EL.Ser.BldNew.Thermal.HW.DistrHeat.Steam_Distr</t>
  </si>
  <si>
    <t>Eff.ratio.EL.Ser.BldNew.Thermal.HW.Elc.Elec</t>
  </si>
  <si>
    <t>Eff.ratio.EL.Ser.BldNew.Thermal.HW.TotalSolar.Solar</t>
  </si>
  <si>
    <t>Eff.ratio.EL.Ser.BldNew.Thermal.CA</t>
  </si>
  <si>
    <t>Eff.ratio.EL.Ser.BldNew.Thermal.CA.LPG</t>
  </si>
  <si>
    <t>Eff.ratio.EL.Ser.BldNew.Thermal.CA.Gas.NG_Biogas</t>
  </si>
  <si>
    <t>Eff.ratio.EL.Ser.BldNew.Thermal.CA.Biomass.Biomass_Waste</t>
  </si>
  <si>
    <t>Eff.ratio.EL.Ser.BldNew.Thermal.CA.Elc.Elec</t>
  </si>
  <si>
    <t>EL - CO2 emissions in new and renovated buildings</t>
  </si>
  <si>
    <t>EMI.ktCO2.EL.Ser.BldNew.Thermal</t>
  </si>
  <si>
    <t>EMI.ktCO2.EL.Ser.BldNew.Thermal.SH</t>
  </si>
  <si>
    <t>EMI.ktCO2.EL.Ser.BldNew.Thermal.SH.Solids.Solids</t>
  </si>
  <si>
    <t>EMI.ktCO2.EL.Ser.BldNew.Thermal.SH.LPG.LPG</t>
  </si>
  <si>
    <t>EMI.ktCO2.EL.Ser.BldNew.Thermal.SH.Oil.Oil_LiqBio</t>
  </si>
  <si>
    <t>EMI.ktCO2.EL.Ser.BldNew.Thermal.SH.GasHP.NG_Biogas</t>
  </si>
  <si>
    <t>EMI.ktCO2.EL.Ser.BldNew.Thermal.SH.GasTH.NG_Biogas</t>
  </si>
  <si>
    <t>EMI.ktCO2.EL.Ser.BldNew.Thermal.SH.Biomass.Biomass_Waste</t>
  </si>
  <si>
    <t>EMI.ktCO2.EL.Ser.BldNew.Thermal.SH.Geo.Geo</t>
  </si>
  <si>
    <t>EMI.ktCO2.EL.Ser.BldNew.Thermal.SH.DistrHeat.Steam_Distr</t>
  </si>
  <si>
    <t>EMI.ktCO2.EL.Ser.BldNew.Thermal.SH.AdvElc.Elec</t>
  </si>
  <si>
    <t>EMI.ktCO2.EL.Ser.BldNew.Thermal.SH.ConvElc.Elec</t>
  </si>
  <si>
    <t>EMI.ktCO2.EL.Ser.BldNew.Thermal.SH.TotalCirculation.Elec</t>
  </si>
  <si>
    <t>EMI.ktCO2.EL.Ser.BldNew.Thermal.SC</t>
  </si>
  <si>
    <t>EMI.ktCO2.EL.Ser.BldNew.Thermal.SC.GasHP.NG_Biogas</t>
  </si>
  <si>
    <t>EMI.ktCO2.EL.Ser.BldNew.Thermal.SC.AC.Elec</t>
  </si>
  <si>
    <t>EMI.ktCO2.EL.Ser.BldNew.Thermal.HW</t>
  </si>
  <si>
    <t>EMI.ktCO2.EL.Ser.BldNew.Thermal.HW.Solids.Solids</t>
  </si>
  <si>
    <t>EMI.ktCO2.EL.Ser.BldNew.Thermal.HW.LPG.LPG</t>
  </si>
  <si>
    <t>EMI.ktCO2.EL.Ser.BldNew.Thermal.HW.Oil.Oil_LiqBio</t>
  </si>
  <si>
    <t>EMI.ktCO2.EL.Ser.BldNew.Thermal.HW.Gas.NG_Biogas</t>
  </si>
  <si>
    <t>EMI.ktCO2.EL.Ser.BldNew.Thermal.HW.Biomass.Biomass_Waste</t>
  </si>
  <si>
    <t>EMI.ktCO2.EL.Ser.BldNew.Thermal.HW.DistrHeat.Steam_Distr</t>
  </si>
  <si>
    <t>EMI.ktCO2.EL.Ser.BldNew.Thermal.HW.Elc.Elec</t>
  </si>
  <si>
    <t>EMI.ktCO2.EL.Ser.BldNew.Thermal.HW.TotalSolar.Solar</t>
  </si>
  <si>
    <t>EMI.ktCO2.EL.Ser.BldNew.Thermal.CA</t>
  </si>
  <si>
    <t>EMI.ktCO2.EL.Ser.BldNew.Thermal.CA.LPG</t>
  </si>
  <si>
    <t>EMI.ktCO2.EL.Ser.BldNew.Thermal.CA.Gas.NG_Biogas</t>
  </si>
  <si>
    <t>EMI.ktCO2.EL.Ser.BldNew.Thermal.CA.Biomass.Biomass_Waste</t>
  </si>
  <si>
    <t>EMI.ktCO2.EL.Ser.BldNew.Thermal.CA.Elc.Elec</t>
  </si>
  <si>
    <t>EL - Final energy consumption of new and renovated buildings (per building)</t>
  </si>
  <si>
    <t>FEC_per_building.kWh.EL.Ser.BldNew.Thermal</t>
  </si>
  <si>
    <t>FEC_per_building.kWh.EL.Ser.BldNew.Thermal.SH</t>
  </si>
  <si>
    <t>FEC_per_building.kWh.EL.Ser.BldNew.Thermal.SH.Solids.Solids</t>
  </si>
  <si>
    <t>FEC_per_building.kWh.EL.Ser.BldNew.Thermal.SH.LPG.LPG</t>
  </si>
  <si>
    <t>FEC_per_building.kWh.EL.Ser.BldNew.Thermal.SH.Oil.Oil_LiqBio</t>
  </si>
  <si>
    <t>FEC_per_building.kWh.EL.Ser.BldNew.Thermal.SH.GasHP.NG_Biogas</t>
  </si>
  <si>
    <t>FEC_per_building.kWh.EL.Ser.BldNew.Thermal.SH.GasTH.NG_Biogas</t>
  </si>
  <si>
    <t>FEC_per_building.kWh.EL.Ser.BldNew.Thermal.SH.Biomass.Biomass_Waste</t>
  </si>
  <si>
    <t>FEC_per_building.kWh.EL.Ser.BldNew.Thermal.SH.Geo.Geo</t>
  </si>
  <si>
    <t>FEC_per_building.kWh.EL.Ser.BldNew.Thermal.SH.DistrHeat.Steam_Distr</t>
  </si>
  <si>
    <t>FEC_per_building.kWh.EL.Ser.BldNew.Thermal.SH.AdvElc.Elec</t>
  </si>
  <si>
    <t>FEC_per_building.kWh.EL.Ser.BldNew.Thermal.SH.ConvElc.Elec</t>
  </si>
  <si>
    <t>FEC_per_building.kWh.EL.Ser.BldNew.Thermal.SH.TotalCirculation.Elec</t>
  </si>
  <si>
    <t>FEC_per_building.kWh.EL.Ser.BldNew.Thermal.SC</t>
  </si>
  <si>
    <t>FEC_per_building.kWh.EL.Ser.BldNew.Thermal.SC.GasHP.NG_Biogas</t>
  </si>
  <si>
    <t>FEC_per_building.kWh.EL.Ser.BldNew.Thermal.SC.AC.Elec</t>
  </si>
  <si>
    <t>FEC_per_building.kWh.EL.Ser.BldNew.Thermal.HW</t>
  </si>
  <si>
    <t>FEC_per_building.kWh.EL.Ser.BldNew.Thermal.HW.Solids.Solids</t>
  </si>
  <si>
    <t>FEC_per_building.kWh.EL.Ser.BldNew.Thermal.HW.LPG.LPG</t>
  </si>
  <si>
    <t>FEC_per_building.kWh.EL.Ser.BldNew.Thermal.HW.Oil.Oil_LiqBio</t>
  </si>
  <si>
    <t>FEC_per_building.kWh.EL.Ser.BldNew.Thermal.HW.Gas.NG_Biogas</t>
  </si>
  <si>
    <t>FEC_per_building.kWh.EL.Ser.BldNew.Thermal.HW.Biomass.Biomass_Waste</t>
  </si>
  <si>
    <t>FEC_per_building.kWh.EL.Ser.BldNew.Thermal.HW.DistrHeat.Steam_Distr</t>
  </si>
  <si>
    <t>FEC_per_building.kWh.EL.Ser.BldNew.Thermal.HW.Elc.Elec</t>
  </si>
  <si>
    <t>FEC_per_building.kWh.EL.Ser.BldNew.Thermal.HW.TotalSolar.Solar</t>
  </si>
  <si>
    <t>FEC_per_building.kWh.EL.Ser.BldNew.Thermal.CA</t>
  </si>
  <si>
    <t>FEC_per_building.kWh.EL.Ser.BldNew.Thermal.CA.LPG</t>
  </si>
  <si>
    <t>FEC_per_building.kWh.EL.Ser.BldNew.Thermal.CA.Gas.NG_Biogas</t>
  </si>
  <si>
    <t>FEC_per_building.kWh.EL.Ser.BldNew.Thermal.CA.Biomass.Biomass_Waste</t>
  </si>
  <si>
    <t>FEC_per_building.kWh.EL.Ser.BldNew.Thermal.CA.Elc.Elec</t>
  </si>
  <si>
    <t>EL - Thermal energy service of new and renovated buildings (per building)</t>
  </si>
  <si>
    <t>TES_per_building.kWh.EL.Ser.BldNew.Thermal</t>
  </si>
  <si>
    <t>TES_per_building.kWh.EL.Ser.BldNew.Thermal.SH</t>
  </si>
  <si>
    <t>TES_per_building.kWh.EL.Ser.BldNew.Thermal.SH.Solids.Solids</t>
  </si>
  <si>
    <t>TES_per_building.kWh.EL.Ser.BldNew.Thermal.SH.LPG.LPG</t>
  </si>
  <si>
    <t>TES_per_building.kWh.EL.Ser.BldNew.Thermal.SH.Oil.Oil_LiqBio</t>
  </si>
  <si>
    <t>TES_per_building.kWh.EL.Ser.BldNew.Thermal.SH.GasHP.NG_Biogas</t>
  </si>
  <si>
    <t>TES_per_building.kWh.EL.Ser.BldNew.Thermal.SH.GasTH.NG_Biogas</t>
  </si>
  <si>
    <t>TES_per_building.kWh.EL.Ser.BldNew.Thermal.SH.Biomass.Biomass_Waste</t>
  </si>
  <si>
    <t>TES_per_building.kWh.EL.Ser.BldNew.Thermal.SH.Geo.Geo</t>
  </si>
  <si>
    <t>TES_per_building.kWh.EL.Ser.BldNew.Thermal.SH.DistrHeat.Steam_Distr</t>
  </si>
  <si>
    <t>TES_per_building.kWh.EL.Ser.BldNew.Thermal.SH.AdvElc.Elec</t>
  </si>
  <si>
    <t>TES_per_building.kWh.EL.Ser.BldNew.Thermal.SH.ConvElc.Elec</t>
  </si>
  <si>
    <t>TES_per_building.kWh.EL.Ser.BldNew.Thermal.SH.TotalCirculation.Elec</t>
  </si>
  <si>
    <t>TES_per_building.kWh.EL.Ser.BldNew.Thermal.SC</t>
  </si>
  <si>
    <t>TES_per_building.kWh.EL.Ser.BldNew.Thermal.SC.GasHP.NG_Biogas</t>
  </si>
  <si>
    <t>TES_per_building.kWh.EL.Ser.BldNew.Thermal.SC.AC.Elec</t>
  </si>
  <si>
    <t>TES_per_building.kWh.EL.Ser.BldNew.Thermal.HW</t>
  </si>
  <si>
    <t>TES_per_building.kWh.EL.Ser.BldNew.Thermal.HW.Solids.Solids</t>
  </si>
  <si>
    <t>TES_per_building.kWh.EL.Ser.BldNew.Thermal.HW.LPG.LPG</t>
  </si>
  <si>
    <t>TES_per_building.kWh.EL.Ser.BldNew.Thermal.HW.Oil.Oil_LiqBio</t>
  </si>
  <si>
    <t>TES_per_building.kWh.EL.Ser.BldNew.Thermal.HW.Gas.NG_Biogas</t>
  </si>
  <si>
    <t>TES_per_building.kWh.EL.Ser.BldNew.Thermal.HW.Biomass.Biomass_Waste</t>
  </si>
  <si>
    <t>TES_per_building.kWh.EL.Ser.BldNew.Thermal.HW.DistrHeat.Steam_Distr</t>
  </si>
  <si>
    <t>TES_per_building.kWh.EL.Ser.BldNew.Thermal.HW.Elc.Elec</t>
  </si>
  <si>
    <t>TES_per_building.kWh.EL.Ser.BldNew.Thermal.HW.TotalSolar.Solar</t>
  </si>
  <si>
    <t>TES_per_building.kWh.EL.Ser.BldNew.Thermal.CA</t>
  </si>
  <si>
    <t>TES_per_building.kWh.EL.Ser.BldNew.Thermal.CA.LPG</t>
  </si>
  <si>
    <t>TES_per_building.kWh.EL.Ser.BldNew.Thermal.CA.Gas.NG_Biogas</t>
  </si>
  <si>
    <t>TES_per_building.kWh.EL.Ser.BldNew.Thermal.CA.Biomass.Biomass_Waste</t>
  </si>
  <si>
    <t>TES_per_building.kWh.EL.Ser.BldNew.Thermal.CA.Elc.Elec</t>
  </si>
  <si>
    <t>EL - CO2 emissions in new and renovated buildings (per building)</t>
  </si>
  <si>
    <t>EMI_per_building.kgCO2.EL.Ser.BldNew.Thermal</t>
  </si>
  <si>
    <t>EMI_per_building.kgCO2.EL.Ser.BldNew.Thermal.SH</t>
  </si>
  <si>
    <t>EMI_per_building.kgCO2.EL.Ser.BldNew.Thermal.SH.Solids.Solids</t>
  </si>
  <si>
    <t>EMI_per_building.kgCO2.EL.Ser.BldNew.Thermal.SH.LPG.LPG</t>
  </si>
  <si>
    <t>EMI_per_building.kgCO2.EL.Ser.BldNew.Thermal.SH.Oil.Oil_LiqBio</t>
  </si>
  <si>
    <t>EMI_per_building.kgCO2.EL.Ser.BldNew.Thermal.SH.GasHP.NG_Biogas</t>
  </si>
  <si>
    <t>EMI_per_building.kgCO2.EL.Ser.BldNew.Thermal.SH.GasTH.NG_Biogas</t>
  </si>
  <si>
    <t>EMI_per_building.kgCO2.EL.Ser.BldNew.Thermal.SH.Biomass.Biomass_Waste</t>
  </si>
  <si>
    <t>EMI_per_building.kgCO2.EL.Ser.BldNew.Thermal.SH.Geo.Geo</t>
  </si>
  <si>
    <t>EMI_per_building.kgCO2.EL.Ser.BldNew.Thermal.SH.DistrHeat.Steam_Distr</t>
  </si>
  <si>
    <t>EMI_per_building.kgCO2.EL.Ser.BldNew.Thermal.SH.AdvElc.Elec</t>
  </si>
  <si>
    <t>EMI_per_building.kgCO2.EL.Ser.BldNew.Thermal.SH.ConvElc.Elec</t>
  </si>
  <si>
    <t>EMI_per_building.kgCO2.EL.Ser.BldNew.Thermal.SH.TotalCirculation.Elec</t>
  </si>
  <si>
    <t>EMI_per_building.kgCO2.EL.Ser.BldNew.Thermal.SC</t>
  </si>
  <si>
    <t>EMI_per_building.kgCO2.EL.Ser.BldNew.Thermal.SC.GasHP.NG_Biogas</t>
  </si>
  <si>
    <t>EMI_per_building.kgCO2.EL.Ser.BldNew.Thermal.SC.AC.Elec</t>
  </si>
  <si>
    <t>EMI_per_building.kgCO2.EL.Ser.BldNew.Thermal.HW</t>
  </si>
  <si>
    <t>EMI_per_building.kgCO2.EL.Ser.BldNew.Thermal.HW.Solids.Solids</t>
  </si>
  <si>
    <t>EMI_per_building.kgCO2.EL.Ser.BldNew.Thermal.HW.LPG.LPG</t>
  </si>
  <si>
    <t>EMI_per_building.kgCO2.EL.Ser.BldNew.Thermal.HW.Oil.Oil_LiqBio</t>
  </si>
  <si>
    <t>EMI_per_building.kgCO2.EL.Ser.BldNew.Thermal.HW.Gas.NG_Biogas</t>
  </si>
  <si>
    <t>EMI_per_building.kgCO2.EL.Ser.BldNew.Thermal.HW.Biomass.Biomass_Waste</t>
  </si>
  <si>
    <t>EMI_per_building.kgCO2.EL.Ser.BldNew.Thermal.HW.DistrHeat.Steam_Distr</t>
  </si>
  <si>
    <t>EMI_per_building.kgCO2.EL.Ser.BldNew.Thermal.HW.Elc.Elec</t>
  </si>
  <si>
    <t>EMI_per_building.kgCO2.EL.Ser.BldNew.Thermal.HW.TotalSolar.Solar</t>
  </si>
  <si>
    <t>EMI_per_building.kgCO2.EL.Ser.BldNew.Thermal.CA</t>
  </si>
  <si>
    <t>EMI_per_building.kgCO2.EL.Ser.BldNew.Thermal.CA.LPG</t>
  </si>
  <si>
    <t>EMI_per_building.kgCO2.EL.Ser.BldNew.Thermal.CA.Gas.NG_Biogas</t>
  </si>
  <si>
    <t>EMI_per_building.kgCO2.EL.Ser.BldNew.Thermal.CA.Biomass.Biomass_Waste</t>
  </si>
  <si>
    <t>EMI_per_building.kgCO2.EL.Ser.BldNew.Thermal.CA.Elc.Elec</t>
  </si>
  <si>
    <t>EL - Final energy consumption in new and renovated buildings per surface area</t>
  </si>
  <si>
    <t>FEC_per_sqm.kWh.EL.Ser.BldNew.Thermal</t>
  </si>
  <si>
    <t>FEC_per_sqm.kWh.EL.Ser.BldNew.Thermal.SH</t>
  </si>
  <si>
    <t>FEC_per_sqm.kWh.EL.Ser.BldNew.Thermal.SH.Solids.Solids</t>
  </si>
  <si>
    <t>FEC_per_sqm.kWh.EL.Ser.BldNew.Thermal.SH.LPG.LPG</t>
  </si>
  <si>
    <t>FEC_per_sqm.kWh.EL.Ser.BldNew.Thermal.SH.Oil.Oil_LiqBio</t>
  </si>
  <si>
    <t>FEC_per_sqm.kWh.EL.Ser.BldNew.Thermal.SH.GasHP.NG_Biogas</t>
  </si>
  <si>
    <t>FEC_per_sqm.kWh.EL.Ser.BldNew.Thermal.SH.GasTH.NG_Biogas</t>
  </si>
  <si>
    <t>FEC_per_sqm.kWh.EL.Ser.BldNew.Thermal.SH.Biomass.Biomass_Waste</t>
  </si>
  <si>
    <t>FEC_per_sqm.kWh.EL.Ser.BldNew.Thermal.SH.Geo.Geo</t>
  </si>
  <si>
    <t>FEC_per_sqm.kWh.EL.Ser.BldNew.Thermal.SH.DistrHeat.Steam_Distr</t>
  </si>
  <si>
    <t>FEC_per_sqm.kWh.EL.Ser.BldNew.Thermal.SH.AdvElc.Elec</t>
  </si>
  <si>
    <t>FEC_per_sqm.kWh.EL.Ser.BldNew.Thermal.SH.ConvElc.Elec</t>
  </si>
  <si>
    <t>FEC_per_sqm.kWh.EL.Ser.BldNew.Thermal.SH.TotalCirculation.Elec</t>
  </si>
  <si>
    <t>FEC_per_sqm.kWh.EL.Ser.BldNew.Thermal.SC</t>
  </si>
  <si>
    <t>FEC_per_sqm.kWh.EL.Ser.BldNew.Thermal.SC.GasHP.NG_Biogas</t>
  </si>
  <si>
    <t>FEC_per_sqm.kWh.EL.Ser.BldNew.Thermal.SC.AC.Elec</t>
  </si>
  <si>
    <t>FEC_per_sqm.kWh.EL.Ser.BldNew.Thermal.HW</t>
  </si>
  <si>
    <t>FEC_per_sqm.kWh.EL.Ser.BldNew.Thermal.HW.Solids.Solids</t>
  </si>
  <si>
    <t>FEC_per_sqm.kWh.EL.Ser.BldNew.Thermal.HW.LPG.LPG</t>
  </si>
  <si>
    <t>FEC_per_sqm.kWh.EL.Ser.BldNew.Thermal.HW.Oil.Oil_LiqBio</t>
  </si>
  <si>
    <t>FEC_per_sqm.kWh.EL.Ser.BldNew.Thermal.HW.Gas.NG_Biogas</t>
  </si>
  <si>
    <t>FEC_per_sqm.kWh.EL.Ser.BldNew.Thermal.HW.Biomass.Biomass_Waste</t>
  </si>
  <si>
    <t>FEC_per_sqm.kWh.EL.Ser.BldNew.Thermal.HW.DistrHeat.Steam_Distr</t>
  </si>
  <si>
    <t>FEC_per_sqm.kWh.EL.Ser.BldNew.Thermal.HW.Elc.Elec</t>
  </si>
  <si>
    <t>FEC_per_sqm.kWh.EL.Ser.BldNew.Thermal.HW.TotalSolar.Solar</t>
  </si>
  <si>
    <t>FEC_per_sqm.kWh.EL.Ser.BldNew.Thermal.CA</t>
  </si>
  <si>
    <t>FEC_per_sqm.kWh.EL.Ser.BldNew.Thermal.CA.LPG</t>
  </si>
  <si>
    <t>FEC_per_sqm.kWh.EL.Ser.BldNew.Thermal.CA.Gas.NG_Biogas</t>
  </si>
  <si>
    <t>FEC_per_sqm.kWh.EL.Ser.BldNew.Thermal.CA.Biomass.Biomass_Waste</t>
  </si>
  <si>
    <t>FEC_per_sqm.kWh.EL.Ser.BldNew.Thermal.CA.Elc.Elec</t>
  </si>
  <si>
    <t>EL - Thermal energy service in new and renovated buildings per surface area</t>
  </si>
  <si>
    <t>TES_per_sqm.kWh.EL.Ser.BldNew.Thermal</t>
  </si>
  <si>
    <t>TES_per_sqm.kWh.EL.Ser.BldNew.Thermal.SH</t>
  </si>
  <si>
    <t>TES_per_sqm.kWh.EL.Ser.BldNew.Thermal.SH.Solids.Solids</t>
  </si>
  <si>
    <t>TES_per_sqm.kWh.EL.Ser.BldNew.Thermal.SH.LPG.LPG</t>
  </si>
  <si>
    <t>TES_per_sqm.kWh.EL.Ser.BldNew.Thermal.SH.Oil.Oil_LiqBio</t>
  </si>
  <si>
    <t>TES_per_sqm.kWh.EL.Ser.BldNew.Thermal.SH.GasHP.NG_Biogas</t>
  </si>
  <si>
    <t>TES_per_sqm.kWh.EL.Ser.BldNew.Thermal.SH.GasTH.NG_Biogas</t>
  </si>
  <si>
    <t>TES_per_sqm.kWh.EL.Ser.BldNew.Thermal.SH.Biomass.Biomass_Waste</t>
  </si>
  <si>
    <t>TES_per_sqm.kWh.EL.Ser.BldNew.Thermal.SH.Geo.Geo</t>
  </si>
  <si>
    <t>TES_per_sqm.kWh.EL.Ser.BldNew.Thermal.SH.DistrHeat.Steam_Distr</t>
  </si>
  <si>
    <t>TES_per_sqm.kWh.EL.Ser.BldNew.Thermal.SH.AdvElc.Elec</t>
  </si>
  <si>
    <t>TES_per_sqm.kWh.EL.Ser.BldNew.Thermal.SH.ConvElc.Elec</t>
  </si>
  <si>
    <t>TES_per_sqm.kWh.EL.Ser.BldNew.Thermal.SH.TotalCirculation.Elec</t>
  </si>
  <si>
    <t>TES_per_sqm.kWh.EL.Ser.BldNew.Thermal.SC</t>
  </si>
  <si>
    <t>TES_per_sqm.kWh.EL.Ser.BldNew.Thermal.SC.GasHP.NG_Biogas</t>
  </si>
  <si>
    <t>TES_per_sqm.kWh.EL.Ser.BldNew.Thermal.SC.AC.Elec</t>
  </si>
  <si>
    <t>TES_per_sqm.kWh.EL.Ser.BldNew.Thermal.HW</t>
  </si>
  <si>
    <t>TES_per_sqm.kWh.EL.Ser.BldNew.Thermal.HW.Solids.Solids</t>
  </si>
  <si>
    <t>TES_per_sqm.kWh.EL.Ser.BldNew.Thermal.HW.LPG.LPG</t>
  </si>
  <si>
    <t>TES_per_sqm.kWh.EL.Ser.BldNew.Thermal.HW.Oil.Oil_LiqBio</t>
  </si>
  <si>
    <t>TES_per_sqm.kWh.EL.Ser.BldNew.Thermal.HW.Gas.NG_Biogas</t>
  </si>
  <si>
    <t>TES_per_sqm.kWh.EL.Ser.BldNew.Thermal.HW.Biomass.Biomass_Waste</t>
  </si>
  <si>
    <t>TES_per_sqm.kWh.EL.Ser.BldNew.Thermal.HW.DistrHeat.Steam_Distr</t>
  </si>
  <si>
    <t>TES_per_sqm.kWh.EL.Ser.BldNew.Thermal.HW.Elc.Elec</t>
  </si>
  <si>
    <t>TES_per_sqm.kWh.EL.Ser.BldNew.Thermal.HW.TotalSolar.Solar</t>
  </si>
  <si>
    <t>TES_per_sqm.kWh.EL.Ser.BldNew.Thermal.CA</t>
  </si>
  <si>
    <t>TES_per_sqm.kWh.EL.Ser.BldNew.Thermal.CA.LPG</t>
  </si>
  <si>
    <t>TES_per_sqm.kWh.EL.Ser.BldNew.Thermal.CA.Gas.NG_Biogas</t>
  </si>
  <si>
    <t>TES_per_sqm.kWh.EL.Ser.BldNew.Thermal.CA.Biomass.Biomass_Waste</t>
  </si>
  <si>
    <t>TES_per_sqm.kWh.EL.Ser.BldNew.Thermal.CA.Elc.Elec</t>
  </si>
  <si>
    <t>EL - CO2 emissions in new and renovated buildings per surface area</t>
  </si>
  <si>
    <t>EMI_per_sqm.kgCO2.EL.Ser.BldNew.Thermal</t>
  </si>
  <si>
    <t>EMI_per_sqm.kgCO2.EL.Ser.BldNew.Thermal.SH</t>
  </si>
  <si>
    <t>EMI_per_sqm.kgCO2.EL.Ser.BldNew.Thermal.SH.Solids.Solids</t>
  </si>
  <si>
    <t>EMI_per_sqm.kgCO2.EL.Ser.BldNew.Thermal.SH.LPG.LPG</t>
  </si>
  <si>
    <t>EMI_per_sqm.kgCO2.EL.Ser.BldNew.Thermal.SH.Oil.Oil_LiqBio</t>
  </si>
  <si>
    <t>EMI_per_sqm.kgCO2.EL.Ser.BldNew.Thermal.SH.GasHP.NG_Biogas</t>
  </si>
  <si>
    <t>EMI_per_sqm.kgCO2.EL.Ser.BldNew.Thermal.SH.GasTH.NG_Biogas</t>
  </si>
  <si>
    <t>EMI_per_sqm.kgCO2.EL.Ser.BldNew.Thermal.SH.Biomass.Biomass_Waste</t>
  </si>
  <si>
    <t>EMI_per_sqm.kgCO2.EL.Ser.BldNew.Thermal.SH.Geo.Geo</t>
  </si>
  <si>
    <t>EMI_per_sqm.kgCO2.EL.Ser.BldNew.Thermal.SH.DistrHeat.Steam_Distr</t>
  </si>
  <si>
    <t>EMI_per_sqm.kgCO2.EL.Ser.BldNew.Thermal.SH.AdvElc.Elec</t>
  </si>
  <si>
    <t>EMI_per_sqm.kgCO2.EL.Ser.BldNew.Thermal.SH.ConvElc.Elec</t>
  </si>
  <si>
    <t>EMI_per_sqm.kgCO2.EL.Ser.BldNew.Thermal.SH.TotalCirculation.Elec</t>
  </si>
  <si>
    <t>EMI_per_sqm.kgCO2.EL.Ser.BldNew.Thermal.SC</t>
  </si>
  <si>
    <t>EMI_per_sqm.kgCO2.EL.Ser.BldNew.Thermal.SC.GasHP.NG_Biogas</t>
  </si>
  <si>
    <t>EMI_per_sqm.kgCO2.EL.Ser.BldNew.Thermal.SC.AC.Elec</t>
  </si>
  <si>
    <t>EMI_per_sqm.kgCO2.EL.Ser.BldNew.Thermal.HW</t>
  </si>
  <si>
    <t>EMI_per_sqm.kgCO2.EL.Ser.BldNew.Thermal.HW.Solids.Solids</t>
  </si>
  <si>
    <t>EMI_per_sqm.kgCO2.EL.Ser.BldNew.Thermal.HW.LPG.LPG</t>
  </si>
  <si>
    <t>EMI_per_sqm.kgCO2.EL.Ser.BldNew.Thermal.HW.Oil.Oil_LiqBio</t>
  </si>
  <si>
    <t>EMI_per_sqm.kgCO2.EL.Ser.BldNew.Thermal.HW.Gas.NG_Biogas</t>
  </si>
  <si>
    <t>EMI_per_sqm.kgCO2.EL.Ser.BldNew.Thermal.HW.Biomass.Biomass_Waste</t>
  </si>
  <si>
    <t>EMI_per_sqm.kgCO2.EL.Ser.BldNew.Thermal.HW.DistrHeat.Steam_Distr</t>
  </si>
  <si>
    <t>EMI_per_sqm.kgCO2.EL.Ser.BldNew.Thermal.HW.Elc.Elec</t>
  </si>
  <si>
    <t>EMI_per_sqm.kgCO2.EL.Ser.BldNew.Thermal.HW.TotalSolar.Solar</t>
  </si>
  <si>
    <t>EMI_per_sqm.kgCO2.EL.Ser.BldNew.Thermal.CA</t>
  </si>
  <si>
    <t>EMI_per_sqm.kgCO2.EL.Ser.BldNew.Thermal.CA.LPG</t>
  </si>
  <si>
    <t>EMI_per_sqm.kgCO2.EL.Ser.BldNew.Thermal.CA.Gas.NG_Biogas</t>
  </si>
  <si>
    <t>EMI_per_sqm.kgCO2.EL.Ser.BldNew.Thermal.CA.Biomass.Biomass_Waste</t>
  </si>
  <si>
    <t>EMI_per_sqm.kgCO2.EL.Ser.BldNew.Thermal.CA.Elc.Elec</t>
  </si>
  <si>
    <t>FEC.ktoe.EL.Ser.SEU.VE</t>
  </si>
  <si>
    <t>FEC.ktoe.EL.Ser.SEU.SL</t>
  </si>
  <si>
    <t>FEC.ktoe.EL.Ser.SEU.BL</t>
  </si>
  <si>
    <t>FEC.ktoe.EL.Ser.SEU.CR</t>
  </si>
  <si>
    <t>FEC.ktoe.EL.Ser.SEU.BT</t>
  </si>
  <si>
    <t>FEC.ktoe.EL.Ser.SEU.IT</t>
  </si>
  <si>
    <t>Size.MW.EL.Ser.SEU</t>
  </si>
  <si>
    <t>Size.MW.EL.Ser.SEU.VE</t>
  </si>
  <si>
    <t>Size.MW.EL.Ser.SEU.SL</t>
  </si>
  <si>
    <t>Size.MW.EL.Ser.SEU.BL</t>
  </si>
  <si>
    <t>Size.MW.EL.Ser.SEU.CR</t>
  </si>
  <si>
    <t>Size.MW.EL.Ser.SEU.BT</t>
  </si>
  <si>
    <t>Size.MW.EL.Ser.SEU.IT</t>
  </si>
  <si>
    <t>NUM.Msqm.EL.Ser.SEU.VE</t>
  </si>
  <si>
    <t>NUM.k.EL.Ser.SEU.SL</t>
  </si>
  <si>
    <t>NUM.M.EL.Ser.SEU.BL</t>
  </si>
  <si>
    <t>NUM.k.EL.Ser.SEU.CR</t>
  </si>
  <si>
    <t>NUM.Msqm.EL.Ser.SEU.BT</t>
  </si>
  <si>
    <t>NUM.k.EL.Ser.SEU.IT</t>
  </si>
  <si>
    <t>NUM.Msqm.EL.Ser.SEUnew.VE</t>
  </si>
  <si>
    <t>NUM.k.EL.Ser.SEUnew.SL</t>
  </si>
  <si>
    <t>NUM.M.EL.Ser.SEUnew.BL</t>
  </si>
  <si>
    <t>NUM.k.EL.Ser.SEUnew.CR</t>
  </si>
  <si>
    <t>NUM.Msqm.EL.Ser.SEUnew.BT</t>
  </si>
  <si>
    <t>NUM.k.EL.Ser.SEUnew.IT</t>
  </si>
  <si>
    <t>NUM.Msqm.EL.Ser.SEUrepl.VE</t>
  </si>
  <si>
    <t>NUM.k.EL.Ser.SEUrepl.SL</t>
  </si>
  <si>
    <t>NUM.M.EL.Ser.SEUrepl.BL</t>
  </si>
  <si>
    <t>NUM.k.EL.Ser.SEUrepl.CR</t>
  </si>
  <si>
    <t>NUM.Msqm.EL.Ser.SEUrepl.BT</t>
  </si>
  <si>
    <t>NUM.k.EL.Ser.SEUrepl.IT</t>
  </si>
  <si>
    <t>Op.hours.EL.Ser.SEU.VE</t>
  </si>
  <si>
    <t>Op.hours.EL.Ser.SEU.SL</t>
  </si>
  <si>
    <t>Op.hours.EL.Ser.SEU.BL</t>
  </si>
  <si>
    <t>Op.hours.EL.Ser.SEU.CR</t>
  </si>
  <si>
    <t>Op.hours.EL.Ser.SEU.BT</t>
  </si>
  <si>
    <t>Op.hours.EL.Ser.SEU.IT</t>
  </si>
  <si>
    <t>Size_per_appl.W.EL.Ser.SEU.VE</t>
  </si>
  <si>
    <t>Size_per_appl.W.EL.Ser.SEU.SL</t>
  </si>
  <si>
    <t>Size_per_appl.W.EL.Ser.SEU.BL</t>
  </si>
  <si>
    <t>Size_per_appl.W.EL.Ser.SEU.CR</t>
  </si>
  <si>
    <t>Size_per_appl.W.EL.Ser.SEU.BT</t>
  </si>
  <si>
    <t>Size_per_appl.W.EL.Ser.SEU.IT</t>
  </si>
  <si>
    <t>Size_per_appl.W.EL.Ser.SEUnew.VE</t>
  </si>
  <si>
    <t>Size_per_appl.W.EL.Ser.SEUnew.SL</t>
  </si>
  <si>
    <t>Size_per_appl.W.EL.Ser.SEUnew.BL</t>
  </si>
  <si>
    <t>Size_per_appl.W.EL.Ser.SEUnew.CR</t>
  </si>
  <si>
    <t>Size_per_appl.W.EL.Ser.SEUnew.BT</t>
  </si>
  <si>
    <t>Size_per_appl.W.EL.Ser.SEUnew.IT</t>
  </si>
  <si>
    <t>NUM.sqm_per_building.EL.Ser.SEU.VE</t>
  </si>
  <si>
    <t>NUM.number_per_capita.EL.Ser.SEU.SL</t>
  </si>
  <si>
    <t>NUM.number_per_building.EL.Ser.SEU.BL</t>
  </si>
  <si>
    <t>NUM.number_per_capita.EL.Ser.SEU.CR</t>
  </si>
  <si>
    <t>NUM.sqm_per_building.EL.Ser.SEU.BT</t>
  </si>
  <si>
    <t>NUM.number_per_capita.EL.Ser.SEU.IT</t>
  </si>
  <si>
    <t>Lumens_per_sqm.lumen.EL.Ser.SEU.BL</t>
  </si>
  <si>
    <t>FEC.ktoe.EL.Ser.SEU.IT.DataCenters</t>
  </si>
  <si>
    <t>EL - Services / specific electric uses</t>
  </si>
  <si>
    <t>EL - Ventilation and others</t>
  </si>
  <si>
    <t>EL - Street lighting</t>
  </si>
  <si>
    <t>EL - Building lighting</t>
  </si>
  <si>
    <t>EL - Commercial refrigeration</t>
  </si>
  <si>
    <t>EL - Miscellaneous building technologies</t>
  </si>
  <si>
    <t>EL - ICT and multimedia</t>
  </si>
  <si>
    <t>EL - Agriculture, forestry and fishing</t>
  </si>
  <si>
    <t>VA.Meuro2015.Meuro2023.EL.AGR.AGR</t>
  </si>
  <si>
    <t>OUTPUT.index.index.EL.AGR.AGR</t>
  </si>
  <si>
    <t>CAP.index.index.EL.AGR.AGR</t>
  </si>
  <si>
    <t>NEWCAP.index.index.EL.AGR.AGR</t>
  </si>
  <si>
    <t>CAPOUT.index.EL.AGR.AGR</t>
  </si>
  <si>
    <t>CAPIDLE.index.EL.AGR.AGR</t>
  </si>
  <si>
    <t>FEC.ktoe.EL.ES.AGR</t>
  </si>
  <si>
    <t>FEC.ktoe.EL.ES.AGR.Solids</t>
  </si>
  <si>
    <t>FEC.ktoe.EL.ES.AGR.LPG</t>
  </si>
  <si>
    <t>FEC.ktoe.EL.ES.AGR.Diesel</t>
  </si>
  <si>
    <t>FEC.ktoe.EL.ES.AGR.RFO</t>
  </si>
  <si>
    <t>FEC.ktoe.EL.ES.AGR.NG</t>
  </si>
  <si>
    <t>FEC.ktoe.EL.ES.AGR.Biomass_Waste</t>
  </si>
  <si>
    <t>FEC.ktoe.EL.ES.AGR.Biogas</t>
  </si>
  <si>
    <t>FEC.ktoe.EL.ES.AGR.LiqBio</t>
  </si>
  <si>
    <t>FEC.ktoe.EL.ES.AGR.Solar</t>
  </si>
  <si>
    <t>FEC.ktoe.EL.ES.AGR.Geo</t>
  </si>
  <si>
    <t>FEC.ktoe.EL.ES.AGR.Ambient</t>
  </si>
  <si>
    <t>FEC.ktoe.EL.ES.AGR.Steam_Distr</t>
  </si>
  <si>
    <t>FEC.ktoe.EL.ES.AGR.Elec</t>
  </si>
  <si>
    <t>EL - Agriculture, forestry and fishing / final energy consumption</t>
  </si>
  <si>
    <t>FEC.ktoe.ktoe.EL.AGR.AGR.LIGHT.GENERIC.ELEC</t>
  </si>
  <si>
    <t>FEC.ktoe.ktoe.EL.AGR.AGR.FANS.GENERIC.ELEC</t>
  </si>
  <si>
    <t>FEC.ktoe.ktoe.EL.AGR.AGR.MOTOR.GENERIC.ELEC</t>
  </si>
  <si>
    <t>FEC.ktoe.ktoe.EL.AGR.AGR.LOW_ENTH.THERM.DIESEL_LIQBIO</t>
  </si>
  <si>
    <t>FEC.ktoe.ktoe.EL.AGR.AGR.LOW_ENTH.THERM.NG_BIOGAS</t>
  </si>
  <si>
    <t>FEC.ktoe.ktoe.EL.AGR.AGR.LOW_ENTH.THERM.SOLAR_GEO</t>
  </si>
  <si>
    <t>FEC.ktoe.ktoe.EL.AGR.AGR.LOW_ENTH.HP.AMBIENT</t>
  </si>
  <si>
    <t>FEC.ktoe.ktoe.EL.AGR.AGR.LOW_ENTH.THERM.STEAM_DISTR</t>
  </si>
  <si>
    <t>FEC.ktoe.ktoe.EL.AGR.AGR.LOW_ENTH.THERM.ELEC</t>
  </si>
  <si>
    <t>FEC.ktoe.ktoe.EL.AGR.AGR.FARM_DRIVES.MECH.DIESEL_LIQBIO</t>
  </si>
  <si>
    <t>FEC.ktoe.ktoe.EL.AGR.AGR.HEAT_USE.THERM.SOLIDS</t>
  </si>
  <si>
    <t>FEC.ktoe.ktoe.EL.AGR.AGR.HEAT_USE.THERM.LPG</t>
  </si>
  <si>
    <t>FEC.ktoe.ktoe.EL.AGR.AGR.HEAT_USE.THERM.DIESEL_LIQBIO</t>
  </si>
  <si>
    <t>FEC.ktoe.ktoe.EL.AGR.AGR.HEAT_USE.THERM.RFO</t>
  </si>
  <si>
    <t>FEC.ktoe.ktoe.EL.AGR.AGR.HEAT_USE.THERM.NG_BIOGAS</t>
  </si>
  <si>
    <t>FEC.ktoe.ktoe.EL.AGR.AGR.HEAT_USE.THERM.BIOMASS_WASTE</t>
  </si>
  <si>
    <t>FEC.ktoe.ktoe.EL.AGR.AGR.HEAT_USE.THERM.SOLAR_GEO</t>
  </si>
  <si>
    <t>FEC.ktoe.ktoe.EL.AGR.AGR.FARM_PUMP.MECH.DIESEL_LIQBIO</t>
  </si>
  <si>
    <t>FEC.ktoe.ktoe.EL.AGR.AGR.FARM_PUMP_ELEC.MECH.ELEC</t>
  </si>
  <si>
    <t>FEC.ktoe.ktoe.EL.AGR.AGR.GENERIC.MECH.ELEC</t>
  </si>
  <si>
    <t>EL - Agriculture, forestry and fishing / useful energy demand</t>
  </si>
  <si>
    <t>UED.ktoe.ktoe.EL.AGR.AGR.LIGHT.GENERIC.ELEC</t>
  </si>
  <si>
    <t>UED.ktoe.ktoe.EL.AGR.AGR.FANS.GENERIC.ELEC</t>
  </si>
  <si>
    <t>UED.ktoe.ktoe.EL.AGR.AGR.MOTOR.GENERIC.ELEC</t>
  </si>
  <si>
    <t>UED.ktoe.ktoe.EL.AGR.AGR.LOW_ENTH.THERM.DIESEL_LIQBIO</t>
  </si>
  <si>
    <t>UED.ktoe.ktoe.EL.AGR.AGR.LOW_ENTH.THERM.NG_BIOGAS</t>
  </si>
  <si>
    <t>UED.ktoe.ktoe.EL.AGR.AGR.LOW_ENTH.THERM.SOLAR_GEO</t>
  </si>
  <si>
    <t>UED.ktoe.ktoe.EL.AGR.AGR.LOW_ENTH.HP.AMBIENT</t>
  </si>
  <si>
    <t>UED.ktoe.ktoe.EL.AGR.AGR.LOW_ENTH.THERM.STEAM_DISTR</t>
  </si>
  <si>
    <t>UED.ktoe.ktoe.EL.AGR.AGR.LOW_ENTH.THERM.ELEC</t>
  </si>
  <si>
    <t>UED.ktoe.ktoe.EL.AGR.AGR.FARM_DRIVES.MECH.DIESEL_LIQBIO</t>
  </si>
  <si>
    <t>UED.ktoe.ktoe.EL.AGR.AGR.HEAT_USE.THERM.SOLIDS</t>
  </si>
  <si>
    <t>UED.ktoe.ktoe.EL.AGR.AGR.HEAT_USE.THERM.LPG</t>
  </si>
  <si>
    <t>UED.ktoe.ktoe.EL.AGR.AGR.HEAT_USE.THERM.DIESEL_LIQBIO</t>
  </si>
  <si>
    <t>UED.ktoe.ktoe.EL.AGR.AGR.HEAT_USE.THERM.RFO</t>
  </si>
  <si>
    <t>UED.ktoe.ktoe.EL.AGR.AGR.HEAT_USE.THERM.NG_BIOGAS</t>
  </si>
  <si>
    <t>UED.ktoe.ktoe.EL.AGR.AGR.HEAT_USE.THERM.BIOMASS_WASTE</t>
  </si>
  <si>
    <t>UED.ktoe.ktoe.EL.AGR.AGR.HEAT_USE.THERM.SOLAR_GEO</t>
  </si>
  <si>
    <t>UED.ktoe.ktoe.EL.AGR.AGR.FARM_PUMP.MECH.DIESEL_LIQBIO</t>
  </si>
  <si>
    <t>UED.ktoe.ktoe.EL.AGR.AGR.FARM_PUMP_ELEC.MECH.ELEC</t>
  </si>
  <si>
    <t>UED.ktoe.ktoe.EL.AGR.AGR.GENERIC.MECH.ELEC</t>
  </si>
  <si>
    <t>EL - Agriculture, forestry and fishing / CO2 emissions</t>
  </si>
  <si>
    <t>FUEL_EMI.ktCO2.ktCO2.EL.AGR.AGR.LIGHT.GENERIC.ELEC</t>
  </si>
  <si>
    <t>FUEL_EMI.ktCO2.ktCO2.EL.AGR.AGR.FANS.GENERIC.ELEC</t>
  </si>
  <si>
    <t>FUEL_EMI.ktCO2.ktCO2.EL.AGR.AGR.MOTOR.GENERIC.ELEC</t>
  </si>
  <si>
    <t>FUEL_EMI.ktCO2.ktCO2.EL.AGR.AGR.LOW_ENTH.THERM.DIESEL_LIQBIO</t>
  </si>
  <si>
    <t>FUEL_EMI.ktCO2.ktCO2.EL.AGR.AGR.LOW_ENTH.THERM.NG_BIOGAS</t>
  </si>
  <si>
    <t>FUEL_EMI.ktCO2.ktCO2.EL.AGR.AGR.LOW_ENTH.THERM.SOLAR_GEO</t>
  </si>
  <si>
    <t>FUEL_EMI.ktCO2.ktCO2.EL.AGR.AGR.LOW_ENTH.HP.AMBIENT</t>
  </si>
  <si>
    <t>FUEL_EMI.ktCO2.ktCO2.EL.AGR.AGR.LOW_ENTH.THERM.STEAM_DISTR</t>
  </si>
  <si>
    <t>FUEL_EMI.ktCO2.ktCO2.EL.AGR.AGR.LOW_ENTH.THERM.ELEC</t>
  </si>
  <si>
    <t>FUEL_EMI.ktCO2.ktCO2.EL.AGR.AGR.FARM_DRIVES.MECH.DIESEL_LIQBIO</t>
  </si>
  <si>
    <t>FUEL_EMI.ktCO2.ktCO2.EL.AGR.AGR.HEAT_USE.THERM.SOLIDS</t>
  </si>
  <si>
    <t>FUEL_EMI.ktCO2.ktCO2.EL.AGR.AGR.HEAT_USE.THERM.LPG</t>
  </si>
  <si>
    <t>FUEL_EMI.ktCO2.ktCO2.EL.AGR.AGR.HEAT_USE.THERM.DIESEL_LIQBIO</t>
  </si>
  <si>
    <t>FUEL_EMI.ktCO2.ktCO2.EL.AGR.AGR.HEAT_USE.THERM.RFO</t>
  </si>
  <si>
    <t>FUEL_EMI.ktCO2.ktCO2.EL.AGR.AGR.HEAT_USE.THERM.NG_BIOGAS</t>
  </si>
  <si>
    <t>FUEL_EMI.ktCO2.ktCO2.EL.AGR.AGR.HEAT_USE.THERM.BIOMASS_WASTE</t>
  </si>
  <si>
    <t>FUEL_EMI.ktCO2.ktCO2.EL.AGR.AGR.HEAT_USE.THERM.SOLAR_GEO</t>
  </si>
  <si>
    <t>FUEL_EMI.ktCO2.ktCO2.EL.AGR.AGR.FARM_PUMP.MECH.DIESEL_LIQBIO</t>
  </si>
  <si>
    <t>FUEL_EMI.ktCO2.ktCO2.EL.AGR.AGR.FARM_PUMP_ELEC.MECH.ELEC</t>
  </si>
  <si>
    <t>FUEL_EMI.ktCO2.ktCO2.EL.AGR.AGR.GENERIC.MECH.ELEC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</si>
</sst>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45967.474236111113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10775627</v>
      </c>
      <c r="C3" s="34">
        <v>10835989</v>
      </c>
      <c r="D3" s="34">
        <v>10888274</v>
      </c>
      <c r="E3" s="34">
        <v>10915770</v>
      </c>
      <c r="F3" s="34">
        <v>10940369</v>
      </c>
      <c r="G3" s="34">
        <v>10969912</v>
      </c>
      <c r="H3" s="34">
        <v>11004716</v>
      </c>
      <c r="I3" s="34">
        <v>11036008</v>
      </c>
      <c r="J3" s="34">
        <v>11060937</v>
      </c>
      <c r="K3" s="34">
        <v>11094745</v>
      </c>
      <c r="L3" s="34">
        <v>11119289</v>
      </c>
      <c r="M3" s="34">
        <v>11123392</v>
      </c>
      <c r="N3" s="34">
        <v>11086406</v>
      </c>
      <c r="O3" s="34">
        <v>11003615</v>
      </c>
      <c r="P3" s="34">
        <v>10926807</v>
      </c>
      <c r="Q3" s="34">
        <v>10858018</v>
      </c>
      <c r="R3" s="34">
        <v>10783748</v>
      </c>
      <c r="S3" s="34">
        <v>10768193</v>
      </c>
      <c r="T3" s="34">
        <v>10741165</v>
      </c>
      <c r="U3" s="34">
        <v>10724599</v>
      </c>
      <c r="V3" s="34">
        <v>10718565</v>
      </c>
      <c r="W3" s="34">
        <v>10678632</v>
      </c>
      <c r="X3" s="34">
        <v>10461627</v>
      </c>
      <c r="Y3" s="34">
        <v>10413982</v>
      </c>
      <c r="DA3" s="88" t="s">
        <v>188</v>
      </c>
    </row>
    <row r="4" spans="1:105" ht="12" customHeight="1" x14ac:dyDescent="0.25">
      <c r="A4" s="35" t="s">
        <v>178</v>
      </c>
      <c r="B4" s="36">
        <v>199163.40682882149</v>
      </c>
      <c r="C4" s="36">
        <v>208424.84951401944</v>
      </c>
      <c r="D4" s="36">
        <v>218184.05426281621</v>
      </c>
      <c r="E4" s="36">
        <v>230834.18512898331</v>
      </c>
      <c r="F4" s="36">
        <v>243246.44237876075</v>
      </c>
      <c r="G4" s="36">
        <v>246126.49355879409</v>
      </c>
      <c r="H4" s="36">
        <v>261983.66303610825</v>
      </c>
      <c r="I4" s="36">
        <v>271172.63363285188</v>
      </c>
      <c r="J4" s="36">
        <v>271328.77168442647</v>
      </c>
      <c r="K4" s="36">
        <v>260152.31970834316</v>
      </c>
      <c r="L4" s="36">
        <v>245338.09463780298</v>
      </c>
      <c r="M4" s="36">
        <v>221106.6969923086</v>
      </c>
      <c r="N4" s="36">
        <v>202686.54976867407</v>
      </c>
      <c r="O4" s="36">
        <v>198080.65303504994</v>
      </c>
      <c r="P4" s="36">
        <v>199650.56912403295</v>
      </c>
      <c r="Q4" s="36">
        <v>199194.71811000002</v>
      </c>
      <c r="R4" s="36">
        <v>199131.45450708471</v>
      </c>
      <c r="S4" s="36">
        <v>202064.16229578893</v>
      </c>
      <c r="T4" s="36">
        <v>206235.86247348689</v>
      </c>
      <c r="U4" s="36">
        <v>210933.72082389044</v>
      </c>
      <c r="V4" s="36">
        <v>191535.86293139023</v>
      </c>
      <c r="W4" s="36">
        <v>208112.0158621443</v>
      </c>
      <c r="X4" s="36">
        <v>220065.41871801805</v>
      </c>
      <c r="Y4" s="36">
        <v>225196.9</v>
      </c>
      <c r="DA4" s="89" t="s">
        <v>189</v>
      </c>
    </row>
    <row r="5" spans="1:105" ht="12" customHeight="1" x14ac:dyDescent="0.25">
      <c r="A5" s="35" t="s">
        <v>179</v>
      </c>
      <c r="B5" s="36">
        <v>128455.71927515816</v>
      </c>
      <c r="C5" s="36">
        <v>132587.73202534081</v>
      </c>
      <c r="D5" s="36">
        <v>139509.2155363627</v>
      </c>
      <c r="E5" s="36">
        <v>144846.11496603154</v>
      </c>
      <c r="F5" s="36">
        <v>155984.87309076739</v>
      </c>
      <c r="G5" s="36">
        <v>162387.35771686662</v>
      </c>
      <c r="H5" s="36">
        <v>167753.03843304983</v>
      </c>
      <c r="I5" s="36">
        <v>177162.36261320967</v>
      </c>
      <c r="J5" s="36">
        <v>183869.35927739111</v>
      </c>
      <c r="K5" s="36">
        <v>180051.44826149708</v>
      </c>
      <c r="L5" s="36">
        <v>171626.56755783071</v>
      </c>
      <c r="M5" s="36">
        <v>157399.89051903549</v>
      </c>
      <c r="N5" s="36">
        <v>145064.12983075902</v>
      </c>
      <c r="O5" s="36">
        <v>142732.94175051191</v>
      </c>
      <c r="P5" s="36">
        <v>144120.45395735567</v>
      </c>
      <c r="Q5" s="36">
        <v>142847.908643</v>
      </c>
      <c r="R5" s="36">
        <v>142935.3492587895</v>
      </c>
      <c r="S5" s="36">
        <v>146838.59735595295</v>
      </c>
      <c r="T5" s="36">
        <v>149210.27544605362</v>
      </c>
      <c r="U5" s="36">
        <v>152229.61867463487</v>
      </c>
      <c r="V5" s="36">
        <v>136351.61729466554</v>
      </c>
      <c r="W5" s="36">
        <v>146709.244104568</v>
      </c>
      <c r="X5" s="36">
        <v>149807.87289410614</v>
      </c>
      <c r="Y5" s="36">
        <v>157024.50000000006</v>
      </c>
      <c r="DA5" s="89" t="s">
        <v>190</v>
      </c>
    </row>
    <row r="6" spans="1:105" ht="12" customHeight="1" x14ac:dyDescent="0.25">
      <c r="A6" s="37" t="s">
        <v>70</v>
      </c>
      <c r="B6" s="38">
        <v>2898200</v>
      </c>
      <c r="C6" s="38">
        <v>2936600</v>
      </c>
      <c r="D6" s="38">
        <v>3045799.9999999995</v>
      </c>
      <c r="E6" s="38">
        <v>3100700.0000000005</v>
      </c>
      <c r="F6" s="38">
        <v>3282899.9999999995</v>
      </c>
      <c r="G6" s="38">
        <v>3293900</v>
      </c>
      <c r="H6" s="38">
        <v>3389400</v>
      </c>
      <c r="I6" s="38">
        <v>3443100</v>
      </c>
      <c r="J6" s="38">
        <v>3501000</v>
      </c>
      <c r="K6" s="38">
        <v>3488700</v>
      </c>
      <c r="L6" s="38">
        <v>3452300</v>
      </c>
      <c r="M6" s="38">
        <v>3327600</v>
      </c>
      <c r="N6" s="38">
        <v>3212799.9999999995</v>
      </c>
      <c r="O6" s="38">
        <v>3205700.0000000005</v>
      </c>
      <c r="P6" s="38">
        <v>3346300</v>
      </c>
      <c r="Q6" s="38">
        <v>3265700</v>
      </c>
      <c r="R6" s="38">
        <v>3408299.9999999995</v>
      </c>
      <c r="S6" s="38">
        <v>3391799.9999999995</v>
      </c>
      <c r="T6" s="38">
        <v>3568500</v>
      </c>
      <c r="U6" s="38">
        <v>3676900</v>
      </c>
      <c r="V6" s="38">
        <v>3573200.0000000005</v>
      </c>
      <c r="W6" s="38">
        <v>3769800</v>
      </c>
      <c r="X6" s="38">
        <v>3868600</v>
      </c>
      <c r="Y6" s="38">
        <v>3903699.9999999995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82321.292858613655</v>
      </c>
      <c r="C8" s="34">
        <v>86015.530460422669</v>
      </c>
      <c r="D8" s="34">
        <v>88952.606363310508</v>
      </c>
      <c r="E8" s="34">
        <v>92851.505280293233</v>
      </c>
      <c r="F8" s="34">
        <v>96722.10527202829</v>
      </c>
      <c r="G8" s="34">
        <v>99509.755638579285</v>
      </c>
      <c r="H8" s="34">
        <v>103730.98493346918</v>
      </c>
      <c r="I8" s="34">
        <v>106882.92747508296</v>
      </c>
      <c r="J8" s="34">
        <v>108864.02368563315</v>
      </c>
      <c r="K8" s="34">
        <v>108761.6670957731</v>
      </c>
      <c r="L8" s="34">
        <v>105130.92497909949</v>
      </c>
      <c r="M8" s="34">
        <v>102677.37263257112</v>
      </c>
      <c r="N8" s="34">
        <v>102840.33847654237</v>
      </c>
      <c r="O8" s="34">
        <v>102666.82105583439</v>
      </c>
      <c r="P8" s="34">
        <v>102791.10060854636</v>
      </c>
      <c r="Q8" s="34">
        <v>103111.49547920613</v>
      </c>
      <c r="R8" s="34">
        <v>103152.33338138016</v>
      </c>
      <c r="S8" s="34">
        <v>103841.75142150729</v>
      </c>
      <c r="T8" s="34">
        <v>104565.82746295446</v>
      </c>
      <c r="U8" s="34">
        <v>105402.97498439379</v>
      </c>
      <c r="V8" s="34">
        <v>106208.75666666665</v>
      </c>
      <c r="W8" s="34">
        <v>106957.0116497108</v>
      </c>
      <c r="X8" s="34">
        <v>107591.44049954168</v>
      </c>
      <c r="Y8" s="34">
        <v>108092.99550616049</v>
      </c>
      <c r="DA8" s="88" t="s">
        <v>192</v>
      </c>
    </row>
    <row r="9" spans="1:105" ht="12" customHeight="1" x14ac:dyDescent="0.25">
      <c r="A9" s="39" t="s">
        <v>68</v>
      </c>
      <c r="B9" s="40">
        <v>74089.163572752295</v>
      </c>
      <c r="C9" s="40">
        <v>77413.977414380395</v>
      </c>
      <c r="D9" s="40">
        <v>80057.34572697946</v>
      </c>
      <c r="E9" s="40">
        <v>83566.354752263913</v>
      </c>
      <c r="F9" s="40">
        <v>87049.894744825462</v>
      </c>
      <c r="G9" s="40">
        <v>89558.780074721348</v>
      </c>
      <c r="H9" s="40">
        <v>93357.886440122267</v>
      </c>
      <c r="I9" s="40">
        <v>96194.634727574667</v>
      </c>
      <c r="J9" s="40">
        <v>97977.621317069832</v>
      </c>
      <c r="K9" s="40">
        <v>97885.500386195781</v>
      </c>
      <c r="L9" s="40">
        <v>94617.832481189544</v>
      </c>
      <c r="M9" s="40">
        <v>92409.635369314012</v>
      </c>
      <c r="N9" s="40">
        <v>92556.304628888131</v>
      </c>
      <c r="O9" s="40">
        <v>92400.138950250956</v>
      </c>
      <c r="P9" s="40">
        <v>92511.990547691719</v>
      </c>
      <c r="Q9" s="40">
        <v>92800.345931285512</v>
      </c>
      <c r="R9" s="40">
        <v>92837.100043242142</v>
      </c>
      <c r="S9" s="40">
        <v>93457.576279356552</v>
      </c>
      <c r="T9" s="40">
        <v>94109.244716659014</v>
      </c>
      <c r="U9" s="40">
        <v>94862.677485954409</v>
      </c>
      <c r="V9" s="40">
        <v>95587.880999999994</v>
      </c>
      <c r="W9" s="40">
        <v>96261.310484739719</v>
      </c>
      <c r="X9" s="40">
        <v>96832.29644958752</v>
      </c>
      <c r="Y9" s="40">
        <v>97283.695955544448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4023.6967024973296</v>
      </c>
      <c r="D10" s="41">
        <v>3281.1194586577076</v>
      </c>
      <c r="E10" s="41">
        <v>4254.5352447404821</v>
      </c>
      <c r="F10" s="41">
        <v>4241.9426557344887</v>
      </c>
      <c r="G10" s="41">
        <v>3174.6993667920738</v>
      </c>
      <c r="H10" s="41">
        <v>4619.1231463454715</v>
      </c>
      <c r="I10" s="41">
        <v>3567.0385708578465</v>
      </c>
      <c r="J10" s="41">
        <v>2408.5329325555672</v>
      </c>
      <c r="K10" s="41">
        <v>435.28989012621861</v>
      </c>
      <c r="L10" s="41">
        <v>434.91592973951208</v>
      </c>
      <c r="M10" s="41">
        <v>420.70543504467008</v>
      </c>
      <c r="N10" s="41">
        <v>573.57434857483224</v>
      </c>
      <c r="O10" s="41">
        <v>411.35642537701074</v>
      </c>
      <c r="P10" s="41">
        <v>534.88805731556488</v>
      </c>
      <c r="Q10" s="41">
        <v>731.37733565008079</v>
      </c>
      <c r="R10" s="41">
        <v>569.61480206735928</v>
      </c>
      <c r="S10" s="41">
        <v>1218.4043651598679</v>
      </c>
      <c r="T10" s="41">
        <v>1256.5978436087375</v>
      </c>
      <c r="U10" s="41">
        <v>1373.382534069862</v>
      </c>
      <c r="V10" s="41">
        <v>1346.3097591159101</v>
      </c>
      <c r="W10" s="41">
        <v>1292.9152736423948</v>
      </c>
      <c r="X10" s="41">
        <v>1182.926345470501</v>
      </c>
      <c r="Y10" s="41">
        <v>1053.305983539497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3621.3270322475964</v>
      </c>
      <c r="D11" s="42">
        <v>2953.0075127919367</v>
      </c>
      <c r="E11" s="42">
        <v>3829.0817202664339</v>
      </c>
      <c r="F11" s="42">
        <v>3817.7483901610399</v>
      </c>
      <c r="G11" s="42">
        <v>2857.2294301128668</v>
      </c>
      <c r="H11" s="42">
        <v>4157.210831710925</v>
      </c>
      <c r="I11" s="42">
        <v>3210.3347137720621</v>
      </c>
      <c r="J11" s="42">
        <v>2167.6796393000104</v>
      </c>
      <c r="K11" s="42">
        <v>391.76090111359673</v>
      </c>
      <c r="L11" s="42">
        <v>391.42433676556089</v>
      </c>
      <c r="M11" s="42">
        <v>378.63489154020306</v>
      </c>
      <c r="N11" s="42">
        <v>516.21691371734903</v>
      </c>
      <c r="O11" s="42">
        <v>370.22078283930966</v>
      </c>
      <c r="P11" s="42">
        <v>481.39925158400837</v>
      </c>
      <c r="Q11" s="42">
        <v>658.23960208507276</v>
      </c>
      <c r="R11" s="42">
        <v>512.65332186062335</v>
      </c>
      <c r="S11" s="42">
        <v>1096.5639286438811</v>
      </c>
      <c r="T11" s="42">
        <v>1130.9380592478637</v>
      </c>
      <c r="U11" s="42">
        <v>1236.0442806628757</v>
      </c>
      <c r="V11" s="42">
        <v>1211.6787832043192</v>
      </c>
      <c r="W11" s="42">
        <v>1163.6237462781553</v>
      </c>
      <c r="X11" s="42">
        <v>1064.633710923451</v>
      </c>
      <c r="Y11" s="42">
        <v>947.97538518554722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1661.02</v>
      </c>
      <c r="C13" s="43">
        <v>1593.33</v>
      </c>
      <c r="D13" s="43">
        <v>1549.11</v>
      </c>
      <c r="E13" s="43">
        <v>1747.33</v>
      </c>
      <c r="F13" s="43">
        <v>1594.93</v>
      </c>
      <c r="G13" s="43">
        <v>1691.44</v>
      </c>
      <c r="H13" s="43">
        <v>1749.23</v>
      </c>
      <c r="I13" s="43">
        <v>1546.7</v>
      </c>
      <c r="J13" s="43">
        <v>1498.82</v>
      </c>
      <c r="K13" s="43">
        <v>1496.91</v>
      </c>
      <c r="L13" s="43">
        <v>1390.85</v>
      </c>
      <c r="M13" s="43">
        <v>1796.64</v>
      </c>
      <c r="N13" s="43">
        <v>1654.99</v>
      </c>
      <c r="O13" s="43">
        <v>1439.27</v>
      </c>
      <c r="P13" s="43">
        <v>1397.47</v>
      </c>
      <c r="Q13" s="43">
        <v>1572.95</v>
      </c>
      <c r="R13" s="43">
        <v>1458.36</v>
      </c>
      <c r="S13" s="43">
        <v>1612.13</v>
      </c>
      <c r="T13" s="43">
        <v>1371.74</v>
      </c>
      <c r="U13" s="43">
        <v>1448.99</v>
      </c>
      <c r="V13" s="43">
        <v>1491.43</v>
      </c>
      <c r="W13" s="43">
        <v>1535.61</v>
      </c>
      <c r="X13" s="43">
        <v>1537.55</v>
      </c>
      <c r="Y13" s="43">
        <v>1375.8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1560.1733333333336</v>
      </c>
      <c r="C14" s="44">
        <f t="shared" ref="C14:Y14" si="0">AVERAGE($B$13:$V$13)</f>
        <v>1560.1733333333336</v>
      </c>
      <c r="D14" s="44">
        <f t="shared" si="0"/>
        <v>1560.1733333333336</v>
      </c>
      <c r="E14" s="44">
        <f t="shared" si="0"/>
        <v>1560.1733333333336</v>
      </c>
      <c r="F14" s="44">
        <f t="shared" si="0"/>
        <v>1560.1733333333336</v>
      </c>
      <c r="G14" s="44">
        <f t="shared" si="0"/>
        <v>1560.1733333333336</v>
      </c>
      <c r="H14" s="44">
        <f t="shared" si="0"/>
        <v>1560.1733333333336</v>
      </c>
      <c r="I14" s="44">
        <f t="shared" si="0"/>
        <v>1560.1733333333336</v>
      </c>
      <c r="J14" s="44">
        <f t="shared" si="0"/>
        <v>1560.1733333333336</v>
      </c>
      <c r="K14" s="44">
        <f t="shared" si="0"/>
        <v>1560.1733333333336</v>
      </c>
      <c r="L14" s="44">
        <f t="shared" si="0"/>
        <v>1560.1733333333336</v>
      </c>
      <c r="M14" s="44">
        <f t="shared" si="0"/>
        <v>1560.1733333333336</v>
      </c>
      <c r="N14" s="44">
        <f t="shared" si="0"/>
        <v>1560.1733333333336</v>
      </c>
      <c r="O14" s="44">
        <f t="shared" si="0"/>
        <v>1560.1733333333336</v>
      </c>
      <c r="P14" s="44">
        <f t="shared" si="0"/>
        <v>1560.1733333333336</v>
      </c>
      <c r="Q14" s="44">
        <f t="shared" si="0"/>
        <v>1560.1733333333336</v>
      </c>
      <c r="R14" s="44">
        <f t="shared" si="0"/>
        <v>1560.1733333333336</v>
      </c>
      <c r="S14" s="44">
        <f t="shared" si="0"/>
        <v>1560.1733333333336</v>
      </c>
      <c r="T14" s="44">
        <f t="shared" si="0"/>
        <v>1560.1733333333336</v>
      </c>
      <c r="U14" s="44">
        <f t="shared" si="0"/>
        <v>1560.1733333333336</v>
      </c>
      <c r="V14" s="44">
        <f t="shared" si="0"/>
        <v>1560.1733333333336</v>
      </c>
      <c r="W14" s="44">
        <f t="shared" si="0"/>
        <v>1560.1733333333336</v>
      </c>
      <c r="X14" s="44">
        <f t="shared" si="0"/>
        <v>1560.1733333333336</v>
      </c>
      <c r="Y14" s="44">
        <f t="shared" si="0"/>
        <v>1560.1733333333336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1.0646381171322843</v>
      </c>
      <c r="C15" s="46">
        <f t="shared" ref="C15:W15" si="1">C13/C14</f>
        <v>1.0212519121806976</v>
      </c>
      <c r="D15" s="46">
        <f t="shared" si="1"/>
        <v>0.99290890755727967</v>
      </c>
      <c r="E15" s="46">
        <f t="shared" si="1"/>
        <v>1.1199588934562823</v>
      </c>
      <c r="F15" s="46">
        <f t="shared" si="1"/>
        <v>1.0222774392588856</v>
      </c>
      <c r="G15" s="46">
        <f t="shared" si="1"/>
        <v>1.0841359507063315</v>
      </c>
      <c r="H15" s="46">
        <f t="shared" si="1"/>
        <v>1.1211767068616305</v>
      </c>
      <c r="I15" s="46">
        <f t="shared" si="1"/>
        <v>0.99136420739575926</v>
      </c>
      <c r="J15" s="46">
        <f t="shared" si="1"/>
        <v>0.96067530958098646</v>
      </c>
      <c r="K15" s="46">
        <f t="shared" si="1"/>
        <v>0.95945108663139977</v>
      </c>
      <c r="L15" s="46">
        <f t="shared" si="1"/>
        <v>0.89147146043601966</v>
      </c>
      <c r="M15" s="46">
        <f t="shared" si="1"/>
        <v>1.1515643560971855</v>
      </c>
      <c r="N15" s="46">
        <f t="shared" si="1"/>
        <v>1.0607731619563636</v>
      </c>
      <c r="O15" s="46">
        <f t="shared" si="1"/>
        <v>0.92250647363968086</v>
      </c>
      <c r="P15" s="46">
        <f t="shared" si="1"/>
        <v>0.8957145787220222</v>
      </c>
      <c r="Q15" s="46">
        <f t="shared" si="1"/>
        <v>1.0081892610222793</v>
      </c>
      <c r="R15" s="46">
        <f t="shared" si="1"/>
        <v>0.93474229359131011</v>
      </c>
      <c r="S15" s="46">
        <f t="shared" si="1"/>
        <v>1.0333018553494056</v>
      </c>
      <c r="T15" s="46">
        <f t="shared" si="1"/>
        <v>0.87922282139591312</v>
      </c>
      <c r="U15" s="46">
        <f t="shared" si="1"/>
        <v>0.92873655063967231</v>
      </c>
      <c r="V15" s="46">
        <f t="shared" si="1"/>
        <v>0.9559386563886062</v>
      </c>
      <c r="W15" s="46">
        <f t="shared" si="1"/>
        <v>0.98425602283506941</v>
      </c>
      <c r="X15" s="46">
        <f t="shared" ref="X15:Y15" si="2">X13/X14</f>
        <v>0.98549947441737218</v>
      </c>
      <c r="Y15" s="46">
        <f t="shared" si="2"/>
        <v>0.88182509635681483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18482.767344194588</v>
      </c>
      <c r="C19" s="34">
        <f t="shared" si="3"/>
        <v>19234.501762046773</v>
      </c>
      <c r="D19" s="34">
        <f t="shared" ref="D19:W19" si="4">D4*1000000/D3</f>
        <v>20038.442664357655</v>
      </c>
      <c r="E19" s="34">
        <f t="shared" si="4"/>
        <v>21146.853142653548</v>
      </c>
      <c r="F19" s="34">
        <f t="shared" si="4"/>
        <v>22233.842604281515</v>
      </c>
      <c r="G19" s="34">
        <f t="shared" si="4"/>
        <v>22436.505740318982</v>
      </c>
      <c r="H19" s="34">
        <f t="shared" si="4"/>
        <v>23806.49014805182</v>
      </c>
      <c r="I19" s="34">
        <f t="shared" si="4"/>
        <v>24571.623510317488</v>
      </c>
      <c r="J19" s="34">
        <f t="shared" si="4"/>
        <v>24530.360464436824</v>
      </c>
      <c r="K19" s="34">
        <f t="shared" si="4"/>
        <v>23448.246868976545</v>
      </c>
      <c r="L19" s="34">
        <f t="shared" si="4"/>
        <v>22064.189053616916</v>
      </c>
      <c r="M19" s="34">
        <f t="shared" si="4"/>
        <v>19877.632379791037</v>
      </c>
      <c r="N19" s="34">
        <f t="shared" si="4"/>
        <v>18282.439752673145</v>
      </c>
      <c r="O19" s="34">
        <f t="shared" si="4"/>
        <v>18001.416174143673</v>
      </c>
      <c r="P19" s="34">
        <f t="shared" si="4"/>
        <v>18271.629500185456</v>
      </c>
      <c r="Q19" s="34">
        <f t="shared" si="4"/>
        <v>18345.40319513193</v>
      </c>
      <c r="R19" s="34">
        <f t="shared" si="4"/>
        <v>18465.885377429509</v>
      </c>
      <c r="S19" s="34">
        <f t="shared" si="4"/>
        <v>18764.909051666229</v>
      </c>
      <c r="T19" s="34">
        <f t="shared" si="4"/>
        <v>19200.511534222489</v>
      </c>
      <c r="U19" s="34">
        <f t="shared" si="4"/>
        <v>19668.215177452363</v>
      </c>
      <c r="V19" s="34">
        <f t="shared" si="4"/>
        <v>17869.54344461131</v>
      </c>
      <c r="W19" s="34">
        <f t="shared" si="4"/>
        <v>19488.640105038201</v>
      </c>
      <c r="X19" s="34">
        <f t="shared" ref="X19:Y19" si="5">X4*1000000/X3</f>
        <v>21035.486996240455</v>
      </c>
      <c r="Y19" s="34">
        <f t="shared" si="5"/>
        <v>21624.475632855905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44322.586182857689</v>
      </c>
      <c r="C20" s="36">
        <f t="shared" si="6"/>
        <v>45150.082416856501</v>
      </c>
      <c r="D20" s="36">
        <f t="shared" ref="D20:W20" si="7">D5*1000000/D6</f>
        <v>45803.800491287257</v>
      </c>
      <c r="E20" s="36">
        <f t="shared" si="7"/>
        <v>46714.004891163779</v>
      </c>
      <c r="F20" s="36">
        <f t="shared" si="7"/>
        <v>47514.354104836399</v>
      </c>
      <c r="G20" s="36">
        <f t="shared" si="7"/>
        <v>49299.419447119413</v>
      </c>
      <c r="H20" s="36">
        <f t="shared" si="7"/>
        <v>49493.432003614158</v>
      </c>
      <c r="I20" s="36">
        <f t="shared" si="7"/>
        <v>51454.318089282817</v>
      </c>
      <c r="J20" s="36">
        <f t="shared" si="7"/>
        <v>52519.097194341935</v>
      </c>
      <c r="K20" s="36">
        <f t="shared" si="7"/>
        <v>51609.897171295059</v>
      </c>
      <c r="L20" s="36">
        <f t="shared" si="7"/>
        <v>49713.688717038123</v>
      </c>
      <c r="M20" s="36">
        <f t="shared" si="7"/>
        <v>47301.325435459636</v>
      </c>
      <c r="N20" s="36">
        <f t="shared" si="7"/>
        <v>45151.932840749207</v>
      </c>
      <c r="O20" s="36">
        <f t="shared" si="7"/>
        <v>44524.734613504661</v>
      </c>
      <c r="P20" s="36">
        <f t="shared" si="7"/>
        <v>43068.599335790481</v>
      </c>
      <c r="Q20" s="36">
        <f t="shared" si="7"/>
        <v>43741.895655755274</v>
      </c>
      <c r="R20" s="36">
        <f t="shared" si="7"/>
        <v>41937.431933453481</v>
      </c>
      <c r="S20" s="36">
        <f t="shared" si="7"/>
        <v>43292.233432381909</v>
      </c>
      <c r="T20" s="36">
        <f t="shared" si="7"/>
        <v>41813.163919308849</v>
      </c>
      <c r="U20" s="36">
        <f t="shared" si="7"/>
        <v>41401.620570218081</v>
      </c>
      <c r="V20" s="36">
        <f t="shared" si="7"/>
        <v>38159.525717750344</v>
      </c>
      <c r="W20" s="36">
        <f t="shared" si="7"/>
        <v>38916.983422082871</v>
      </c>
      <c r="X20" s="36">
        <f t="shared" ref="X20:Y20" si="8">X5*1000000/X6</f>
        <v>38724.053376959659</v>
      </c>
      <c r="Y20" s="36">
        <f t="shared" si="8"/>
        <v>40224.530573558441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11920.950797123745</v>
      </c>
      <c r="C21" s="36">
        <f t="shared" si="9"/>
        <v>12235.868089690826</v>
      </c>
      <c r="D21" s="36">
        <f t="shared" ref="D21:W21" si="10">D5*1000000/D3</f>
        <v>12812.794345216027</v>
      </c>
      <c r="E21" s="36">
        <f t="shared" si="10"/>
        <v>13269.4363261622</v>
      </c>
      <c r="F21" s="36">
        <f t="shared" si="10"/>
        <v>14257.73418526993</v>
      </c>
      <c r="G21" s="36">
        <f t="shared" si="10"/>
        <v>14802.977245110684</v>
      </c>
      <c r="H21" s="36">
        <f t="shared" si="10"/>
        <v>15243.740813761104</v>
      </c>
      <c r="I21" s="36">
        <f t="shared" si="10"/>
        <v>16053.120169286725</v>
      </c>
      <c r="J21" s="36">
        <f t="shared" si="10"/>
        <v>16623.307706877917</v>
      </c>
      <c r="K21" s="36">
        <f t="shared" si="10"/>
        <v>16228.534162930024</v>
      </c>
      <c r="L21" s="36">
        <f t="shared" si="10"/>
        <v>15435.030743227442</v>
      </c>
      <c r="M21" s="36">
        <f t="shared" si="10"/>
        <v>14150.350047812348</v>
      </c>
      <c r="N21" s="36">
        <f t="shared" si="10"/>
        <v>13084.865359500549</v>
      </c>
      <c r="O21" s="36">
        <f t="shared" si="10"/>
        <v>12971.459084174783</v>
      </c>
      <c r="P21" s="36">
        <f t="shared" si="10"/>
        <v>13189.62199637604</v>
      </c>
      <c r="Q21" s="36">
        <f t="shared" si="10"/>
        <v>13155.983775584089</v>
      </c>
      <c r="R21" s="36">
        <f t="shared" si="10"/>
        <v>13254.700430572886</v>
      </c>
      <c r="S21" s="36">
        <f t="shared" si="10"/>
        <v>13636.326666503186</v>
      </c>
      <c r="T21" s="36">
        <f t="shared" si="10"/>
        <v>13891.442450242001</v>
      </c>
      <c r="U21" s="36">
        <f t="shared" si="10"/>
        <v>14194.434558777895</v>
      </c>
      <c r="V21" s="36">
        <f t="shared" si="10"/>
        <v>12721.070152083375</v>
      </c>
      <c r="W21" s="36">
        <f t="shared" si="10"/>
        <v>13738.58038225945</v>
      </c>
      <c r="X21" s="36">
        <f t="shared" ref="X21:Y21" si="11">X5*1000000/X3</f>
        <v>14319.749011707849</v>
      </c>
      <c r="Y21" s="36">
        <f t="shared" si="11"/>
        <v>15078.238084144956</v>
      </c>
      <c r="DA21" s="89"/>
    </row>
    <row r="22" spans="1:105" ht="12" customHeight="1" x14ac:dyDescent="0.25">
      <c r="A22" s="51" t="s">
        <v>148</v>
      </c>
      <c r="B22" s="52">
        <v>0.65042923392654084</v>
      </c>
      <c r="C22" s="52">
        <v>0.65096245928358576</v>
      </c>
      <c r="D22" s="52">
        <v>0.66817349871697751</v>
      </c>
      <c r="E22" s="52">
        <v>0.68442489577402565</v>
      </c>
      <c r="F22" s="52">
        <v>0.71872608253489922</v>
      </c>
      <c r="G22" s="52">
        <v>0.73045088639899469</v>
      </c>
      <c r="H22" s="52">
        <v>0.72984605704910344</v>
      </c>
      <c r="I22" s="52">
        <v>0.74574830554471905</v>
      </c>
      <c r="J22" s="52">
        <v>0.76197439101639319</v>
      </c>
      <c r="K22" s="52">
        <v>0.76109325319520771</v>
      </c>
      <c r="L22" s="52">
        <v>0.71315111113265928</v>
      </c>
      <c r="M22" s="52">
        <v>0.64091616883499636</v>
      </c>
      <c r="N22" s="52">
        <v>0.594541411244357</v>
      </c>
      <c r="O22" s="52">
        <v>0.58599687492447206</v>
      </c>
      <c r="P22" s="52">
        <v>0.58616326564329579</v>
      </c>
      <c r="Q22" s="52">
        <v>0.57511029689482951</v>
      </c>
      <c r="R22" s="52">
        <v>0.5698353379234945</v>
      </c>
      <c r="S22" s="52">
        <v>0.57089719672006789</v>
      </c>
      <c r="T22" s="52">
        <v>0.56929999161079603</v>
      </c>
      <c r="U22" s="52">
        <v>0.57089661575078343</v>
      </c>
      <c r="V22" s="52">
        <v>0.54058341377189911</v>
      </c>
      <c r="W22" s="52">
        <v>0.55011997708156757</v>
      </c>
      <c r="X22" s="52">
        <v>0.55608311329208948</v>
      </c>
      <c r="Y22" s="52">
        <v>0.58417526606813786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35.205958256482219</v>
      </c>
      <c r="C23" s="53">
        <f t="shared" si="12"/>
        <v>34.140346333749392</v>
      </c>
      <c r="D23" s="53">
        <f t="shared" ref="D23:W23" si="13">D6/D8</f>
        <v>34.240705523118585</v>
      </c>
      <c r="E23" s="53">
        <f t="shared" si="13"/>
        <v>33.394181285912786</v>
      </c>
      <c r="F23" s="53">
        <f t="shared" si="13"/>
        <v>33.941568897481424</v>
      </c>
      <c r="G23" s="53">
        <f t="shared" si="13"/>
        <v>33.101277144760431</v>
      </c>
      <c r="H23" s="53">
        <f t="shared" si="13"/>
        <v>32.674904245572215</v>
      </c>
      <c r="I23" s="53">
        <f t="shared" si="13"/>
        <v>32.213750889286516</v>
      </c>
      <c r="J23" s="53">
        <f t="shared" si="13"/>
        <v>32.159384537446869</v>
      </c>
      <c r="K23" s="53">
        <f t="shared" si="13"/>
        <v>32.076558710045596</v>
      </c>
      <c r="L23" s="53">
        <f t="shared" si="13"/>
        <v>32.838101640276946</v>
      </c>
      <c r="M23" s="53">
        <f t="shared" si="13"/>
        <v>32.40830880926169</v>
      </c>
      <c r="N23" s="53">
        <f t="shared" si="13"/>
        <v>31.240659527125452</v>
      </c>
      <c r="O23" s="53">
        <f t="shared" si="13"/>
        <v>31.224303694536435</v>
      </c>
      <c r="P23" s="53">
        <f t="shared" si="13"/>
        <v>32.554374651007272</v>
      </c>
      <c r="Q23" s="53">
        <f t="shared" si="13"/>
        <v>31.671541420506056</v>
      </c>
      <c r="R23" s="53">
        <f t="shared" si="13"/>
        <v>33.04142415662723</v>
      </c>
      <c r="S23" s="53">
        <f t="shared" si="13"/>
        <v>32.663162490704131</v>
      </c>
      <c r="T23" s="53">
        <f t="shared" si="13"/>
        <v>34.126827918654847</v>
      </c>
      <c r="U23" s="53">
        <f t="shared" si="13"/>
        <v>34.88421461106207</v>
      </c>
      <c r="V23" s="53">
        <f t="shared" si="13"/>
        <v>33.643177004833916</v>
      </c>
      <c r="W23" s="53">
        <f t="shared" si="13"/>
        <v>35.245936118206735</v>
      </c>
      <c r="X23" s="53">
        <f t="shared" ref="X23:Y23" si="14">X6/X8</f>
        <v>35.956391902908663</v>
      </c>
      <c r="Y23" s="53">
        <f t="shared" si="14"/>
        <v>36.114273470916238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6.875624367171608</v>
      </c>
      <c r="C24" s="54">
        <f t="shared" si="15"/>
        <v>7.1441543004870534</v>
      </c>
      <c r="D24" s="54">
        <f t="shared" ref="D24:W24" si="16">D9*1000/D3</f>
        <v>7.3526204177980334</v>
      </c>
      <c r="E24" s="54">
        <f t="shared" si="16"/>
        <v>7.6555620677482139</v>
      </c>
      <c r="F24" s="54">
        <f t="shared" si="16"/>
        <v>7.9567603930749931</v>
      </c>
      <c r="G24" s="54">
        <f t="shared" si="16"/>
        <v>8.1640381504173742</v>
      </c>
      <c r="H24" s="54">
        <f t="shared" si="16"/>
        <v>8.4834435018697683</v>
      </c>
      <c r="I24" s="54">
        <f t="shared" si="16"/>
        <v>8.7164339431046685</v>
      </c>
      <c r="J24" s="54">
        <f t="shared" si="16"/>
        <v>8.857985658635414</v>
      </c>
      <c r="K24" s="54">
        <f t="shared" si="16"/>
        <v>8.8226904166067612</v>
      </c>
      <c r="L24" s="54">
        <f t="shared" si="16"/>
        <v>8.5093419625292182</v>
      </c>
      <c r="M24" s="54">
        <f t="shared" si="16"/>
        <v>8.3076848653103319</v>
      </c>
      <c r="N24" s="54">
        <f t="shared" si="16"/>
        <v>8.3486302620423718</v>
      </c>
      <c r="O24" s="54">
        <f t="shared" si="16"/>
        <v>8.3972529891541061</v>
      </c>
      <c r="P24" s="54">
        <f t="shared" si="16"/>
        <v>8.4665163892518382</v>
      </c>
      <c r="Q24" s="54">
        <f t="shared" si="16"/>
        <v>8.5467113732253459</v>
      </c>
      <c r="R24" s="54">
        <f t="shared" si="16"/>
        <v>8.6089827064989031</v>
      </c>
      <c r="S24" s="54">
        <f t="shared" si="16"/>
        <v>8.6790398611314412</v>
      </c>
      <c r="T24" s="54">
        <f t="shared" si="16"/>
        <v>8.761549116567803</v>
      </c>
      <c r="U24" s="54">
        <f t="shared" si="16"/>
        <v>8.845335614502174</v>
      </c>
      <c r="V24" s="54">
        <f t="shared" si="16"/>
        <v>8.9179737212957146</v>
      </c>
      <c r="W24" s="54">
        <f t="shared" si="16"/>
        <v>9.0143859704819604</v>
      </c>
      <c r="X24" s="54">
        <f t="shared" ref="X24:Y24" si="17">X9*1000/X3</f>
        <v>9.2559500018101897</v>
      </c>
      <c r="Y24" s="54">
        <f t="shared" si="17"/>
        <v>9.3416424145484829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25.563854659013284</v>
      </c>
      <c r="C25" s="54">
        <f t="shared" si="18"/>
        <v>26.361771236934004</v>
      </c>
      <c r="D25" s="54">
        <f t="shared" ref="D25:W25" si="19">D9*1000/D6</f>
        <v>26.284505130665007</v>
      </c>
      <c r="E25" s="54">
        <f t="shared" si="19"/>
        <v>26.950802964577001</v>
      </c>
      <c r="F25" s="54">
        <f t="shared" si="19"/>
        <v>26.516157892359036</v>
      </c>
      <c r="G25" s="54">
        <f t="shared" si="19"/>
        <v>27.189283243183262</v>
      </c>
      <c r="H25" s="54">
        <f t="shared" si="19"/>
        <v>27.544074597309926</v>
      </c>
      <c r="I25" s="54">
        <f t="shared" si="19"/>
        <v>27.938379578744346</v>
      </c>
      <c r="J25" s="54">
        <f t="shared" si="19"/>
        <v>27.985610201962249</v>
      </c>
      <c r="K25" s="54">
        <f t="shared" si="19"/>
        <v>28.057872670678414</v>
      </c>
      <c r="L25" s="54">
        <f t="shared" si="19"/>
        <v>27.407187232045171</v>
      </c>
      <c r="M25" s="54">
        <f t="shared" si="19"/>
        <v>27.770656139353893</v>
      </c>
      <c r="N25" s="54">
        <f t="shared" si="19"/>
        <v>28.808610753513491</v>
      </c>
      <c r="O25" s="54">
        <f t="shared" si="19"/>
        <v>28.823701204183468</v>
      </c>
      <c r="P25" s="54">
        <f t="shared" si="19"/>
        <v>27.646054014192309</v>
      </c>
      <c r="Q25" s="54">
        <f t="shared" si="19"/>
        <v>28.41667817965077</v>
      </c>
      <c r="R25" s="54">
        <f t="shared" si="19"/>
        <v>27.238535352886235</v>
      </c>
      <c r="S25" s="54">
        <f t="shared" si="19"/>
        <v>27.553976142271527</v>
      </c>
      <c r="T25" s="54">
        <f t="shared" si="19"/>
        <v>26.372213735927982</v>
      </c>
      <c r="U25" s="54">
        <f t="shared" si="19"/>
        <v>25.799634878825749</v>
      </c>
      <c r="V25" s="54">
        <f t="shared" si="19"/>
        <v>26.75133801634389</v>
      </c>
      <c r="W25" s="54">
        <f t="shared" si="19"/>
        <v>25.534858741774027</v>
      </c>
      <c r="X25" s="54">
        <f t="shared" ref="X25:Y25" si="20">X9*1000/X6</f>
        <v>25.030320128622119</v>
      </c>
      <c r="Y25" s="54">
        <f t="shared" si="20"/>
        <v>24.920894524565018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900.00000000000011</v>
      </c>
      <c r="C26" s="55">
        <f t="shared" si="21"/>
        <v>900</v>
      </c>
      <c r="D26" s="55">
        <f t="shared" ref="D26:W26" si="22">D9*1000/D8</f>
        <v>900.00000000000011</v>
      </c>
      <c r="E26" s="55">
        <f t="shared" si="22"/>
        <v>900.00000000000011</v>
      </c>
      <c r="F26" s="55">
        <f t="shared" si="22"/>
        <v>900.00000000000011</v>
      </c>
      <c r="G26" s="55">
        <f t="shared" si="22"/>
        <v>900</v>
      </c>
      <c r="H26" s="55">
        <f t="shared" si="22"/>
        <v>900</v>
      </c>
      <c r="I26" s="55">
        <f t="shared" si="22"/>
        <v>899.99999999999989</v>
      </c>
      <c r="J26" s="55">
        <f t="shared" si="22"/>
        <v>900</v>
      </c>
      <c r="K26" s="55">
        <f t="shared" si="22"/>
        <v>899.99999999999989</v>
      </c>
      <c r="L26" s="55">
        <f t="shared" si="22"/>
        <v>900</v>
      </c>
      <c r="M26" s="55">
        <f t="shared" si="22"/>
        <v>900.00000000000011</v>
      </c>
      <c r="N26" s="55">
        <f t="shared" si="22"/>
        <v>900</v>
      </c>
      <c r="O26" s="55">
        <f t="shared" si="22"/>
        <v>900.00000000000011</v>
      </c>
      <c r="P26" s="55">
        <f t="shared" si="22"/>
        <v>899.99999999999989</v>
      </c>
      <c r="Q26" s="55">
        <f t="shared" si="22"/>
        <v>900</v>
      </c>
      <c r="R26" s="55">
        <f t="shared" si="22"/>
        <v>900</v>
      </c>
      <c r="S26" s="55">
        <f t="shared" si="22"/>
        <v>900</v>
      </c>
      <c r="T26" s="55">
        <f t="shared" si="22"/>
        <v>900</v>
      </c>
      <c r="U26" s="55">
        <f t="shared" si="22"/>
        <v>899.99999999999989</v>
      </c>
      <c r="V26" s="55">
        <f t="shared" si="22"/>
        <v>900.00000000000011</v>
      </c>
      <c r="W26" s="55">
        <f t="shared" si="22"/>
        <v>900</v>
      </c>
      <c r="X26" s="55">
        <f t="shared" ref="X26:Y26" si="23">X9*1000/X8</f>
        <v>900.00000000000011</v>
      </c>
      <c r="Y26" s="55">
        <f t="shared" si="23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899.99999999999989</v>
      </c>
      <c r="D27" s="57">
        <f t="shared" ref="D27:W27" si="25">IF(SUM(D11)=0,"",D11*1000/D10)</f>
        <v>900</v>
      </c>
      <c r="E27" s="57">
        <f t="shared" si="25"/>
        <v>900</v>
      </c>
      <c r="F27" s="57">
        <f t="shared" si="25"/>
        <v>900</v>
      </c>
      <c r="G27" s="57">
        <f t="shared" si="25"/>
        <v>900.00000000000011</v>
      </c>
      <c r="H27" s="57">
        <f t="shared" si="25"/>
        <v>900.00000000000011</v>
      </c>
      <c r="I27" s="57">
        <f t="shared" si="25"/>
        <v>900.00000000000011</v>
      </c>
      <c r="J27" s="57">
        <f t="shared" si="25"/>
        <v>900.00000000000011</v>
      </c>
      <c r="K27" s="57">
        <f t="shared" si="25"/>
        <v>900</v>
      </c>
      <c r="L27" s="57">
        <f t="shared" si="25"/>
        <v>900.00000000000011</v>
      </c>
      <c r="M27" s="57">
        <f t="shared" si="25"/>
        <v>900</v>
      </c>
      <c r="N27" s="57">
        <f t="shared" si="25"/>
        <v>900</v>
      </c>
      <c r="O27" s="57">
        <f t="shared" si="25"/>
        <v>900</v>
      </c>
      <c r="P27" s="57">
        <f t="shared" si="25"/>
        <v>900</v>
      </c>
      <c r="Q27" s="57">
        <f t="shared" si="25"/>
        <v>900.00000000000011</v>
      </c>
      <c r="R27" s="57">
        <f t="shared" si="25"/>
        <v>900</v>
      </c>
      <c r="S27" s="57">
        <f t="shared" si="25"/>
        <v>900</v>
      </c>
      <c r="T27" s="57">
        <f t="shared" si="25"/>
        <v>899.99999999999989</v>
      </c>
      <c r="U27" s="57">
        <f t="shared" si="25"/>
        <v>899.99999999999989</v>
      </c>
      <c r="V27" s="57">
        <f t="shared" si="25"/>
        <v>900.00000000000011</v>
      </c>
      <c r="W27" s="57">
        <f t="shared" si="25"/>
        <v>900</v>
      </c>
      <c r="X27" s="57">
        <f t="shared" ref="X27:Y27" si="26">IF(SUM(X11)=0,"",X11*1000/X10)</f>
        <v>900.00000000000011</v>
      </c>
      <c r="Y27" s="57">
        <f t="shared" si="26"/>
        <v>899.99999999999989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1328.7188306104902</v>
      </c>
      <c r="C31" s="80">
        <f t="shared" ref="C31:W31" si="27">SUM(C32:C33,C36:C37,C44:C45)</f>
        <v>1487.7328460877047</v>
      </c>
      <c r="D31" s="80">
        <f t="shared" si="27"/>
        <v>1559.6447119518491</v>
      </c>
      <c r="E31" s="80">
        <f t="shared" si="27"/>
        <v>1685.7910576096308</v>
      </c>
      <c r="F31" s="80">
        <f t="shared" si="27"/>
        <v>1803.7120378331906</v>
      </c>
      <c r="G31" s="80">
        <f t="shared" si="27"/>
        <v>1965.5090283748925</v>
      </c>
      <c r="H31" s="80">
        <f t="shared" si="27"/>
        <v>2101.7490111779875</v>
      </c>
      <c r="I31" s="80">
        <f t="shared" si="27"/>
        <v>2159.3168529664654</v>
      </c>
      <c r="J31" s="80">
        <f t="shared" si="27"/>
        <v>2243.2104041272569</v>
      </c>
      <c r="K31" s="80">
        <f t="shared" si="27"/>
        <v>2165.8944110060188</v>
      </c>
      <c r="L31" s="80">
        <f t="shared" si="27"/>
        <v>1969.187274290628</v>
      </c>
      <c r="M31" s="80">
        <f t="shared" si="27"/>
        <v>1881.036027515047</v>
      </c>
      <c r="N31" s="80">
        <f t="shared" si="27"/>
        <v>1954.5436989892462</v>
      </c>
      <c r="O31" s="80">
        <f t="shared" si="27"/>
        <v>1832.6111969084777</v>
      </c>
      <c r="P31" s="80">
        <f t="shared" si="27"/>
        <v>1724.216661724302</v>
      </c>
      <c r="Q31" s="80">
        <f t="shared" si="27"/>
        <v>1888.7425216724475</v>
      </c>
      <c r="R31" s="80">
        <f t="shared" si="27"/>
        <v>2035.604701131296</v>
      </c>
      <c r="S31" s="80">
        <f t="shared" si="27"/>
        <v>1960.6100228247024</v>
      </c>
      <c r="T31" s="80">
        <f t="shared" si="27"/>
        <v>1836.8851286597137</v>
      </c>
      <c r="U31" s="80">
        <f t="shared" si="27"/>
        <v>1861.6234882309618</v>
      </c>
      <c r="V31" s="80">
        <f t="shared" si="27"/>
        <v>1597.7877713800422</v>
      </c>
      <c r="W31" s="80">
        <f t="shared" si="27"/>
        <v>1701.1355151891303</v>
      </c>
      <c r="X31" s="80">
        <f t="shared" ref="X31:Y31" si="28">SUM(X32:X33,X36:X37,X44:X45)</f>
        <v>1743.6002665830501</v>
      </c>
      <c r="Y31" s="80">
        <f t="shared" si="28"/>
        <v>1734.3269158840521</v>
      </c>
      <c r="DA31" s="103" t="s">
        <v>199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X32" s="59">
        <v>3.133190025795356</v>
      </c>
      <c r="Y32" s="59">
        <v>12.045055889939809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248.1465176268272</v>
      </c>
      <c r="C33" s="55">
        <f t="shared" ref="C33:W33" si="29">SUM(C34:C35)</f>
        <v>320.98263112639728</v>
      </c>
      <c r="D33" s="55">
        <f t="shared" si="29"/>
        <v>321.12596732588145</v>
      </c>
      <c r="E33" s="55">
        <f t="shared" si="29"/>
        <v>347.10997420464321</v>
      </c>
      <c r="F33" s="55">
        <f t="shared" si="29"/>
        <v>369.12682717110926</v>
      </c>
      <c r="G33" s="55">
        <f t="shared" si="29"/>
        <v>446.60593293207216</v>
      </c>
      <c r="H33" s="55">
        <f t="shared" si="29"/>
        <v>456.46311263972478</v>
      </c>
      <c r="I33" s="55">
        <f t="shared" si="29"/>
        <v>414.1492691315562</v>
      </c>
      <c r="J33" s="55">
        <f t="shared" si="29"/>
        <v>394.96758383490976</v>
      </c>
      <c r="K33" s="55">
        <f t="shared" si="29"/>
        <v>293.15477214101463</v>
      </c>
      <c r="L33" s="55">
        <f t="shared" si="29"/>
        <v>254.56672398968178</v>
      </c>
      <c r="M33" s="55">
        <f t="shared" si="29"/>
        <v>228.72355975924333</v>
      </c>
      <c r="N33" s="55">
        <f t="shared" si="29"/>
        <v>170.33533963886504</v>
      </c>
      <c r="O33" s="55">
        <f t="shared" si="29"/>
        <v>193.40300945829748</v>
      </c>
      <c r="P33" s="55">
        <f t="shared" si="29"/>
        <v>107.4090283748925</v>
      </c>
      <c r="Q33" s="55">
        <f t="shared" si="29"/>
        <v>117.34015477214101</v>
      </c>
      <c r="R33" s="55">
        <f t="shared" si="29"/>
        <v>176.25399828030953</v>
      </c>
      <c r="S33" s="55">
        <f t="shared" si="29"/>
        <v>123.37162510748065</v>
      </c>
      <c r="T33" s="55">
        <f t="shared" si="29"/>
        <v>120.33946689595872</v>
      </c>
      <c r="U33" s="55">
        <f t="shared" si="29"/>
        <v>125.77325881341356</v>
      </c>
      <c r="V33" s="55">
        <f t="shared" si="29"/>
        <v>87.050300945829719</v>
      </c>
      <c r="W33" s="55">
        <f t="shared" si="29"/>
        <v>99.250386930352533</v>
      </c>
      <c r="X33" s="55">
        <f t="shared" ref="X33:Y33" si="30">SUM(X34:X35)</f>
        <v>120.60249355116079</v>
      </c>
      <c r="Y33" s="55">
        <f t="shared" si="30"/>
        <v>131.73336199484095</v>
      </c>
      <c r="DA33" s="101"/>
    </row>
    <row r="34" spans="1:105" ht="12" customHeight="1" x14ac:dyDescent="0.25">
      <c r="A34" s="61" t="s">
        <v>52</v>
      </c>
      <c r="B34" s="55">
        <v>27.113757523645749</v>
      </c>
      <c r="C34" s="55">
        <v>28.243508168529662</v>
      </c>
      <c r="D34" s="55">
        <v>19.205588993981081</v>
      </c>
      <c r="E34" s="55">
        <v>22.594840928632841</v>
      </c>
      <c r="F34" s="55">
        <v>54.227601031814267</v>
      </c>
      <c r="G34" s="55">
        <v>48.578847807394673</v>
      </c>
      <c r="H34" s="55">
        <v>47.449097162510739</v>
      </c>
      <c r="I34" s="55">
        <v>45.18968185726569</v>
      </c>
      <c r="J34" s="55">
        <v>44.05993121238177</v>
      </c>
      <c r="K34" s="55">
        <v>41.75030094582975</v>
      </c>
      <c r="L34" s="55">
        <v>43.947635425623382</v>
      </c>
      <c r="M34" s="55">
        <v>38.454170249355109</v>
      </c>
      <c r="N34" s="55">
        <v>103.2769561478934</v>
      </c>
      <c r="O34" s="55">
        <v>72.513585554600169</v>
      </c>
      <c r="P34" s="55">
        <v>41.75030094582975</v>
      </c>
      <c r="Q34" s="55">
        <v>47.243680137575232</v>
      </c>
      <c r="R34" s="55">
        <v>56.03327601031814</v>
      </c>
      <c r="S34" s="55">
        <v>62.466122098022353</v>
      </c>
      <c r="T34" s="55">
        <v>66.960791057609626</v>
      </c>
      <c r="U34" s="55">
        <v>75.22295786758383</v>
      </c>
      <c r="V34" s="55">
        <v>46.595528804815117</v>
      </c>
      <c r="W34" s="55">
        <v>68.882459157351661</v>
      </c>
      <c r="X34" s="55">
        <v>88.608340498710234</v>
      </c>
      <c r="Y34" s="55">
        <v>108.28366294067069</v>
      </c>
      <c r="DA34" s="101" t="s">
        <v>201</v>
      </c>
    </row>
    <row r="35" spans="1:105" ht="12" customHeight="1" x14ac:dyDescent="0.25">
      <c r="A35" s="61" t="s">
        <v>163</v>
      </c>
      <c r="B35" s="55">
        <v>221.03276010318146</v>
      </c>
      <c r="C35" s="55">
        <v>292.73912295786761</v>
      </c>
      <c r="D35" s="55">
        <v>301.92037833190034</v>
      </c>
      <c r="E35" s="55">
        <v>324.51513327601037</v>
      </c>
      <c r="F35" s="55">
        <v>314.89922613929497</v>
      </c>
      <c r="G35" s="55">
        <v>398.02708512467751</v>
      </c>
      <c r="H35" s="55">
        <v>409.01401547721406</v>
      </c>
      <c r="I35" s="55">
        <v>368.95958727429053</v>
      </c>
      <c r="J35" s="55">
        <v>350.90765262252796</v>
      </c>
      <c r="K35" s="55">
        <v>251.4044711951849</v>
      </c>
      <c r="L35" s="55">
        <v>210.61908856405839</v>
      </c>
      <c r="M35" s="55">
        <v>190.26938950988821</v>
      </c>
      <c r="N35" s="55">
        <v>67.058383490971636</v>
      </c>
      <c r="O35" s="55">
        <v>120.88942390369731</v>
      </c>
      <c r="P35" s="55">
        <v>65.658727429062751</v>
      </c>
      <c r="Q35" s="55">
        <v>70.096474634565766</v>
      </c>
      <c r="R35" s="55">
        <v>120.2207222699914</v>
      </c>
      <c r="S35" s="55">
        <v>60.9055030094583</v>
      </c>
      <c r="T35" s="55">
        <v>53.378675838349096</v>
      </c>
      <c r="U35" s="55">
        <v>50.550300945829733</v>
      </c>
      <c r="V35" s="55">
        <v>40.454772141014601</v>
      </c>
      <c r="W35" s="55">
        <v>30.367927773000872</v>
      </c>
      <c r="X35" s="55">
        <v>31.994153052450557</v>
      </c>
      <c r="Y35" s="55">
        <v>23.449699054170253</v>
      </c>
      <c r="DA35" s="101" t="s">
        <v>202</v>
      </c>
    </row>
    <row r="36" spans="1:105" ht="12" customHeight="1" x14ac:dyDescent="0.25">
      <c r="A36" s="60" t="s">
        <v>149</v>
      </c>
      <c r="B36" s="55">
        <v>8.5985382631126388</v>
      </c>
      <c r="C36" s="55">
        <v>12.18830610490112</v>
      </c>
      <c r="D36" s="55">
        <v>18.16431642304385</v>
      </c>
      <c r="E36" s="55">
        <v>27.665520206362849</v>
      </c>
      <c r="F36" s="55">
        <v>43.508426483233023</v>
      </c>
      <c r="G36" s="55">
        <v>73.818572656921745</v>
      </c>
      <c r="H36" s="55">
        <v>89.596646603611347</v>
      </c>
      <c r="I36" s="55">
        <v>104.96500429922609</v>
      </c>
      <c r="J36" s="55">
        <v>128.8055889939811</v>
      </c>
      <c r="K36" s="55">
        <v>144.81857265692179</v>
      </c>
      <c r="L36" s="55">
        <v>138.94944110060189</v>
      </c>
      <c r="M36" s="55">
        <v>164.78976784178849</v>
      </c>
      <c r="N36" s="55">
        <v>137.98245915735171</v>
      </c>
      <c r="O36" s="55">
        <v>124.6567497850387</v>
      </c>
      <c r="P36" s="55">
        <v>125.30128976784179</v>
      </c>
      <c r="Q36" s="55">
        <v>165.73422184006881</v>
      </c>
      <c r="R36" s="55">
        <v>148.02235597592431</v>
      </c>
      <c r="S36" s="55">
        <v>150.70395528804809</v>
      </c>
      <c r="T36" s="55">
        <v>143.94995700773859</v>
      </c>
      <c r="U36" s="55">
        <v>152.94892519346519</v>
      </c>
      <c r="V36" s="55">
        <v>136.9988822012038</v>
      </c>
      <c r="W36" s="55">
        <v>142.7205503009458</v>
      </c>
      <c r="X36" s="55">
        <v>108.7410146173689</v>
      </c>
      <c r="Y36" s="55">
        <v>103.5962166809974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6.711521926053309</v>
      </c>
      <c r="C37" s="55">
        <f t="shared" ref="C37:W37" si="31">SUM(C38:C42)</f>
        <v>6.9264832330180566</v>
      </c>
      <c r="D37" s="55">
        <f t="shared" si="31"/>
        <v>7.2847807394668944</v>
      </c>
      <c r="E37" s="55">
        <f t="shared" si="31"/>
        <v>9.5538263112639719</v>
      </c>
      <c r="F37" s="55">
        <f t="shared" si="31"/>
        <v>15.238435081685296</v>
      </c>
      <c r="G37" s="55">
        <f t="shared" si="31"/>
        <v>15.763800515907135</v>
      </c>
      <c r="H37" s="55">
        <f t="shared" si="31"/>
        <v>16.910232158211521</v>
      </c>
      <c r="I37" s="55">
        <f t="shared" si="31"/>
        <v>13.805331040412725</v>
      </c>
      <c r="J37" s="55">
        <f t="shared" si="31"/>
        <v>13.1603611349957</v>
      </c>
      <c r="K37" s="55">
        <f t="shared" si="31"/>
        <v>15.88323301805675</v>
      </c>
      <c r="L37" s="55">
        <f t="shared" si="31"/>
        <v>16.169819432502148</v>
      </c>
      <c r="M37" s="55">
        <f t="shared" si="31"/>
        <v>28.709286328460873</v>
      </c>
      <c r="N37" s="55">
        <f t="shared" si="31"/>
        <v>46.742046431642315</v>
      </c>
      <c r="O37" s="55">
        <f t="shared" si="31"/>
        <v>43.0938950988822</v>
      </c>
      <c r="P37" s="55">
        <f t="shared" si="31"/>
        <v>36.605503009458296</v>
      </c>
      <c r="Q37" s="55">
        <f t="shared" si="31"/>
        <v>51.380481513327602</v>
      </c>
      <c r="R37" s="55">
        <f t="shared" si="31"/>
        <v>41.90309544282028</v>
      </c>
      <c r="S37" s="55">
        <f t="shared" si="31"/>
        <v>34.611177987962158</v>
      </c>
      <c r="T37" s="55">
        <f t="shared" si="31"/>
        <v>44.233963886500376</v>
      </c>
      <c r="U37" s="55">
        <f t="shared" si="31"/>
        <v>45.691745485812476</v>
      </c>
      <c r="V37" s="55">
        <f t="shared" si="31"/>
        <v>34.905245055889885</v>
      </c>
      <c r="W37" s="55">
        <f t="shared" si="31"/>
        <v>40.944282029234699</v>
      </c>
      <c r="X37" s="55">
        <f t="shared" ref="X37:Y37" si="32">SUM(X38:X42)</f>
        <v>37.049441100601896</v>
      </c>
      <c r="Y37" s="55">
        <f t="shared" si="32"/>
        <v>33.930782459157356</v>
      </c>
      <c r="DA37" s="101"/>
    </row>
    <row r="38" spans="1:105" ht="12" customHeight="1" x14ac:dyDescent="0.25">
      <c r="A38" s="61" t="s">
        <v>164</v>
      </c>
      <c r="B38" s="55">
        <v>0</v>
      </c>
      <c r="C38" s="55">
        <v>0</v>
      </c>
      <c r="D38" s="55">
        <v>0</v>
      </c>
      <c r="E38" s="55">
        <v>0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55">
        <v>0</v>
      </c>
      <c r="M38" s="55">
        <v>0</v>
      </c>
      <c r="N38" s="55">
        <v>10.413671539122966</v>
      </c>
      <c r="O38" s="55">
        <v>7.2847807394668989</v>
      </c>
      <c r="P38" s="55">
        <v>5.9472914875322447</v>
      </c>
      <c r="Q38" s="55">
        <v>18.247807394668957</v>
      </c>
      <c r="R38" s="55">
        <v>11.655717970765256</v>
      </c>
      <c r="S38" s="55">
        <v>8.6939810834049922</v>
      </c>
      <c r="T38" s="55">
        <v>13.232072226999094</v>
      </c>
      <c r="U38" s="55">
        <v>6.1024935511607055</v>
      </c>
      <c r="V38" s="55">
        <v>6.188650042992208</v>
      </c>
      <c r="W38" s="55">
        <v>13.369991401547679</v>
      </c>
      <c r="X38" s="55">
        <v>8.1791917454858094</v>
      </c>
      <c r="Y38" s="55">
        <v>4.0495270851246801</v>
      </c>
      <c r="DA38" s="101" t="s">
        <v>204</v>
      </c>
    </row>
    <row r="39" spans="1:105" ht="12" customHeight="1" x14ac:dyDescent="0.25">
      <c r="A39" s="61" t="s">
        <v>50</v>
      </c>
      <c r="B39" s="55">
        <v>0.93147033533963886</v>
      </c>
      <c r="C39" s="55">
        <v>1.050902837489252</v>
      </c>
      <c r="D39" s="55">
        <v>1.2897678417884779</v>
      </c>
      <c r="E39" s="55">
        <v>3.3915735167669818</v>
      </c>
      <c r="F39" s="55">
        <v>3.79767841788478</v>
      </c>
      <c r="G39" s="55">
        <v>5.0874462596732588</v>
      </c>
      <c r="H39" s="55">
        <v>5.7561478933791914</v>
      </c>
      <c r="I39" s="55">
        <v>2.2451418744625968</v>
      </c>
      <c r="J39" s="55">
        <v>0.50154772141014614</v>
      </c>
      <c r="K39" s="55">
        <v>1.098710232158211</v>
      </c>
      <c r="L39" s="55">
        <v>1.361392949269131</v>
      </c>
      <c r="M39" s="55">
        <v>13.90085984522786</v>
      </c>
      <c r="N39" s="55">
        <v>13.49475494411006</v>
      </c>
      <c r="O39" s="55">
        <v>14.593465176268269</v>
      </c>
      <c r="P39" s="55">
        <v>13.208168529664659</v>
      </c>
      <c r="Q39" s="55">
        <v>14.044110060189171</v>
      </c>
      <c r="R39" s="55">
        <v>11.84677558039553</v>
      </c>
      <c r="S39" s="55">
        <v>10.03387790197764</v>
      </c>
      <c r="T39" s="55">
        <v>12.48211521926053</v>
      </c>
      <c r="U39" s="55">
        <v>19.35846947549441</v>
      </c>
      <c r="V39" s="55">
        <v>14.0274290627687</v>
      </c>
      <c r="W39" s="55">
        <v>12.578933791917461</v>
      </c>
      <c r="X39" s="55">
        <v>11.0189165950129</v>
      </c>
      <c r="Y39" s="55">
        <v>11.38693035253654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7.9535683576956142</v>
      </c>
      <c r="O40" s="55">
        <v>6.4549441100601896</v>
      </c>
      <c r="P40" s="55">
        <v>1.75786758383491</v>
      </c>
      <c r="Q40" s="55">
        <v>3.5158211521926046</v>
      </c>
      <c r="R40" s="55">
        <v>2.636801375752365</v>
      </c>
      <c r="S40" s="55">
        <v>0</v>
      </c>
      <c r="T40" s="55">
        <v>2.4214961306964748</v>
      </c>
      <c r="U40" s="55">
        <v>2.1024075666380053</v>
      </c>
      <c r="V40" s="55">
        <v>1.4833190025795355</v>
      </c>
      <c r="W40" s="55">
        <v>1.5148753224419604</v>
      </c>
      <c r="X40" s="55">
        <v>0</v>
      </c>
      <c r="Y40" s="55">
        <v>0</v>
      </c>
      <c r="DA40" s="101" t="s">
        <v>206</v>
      </c>
    </row>
    <row r="41" spans="1:105" ht="12" customHeight="1" x14ac:dyDescent="0.25">
      <c r="A41" s="61" t="s">
        <v>26</v>
      </c>
      <c r="B41" s="55">
        <v>5.7800515907136703</v>
      </c>
      <c r="C41" s="55">
        <v>5.8755803955288046</v>
      </c>
      <c r="D41" s="55">
        <v>5.9950128976784169</v>
      </c>
      <c r="E41" s="55">
        <v>6.1622527944969896</v>
      </c>
      <c r="F41" s="55">
        <v>6.3772141014617363</v>
      </c>
      <c r="G41" s="55">
        <v>5.9950128976784169</v>
      </c>
      <c r="H41" s="55">
        <v>6.4727429062768707</v>
      </c>
      <c r="I41" s="55">
        <v>7.0220980223559746</v>
      </c>
      <c r="J41" s="55">
        <v>8.1207222699914006</v>
      </c>
      <c r="K41" s="55">
        <v>8.9089423903697327</v>
      </c>
      <c r="L41" s="55">
        <v>8.9328460877042115</v>
      </c>
      <c r="M41" s="55">
        <v>8.9328460877042115</v>
      </c>
      <c r="N41" s="55">
        <v>9.0044711951848662</v>
      </c>
      <c r="O41" s="55">
        <v>9.1239036973344803</v>
      </c>
      <c r="P41" s="55">
        <v>9.3627687016337049</v>
      </c>
      <c r="Q41" s="55">
        <v>9.5777300085984507</v>
      </c>
      <c r="R41" s="55">
        <v>9.7687876182287177</v>
      </c>
      <c r="S41" s="55">
        <v>10.031556319862419</v>
      </c>
      <c r="T41" s="55">
        <v>10.24651762682717</v>
      </c>
      <c r="U41" s="55">
        <v>10.437575236457439</v>
      </c>
      <c r="V41" s="55">
        <v>10.697936371453141</v>
      </c>
      <c r="W41" s="55">
        <v>11.09200343938091</v>
      </c>
      <c r="X41" s="55">
        <v>11.6652622527945</v>
      </c>
      <c r="Y41" s="55">
        <v>12.30825451418745</v>
      </c>
      <c r="DA41" s="101" t="s">
        <v>207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5.0635425623387791</v>
      </c>
      <c r="G42" s="55">
        <v>4.6813413585554597</v>
      </c>
      <c r="H42" s="55">
        <v>4.6813413585554597</v>
      </c>
      <c r="I42" s="55">
        <v>4.5380911435941522</v>
      </c>
      <c r="J42" s="55">
        <v>4.5380911435941522</v>
      </c>
      <c r="K42" s="55">
        <v>5.8755803955288046</v>
      </c>
      <c r="L42" s="55">
        <v>5.8755803955288046</v>
      </c>
      <c r="M42" s="55">
        <v>5.8755803955288046</v>
      </c>
      <c r="N42" s="55">
        <v>5.8755803955288046</v>
      </c>
      <c r="O42" s="55">
        <v>5.6368013757523636</v>
      </c>
      <c r="P42" s="55">
        <v>6.3294067067927768</v>
      </c>
      <c r="Q42" s="55">
        <v>5.9950128976784169</v>
      </c>
      <c r="R42" s="55">
        <v>5.9950128976784169</v>
      </c>
      <c r="S42" s="55">
        <v>5.8517626827171103</v>
      </c>
      <c r="T42" s="55">
        <v>5.8517626827171103</v>
      </c>
      <c r="U42" s="55">
        <v>7.690799656061909</v>
      </c>
      <c r="V42" s="55">
        <v>2.507910576096303</v>
      </c>
      <c r="W42" s="55">
        <v>2.3884780739466889</v>
      </c>
      <c r="X42" s="55">
        <v>6.1860705073086839</v>
      </c>
      <c r="Y42" s="55">
        <v>6.1860705073086839</v>
      </c>
      <c r="DA42" s="101" t="s">
        <v>208</v>
      </c>
    </row>
    <row r="43" spans="1:105" ht="12" customHeight="1" x14ac:dyDescent="0.25">
      <c r="A43" s="61" t="s">
        <v>151</v>
      </c>
      <c r="B43" s="309">
        <v>2.9224421752360783</v>
      </c>
      <c r="C43" s="309">
        <v>3.8948317967183792</v>
      </c>
      <c r="D43" s="55">
        <v>5.4251337495784169</v>
      </c>
      <c r="E43" s="55">
        <v>7.6351866052934412</v>
      </c>
      <c r="F43" s="55">
        <v>12.308670021809519</v>
      </c>
      <c r="G43" s="55">
        <v>14.865204515203521</v>
      </c>
      <c r="H43" s="55">
        <v>21.000307153565139</v>
      </c>
      <c r="I43" s="55">
        <v>30.77645045250074</v>
      </c>
      <c r="J43" s="55">
        <v>41.31075992632141</v>
      </c>
      <c r="K43" s="55">
        <v>54.579899147933148</v>
      </c>
      <c r="L43" s="55">
        <v>64.321623920448729</v>
      </c>
      <c r="M43" s="55">
        <v>74.588186652901271</v>
      </c>
      <c r="N43" s="55">
        <v>110.01610555109238</v>
      </c>
      <c r="O43" s="55">
        <v>128.04588447361959</v>
      </c>
      <c r="P43" s="55">
        <v>171.77348971497608</v>
      </c>
      <c r="Q43" s="55">
        <v>222.15797528078593</v>
      </c>
      <c r="R43" s="55">
        <v>225.40310835906155</v>
      </c>
      <c r="S43" s="55">
        <v>228.36887360275119</v>
      </c>
      <c r="T43" s="55">
        <v>254.4186586414443</v>
      </c>
      <c r="U43" s="55">
        <v>271.52003439380934</v>
      </c>
      <c r="V43" s="55">
        <v>303.31040412725719</v>
      </c>
      <c r="W43" s="55">
        <v>340.749957007739</v>
      </c>
      <c r="X43" s="55">
        <v>357.8202923473778</v>
      </c>
      <c r="Y43" s="55">
        <v>398.19750644883857</v>
      </c>
      <c r="DA43" s="101" t="s">
        <v>209</v>
      </c>
    </row>
    <row r="44" spans="1:105" ht="12" customHeight="1" x14ac:dyDescent="0.25">
      <c r="A44" s="60" t="s">
        <v>162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</v>
      </c>
      <c r="N44" s="55">
        <v>0</v>
      </c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>
        <v>0</v>
      </c>
      <c r="U44" s="55">
        <v>0</v>
      </c>
      <c r="V44" s="55">
        <v>0</v>
      </c>
      <c r="W44" s="55">
        <v>0</v>
      </c>
      <c r="X44" s="55">
        <v>0</v>
      </c>
      <c r="Y44" s="55">
        <v>0</v>
      </c>
      <c r="DA44" s="101" t="s">
        <v>210</v>
      </c>
    </row>
    <row r="45" spans="1:105" ht="12" customHeight="1" x14ac:dyDescent="0.25">
      <c r="A45" s="62" t="s">
        <v>24</v>
      </c>
      <c r="B45" s="63">
        <v>1065.262252794497</v>
      </c>
      <c r="C45" s="63">
        <v>1147.6354256233883</v>
      </c>
      <c r="D45" s="63">
        <v>1213.0696474634569</v>
      </c>
      <c r="E45" s="63">
        <v>1301.4617368873608</v>
      </c>
      <c r="F45" s="63">
        <v>1375.838349097163</v>
      </c>
      <c r="G45" s="63">
        <v>1429.3207222699914</v>
      </c>
      <c r="H45" s="63">
        <v>1538.7790197764398</v>
      </c>
      <c r="I45" s="63">
        <v>1626.3972484952706</v>
      </c>
      <c r="J45" s="63">
        <v>1706.2768701633704</v>
      </c>
      <c r="K45" s="63">
        <v>1712.0378331900256</v>
      </c>
      <c r="L45" s="63">
        <v>1559.5012897678421</v>
      </c>
      <c r="M45" s="63">
        <v>1458.8134135855541</v>
      </c>
      <c r="N45" s="63">
        <v>1599.4838537613871</v>
      </c>
      <c r="O45" s="63">
        <v>1471.4575425662592</v>
      </c>
      <c r="P45" s="63">
        <v>1454.9008405721095</v>
      </c>
      <c r="Q45" s="63">
        <v>1554.2876635469102</v>
      </c>
      <c r="R45" s="63">
        <v>1669.4252514322418</v>
      </c>
      <c r="S45" s="63">
        <v>1651.9232644412114</v>
      </c>
      <c r="T45" s="63">
        <v>1528.3617408695161</v>
      </c>
      <c r="U45" s="63">
        <v>1537.2095587382705</v>
      </c>
      <c r="V45" s="63">
        <v>1338.8333431771186</v>
      </c>
      <c r="W45" s="63">
        <v>1418.2202959285974</v>
      </c>
      <c r="X45" s="63">
        <v>1474.0741272881232</v>
      </c>
      <c r="Y45" s="63">
        <v>1453.0214988591165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1328.7188306104904</v>
      </c>
      <c r="C47" s="82">
        <f t="shared" ref="C47:W47" si="34">SUM(C48,C53)</f>
        <v>1487.7328460877047</v>
      </c>
      <c r="D47" s="82">
        <f t="shared" si="34"/>
        <v>1559.6447119518491</v>
      </c>
      <c r="E47" s="82">
        <f t="shared" si="34"/>
        <v>1685.7910576096308</v>
      </c>
      <c r="F47" s="82">
        <f t="shared" si="34"/>
        <v>1803.7120378331908</v>
      </c>
      <c r="G47" s="82">
        <f t="shared" si="34"/>
        <v>1965.5090283748925</v>
      </c>
      <c r="H47" s="82">
        <f t="shared" si="34"/>
        <v>2101.7490111779871</v>
      </c>
      <c r="I47" s="82">
        <f t="shared" si="34"/>
        <v>2159.3168529664654</v>
      </c>
      <c r="J47" s="82">
        <f t="shared" si="34"/>
        <v>2243.2104041272569</v>
      </c>
      <c r="K47" s="82">
        <f t="shared" si="34"/>
        <v>2165.8944110060188</v>
      </c>
      <c r="L47" s="82">
        <f t="shared" si="34"/>
        <v>1969.187274290628</v>
      </c>
      <c r="M47" s="82">
        <f t="shared" si="34"/>
        <v>1881.0360275150465</v>
      </c>
      <c r="N47" s="82">
        <f t="shared" si="34"/>
        <v>1954.5436989892464</v>
      </c>
      <c r="O47" s="82">
        <f t="shared" si="34"/>
        <v>1832.6111969084777</v>
      </c>
      <c r="P47" s="82">
        <f t="shared" si="34"/>
        <v>1724.2166617243022</v>
      </c>
      <c r="Q47" s="82">
        <f t="shared" si="34"/>
        <v>1888.7425216724478</v>
      </c>
      <c r="R47" s="82">
        <f t="shared" si="34"/>
        <v>2035.6047011312958</v>
      </c>
      <c r="S47" s="82">
        <f t="shared" si="34"/>
        <v>1960.6100228247019</v>
      </c>
      <c r="T47" s="82">
        <f t="shared" si="34"/>
        <v>1836.8851286597135</v>
      </c>
      <c r="U47" s="82">
        <f t="shared" si="34"/>
        <v>1861.6234882309614</v>
      </c>
      <c r="V47" s="82">
        <f t="shared" si="34"/>
        <v>1597.7877713800422</v>
      </c>
      <c r="W47" s="82">
        <f t="shared" si="34"/>
        <v>1701.1355151891303</v>
      </c>
      <c r="X47" s="82">
        <f t="shared" ref="X47:Y47" si="35">SUM(X48,X53)</f>
        <v>1743.6002665830506</v>
      </c>
      <c r="Y47" s="82">
        <f t="shared" si="35"/>
        <v>1734.3269158840521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925.21512477852116</v>
      </c>
      <c r="C48" s="64">
        <f t="shared" ref="C48:W48" si="37">SUM(C49:C52)</f>
        <v>1068.2241502896038</v>
      </c>
      <c r="D48" s="64">
        <f t="shared" si="37"/>
        <v>1121.7624644334746</v>
      </c>
      <c r="E48" s="64">
        <f t="shared" si="37"/>
        <v>1225.8814412950842</v>
      </c>
      <c r="F48" s="64">
        <f t="shared" si="37"/>
        <v>1319.5879266239667</v>
      </c>
      <c r="G48" s="64">
        <f t="shared" si="37"/>
        <v>1459.3953364193799</v>
      </c>
      <c r="H48" s="64">
        <f t="shared" si="37"/>
        <v>1571.7554275942189</v>
      </c>
      <c r="I48" s="64">
        <f t="shared" si="37"/>
        <v>1609.9513358463801</v>
      </c>
      <c r="J48" s="64">
        <f t="shared" si="37"/>
        <v>1675.6423524352988</v>
      </c>
      <c r="K48" s="64">
        <f t="shared" si="37"/>
        <v>1589.1819210807773</v>
      </c>
      <c r="L48" s="64">
        <f t="shared" si="37"/>
        <v>1393.6884671720263</v>
      </c>
      <c r="M48" s="64">
        <f t="shared" si="37"/>
        <v>1306.200239205285</v>
      </c>
      <c r="N48" s="64">
        <f t="shared" si="37"/>
        <v>1374.9826806375131</v>
      </c>
      <c r="O48" s="64">
        <f t="shared" si="37"/>
        <v>1250.3077662285893</v>
      </c>
      <c r="P48" s="64">
        <f t="shared" si="37"/>
        <v>1135.3186506779784</v>
      </c>
      <c r="Q48" s="64">
        <f t="shared" si="37"/>
        <v>1288.5285377048604</v>
      </c>
      <c r="R48" s="64">
        <f t="shared" si="37"/>
        <v>1425.8967126296775</v>
      </c>
      <c r="S48" s="64">
        <f t="shared" si="37"/>
        <v>1354.5604677622891</v>
      </c>
      <c r="T48" s="64">
        <f t="shared" si="37"/>
        <v>1239.5031563955404</v>
      </c>
      <c r="U48" s="64">
        <f t="shared" si="37"/>
        <v>1277.7798196747867</v>
      </c>
      <c r="V48" s="64">
        <f t="shared" si="37"/>
        <v>1057.9054354052998</v>
      </c>
      <c r="W48" s="64">
        <f t="shared" si="37"/>
        <v>1158.8995552042788</v>
      </c>
      <c r="X48" s="64">
        <f t="shared" ref="X48:Y48" si="38">SUM(X49:X52)</f>
        <v>1205.5922457848919</v>
      </c>
      <c r="Y48" s="64">
        <f t="shared" si="38"/>
        <v>1203.1955244419223</v>
      </c>
      <c r="DA48" s="108" t="s">
        <v>213</v>
      </c>
    </row>
    <row r="49" spans="1:105" ht="12" customHeight="1" x14ac:dyDescent="0.25">
      <c r="A49" s="61" t="s">
        <v>32</v>
      </c>
      <c r="B49" s="65">
        <v>371.26675405306969</v>
      </c>
      <c r="C49" s="65">
        <v>465.13733086685329</v>
      </c>
      <c r="D49" s="65">
        <v>487.22332745865879</v>
      </c>
      <c r="E49" s="65">
        <v>552.91292701274892</v>
      </c>
      <c r="F49" s="65">
        <v>622.62218890287613</v>
      </c>
      <c r="G49" s="65">
        <v>721.07165560896362</v>
      </c>
      <c r="H49" s="65">
        <v>811.04910462547946</v>
      </c>
      <c r="I49" s="65">
        <v>823.06785830123908</v>
      </c>
      <c r="J49" s="65">
        <v>878.69173968264545</v>
      </c>
      <c r="K49" s="65">
        <v>797.15814892040316</v>
      </c>
      <c r="L49" s="65">
        <v>578.05619570174213</v>
      </c>
      <c r="M49" s="65">
        <v>494.91531658667327</v>
      </c>
      <c r="N49" s="65">
        <v>515.73178690614145</v>
      </c>
      <c r="O49" s="65">
        <v>423.59131478488803</v>
      </c>
      <c r="P49" s="65">
        <v>315.30752525793821</v>
      </c>
      <c r="Q49" s="65">
        <v>455.87382474106153</v>
      </c>
      <c r="R49" s="65">
        <v>589.66843414674156</v>
      </c>
      <c r="S49" s="65">
        <v>521.02172092805972</v>
      </c>
      <c r="T49" s="65">
        <v>422.58776939208292</v>
      </c>
      <c r="U49" s="65">
        <v>459.91383093491277</v>
      </c>
      <c r="V49" s="65">
        <v>354.51992570845493</v>
      </c>
      <c r="W49" s="65">
        <v>391.54114109045759</v>
      </c>
      <c r="X49" s="65">
        <v>438.99715710854559</v>
      </c>
      <c r="Y49" s="65">
        <v>431.0146791456192</v>
      </c>
      <c r="DA49" s="109" t="s">
        <v>214</v>
      </c>
    </row>
    <row r="50" spans="1:105" ht="12" customHeight="1" x14ac:dyDescent="0.25">
      <c r="A50" s="61" t="s">
        <v>31</v>
      </c>
      <c r="B50" s="65">
        <v>38.28095744844606</v>
      </c>
      <c r="C50" s="65">
        <v>48.268291633730989</v>
      </c>
      <c r="D50" s="65">
        <v>39.988184922564642</v>
      </c>
      <c r="E50" s="65">
        <v>55.442210102439113</v>
      </c>
      <c r="F50" s="65">
        <v>35.178444517730483</v>
      </c>
      <c r="G50" s="65">
        <v>36.189784571520114</v>
      </c>
      <c r="H50" s="65">
        <v>44.611195844263406</v>
      </c>
      <c r="I50" s="65">
        <v>68.34016449000616</v>
      </c>
      <c r="J50" s="65">
        <v>66.875780839884385</v>
      </c>
      <c r="K50" s="65">
        <v>47.357086552453694</v>
      </c>
      <c r="L50" s="65">
        <v>60.862572077723812</v>
      </c>
      <c r="M50" s="65">
        <v>53.360724326850587</v>
      </c>
      <c r="N50" s="65">
        <v>89.901571441279032</v>
      </c>
      <c r="O50" s="65">
        <v>58.757583432347133</v>
      </c>
      <c r="P50" s="65">
        <v>50.444428577472408</v>
      </c>
      <c r="Q50" s="65">
        <v>66.329184259534699</v>
      </c>
      <c r="R50" s="65">
        <v>73.066451791325335</v>
      </c>
      <c r="S50" s="65">
        <v>75.339711673870966</v>
      </c>
      <c r="T50" s="65">
        <v>66.605487394387012</v>
      </c>
      <c r="U50" s="65">
        <v>86.645827869239824</v>
      </c>
      <c r="V50" s="65">
        <v>74.535794076240506</v>
      </c>
      <c r="W50" s="65">
        <v>99.244200964757241</v>
      </c>
      <c r="X50" s="65">
        <v>87.220732134350428</v>
      </c>
      <c r="Y50" s="65">
        <v>90.257487691570518</v>
      </c>
      <c r="DA50" s="109" t="s">
        <v>215</v>
      </c>
    </row>
    <row r="51" spans="1:105" ht="12" customHeight="1" x14ac:dyDescent="0.25">
      <c r="A51" s="61" t="s">
        <v>35</v>
      </c>
      <c r="B51" s="65">
        <v>244.95602660968984</v>
      </c>
      <c r="C51" s="65">
        <v>266.60394304560106</v>
      </c>
      <c r="D51" s="65">
        <v>288.29790704488846</v>
      </c>
      <c r="E51" s="65">
        <v>302.78385467907674</v>
      </c>
      <c r="F51" s="65">
        <v>319.65466162558505</v>
      </c>
      <c r="G51" s="65">
        <v>347.54137228630503</v>
      </c>
      <c r="H51" s="65">
        <v>356.09709384806007</v>
      </c>
      <c r="I51" s="65">
        <v>358.87084552037788</v>
      </c>
      <c r="J51" s="65">
        <v>367.80371986309763</v>
      </c>
      <c r="K51" s="65">
        <v>373.70460886817835</v>
      </c>
      <c r="L51" s="65">
        <v>379.27335764849505</v>
      </c>
      <c r="M51" s="65">
        <v>380.26989413186908</v>
      </c>
      <c r="N51" s="65">
        <v>377.11245163706093</v>
      </c>
      <c r="O51" s="65">
        <v>378.11736461939972</v>
      </c>
      <c r="P51" s="65">
        <v>386.21626768457111</v>
      </c>
      <c r="Q51" s="65">
        <v>388.19285535020401</v>
      </c>
      <c r="R51" s="65">
        <v>383.6666665661046</v>
      </c>
      <c r="S51" s="65">
        <v>379.25402856666767</v>
      </c>
      <c r="T51" s="65">
        <v>373.37088423985023</v>
      </c>
      <c r="U51" s="65">
        <v>361.77261115183387</v>
      </c>
      <c r="V51" s="65">
        <v>316.70847607784168</v>
      </c>
      <c r="W51" s="65">
        <v>315.79728342620479</v>
      </c>
      <c r="X51" s="65">
        <v>328.05600821818899</v>
      </c>
      <c r="Y51" s="65">
        <v>324.86938458493836</v>
      </c>
      <c r="DA51" s="109" t="s">
        <v>216</v>
      </c>
    </row>
    <row r="52" spans="1:105" ht="12" customHeight="1" x14ac:dyDescent="0.25">
      <c r="A52" s="66" t="s">
        <v>34</v>
      </c>
      <c r="B52" s="67">
        <v>270.71138666731548</v>
      </c>
      <c r="C52" s="67">
        <v>288.21458474341858</v>
      </c>
      <c r="D52" s="67">
        <v>306.25304500736274</v>
      </c>
      <c r="E52" s="67">
        <v>314.74244950081942</v>
      </c>
      <c r="F52" s="67">
        <v>342.13263157777499</v>
      </c>
      <c r="G52" s="67">
        <v>354.59252395259102</v>
      </c>
      <c r="H52" s="67">
        <v>359.99803327641609</v>
      </c>
      <c r="I52" s="67">
        <v>359.67246753475678</v>
      </c>
      <c r="J52" s="67">
        <v>362.27111204967133</v>
      </c>
      <c r="K52" s="67">
        <v>370.96207673974209</v>
      </c>
      <c r="L52" s="67">
        <v>375.49634174406543</v>
      </c>
      <c r="M52" s="67">
        <v>377.65430415989215</v>
      </c>
      <c r="N52" s="67">
        <v>392.23687065303159</v>
      </c>
      <c r="O52" s="67">
        <v>389.84150339195452</v>
      </c>
      <c r="P52" s="67">
        <v>383.35042915799659</v>
      </c>
      <c r="Q52" s="67">
        <v>378.1326733540601</v>
      </c>
      <c r="R52" s="67">
        <v>379.49516012550612</v>
      </c>
      <c r="S52" s="67">
        <v>378.94500659369078</v>
      </c>
      <c r="T52" s="67">
        <v>376.93901536922021</v>
      </c>
      <c r="U52" s="67">
        <v>369.44754971880025</v>
      </c>
      <c r="V52" s="67">
        <v>312.14123954276278</v>
      </c>
      <c r="W52" s="67">
        <v>352.31692972285907</v>
      </c>
      <c r="X52" s="67">
        <v>351.31834832380696</v>
      </c>
      <c r="Y52" s="67">
        <v>357.0539730197944</v>
      </c>
      <c r="DA52" s="110" t="s">
        <v>217</v>
      </c>
    </row>
    <row r="53" spans="1:105" ht="12" customHeight="1" x14ac:dyDescent="0.25">
      <c r="A53" s="78" t="s">
        <v>33</v>
      </c>
      <c r="B53" s="68">
        <v>403.50370583196928</v>
      </c>
      <c r="C53" s="68">
        <v>419.50869579810092</v>
      </c>
      <c r="D53" s="68">
        <v>437.88224751837447</v>
      </c>
      <c r="E53" s="68">
        <v>459.90961631454655</v>
      </c>
      <c r="F53" s="68">
        <v>484.12411120922417</v>
      </c>
      <c r="G53" s="68">
        <v>506.11369195551265</v>
      </c>
      <c r="H53" s="68">
        <v>529.99358358376844</v>
      </c>
      <c r="I53" s="68">
        <v>549.36551712008554</v>
      </c>
      <c r="J53" s="68">
        <v>567.56805169195809</v>
      </c>
      <c r="K53" s="68">
        <v>576.71248992524136</v>
      </c>
      <c r="L53" s="68">
        <v>575.49880711860158</v>
      </c>
      <c r="M53" s="68">
        <v>574.83578830976137</v>
      </c>
      <c r="N53" s="68">
        <v>579.5610183517332</v>
      </c>
      <c r="O53" s="68">
        <v>582.30343067988838</v>
      </c>
      <c r="P53" s="68">
        <v>588.89801104632375</v>
      </c>
      <c r="Q53" s="68">
        <v>600.2139839675873</v>
      </c>
      <c r="R53" s="68">
        <v>609.70798850161827</v>
      </c>
      <c r="S53" s="68">
        <v>606.04955506241276</v>
      </c>
      <c r="T53" s="68">
        <v>597.3819722641731</v>
      </c>
      <c r="U53" s="68">
        <v>583.84366855617463</v>
      </c>
      <c r="V53" s="68">
        <v>539.88233597474243</v>
      </c>
      <c r="W53" s="68">
        <v>542.23595998485143</v>
      </c>
      <c r="X53" s="68">
        <v>538.00802079815855</v>
      </c>
      <c r="Y53" s="68">
        <v>531.13139144212971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0.69632122572796218</v>
      </c>
      <c r="C56" s="70">
        <f t="shared" ref="C56:W56" si="43">IF(C48=0,0,C48/C$47)</f>
        <v>0.71802148692133527</v>
      </c>
      <c r="D56" s="70">
        <f t="shared" si="43"/>
        <v>0.71924230937802636</v>
      </c>
      <c r="E56" s="70">
        <f t="shared" si="43"/>
        <v>0.72718468624060928</v>
      </c>
      <c r="F56" s="70">
        <f t="shared" si="43"/>
        <v>0.73159567544340109</v>
      </c>
      <c r="G56" s="70">
        <f t="shared" si="43"/>
        <v>0.74250248426791821</v>
      </c>
      <c r="H56" s="70">
        <f t="shared" si="43"/>
        <v>0.74783212421414791</v>
      </c>
      <c r="I56" s="70">
        <f t="shared" si="43"/>
        <v>0.74558364773313934</v>
      </c>
      <c r="J56" s="70">
        <f t="shared" si="43"/>
        <v>0.74698403206061448</v>
      </c>
      <c r="K56" s="70">
        <f t="shared" si="43"/>
        <v>0.73373009921690091</v>
      </c>
      <c r="L56" s="70">
        <f t="shared" si="43"/>
        <v>0.70774805696125731</v>
      </c>
      <c r="M56" s="70">
        <f t="shared" si="43"/>
        <v>0.69440468980854575</v>
      </c>
      <c r="N56" s="70">
        <f t="shared" si="43"/>
        <v>0.7034801428837627</v>
      </c>
      <c r="O56" s="70">
        <f t="shared" si="43"/>
        <v>0.68225478941621398</v>
      </c>
      <c r="P56" s="70">
        <f t="shared" si="43"/>
        <v>0.65845474984715868</v>
      </c>
      <c r="Q56" s="70">
        <f t="shared" si="43"/>
        <v>0.68221503085761592</v>
      </c>
      <c r="R56" s="70">
        <f t="shared" si="43"/>
        <v>0.70047819787271537</v>
      </c>
      <c r="S56" s="70">
        <f t="shared" si="43"/>
        <v>0.69088725039298671</v>
      </c>
      <c r="T56" s="70">
        <f t="shared" si="43"/>
        <v>0.67478534016982661</v>
      </c>
      <c r="U56" s="70">
        <f t="shared" si="43"/>
        <v>0.68637929621795768</v>
      </c>
      <c r="V56" s="70">
        <f t="shared" si="43"/>
        <v>0.66210635376910232</v>
      </c>
      <c r="W56" s="70">
        <f t="shared" si="43"/>
        <v>0.68125057930815924</v>
      </c>
      <c r="X56" s="70">
        <f t="shared" ref="X56:Y56" si="44">IF(X48=0,0,X48/X$47)</f>
        <v>0.69143843855191767</v>
      </c>
      <c r="Y56" s="70">
        <f t="shared" si="44"/>
        <v>0.69375359018089622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0.27941709374472268</v>
      </c>
      <c r="C57" s="71">
        <f t="shared" ref="C57:W57" si="46">IF(C49=0,0,C49/C$47)</f>
        <v>0.31264842480961974</v>
      </c>
      <c r="D57" s="71">
        <f t="shared" si="46"/>
        <v>0.3123937931023491</v>
      </c>
      <c r="E57" s="71">
        <f t="shared" si="46"/>
        <v>0.32798425671847636</v>
      </c>
      <c r="F57" s="71">
        <f t="shared" si="46"/>
        <v>0.34518935164996489</v>
      </c>
      <c r="G57" s="71">
        <f t="shared" si="46"/>
        <v>0.36686255071804719</v>
      </c>
      <c r="H57" s="71">
        <f t="shared" si="46"/>
        <v>0.3858924639964042</v>
      </c>
      <c r="I57" s="71">
        <f t="shared" si="46"/>
        <v>0.38117048786541446</v>
      </c>
      <c r="J57" s="71">
        <f t="shared" si="46"/>
        <v>0.39171169056007882</v>
      </c>
      <c r="K57" s="71">
        <f t="shared" si="46"/>
        <v>0.36805032824759798</v>
      </c>
      <c r="L57" s="71">
        <f t="shared" si="46"/>
        <v>0.2935506456134187</v>
      </c>
      <c r="M57" s="71">
        <f t="shared" si="46"/>
        <v>0.26310783490972472</v>
      </c>
      <c r="N57" s="71">
        <f t="shared" si="46"/>
        <v>0.26386301169569243</v>
      </c>
      <c r="O57" s="71">
        <f t="shared" si="46"/>
        <v>0.23114085273486548</v>
      </c>
      <c r="P57" s="71">
        <f t="shared" si="46"/>
        <v>0.18287001410983644</v>
      </c>
      <c r="Q57" s="71">
        <f t="shared" si="46"/>
        <v>0.2413636689544075</v>
      </c>
      <c r="R57" s="71">
        <f t="shared" si="46"/>
        <v>0.28967728057369435</v>
      </c>
      <c r="S57" s="71">
        <f t="shared" si="46"/>
        <v>0.26574469928364958</v>
      </c>
      <c r="T57" s="71">
        <f t="shared" si="46"/>
        <v>0.23005672091233317</v>
      </c>
      <c r="U57" s="71">
        <f t="shared" si="46"/>
        <v>0.24704986472423246</v>
      </c>
      <c r="V57" s="71">
        <f t="shared" si="46"/>
        <v>0.2218817367729938</v>
      </c>
      <c r="W57" s="71">
        <f t="shared" si="46"/>
        <v>0.23016457983179928</v>
      </c>
      <c r="X57" s="71">
        <f t="shared" ref="X57:Y57" si="47">IF(X49=0,0,X49/X$47)</f>
        <v>0.25177626175112505</v>
      </c>
      <c r="Y57" s="71">
        <f t="shared" si="47"/>
        <v>0.24851985816406169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2.8810427433212164E-2</v>
      </c>
      <c r="C58" s="72">
        <f t="shared" ref="C58:W58" si="49">IF(C50=0,0,C50/C$47)</f>
        <v>3.2444193028783527E-2</v>
      </c>
      <c r="D58" s="72">
        <f t="shared" si="49"/>
        <v>2.5639291189927874E-2</v>
      </c>
      <c r="E58" s="72">
        <f t="shared" si="49"/>
        <v>3.2887948866601208E-2</v>
      </c>
      <c r="F58" s="72">
        <f t="shared" si="49"/>
        <v>1.9503359616089573E-2</v>
      </c>
      <c r="G58" s="72">
        <f t="shared" si="49"/>
        <v>1.8412423473547858E-2</v>
      </c>
      <c r="H58" s="72">
        <f t="shared" si="49"/>
        <v>2.1225748463304734E-2</v>
      </c>
      <c r="I58" s="72">
        <f t="shared" si="49"/>
        <v>3.1648974719074033E-2</v>
      </c>
      <c r="J58" s="72">
        <f t="shared" si="49"/>
        <v>2.9812531502546712E-2</v>
      </c>
      <c r="K58" s="72">
        <f t="shared" si="49"/>
        <v>2.186491008601716E-2</v>
      </c>
      <c r="L58" s="72">
        <f t="shared" si="49"/>
        <v>3.0907457544711536E-2</v>
      </c>
      <c r="M58" s="72">
        <f t="shared" si="49"/>
        <v>2.8367731157889133E-2</v>
      </c>
      <c r="N58" s="72">
        <f t="shared" si="49"/>
        <v>4.5996194143814666E-2</v>
      </c>
      <c r="O58" s="72">
        <f t="shared" si="49"/>
        <v>3.2062220034161204E-2</v>
      </c>
      <c r="P58" s="72">
        <f t="shared" si="49"/>
        <v>2.9256432615043564E-2</v>
      </c>
      <c r="Q58" s="72">
        <f t="shared" si="49"/>
        <v>3.5118171745718622E-2</v>
      </c>
      <c r="R58" s="72">
        <f t="shared" si="49"/>
        <v>3.5894224330842994E-2</v>
      </c>
      <c r="S58" s="72">
        <f t="shared" si="49"/>
        <v>3.8426668637206639E-2</v>
      </c>
      <c r="T58" s="72">
        <f t="shared" si="49"/>
        <v>3.6260017763324062E-2</v>
      </c>
      <c r="U58" s="72">
        <f t="shared" si="49"/>
        <v>4.6543153552266611E-2</v>
      </c>
      <c r="V58" s="72">
        <f t="shared" si="49"/>
        <v>4.6649370718279064E-2</v>
      </c>
      <c r="W58" s="72">
        <f t="shared" si="49"/>
        <v>5.8339973552150183E-2</v>
      </c>
      <c r="X58" s="72">
        <f t="shared" ref="X58:Y58" si="50">IF(X50=0,0,X50/X$47)</f>
        <v>5.0023353291450051E-2</v>
      </c>
      <c r="Y58" s="72">
        <f t="shared" si="50"/>
        <v>5.2041796079468017E-2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0.18435505011782127</v>
      </c>
      <c r="C59" s="72">
        <f t="shared" ref="C59:W59" si="52">IF(C51=0,0,C51/C$47)</f>
        <v>0.17920149020483764</v>
      </c>
      <c r="D59" s="72">
        <f t="shared" si="52"/>
        <v>0.18484844967293365</v>
      </c>
      <c r="E59" s="72">
        <f t="shared" si="52"/>
        <v>0.17960936102509015</v>
      </c>
      <c r="F59" s="72">
        <f t="shared" si="52"/>
        <v>0.17722045144722101</v>
      </c>
      <c r="G59" s="72">
        <f t="shared" si="52"/>
        <v>0.17682003352264253</v>
      </c>
      <c r="H59" s="72">
        <f t="shared" si="52"/>
        <v>0.169428933690077</v>
      </c>
      <c r="I59" s="72">
        <f t="shared" si="52"/>
        <v>0.16619647321668507</v>
      </c>
      <c r="J59" s="72">
        <f t="shared" si="52"/>
        <v>0.1639630946728759</v>
      </c>
      <c r="K59" s="72">
        <f t="shared" si="52"/>
        <v>0.17254054813069089</v>
      </c>
      <c r="L59" s="72">
        <f t="shared" si="52"/>
        <v>0.19260400602838698</v>
      </c>
      <c r="M59" s="72">
        <f t="shared" si="52"/>
        <v>0.20215981436263442</v>
      </c>
      <c r="N59" s="72">
        <f t="shared" si="52"/>
        <v>0.19294142762429778</v>
      </c>
      <c r="O59" s="72">
        <f t="shared" si="52"/>
        <v>0.20632710596621071</v>
      </c>
      <c r="P59" s="72">
        <f t="shared" si="52"/>
        <v>0.22399520678470633</v>
      </c>
      <c r="Q59" s="72">
        <f t="shared" si="52"/>
        <v>0.20552979079777703</v>
      </c>
      <c r="R59" s="72">
        <f t="shared" si="52"/>
        <v>0.18847798217054629</v>
      </c>
      <c r="S59" s="72">
        <f t="shared" si="52"/>
        <v>0.19343674884425335</v>
      </c>
      <c r="T59" s="72">
        <f t="shared" si="52"/>
        <v>0.20326305571011996</v>
      </c>
      <c r="U59" s="72">
        <f t="shared" si="52"/>
        <v>0.19433178268265958</v>
      </c>
      <c r="V59" s="72">
        <f t="shared" si="52"/>
        <v>0.19821686068124933</v>
      </c>
      <c r="W59" s="72">
        <f t="shared" si="52"/>
        <v>0.18563911023343418</v>
      </c>
      <c r="X59" s="72">
        <f t="shared" ref="X59:Y59" si="53">IF(X51=0,0,X51/X$47)</f>
        <v>0.18814863389593497</v>
      </c>
      <c r="Y59" s="72">
        <f t="shared" si="53"/>
        <v>0.1873172708153123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0.20373865443220593</v>
      </c>
      <c r="C60" s="73">
        <f t="shared" ref="C60:W60" si="55">IF(C52=0,0,C52/C$47)</f>
        <v>0.19372737887809446</v>
      </c>
      <c r="D60" s="73">
        <f t="shared" si="55"/>
        <v>0.19636077541281574</v>
      </c>
      <c r="E60" s="73">
        <f t="shared" si="55"/>
        <v>0.18670311963044151</v>
      </c>
      <c r="F60" s="73">
        <f t="shared" si="55"/>
        <v>0.1896825127301256</v>
      </c>
      <c r="G60" s="73">
        <f t="shared" si="55"/>
        <v>0.18040747655368064</v>
      </c>
      <c r="H60" s="73">
        <f t="shared" si="55"/>
        <v>0.17128497806436202</v>
      </c>
      <c r="I60" s="73">
        <f t="shared" si="55"/>
        <v>0.16656771193196562</v>
      </c>
      <c r="J60" s="73">
        <f t="shared" si="55"/>
        <v>0.161496715325113</v>
      </c>
      <c r="K60" s="73">
        <f t="shared" si="55"/>
        <v>0.17127431275259486</v>
      </c>
      <c r="L60" s="73">
        <f t="shared" si="55"/>
        <v>0.19068594777474007</v>
      </c>
      <c r="M60" s="73">
        <f t="shared" si="55"/>
        <v>0.20076930937829754</v>
      </c>
      <c r="N60" s="73">
        <f t="shared" si="55"/>
        <v>0.20067950941995777</v>
      </c>
      <c r="O60" s="73">
        <f t="shared" si="55"/>
        <v>0.21272461068097662</v>
      </c>
      <c r="P60" s="73">
        <f t="shared" si="55"/>
        <v>0.22233309633757231</v>
      </c>
      <c r="Q60" s="73">
        <f t="shared" si="55"/>
        <v>0.20020339935971282</v>
      </c>
      <c r="R60" s="73">
        <f t="shared" si="55"/>
        <v>0.18642871079763182</v>
      </c>
      <c r="S60" s="73">
        <f t="shared" si="55"/>
        <v>0.19327913362787713</v>
      </c>
      <c r="T60" s="73">
        <f t="shared" si="55"/>
        <v>0.20520554578404934</v>
      </c>
      <c r="U60" s="73">
        <f t="shared" si="55"/>
        <v>0.19845449525879905</v>
      </c>
      <c r="V60" s="73">
        <f t="shared" si="55"/>
        <v>0.19535838559658017</v>
      </c>
      <c r="W60" s="73">
        <f t="shared" si="55"/>
        <v>0.20710691569077547</v>
      </c>
      <c r="X60" s="73">
        <f t="shared" ref="X60:Y60" si="56">IF(X52=0,0,X52/X$47)</f>
        <v>0.20149018961340764</v>
      </c>
      <c r="Y60" s="73">
        <f t="shared" si="56"/>
        <v>0.20587466512205427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0.30367877427203793</v>
      </c>
      <c r="C61" s="70">
        <f t="shared" ref="C61:W61" si="58">IF(C53=0,0,C53/C$47)</f>
        <v>0.28197851307866473</v>
      </c>
      <c r="D61" s="70">
        <f t="shared" si="58"/>
        <v>0.28075769062197364</v>
      </c>
      <c r="E61" s="70">
        <f t="shared" si="58"/>
        <v>0.27281531375939072</v>
      </c>
      <c r="F61" s="70">
        <f t="shared" si="58"/>
        <v>0.26840432455659891</v>
      </c>
      <c r="G61" s="70">
        <f t="shared" si="58"/>
        <v>0.25749751573208179</v>
      </c>
      <c r="H61" s="70">
        <f t="shared" si="58"/>
        <v>0.25216787578585226</v>
      </c>
      <c r="I61" s="70">
        <f t="shared" si="58"/>
        <v>0.25441635226686082</v>
      </c>
      <c r="J61" s="70">
        <f t="shared" si="58"/>
        <v>0.25301596793938552</v>
      </c>
      <c r="K61" s="70">
        <f t="shared" si="58"/>
        <v>0.26626990078309903</v>
      </c>
      <c r="L61" s="70">
        <f t="shared" si="58"/>
        <v>0.29225194303874269</v>
      </c>
      <c r="M61" s="70">
        <f t="shared" si="58"/>
        <v>0.30559531019145419</v>
      </c>
      <c r="N61" s="70">
        <f t="shared" si="58"/>
        <v>0.29651985711623724</v>
      </c>
      <c r="O61" s="70">
        <f t="shared" si="58"/>
        <v>0.31774521058378602</v>
      </c>
      <c r="P61" s="70">
        <f t="shared" si="58"/>
        <v>0.34154525015284132</v>
      </c>
      <c r="Q61" s="70">
        <f t="shared" si="58"/>
        <v>0.31778496914238397</v>
      </c>
      <c r="R61" s="70">
        <f t="shared" si="58"/>
        <v>0.29952180212728458</v>
      </c>
      <c r="S61" s="70">
        <f t="shared" si="58"/>
        <v>0.30911274960701335</v>
      </c>
      <c r="T61" s="70">
        <f t="shared" si="58"/>
        <v>0.32521465983017345</v>
      </c>
      <c r="U61" s="70">
        <f t="shared" si="58"/>
        <v>0.31362070378204232</v>
      </c>
      <c r="V61" s="70">
        <f t="shared" si="58"/>
        <v>0.33789364623089768</v>
      </c>
      <c r="W61" s="70">
        <f t="shared" si="58"/>
        <v>0.31874942069184081</v>
      </c>
      <c r="X61" s="70">
        <f t="shared" ref="X61:Y61" si="59">IF(X53=0,0,X53/X$47)</f>
        <v>0.30856156144808222</v>
      </c>
      <c r="Y61" s="70">
        <f t="shared" si="59"/>
        <v>0.30624640981910373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779.29659792000029</v>
      </c>
      <c r="C65" s="80">
        <v>1013.5760133600002</v>
      </c>
      <c r="D65" s="80">
        <v>1032.3528372000001</v>
      </c>
      <c r="E65" s="80">
        <v>1133.7215734800002</v>
      </c>
      <c r="F65" s="80">
        <v>1225.4703195600005</v>
      </c>
      <c r="G65" s="80">
        <v>1539.77010696</v>
      </c>
      <c r="H65" s="80">
        <v>1608.5975677199999</v>
      </c>
      <c r="I65" s="80">
        <v>1514.4599919599998</v>
      </c>
      <c r="J65" s="80">
        <v>1510.5340832400002</v>
      </c>
      <c r="K65" s="80">
        <v>1232.38997316</v>
      </c>
      <c r="L65" s="80">
        <v>1095.8963194799999</v>
      </c>
      <c r="M65" s="80">
        <v>1078.9436304000001</v>
      </c>
      <c r="N65" s="80">
        <v>803.50164252000013</v>
      </c>
      <c r="O65" s="80">
        <v>858.27907907999997</v>
      </c>
      <c r="P65" s="80">
        <v>614.63318939999999</v>
      </c>
      <c r="Q65" s="80">
        <v>732.89761559999999</v>
      </c>
      <c r="R65" s="80">
        <v>867.15783972000008</v>
      </c>
      <c r="S65" s="80">
        <v>708.2180161199999</v>
      </c>
      <c r="T65" s="80">
        <v>680.73654060000013</v>
      </c>
      <c r="U65" s="80">
        <v>714.92015628000001</v>
      </c>
      <c r="V65" s="80">
        <v>570.46517748000008</v>
      </c>
      <c r="W65" s="80">
        <v>611.522334</v>
      </c>
      <c r="X65" s="80">
        <v>606.03220538354333</v>
      </c>
      <c r="Y65" s="80">
        <v>656.73227303259546</v>
      </c>
      <c r="DA65" s="103" t="s">
        <v>219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X66" s="59">
        <v>17.127499583543187</v>
      </c>
      <c r="Y66" s="59">
        <v>54.302000752595369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759.10039596000024</v>
      </c>
      <c r="C67" s="55">
        <f t="shared" ref="C67:W67" si="60">SUM(C68:C69)</f>
        <v>984.94818336000014</v>
      </c>
      <c r="D67" s="55">
        <f t="shared" si="60"/>
        <v>989.68858524000007</v>
      </c>
      <c r="E67" s="55">
        <f t="shared" si="60"/>
        <v>1068.7409434800002</v>
      </c>
      <c r="F67" s="55">
        <f t="shared" si="60"/>
        <v>1123.2779536800003</v>
      </c>
      <c r="G67" s="55">
        <f t="shared" si="60"/>
        <v>1366.38542736</v>
      </c>
      <c r="H67" s="55">
        <f t="shared" si="60"/>
        <v>1398.1534300799999</v>
      </c>
      <c r="I67" s="55">
        <f t="shared" si="60"/>
        <v>1267.9187356799998</v>
      </c>
      <c r="J67" s="55">
        <f t="shared" si="60"/>
        <v>1207.9961856</v>
      </c>
      <c r="K67" s="55">
        <f t="shared" si="60"/>
        <v>892.24086275999991</v>
      </c>
      <c r="L67" s="55">
        <f t="shared" si="60"/>
        <v>769.53259475999982</v>
      </c>
      <c r="M67" s="55">
        <f t="shared" si="60"/>
        <v>691.88628059999996</v>
      </c>
      <c r="N67" s="55">
        <f t="shared" si="60"/>
        <v>479.40915996000007</v>
      </c>
      <c r="O67" s="55">
        <f t="shared" si="60"/>
        <v>565.48595339999997</v>
      </c>
      <c r="P67" s="55">
        <f t="shared" si="60"/>
        <v>320.32617155999998</v>
      </c>
      <c r="Q67" s="55">
        <f t="shared" si="60"/>
        <v>343.6219371599999</v>
      </c>
      <c r="R67" s="55">
        <f t="shared" si="60"/>
        <v>519.48369972</v>
      </c>
      <c r="S67" s="55">
        <f t="shared" si="60"/>
        <v>354.24534960000005</v>
      </c>
      <c r="T67" s="55">
        <f t="shared" si="60"/>
        <v>342.62763012000005</v>
      </c>
      <c r="U67" s="55">
        <f t="shared" si="60"/>
        <v>355.67451611999996</v>
      </c>
      <c r="V67" s="55">
        <f t="shared" si="60"/>
        <v>248.68291535999998</v>
      </c>
      <c r="W67" s="55">
        <f t="shared" si="60"/>
        <v>276.3010476</v>
      </c>
      <c r="X67" s="55">
        <f t="shared" ref="X67:Y67" si="61">SUM(X68:X69)</f>
        <v>333.49437612000003</v>
      </c>
      <c r="Y67" s="55">
        <f t="shared" si="61"/>
        <v>359.10401724000013</v>
      </c>
      <c r="DA67" s="101"/>
    </row>
    <row r="68" spans="1:105" ht="12" customHeight="1" x14ac:dyDescent="0.25">
      <c r="A68" s="61" t="s">
        <v>52</v>
      </c>
      <c r="B68" s="55">
        <v>71.631044280000026</v>
      </c>
      <c r="C68" s="55">
        <v>74.615699520000007</v>
      </c>
      <c r="D68" s="55">
        <v>50.738684760000005</v>
      </c>
      <c r="E68" s="55">
        <v>59.692650479999998</v>
      </c>
      <c r="F68" s="55">
        <v>143.26231572</v>
      </c>
      <c r="G68" s="55">
        <v>128.33903952000003</v>
      </c>
      <c r="H68" s="55">
        <v>125.35438427999999</v>
      </c>
      <c r="I68" s="55">
        <v>119.38530096000001</v>
      </c>
      <c r="J68" s="55">
        <v>116.40064572000001</v>
      </c>
      <c r="K68" s="55">
        <v>110.29890096000001</v>
      </c>
      <c r="L68" s="55">
        <v>116.10397476</v>
      </c>
      <c r="M68" s="55">
        <v>101.59094952</v>
      </c>
      <c r="N68" s="55">
        <v>272.84437476000011</v>
      </c>
      <c r="O68" s="55">
        <v>191.57152428000003</v>
      </c>
      <c r="P68" s="55">
        <v>110.29890096000001</v>
      </c>
      <c r="Q68" s="55">
        <v>124.81169904000001</v>
      </c>
      <c r="R68" s="55">
        <v>148.03267572000001</v>
      </c>
      <c r="S68" s="55">
        <v>165.02742396000002</v>
      </c>
      <c r="T68" s="55">
        <v>176.90175864000003</v>
      </c>
      <c r="U68" s="55">
        <v>198.72933588000001</v>
      </c>
      <c r="V68" s="55">
        <v>123.09936695999998</v>
      </c>
      <c r="W68" s="55">
        <v>181.97855747999998</v>
      </c>
      <c r="X68" s="55">
        <v>234.09178740000004</v>
      </c>
      <c r="Y68" s="55">
        <v>286.07144724000011</v>
      </c>
      <c r="DA68" s="101" t="s">
        <v>221</v>
      </c>
    </row>
    <row r="69" spans="1:105" ht="12" customHeight="1" x14ac:dyDescent="0.25">
      <c r="A69" s="61" t="s">
        <v>163</v>
      </c>
      <c r="B69" s="55">
        <v>687.46935168000027</v>
      </c>
      <c r="C69" s="55">
        <v>910.33248384000012</v>
      </c>
      <c r="D69" s="55">
        <v>938.94990048000011</v>
      </c>
      <c r="E69" s="55">
        <v>1009.0482930000002</v>
      </c>
      <c r="F69" s="55">
        <v>980.01563796000028</v>
      </c>
      <c r="G69" s="55">
        <v>1238.0463878400001</v>
      </c>
      <c r="H69" s="55">
        <v>1272.7990457999999</v>
      </c>
      <c r="I69" s="55">
        <v>1148.5334347199998</v>
      </c>
      <c r="J69" s="55">
        <v>1091.5955398799999</v>
      </c>
      <c r="K69" s="55">
        <v>781.94196179999994</v>
      </c>
      <c r="L69" s="55">
        <v>653.4286199999998</v>
      </c>
      <c r="M69" s="55">
        <v>590.29533107999998</v>
      </c>
      <c r="N69" s="55">
        <v>206.56478519999996</v>
      </c>
      <c r="O69" s="55">
        <v>373.91442911999991</v>
      </c>
      <c r="P69" s="55">
        <v>210.02727059999995</v>
      </c>
      <c r="Q69" s="55">
        <v>218.81023811999989</v>
      </c>
      <c r="R69" s="55">
        <v>371.45102399999996</v>
      </c>
      <c r="S69" s="55">
        <v>189.21792564000003</v>
      </c>
      <c r="T69" s="55">
        <v>165.72587148000002</v>
      </c>
      <c r="U69" s="55">
        <v>156.94518023999996</v>
      </c>
      <c r="V69" s="55">
        <v>125.5835484</v>
      </c>
      <c r="W69" s="55">
        <v>94.322490120000026</v>
      </c>
      <c r="X69" s="55">
        <v>99.402588719999983</v>
      </c>
      <c r="Y69" s="55">
        <v>73.032570000000021</v>
      </c>
      <c r="DA69" s="101" t="s">
        <v>222</v>
      </c>
    </row>
    <row r="70" spans="1:105" ht="12" customHeight="1" x14ac:dyDescent="0.25">
      <c r="A70" s="60" t="s">
        <v>149</v>
      </c>
      <c r="B70" s="55">
        <v>20.19620196</v>
      </c>
      <c r="C70" s="55">
        <v>28.627830000000007</v>
      </c>
      <c r="D70" s="55">
        <v>42.664251960000001</v>
      </c>
      <c r="E70" s="55">
        <v>64.980629999999991</v>
      </c>
      <c r="F70" s="55">
        <v>102.19236588000003</v>
      </c>
      <c r="G70" s="55">
        <v>173.3846796</v>
      </c>
      <c r="H70" s="55">
        <v>210.44413764000001</v>
      </c>
      <c r="I70" s="55">
        <v>246.54125627999991</v>
      </c>
      <c r="J70" s="55">
        <v>302.5378976400001</v>
      </c>
      <c r="K70" s="55">
        <v>340.1491104000001</v>
      </c>
      <c r="L70" s="55">
        <v>326.36372472000005</v>
      </c>
      <c r="M70" s="55">
        <v>387.05734980000005</v>
      </c>
      <c r="N70" s="55">
        <v>324.09248256000012</v>
      </c>
      <c r="O70" s="55">
        <v>292.79312568000006</v>
      </c>
      <c r="P70" s="55">
        <v>294.30701784000007</v>
      </c>
      <c r="Q70" s="55">
        <v>389.27567844000009</v>
      </c>
      <c r="R70" s="55">
        <v>347.67414000000002</v>
      </c>
      <c r="S70" s="55">
        <v>353.9726665199999</v>
      </c>
      <c r="T70" s="55">
        <v>338.10891048000002</v>
      </c>
      <c r="U70" s="55">
        <v>359.24564016000005</v>
      </c>
      <c r="V70" s="55">
        <v>321.7822621200001</v>
      </c>
      <c r="W70" s="55">
        <v>335.2212864</v>
      </c>
      <c r="X70" s="55">
        <v>255.4103296800001</v>
      </c>
      <c r="Y70" s="55">
        <v>243.32625503999998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62">SUM(C72:C76)</f>
        <v>0</v>
      </c>
      <c r="D71" s="55">
        <f t="shared" si="62"/>
        <v>0</v>
      </c>
      <c r="E71" s="55">
        <f t="shared" si="62"/>
        <v>0</v>
      </c>
      <c r="F71" s="55">
        <f t="shared" si="62"/>
        <v>0</v>
      </c>
      <c r="G71" s="55">
        <f t="shared" si="62"/>
        <v>0</v>
      </c>
      <c r="H71" s="55">
        <f t="shared" si="62"/>
        <v>0</v>
      </c>
      <c r="I71" s="55">
        <f t="shared" si="62"/>
        <v>0</v>
      </c>
      <c r="J71" s="55">
        <f t="shared" si="62"/>
        <v>0</v>
      </c>
      <c r="K71" s="55">
        <f t="shared" si="62"/>
        <v>0</v>
      </c>
      <c r="L71" s="55">
        <f t="shared" si="62"/>
        <v>0</v>
      </c>
      <c r="M71" s="55">
        <f t="shared" si="62"/>
        <v>0</v>
      </c>
      <c r="N71" s="55">
        <f t="shared" si="62"/>
        <v>0</v>
      </c>
      <c r="O71" s="55">
        <f t="shared" si="62"/>
        <v>0</v>
      </c>
      <c r="P71" s="55">
        <f t="shared" si="62"/>
        <v>0</v>
      </c>
      <c r="Q71" s="55">
        <f t="shared" si="62"/>
        <v>0</v>
      </c>
      <c r="R71" s="55">
        <f t="shared" si="62"/>
        <v>0</v>
      </c>
      <c r="S71" s="55">
        <f t="shared" si="62"/>
        <v>0</v>
      </c>
      <c r="T71" s="55">
        <f t="shared" si="62"/>
        <v>0</v>
      </c>
      <c r="U71" s="55">
        <f t="shared" si="62"/>
        <v>0</v>
      </c>
      <c r="V71" s="55">
        <f t="shared" si="62"/>
        <v>0</v>
      </c>
      <c r="W71" s="55">
        <f t="shared" si="62"/>
        <v>0</v>
      </c>
      <c r="X71" s="55">
        <f t="shared" ref="X71:Y71" si="63">SUM(X72:X76)</f>
        <v>0</v>
      </c>
      <c r="Y71" s="55">
        <f t="shared" si="63"/>
        <v>0</v>
      </c>
      <c r="DA71" s="101"/>
    </row>
    <row r="72" spans="1:105" ht="12" customHeight="1" x14ac:dyDescent="0.25">
      <c r="A72" s="61" t="s">
        <v>164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779.29659792000018</v>
      </c>
      <c r="C81" s="82">
        <f t="shared" ref="C81:W81" si="65">C82+C87</f>
        <v>1013.57601336</v>
      </c>
      <c r="D81" s="82">
        <f t="shared" si="65"/>
        <v>1032.3528372000001</v>
      </c>
      <c r="E81" s="82">
        <f t="shared" si="65"/>
        <v>1133.7215734799997</v>
      </c>
      <c r="F81" s="82">
        <f t="shared" si="65"/>
        <v>1225.4703195600009</v>
      </c>
      <c r="G81" s="82">
        <f t="shared" si="65"/>
        <v>1539.77010696</v>
      </c>
      <c r="H81" s="82">
        <f t="shared" si="65"/>
        <v>1608.5975677199995</v>
      </c>
      <c r="I81" s="82">
        <f t="shared" si="65"/>
        <v>1514.45999196</v>
      </c>
      <c r="J81" s="82">
        <f t="shared" si="65"/>
        <v>1510.5340832400002</v>
      </c>
      <c r="K81" s="82">
        <f t="shared" si="65"/>
        <v>1232.3899731599995</v>
      </c>
      <c r="L81" s="82">
        <f t="shared" si="65"/>
        <v>1095.8963194799996</v>
      </c>
      <c r="M81" s="82">
        <f t="shared" si="65"/>
        <v>1078.9436304000001</v>
      </c>
      <c r="N81" s="82">
        <f t="shared" si="65"/>
        <v>803.50164252000013</v>
      </c>
      <c r="O81" s="82">
        <f t="shared" si="65"/>
        <v>858.27907908000009</v>
      </c>
      <c r="P81" s="82">
        <f t="shared" si="65"/>
        <v>614.63318940000022</v>
      </c>
      <c r="Q81" s="82">
        <f t="shared" si="65"/>
        <v>732.89761559999999</v>
      </c>
      <c r="R81" s="82">
        <f t="shared" si="65"/>
        <v>867.15783971999974</v>
      </c>
      <c r="S81" s="82">
        <f t="shared" si="65"/>
        <v>708.21801611999979</v>
      </c>
      <c r="T81" s="82">
        <f t="shared" si="65"/>
        <v>680.73654059999967</v>
      </c>
      <c r="U81" s="82">
        <f t="shared" si="65"/>
        <v>714.92015628000013</v>
      </c>
      <c r="V81" s="82">
        <f t="shared" si="65"/>
        <v>570.46517748000008</v>
      </c>
      <c r="W81" s="82">
        <f t="shared" si="65"/>
        <v>611.52233399999989</v>
      </c>
      <c r="X81" s="82">
        <f t="shared" ref="X81:Y81" si="66">X82+X87</f>
        <v>606.03220538354321</v>
      </c>
      <c r="Y81" s="82">
        <f t="shared" si="66"/>
        <v>656.73227303259534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779.29659792000018</v>
      </c>
      <c r="C82" s="64">
        <f t="shared" ref="C82:W82" si="68">SUM(C83:C86)</f>
        <v>1013.57601336</v>
      </c>
      <c r="D82" s="64">
        <f t="shared" si="68"/>
        <v>1032.3528372000001</v>
      </c>
      <c r="E82" s="64">
        <f t="shared" si="68"/>
        <v>1133.7215734799997</v>
      </c>
      <c r="F82" s="64">
        <f t="shared" si="68"/>
        <v>1225.4703195600009</v>
      </c>
      <c r="G82" s="64">
        <f t="shared" si="68"/>
        <v>1539.77010696</v>
      </c>
      <c r="H82" s="64">
        <f t="shared" si="68"/>
        <v>1608.5975677199995</v>
      </c>
      <c r="I82" s="64">
        <f t="shared" si="68"/>
        <v>1514.45999196</v>
      </c>
      <c r="J82" s="64">
        <f t="shared" si="68"/>
        <v>1510.5340832400002</v>
      </c>
      <c r="K82" s="64">
        <f t="shared" si="68"/>
        <v>1232.3899731599995</v>
      </c>
      <c r="L82" s="64">
        <f t="shared" si="68"/>
        <v>1095.8963194799996</v>
      </c>
      <c r="M82" s="64">
        <f t="shared" si="68"/>
        <v>1078.9436304000001</v>
      </c>
      <c r="N82" s="64">
        <f t="shared" si="68"/>
        <v>803.50164252000013</v>
      </c>
      <c r="O82" s="64">
        <f t="shared" si="68"/>
        <v>858.27907908000009</v>
      </c>
      <c r="P82" s="64">
        <f t="shared" si="68"/>
        <v>614.63318940000022</v>
      </c>
      <c r="Q82" s="64">
        <f t="shared" si="68"/>
        <v>732.89761559999999</v>
      </c>
      <c r="R82" s="64">
        <f t="shared" si="68"/>
        <v>867.15783971999974</v>
      </c>
      <c r="S82" s="64">
        <f t="shared" si="68"/>
        <v>708.21801611999979</v>
      </c>
      <c r="T82" s="64">
        <f t="shared" si="68"/>
        <v>680.73654059999967</v>
      </c>
      <c r="U82" s="64">
        <f t="shared" si="68"/>
        <v>714.92015628000013</v>
      </c>
      <c r="V82" s="64">
        <f t="shared" si="68"/>
        <v>570.46517748000008</v>
      </c>
      <c r="W82" s="64">
        <f t="shared" si="68"/>
        <v>611.52233399999989</v>
      </c>
      <c r="X82" s="64">
        <f t="shared" ref="X82:Y82" si="69">SUM(X83:X86)</f>
        <v>606.03220538354321</v>
      </c>
      <c r="Y82" s="64">
        <f t="shared" si="69"/>
        <v>656.73227303259534</v>
      </c>
      <c r="DA82" s="108" t="s">
        <v>233</v>
      </c>
    </row>
    <row r="83" spans="1:105" ht="12" customHeight="1" x14ac:dyDescent="0.25">
      <c r="A83" s="61" t="s">
        <v>32</v>
      </c>
      <c r="B83" s="65">
        <v>660.67524620936092</v>
      </c>
      <c r="C83" s="65">
        <v>881.8606460831511</v>
      </c>
      <c r="D83" s="65">
        <v>915.88098500242893</v>
      </c>
      <c r="E83" s="65">
        <v>1000.2079387223387</v>
      </c>
      <c r="F83" s="65">
        <v>997.89881360657466</v>
      </c>
      <c r="G83" s="65">
        <v>1298.746734574629</v>
      </c>
      <c r="H83" s="65">
        <v>1357.652195962901</v>
      </c>
      <c r="I83" s="65">
        <v>1251.0946313997586</v>
      </c>
      <c r="J83" s="65">
        <v>1236.6611056166282</v>
      </c>
      <c r="K83" s="65">
        <v>948.88548625752128</v>
      </c>
      <c r="L83" s="65">
        <v>785.27197779019161</v>
      </c>
      <c r="M83" s="65">
        <v>780.86404293385976</v>
      </c>
      <c r="N83" s="65">
        <v>333.58641699469348</v>
      </c>
      <c r="O83" s="65">
        <v>464.89072486434577</v>
      </c>
      <c r="P83" s="65">
        <v>296.40957897783915</v>
      </c>
      <c r="Q83" s="65">
        <v>393.26127318509623</v>
      </c>
      <c r="R83" s="65">
        <v>509.85262817706518</v>
      </c>
      <c r="S83" s="65">
        <v>332.374869890323</v>
      </c>
      <c r="T83" s="65">
        <v>306.59297483847604</v>
      </c>
      <c r="U83" s="65">
        <v>327.39604465416465</v>
      </c>
      <c r="V83" s="65">
        <v>282.50411867919473</v>
      </c>
      <c r="W83" s="65">
        <v>258.76697828614107</v>
      </c>
      <c r="X83" s="65">
        <v>247.32146039136134</v>
      </c>
      <c r="Y83" s="65">
        <v>263.2384292646019</v>
      </c>
      <c r="DA83" s="109" t="s">
        <v>234</v>
      </c>
    </row>
    <row r="84" spans="1:105" ht="12" customHeight="1" x14ac:dyDescent="0.25">
      <c r="A84" s="61" t="s">
        <v>31</v>
      </c>
      <c r="B84" s="65">
        <v>9.0606608575786854E-2</v>
      </c>
      <c r="C84" s="65">
        <v>0.11883900306980165</v>
      </c>
      <c r="D84" s="65">
        <v>0.13466317991934945</v>
      </c>
      <c r="E84" s="65">
        <v>0.16252952924563499</v>
      </c>
      <c r="F84" s="65">
        <v>0.21986013712133678</v>
      </c>
      <c r="G84" s="65">
        <v>0.34927906876802339</v>
      </c>
      <c r="H84" s="65">
        <v>0.58223367769912004</v>
      </c>
      <c r="I84" s="65">
        <v>0.8658129490547386</v>
      </c>
      <c r="J84" s="65">
        <v>1.1616241530016567</v>
      </c>
      <c r="K84" s="65">
        <v>1.3679949903103561</v>
      </c>
      <c r="L84" s="65">
        <v>1.8470089945506223</v>
      </c>
      <c r="M84" s="65">
        <v>2.1444704941687736</v>
      </c>
      <c r="N84" s="65">
        <v>4.1038478440105974</v>
      </c>
      <c r="O84" s="65">
        <v>4.1748006824617141</v>
      </c>
      <c r="P84" s="65">
        <v>5.078432188473097</v>
      </c>
      <c r="Q84" s="65">
        <v>7.4761127169607189</v>
      </c>
      <c r="R84" s="65">
        <v>9.0008258105966501</v>
      </c>
      <c r="S84" s="65">
        <v>10.269574269889674</v>
      </c>
      <c r="T84" s="65">
        <v>10.152227573363025</v>
      </c>
      <c r="U84" s="65">
        <v>12.978212709403376</v>
      </c>
      <c r="V84" s="65">
        <v>11.112939681551303</v>
      </c>
      <c r="W84" s="65">
        <v>14.966428045456567</v>
      </c>
      <c r="X84" s="65">
        <v>13.667365198088641</v>
      </c>
      <c r="Y84" s="65">
        <v>14.173828405042128</v>
      </c>
      <c r="DA84" s="109" t="s">
        <v>235</v>
      </c>
    </row>
    <row r="85" spans="1:105" ht="12" customHeight="1" x14ac:dyDescent="0.25">
      <c r="A85" s="61" t="s">
        <v>35</v>
      </c>
      <c r="B85" s="65">
        <v>54.54677919615996</v>
      </c>
      <c r="C85" s="65">
        <v>64.454122877183451</v>
      </c>
      <c r="D85" s="65">
        <v>70.98608142684715</v>
      </c>
      <c r="E85" s="65">
        <v>75.22136938672223</v>
      </c>
      <c r="F85" s="65">
        <v>81.158288959003769</v>
      </c>
      <c r="G85" s="65">
        <v>102.68584080604676</v>
      </c>
      <c r="H85" s="65">
        <v>113.03255400331213</v>
      </c>
      <c r="I85" s="65">
        <v>128.53519262105337</v>
      </c>
      <c r="J85" s="65">
        <v>135.27845436939995</v>
      </c>
      <c r="K85" s="65">
        <v>140.03716619021412</v>
      </c>
      <c r="L85" s="65">
        <v>151.50905192537704</v>
      </c>
      <c r="M85" s="65">
        <v>149.60362811257818</v>
      </c>
      <c r="N85" s="65">
        <v>148.52784941216839</v>
      </c>
      <c r="O85" s="65">
        <v>153.76515407946769</v>
      </c>
      <c r="P85" s="65">
        <v>154.26294046182753</v>
      </c>
      <c r="Q85" s="65">
        <v>157.59385441602041</v>
      </c>
      <c r="R85" s="65">
        <v>158.2489850632802</v>
      </c>
      <c r="S85" s="65">
        <v>163.26821245483123</v>
      </c>
      <c r="T85" s="65">
        <v>152.54613096508584</v>
      </c>
      <c r="U85" s="65">
        <v>144.72093833519969</v>
      </c>
      <c r="V85" s="65">
        <v>109.14933858358643</v>
      </c>
      <c r="W85" s="65">
        <v>113.66537162973421</v>
      </c>
      <c r="X85" s="65">
        <v>96.669878680649333</v>
      </c>
      <c r="Y85" s="65">
        <v>88.974335752171228</v>
      </c>
      <c r="DA85" s="109" t="s">
        <v>236</v>
      </c>
    </row>
    <row r="86" spans="1:105" ht="12" customHeight="1" x14ac:dyDescent="0.25">
      <c r="A86" s="66" t="s">
        <v>34</v>
      </c>
      <c r="B86" s="67">
        <v>63.983965905903588</v>
      </c>
      <c r="C86" s="67">
        <v>67.142405396595805</v>
      </c>
      <c r="D86" s="67">
        <v>45.351107590804695</v>
      </c>
      <c r="E86" s="67">
        <v>58.129735841693304</v>
      </c>
      <c r="F86" s="67">
        <v>146.19335685730101</v>
      </c>
      <c r="G86" s="67">
        <v>137.98825251055607</v>
      </c>
      <c r="H86" s="67">
        <v>137.33058407608712</v>
      </c>
      <c r="I86" s="67">
        <v>133.96435499013342</v>
      </c>
      <c r="J86" s="67">
        <v>137.4328991009703</v>
      </c>
      <c r="K86" s="67">
        <v>142.09932572195396</v>
      </c>
      <c r="L86" s="67">
        <v>157.26828076988048</v>
      </c>
      <c r="M86" s="67">
        <v>146.3314888593934</v>
      </c>
      <c r="N86" s="67">
        <v>317.28352826912766</v>
      </c>
      <c r="O86" s="67">
        <v>235.44839945372493</v>
      </c>
      <c r="P86" s="67">
        <v>158.88223777186039</v>
      </c>
      <c r="Q86" s="67">
        <v>174.56637528192266</v>
      </c>
      <c r="R86" s="67">
        <v>190.05540066905769</v>
      </c>
      <c r="S86" s="67">
        <v>202.30535950495582</v>
      </c>
      <c r="T86" s="67">
        <v>211.44520722307487</v>
      </c>
      <c r="U86" s="67">
        <v>229.82496058123235</v>
      </c>
      <c r="V86" s="67">
        <v>167.69878053566759</v>
      </c>
      <c r="W86" s="67">
        <v>224.12355603866806</v>
      </c>
      <c r="X86" s="67">
        <v>248.37350111344392</v>
      </c>
      <c r="Y86" s="67">
        <v>290.34567961078011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0.84778407601515471</v>
      </c>
      <c r="C91" s="71">
        <f t="shared" ref="C91:W91" si="77">IF(C83=0,0,C83/C$81)</f>
        <v>0.87004885125466502</v>
      </c>
      <c r="D91" s="71">
        <f t="shared" si="77"/>
        <v>0.88717825146538853</v>
      </c>
      <c r="E91" s="71">
        <f t="shared" si="77"/>
        <v>0.88223419410831527</v>
      </c>
      <c r="F91" s="71">
        <f t="shared" si="77"/>
        <v>0.81429863920724355</v>
      </c>
      <c r="G91" s="71">
        <f t="shared" si="77"/>
        <v>0.8434679493413284</v>
      </c>
      <c r="H91" s="71">
        <f t="shared" si="77"/>
        <v>0.84399741937146877</v>
      </c>
      <c r="I91" s="71">
        <f t="shared" si="77"/>
        <v>0.8260994929160218</v>
      </c>
      <c r="J91" s="71">
        <f t="shared" si="77"/>
        <v>0.81869129557412457</v>
      </c>
      <c r="K91" s="71">
        <f t="shared" si="77"/>
        <v>0.76995553917439152</v>
      </c>
      <c r="L91" s="71">
        <f t="shared" si="77"/>
        <v>0.71655681639920221</v>
      </c>
      <c r="M91" s="71">
        <f t="shared" si="77"/>
        <v>0.72373015691687959</v>
      </c>
      <c r="N91" s="71">
        <f t="shared" si="77"/>
        <v>0.41516581839020961</v>
      </c>
      <c r="O91" s="71">
        <f t="shared" si="77"/>
        <v>0.5416544993298309</v>
      </c>
      <c r="P91" s="71">
        <f t="shared" si="77"/>
        <v>0.4822544309186943</v>
      </c>
      <c r="Q91" s="71">
        <f t="shared" si="77"/>
        <v>0.5365841896799538</v>
      </c>
      <c r="R91" s="71">
        <f t="shared" si="77"/>
        <v>0.58795827567181269</v>
      </c>
      <c r="S91" s="71">
        <f t="shared" si="77"/>
        <v>0.46931151471019017</v>
      </c>
      <c r="T91" s="71">
        <f t="shared" si="77"/>
        <v>0.4503841891141111</v>
      </c>
      <c r="U91" s="71">
        <f t="shared" si="77"/>
        <v>0.45794770475871049</v>
      </c>
      <c r="V91" s="71">
        <f t="shared" si="77"/>
        <v>0.49521711373714661</v>
      </c>
      <c r="W91" s="71">
        <f t="shared" si="77"/>
        <v>0.42315213018228232</v>
      </c>
      <c r="X91" s="71">
        <f t="shared" ref="X91:Y91" si="78">IF(X83=0,0,X83/X$81)</f>
        <v>0.40809953364580276</v>
      </c>
      <c r="Y91" s="71">
        <f t="shared" si="78"/>
        <v>0.40083065820573233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1.1626716813293237E-4</v>
      </c>
      <c r="C92" s="72">
        <f t="shared" ref="C92:W92" si="80">IF(C84=0,0,C84/C$81)</f>
        <v>1.1724725279937404E-4</v>
      </c>
      <c r="D92" s="72">
        <f t="shared" si="80"/>
        <v>1.3044297944159264E-4</v>
      </c>
      <c r="E92" s="72">
        <f t="shared" si="80"/>
        <v>1.4335929830350204E-4</v>
      </c>
      <c r="F92" s="72">
        <f t="shared" si="80"/>
        <v>1.7940878176492801E-4</v>
      </c>
      <c r="G92" s="72">
        <f t="shared" si="80"/>
        <v>2.2683845282437149E-4</v>
      </c>
      <c r="H92" s="72">
        <f t="shared" si="80"/>
        <v>3.6195111156631224E-4</v>
      </c>
      <c r="I92" s="72">
        <f t="shared" si="80"/>
        <v>5.7169747213606584E-4</v>
      </c>
      <c r="J92" s="72">
        <f t="shared" si="80"/>
        <v>7.690155196697358E-4</v>
      </c>
      <c r="K92" s="72">
        <f t="shared" si="80"/>
        <v>1.1100341775766389E-3</v>
      </c>
      <c r="L92" s="72">
        <f t="shared" si="80"/>
        <v>1.6853866207225004E-3</v>
      </c>
      <c r="M92" s="72">
        <f t="shared" si="80"/>
        <v>1.9875649049188489E-3</v>
      </c>
      <c r="N92" s="72">
        <f t="shared" si="80"/>
        <v>5.1074542064902468E-3</v>
      </c>
      <c r="O92" s="72">
        <f t="shared" si="80"/>
        <v>4.8641529127527311E-3</v>
      </c>
      <c r="P92" s="72">
        <f t="shared" si="80"/>
        <v>8.2625414247978046E-3</v>
      </c>
      <c r="Q92" s="72">
        <f t="shared" si="80"/>
        <v>1.0200760048646444E-2</v>
      </c>
      <c r="R92" s="72">
        <f t="shared" si="80"/>
        <v>1.037968567925646E-2</v>
      </c>
      <c r="S92" s="72">
        <f t="shared" si="80"/>
        <v>1.450058320480456E-2</v>
      </c>
      <c r="T92" s="72">
        <f t="shared" si="80"/>
        <v>1.4913592804074942E-2</v>
      </c>
      <c r="U92" s="72">
        <f t="shared" si="80"/>
        <v>1.8153373625572292E-2</v>
      </c>
      <c r="V92" s="72">
        <f t="shared" si="80"/>
        <v>1.94804873640879E-2</v>
      </c>
      <c r="W92" s="72">
        <f t="shared" si="80"/>
        <v>2.447404978254902E-2</v>
      </c>
      <c r="X92" s="72">
        <f t="shared" ref="X92:Y92" si="81">IF(X84=0,0,X84/X$81)</f>
        <v>2.255220939857296E-2</v>
      </c>
      <c r="Y92" s="72">
        <f t="shared" si="81"/>
        <v>2.158235400796063E-2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6.9994889419188175E-2</v>
      </c>
      <c r="C93" s="72">
        <f t="shared" ref="C93:W93" si="83">IF(C85=0,0,C85/C$81)</f>
        <v>6.359081314830875E-2</v>
      </c>
      <c r="D93" s="72">
        <f t="shared" si="83"/>
        <v>6.8761453321888683E-2</v>
      </c>
      <c r="E93" s="72">
        <f t="shared" si="83"/>
        <v>6.6349067660261149E-2</v>
      </c>
      <c r="F93" s="72">
        <f t="shared" si="83"/>
        <v>6.622623792973073E-2</v>
      </c>
      <c r="G93" s="72">
        <f t="shared" si="83"/>
        <v>6.6689072830996524E-2</v>
      </c>
      <c r="H93" s="72">
        <f t="shared" si="83"/>
        <v>7.0267763840724112E-2</v>
      </c>
      <c r="I93" s="72">
        <f t="shared" si="83"/>
        <v>8.4871963144238838E-2</v>
      </c>
      <c r="J93" s="72">
        <f t="shared" si="83"/>
        <v>8.9556704393744108E-2</v>
      </c>
      <c r="K93" s="72">
        <f t="shared" si="83"/>
        <v>0.11363056276021266</v>
      </c>
      <c r="L93" s="72">
        <f t="shared" si="83"/>
        <v>0.13825126449668865</v>
      </c>
      <c r="M93" s="72">
        <f t="shared" si="83"/>
        <v>0.13865750155744019</v>
      </c>
      <c r="N93" s="72">
        <f t="shared" si="83"/>
        <v>0.18485071038105733</v>
      </c>
      <c r="O93" s="72">
        <f t="shared" si="83"/>
        <v>0.17915519302216995</v>
      </c>
      <c r="P93" s="72">
        <f t="shared" si="83"/>
        <v>0.25098374627705627</v>
      </c>
      <c r="Q93" s="72">
        <f t="shared" si="83"/>
        <v>0.21502847200151323</v>
      </c>
      <c r="R93" s="72">
        <f t="shared" si="83"/>
        <v>0.18249155783954843</v>
      </c>
      <c r="S93" s="72">
        <f t="shared" si="83"/>
        <v>0.23053383102184064</v>
      </c>
      <c r="T93" s="72">
        <f t="shared" si="83"/>
        <v>0.22408982310635481</v>
      </c>
      <c r="U93" s="72">
        <f t="shared" si="83"/>
        <v>0.20242951197268999</v>
      </c>
      <c r="V93" s="72">
        <f t="shared" si="83"/>
        <v>0.19133391991733464</v>
      </c>
      <c r="W93" s="72">
        <f t="shared" si="83"/>
        <v>0.18587280514555046</v>
      </c>
      <c r="X93" s="72">
        <f t="shared" ref="X93:Y93" si="84">IF(X85=0,0,X85/X$81)</f>
        <v>0.15951277476989739</v>
      </c>
      <c r="Y93" s="72">
        <f t="shared" si="84"/>
        <v>0.13548037671624399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8.2104767397524245E-2</v>
      </c>
      <c r="C94" s="73">
        <f t="shared" ref="C94:W94" si="86">IF(C86=0,0,C86/C$81)</f>
        <v>6.6243088344226916E-2</v>
      </c>
      <c r="D94" s="73">
        <f t="shared" si="86"/>
        <v>4.3929852233281289E-2</v>
      </c>
      <c r="E94" s="73">
        <f t="shared" si="86"/>
        <v>5.1273378933120201E-2</v>
      </c>
      <c r="F94" s="73">
        <f t="shared" si="86"/>
        <v>0.11929571408126066</v>
      </c>
      <c r="G94" s="73">
        <f t="shared" si="86"/>
        <v>8.9616139374850662E-2</v>
      </c>
      <c r="H94" s="73">
        <f t="shared" si="86"/>
        <v>8.5372865676240764E-2</v>
      </c>
      <c r="I94" s="73">
        <f t="shared" si="86"/>
        <v>8.8456846467603281E-2</v>
      </c>
      <c r="J94" s="73">
        <f t="shared" si="86"/>
        <v>9.098298451246159E-2</v>
      </c>
      <c r="K94" s="73">
        <f t="shared" si="86"/>
        <v>0.11530386388781938</v>
      </c>
      <c r="L94" s="73">
        <f t="shared" si="86"/>
        <v>0.14350653248338668</v>
      </c>
      <c r="M94" s="73">
        <f t="shared" si="86"/>
        <v>0.13562477662076144</v>
      </c>
      <c r="N94" s="73">
        <f t="shared" si="86"/>
        <v>0.39487601702224284</v>
      </c>
      <c r="O94" s="73">
        <f t="shared" si="86"/>
        <v>0.27432615473524646</v>
      </c>
      <c r="P94" s="73">
        <f t="shared" si="86"/>
        <v>0.25849928137945155</v>
      </c>
      <c r="Q94" s="73">
        <f t="shared" si="86"/>
        <v>0.2381865782698866</v>
      </c>
      <c r="R94" s="73">
        <f t="shared" si="86"/>
        <v>0.2191704808093824</v>
      </c>
      <c r="S94" s="73">
        <f t="shared" si="86"/>
        <v>0.28565407106316454</v>
      </c>
      <c r="T94" s="73">
        <f t="shared" si="86"/>
        <v>0.31061239497545928</v>
      </c>
      <c r="U94" s="73">
        <f t="shared" si="86"/>
        <v>0.32146940964302717</v>
      </c>
      <c r="V94" s="73">
        <f t="shared" si="86"/>
        <v>0.2939684789814308</v>
      </c>
      <c r="W94" s="73">
        <f t="shared" si="86"/>
        <v>0.36650101488961823</v>
      </c>
      <c r="X94" s="73">
        <f t="shared" ref="X94:Y94" si="87">IF(X86=0,0,X86/X$81)</f>
        <v>0.40983548218572691</v>
      </c>
      <c r="Y94" s="73">
        <f t="shared" si="87"/>
        <v>0.4421066110700631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187715.71076441233</v>
      </c>
      <c r="C99" s="82">
        <f t="shared" ref="C99:W99" si="92">C47*11630*1000/C$8</f>
        <v>201153.59293123384</v>
      </c>
      <c r="D99" s="82">
        <f t="shared" si="92"/>
        <v>203913.84515385597</v>
      </c>
      <c r="E99" s="82">
        <f t="shared" si="92"/>
        <v>211151.66567106935</v>
      </c>
      <c r="F99" s="82">
        <f t="shared" si="92"/>
        <v>216880.83547191502</v>
      </c>
      <c r="G99" s="82">
        <f t="shared" si="92"/>
        <v>229714.86416893345</v>
      </c>
      <c r="H99" s="82">
        <f t="shared" si="92"/>
        <v>235641.65534220485</v>
      </c>
      <c r="I99" s="82">
        <f t="shared" si="92"/>
        <v>234956.653913268</v>
      </c>
      <c r="J99" s="82">
        <f t="shared" si="92"/>
        <v>239643.32859251936</v>
      </c>
      <c r="K99" s="82">
        <f t="shared" si="92"/>
        <v>231601.37824863257</v>
      </c>
      <c r="L99" s="82">
        <f t="shared" si="92"/>
        <v>217839.30850558914</v>
      </c>
      <c r="M99" s="82">
        <f t="shared" si="92"/>
        <v>213060.0777864118</v>
      </c>
      <c r="N99" s="82">
        <f t="shared" si="92"/>
        <v>221035.2820302113</v>
      </c>
      <c r="O99" s="82">
        <f t="shared" si="92"/>
        <v>207596.45619546919</v>
      </c>
      <c r="P99" s="82">
        <f t="shared" si="92"/>
        <v>195081.47745415228</v>
      </c>
      <c r="Q99" s="82">
        <f t="shared" si="92"/>
        <v>213032.26594633507</v>
      </c>
      <c r="R99" s="82">
        <f t="shared" si="92"/>
        <v>229506.03149836586</v>
      </c>
      <c r="S99" s="82">
        <f t="shared" si="92"/>
        <v>219583.10846371806</v>
      </c>
      <c r="T99" s="82">
        <f t="shared" si="92"/>
        <v>204301.67832680262</v>
      </c>
      <c r="U99" s="82">
        <f t="shared" si="92"/>
        <v>205408.63454121412</v>
      </c>
      <c r="V99" s="82">
        <f t="shared" si="92"/>
        <v>174959.88432921641</v>
      </c>
      <c r="W99" s="82">
        <f t="shared" si="92"/>
        <v>184973.43686493204</v>
      </c>
      <c r="X99" s="82">
        <f t="shared" ref="X99:Y99" si="93">X47*11630*1000/X$8</f>
        <v>188472.90273474177</v>
      </c>
      <c r="Y99" s="82">
        <f t="shared" si="93"/>
        <v>186600.63898943365</v>
      </c>
      <c r="DA99" s="107"/>
    </row>
    <row r="100" spans="1:105" ht="12" customHeight="1" x14ac:dyDescent="0.25">
      <c r="A100" s="77" t="s">
        <v>36</v>
      </c>
      <c r="B100" s="64">
        <f t="shared" si="91"/>
        <v>130710.4338078712</v>
      </c>
      <c r="C100" s="64">
        <f t="shared" ref="C100:W100" si="94">C48*11630*1000/C$8</f>
        <v>144432.6018960535</v>
      </c>
      <c r="D100" s="64">
        <f t="shared" si="94"/>
        <v>146663.46490261264</v>
      </c>
      <c r="E100" s="64">
        <f t="shared" si="94"/>
        <v>153546.25775019859</v>
      </c>
      <c r="F100" s="64">
        <f t="shared" si="94"/>
        <v>158669.08131780481</v>
      </c>
      <c r="G100" s="64">
        <f t="shared" si="94"/>
        <v>170563.85731870049</v>
      </c>
      <c r="H100" s="64">
        <f t="shared" si="94"/>
        <v>176220.39966789915</v>
      </c>
      <c r="I100" s="64">
        <f t="shared" si="94"/>
        <v>175179.83908382713</v>
      </c>
      <c r="J100" s="64">
        <f t="shared" si="94"/>
        <v>179009.73984846688</v>
      </c>
      <c r="K100" s="64">
        <f t="shared" si="94"/>
        <v>169932.90224114017</v>
      </c>
      <c r="L100" s="64">
        <f t="shared" si="94"/>
        <v>154175.34732461462</v>
      </c>
      <c r="M100" s="64">
        <f t="shared" si="94"/>
        <v>147949.91722585791</v>
      </c>
      <c r="N100" s="64">
        <f t="shared" si="94"/>
        <v>155493.93178496585</v>
      </c>
      <c r="O100" s="64">
        <f t="shared" si="94"/>
        <v>141633.6765051921</v>
      </c>
      <c r="P100" s="64">
        <f t="shared" si="94"/>
        <v>128452.32543688797</v>
      </c>
      <c r="Q100" s="64">
        <f t="shared" si="94"/>
        <v>145333.81388624682</v>
      </c>
      <c r="R100" s="64">
        <f t="shared" si="94"/>
        <v>160763.97134489397</v>
      </c>
      <c r="S100" s="64">
        <f t="shared" si="94"/>
        <v>151707.17003924312</v>
      </c>
      <c r="T100" s="64">
        <f t="shared" si="94"/>
        <v>137859.77750701801</v>
      </c>
      <c r="U100" s="64">
        <f t="shared" si="94"/>
        <v>140988.23401349023</v>
      </c>
      <c r="V100" s="64">
        <f t="shared" si="94"/>
        <v>115842.0510690814</v>
      </c>
      <c r="W100" s="64">
        <f t="shared" si="94"/>
        <v>126013.26102085621</v>
      </c>
      <c r="X100" s="64">
        <f t="shared" ref="X100:Y100" si="95">X48*11630*1000/X$8</f>
        <v>130317.40957625733</v>
      </c>
      <c r="Y100" s="64">
        <f t="shared" si="95"/>
        <v>129454.86322896893</v>
      </c>
      <c r="DA100" s="108"/>
    </row>
    <row r="101" spans="1:105" ht="12" customHeight="1" x14ac:dyDescent="0.25">
      <c r="A101" s="61" t="s">
        <v>32</v>
      </c>
      <c r="B101" s="65">
        <f t="shared" si="91"/>
        <v>52450.978352017046</v>
      </c>
      <c r="C101" s="65">
        <f t="shared" ref="C101:W101" si="96">C49*11630*1000/C$8</f>
        <v>62890.353974745711</v>
      </c>
      <c r="D101" s="65">
        <f t="shared" si="96"/>
        <v>63701.419553698135</v>
      </c>
      <c r="E101" s="65">
        <f t="shared" si="96"/>
        <v>69254.422119993891</v>
      </c>
      <c r="F101" s="65">
        <f t="shared" si="96"/>
        <v>74864.95498185305</v>
      </c>
      <c r="G101" s="65">
        <f t="shared" si="96"/>
        <v>84273.781006864665</v>
      </c>
      <c r="H101" s="65">
        <f t="shared" si="96"/>
        <v>90932.339000194872</v>
      </c>
      <c r="I101" s="65">
        <f t="shared" si="96"/>
        <v>89558.542399345723</v>
      </c>
      <c r="J101" s="65">
        <f t="shared" si="96"/>
        <v>93871.093374420248</v>
      </c>
      <c r="K101" s="65">
        <f t="shared" si="96"/>
        <v>85240.963287005317</v>
      </c>
      <c r="L101" s="65">
        <f t="shared" si="96"/>
        <v>63946.869651796384</v>
      </c>
      <c r="M101" s="65">
        <f t="shared" si="96"/>
        <v>56057.775772080342</v>
      </c>
      <c r="N101" s="65">
        <f t="shared" si="96"/>
        <v>58323.035207498324</v>
      </c>
      <c r="O101" s="65">
        <f t="shared" si="96"/>
        <v>47984.021909756899</v>
      </c>
      <c r="P101" s="65">
        <f t="shared" si="96"/>
        <v>35674.552534608563</v>
      </c>
      <c r="Q101" s="65">
        <f t="shared" si="96"/>
        <v>51418.249314478518</v>
      </c>
      <c r="R101" s="65">
        <f t="shared" si="96"/>
        <v>66482.683079707247</v>
      </c>
      <c r="S101" s="65">
        <f t="shared" si="96"/>
        <v>58353.047126459758</v>
      </c>
      <c r="T101" s="65">
        <f t="shared" si="96"/>
        <v>47000.974192750502</v>
      </c>
      <c r="U101" s="65">
        <f t="shared" si="96"/>
        <v>50746.175376596257</v>
      </c>
      <c r="V101" s="65">
        <f t="shared" si="96"/>
        <v>38820.403000568644</v>
      </c>
      <c r="W101" s="65">
        <f t="shared" si="96"/>
        <v>42574.333376060946</v>
      </c>
      <c r="X101" s="65">
        <f t="shared" ref="X101:Y101" si="97">X49*11630*1000/X$8</f>
        <v>47453.002891936681</v>
      </c>
      <c r="Y101" s="65">
        <f t="shared" si="97"/>
        <v>46373.964334977332</v>
      </c>
      <c r="DA101" s="109"/>
    </row>
    <row r="102" spans="1:105" ht="12" customHeight="1" x14ac:dyDescent="0.25">
      <c r="A102" s="61" t="s">
        <v>31</v>
      </c>
      <c r="B102" s="65">
        <f t="shared" si="91"/>
        <v>5408.169863051945</v>
      </c>
      <c r="C102" s="65">
        <f t="shared" ref="C102:W102" si="98">C50*11630*1000/C$8</f>
        <v>6526.2659974942962</v>
      </c>
      <c r="D102" s="65">
        <f t="shared" si="98"/>
        <v>5228.2064535575773</v>
      </c>
      <c r="E102" s="65">
        <f t="shared" si="98"/>
        <v>6944.3451836878021</v>
      </c>
      <c r="F102" s="65">
        <f t="shared" si="98"/>
        <v>4229.9049280467143</v>
      </c>
      <c r="G102" s="65">
        <f t="shared" si="98"/>
        <v>4229.6073572469286</v>
      </c>
      <c r="H102" s="65">
        <f t="shared" si="98"/>
        <v>5001.6705037703887</v>
      </c>
      <c r="I102" s="65">
        <f t="shared" si="98"/>
        <v>7436.1371997792457</v>
      </c>
      <c r="J102" s="65">
        <f t="shared" si="98"/>
        <v>7144.3742830396368</v>
      </c>
      <c r="K102" s="65">
        <f t="shared" si="98"/>
        <v>5063.9433112040015</v>
      </c>
      <c r="L102" s="65">
        <f t="shared" si="98"/>
        <v>6732.8591792058151</v>
      </c>
      <c r="M102" s="65">
        <f t="shared" si="98"/>
        <v>6044.0310071238755</v>
      </c>
      <c r="N102" s="65">
        <f t="shared" si="98"/>
        <v>10166.78174489443</v>
      </c>
      <c r="O102" s="65">
        <f t="shared" si="98"/>
        <v>6656.0032568512397</v>
      </c>
      <c r="P102" s="65">
        <f t="shared" si="98"/>
        <v>5707.3880995805457</v>
      </c>
      <c r="Q102" s="65">
        <f t="shared" si="98"/>
        <v>7481.3037028830004</v>
      </c>
      <c r="R102" s="65">
        <f t="shared" si="98"/>
        <v>8237.9409798838624</v>
      </c>
      <c r="S102" s="65">
        <f t="shared" si="98"/>
        <v>8437.8473472630994</v>
      </c>
      <c r="T102" s="65">
        <f t="shared" si="98"/>
        <v>7407.9824852067813</v>
      </c>
      <c r="U102" s="65">
        <f t="shared" si="98"/>
        <v>9560.3656184131451</v>
      </c>
      <c r="V102" s="65">
        <f t="shared" si="98"/>
        <v>8161.7685049008405</v>
      </c>
      <c r="W102" s="65">
        <f t="shared" si="98"/>
        <v>10791.345414550458</v>
      </c>
      <c r="X102" s="65">
        <f t="shared" ref="X102:Y102" si="99">X50*11630*1000/X$8</f>
        <v>9428.0465993650905</v>
      </c>
      <c r="Y102" s="65">
        <f t="shared" si="99"/>
        <v>9711.0324025865339</v>
      </c>
      <c r="DA102" s="109"/>
    </row>
    <row r="103" spans="1:105" ht="12" customHeight="1" x14ac:dyDescent="0.25">
      <c r="A103" s="61" t="s">
        <v>35</v>
      </c>
      <c r="B103" s="65">
        <f t="shared" si="91"/>
        <v>34606.339265875686</v>
      </c>
      <c r="C103" s="65">
        <f t="shared" ref="C103:W103" si="100">C51*11630*1000/C$8</f>
        <v>36047.023613334401</v>
      </c>
      <c r="D103" s="65">
        <f t="shared" si="100"/>
        <v>37693.158143536937</v>
      </c>
      <c r="E103" s="65">
        <f t="shared" si="100"/>
        <v>37924.81575056423</v>
      </c>
      <c r="F103" s="65">
        <f t="shared" si="100"/>
        <v>38435.719572583243</v>
      </c>
      <c r="G103" s="65">
        <f t="shared" si="100"/>
        <v>40618.189983000091</v>
      </c>
      <c r="H103" s="65">
        <f t="shared" si="100"/>
        <v>39924.514397594408</v>
      </c>
      <c r="I103" s="65">
        <f t="shared" si="100"/>
        <v>39048.96723917839</v>
      </c>
      <c r="J103" s="65">
        <f t="shared" si="100"/>
        <v>39292.661773738357</v>
      </c>
      <c r="K103" s="65">
        <f t="shared" si="100"/>
        <v>39960.62875084253</v>
      </c>
      <c r="L103" s="65">
        <f t="shared" si="100"/>
        <v>41956.723488630138</v>
      </c>
      <c r="M103" s="65">
        <f t="shared" si="100"/>
        <v>43072.18577338945</v>
      </c>
      <c r="N103" s="65">
        <f t="shared" si="100"/>
        <v>42646.86287024826</v>
      </c>
      <c r="O103" s="65">
        <f t="shared" si="100"/>
        <v>42832.776015652387</v>
      </c>
      <c r="P103" s="65">
        <f t="shared" si="100"/>
        <v>43697.315882208859</v>
      </c>
      <c r="Q103" s="65">
        <f t="shared" si="100"/>
        <v>43784.477053126648</v>
      </c>
      <c r="R103" s="65">
        <f t="shared" si="100"/>
        <v>43256.833712781838</v>
      </c>
      <c r="S103" s="65">
        <f t="shared" si="100"/>
        <v>42475.442602336669</v>
      </c>
      <c r="T103" s="65">
        <f t="shared" si="100"/>
        <v>41526.98342341189</v>
      </c>
      <c r="U103" s="65">
        <f t="shared" si="100"/>
        <v>39917.426128805069</v>
      </c>
      <c r="V103" s="65">
        <f t="shared" si="100"/>
        <v>34679.999016891787</v>
      </c>
      <c r="W103" s="65">
        <f t="shared" si="100"/>
        <v>34338.304236426302</v>
      </c>
      <c r="X103" s="65">
        <f t="shared" ref="X103:Y103" si="101">X51*11630*1000/X$8</f>
        <v>35460.919175943091</v>
      </c>
      <c r="Y103" s="65">
        <f t="shared" si="101"/>
        <v>34953.522427894066</v>
      </c>
      <c r="DA103" s="109"/>
    </row>
    <row r="104" spans="1:105" ht="12" customHeight="1" x14ac:dyDescent="0.25">
      <c r="A104" s="66" t="s">
        <v>34</v>
      </c>
      <c r="B104" s="67">
        <f t="shared" si="91"/>
        <v>38244.946326926525</v>
      </c>
      <c r="C104" s="67">
        <f t="shared" ref="C104:W104" si="102">C52*11630*1000/C$8</f>
        <v>38968.958310479131</v>
      </c>
      <c r="D104" s="67">
        <f t="shared" si="102"/>
        <v>40040.68075182</v>
      </c>
      <c r="E104" s="67">
        <f t="shared" si="102"/>
        <v>39422.67469595265</v>
      </c>
      <c r="F104" s="67">
        <f t="shared" si="102"/>
        <v>41138.501835321789</v>
      </c>
      <c r="G104" s="67">
        <f t="shared" si="102"/>
        <v>41442.278971588792</v>
      </c>
      <c r="H104" s="67">
        <f t="shared" si="102"/>
        <v>40361.875766339515</v>
      </c>
      <c r="I104" s="67">
        <f t="shared" si="102"/>
        <v>39136.192245523765</v>
      </c>
      <c r="J104" s="67">
        <f t="shared" si="102"/>
        <v>38701.610417268617</v>
      </c>
      <c r="K104" s="67">
        <f t="shared" si="102"/>
        <v>39667.366892088306</v>
      </c>
      <c r="L104" s="67">
        <f t="shared" si="102"/>
        <v>41538.895004982267</v>
      </c>
      <c r="M104" s="67">
        <f t="shared" si="102"/>
        <v>42775.924673264242</v>
      </c>
      <c r="N104" s="67">
        <f t="shared" si="102"/>
        <v>44357.251962324815</v>
      </c>
      <c r="O104" s="67">
        <f t="shared" si="102"/>
        <v>44160.875322931599</v>
      </c>
      <c r="P104" s="67">
        <f t="shared" si="102"/>
        <v>43373.068920489975</v>
      </c>
      <c r="Q104" s="67">
        <f t="shared" si="102"/>
        <v>42649.783815758674</v>
      </c>
      <c r="R104" s="67">
        <f t="shared" si="102"/>
        <v>42786.513572521028</v>
      </c>
      <c r="S104" s="67">
        <f t="shared" si="102"/>
        <v>42440.832963183595</v>
      </c>
      <c r="T104" s="67">
        <f t="shared" si="102"/>
        <v>41923.837405648817</v>
      </c>
      <c r="U104" s="67">
        <f t="shared" si="102"/>
        <v>40764.266889675768</v>
      </c>
      <c r="V104" s="67">
        <f t="shared" si="102"/>
        <v>34179.880546720124</v>
      </c>
      <c r="W104" s="67">
        <f t="shared" si="102"/>
        <v>38309.277993818461</v>
      </c>
      <c r="X104" s="67">
        <f t="shared" ref="X104:Y104" si="103">X52*11630*1000/X$8</f>
        <v>37975.440909012461</v>
      </c>
      <c r="Y104" s="67">
        <f t="shared" si="103"/>
        <v>38416.344063510995</v>
      </c>
      <c r="DA104" s="110"/>
    </row>
    <row r="105" spans="1:105" ht="12" customHeight="1" x14ac:dyDescent="0.25">
      <c r="A105" s="78" t="s">
        <v>33</v>
      </c>
      <c r="B105" s="68">
        <f t="shared" si="91"/>
        <v>57005.276956541129</v>
      </c>
      <c r="C105" s="68">
        <f t="shared" ref="C105:W105" si="104">C53*11630*1000/C$8</f>
        <v>56720.991035180319</v>
      </c>
      <c r="D105" s="68">
        <f t="shared" si="104"/>
        <v>57250.380251243339</v>
      </c>
      <c r="E105" s="68">
        <f t="shared" si="104"/>
        <v>57605.407920870755</v>
      </c>
      <c r="F105" s="68">
        <f t="shared" si="104"/>
        <v>58211.754154110204</v>
      </c>
      <c r="G105" s="68">
        <f t="shared" si="104"/>
        <v>59151.006850232967</v>
      </c>
      <c r="H105" s="68">
        <f t="shared" si="104"/>
        <v>59421.255674305728</v>
      </c>
      <c r="I105" s="68">
        <f t="shared" si="104"/>
        <v>59776.814829440897</v>
      </c>
      <c r="J105" s="68">
        <f t="shared" si="104"/>
        <v>60633.588744052511</v>
      </c>
      <c r="K105" s="68">
        <f t="shared" si="104"/>
        <v>61668.476007492391</v>
      </c>
      <c r="L105" s="68">
        <f t="shared" si="104"/>
        <v>63663.961180974533</v>
      </c>
      <c r="M105" s="68">
        <f t="shared" si="104"/>
        <v>65110.160560553864</v>
      </c>
      <c r="N105" s="68">
        <f t="shared" si="104"/>
        <v>65541.350245245456</v>
      </c>
      <c r="O105" s="68">
        <f t="shared" si="104"/>
        <v>65962.779690277064</v>
      </c>
      <c r="P105" s="68">
        <f t="shared" si="104"/>
        <v>66629.152017264307</v>
      </c>
      <c r="Q105" s="68">
        <f t="shared" si="104"/>
        <v>67698.452060088224</v>
      </c>
      <c r="R105" s="68">
        <f t="shared" si="104"/>
        <v>68742.060153471888</v>
      </c>
      <c r="S105" s="68">
        <f t="shared" si="104"/>
        <v>67875.938424474924</v>
      </c>
      <c r="T105" s="68">
        <f t="shared" si="104"/>
        <v>66441.900819784641</v>
      </c>
      <c r="U105" s="68">
        <f t="shared" si="104"/>
        <v>64420.400527723898</v>
      </c>
      <c r="V105" s="68">
        <f t="shared" si="104"/>
        <v>59117.833260135034</v>
      </c>
      <c r="W105" s="68">
        <f t="shared" si="104"/>
        <v>58960.175844075893</v>
      </c>
      <c r="X105" s="68">
        <f t="shared" ref="X105:Y105" si="105">X53*11630*1000/X$8</f>
        <v>58155.493158484453</v>
      </c>
      <c r="Y105" s="68">
        <f t="shared" si="105"/>
        <v>57145.775760464727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77509.93388652493</v>
      </c>
      <c r="C107" s="85">
        <f t="shared" ref="C107:W107" si="107">SUM(C108:C111)</f>
        <v>86036.194047451994</v>
      </c>
      <c r="D107" s="85">
        <f t="shared" si="107"/>
        <v>87007.089206768796</v>
      </c>
      <c r="E107" s="85">
        <f t="shared" si="107"/>
        <v>94055.573896964022</v>
      </c>
      <c r="F107" s="85">
        <f t="shared" si="107"/>
        <v>95001.588199205507</v>
      </c>
      <c r="G107" s="85">
        <f t="shared" si="107"/>
        <v>101118.77807925253</v>
      </c>
      <c r="H107" s="85">
        <f t="shared" si="107"/>
        <v>107621.89344571323</v>
      </c>
      <c r="I107" s="85">
        <f t="shared" si="107"/>
        <v>114988.92541075595</v>
      </c>
      <c r="J107" s="85">
        <f t="shared" si="107"/>
        <v>119938.31123779011</v>
      </c>
      <c r="K107" s="85">
        <f t="shared" si="107"/>
        <v>114854.31169855414</v>
      </c>
      <c r="L107" s="85">
        <f t="shared" si="107"/>
        <v>111566.43932304654</v>
      </c>
      <c r="M107" s="85">
        <f t="shared" si="107"/>
        <v>108643.85998107164</v>
      </c>
      <c r="N107" s="85">
        <f t="shared" si="107"/>
        <v>130218.78505076206</v>
      </c>
      <c r="O107" s="85">
        <f t="shared" si="107"/>
        <v>117166.94131935494</v>
      </c>
      <c r="P107" s="85">
        <f t="shared" si="107"/>
        <v>115562.20699529562</v>
      </c>
      <c r="Q107" s="85">
        <f t="shared" si="107"/>
        <v>137449.79926279892</v>
      </c>
      <c r="R107" s="85">
        <f t="shared" si="107"/>
        <v>150502.51093991243</v>
      </c>
      <c r="S107" s="85">
        <f t="shared" si="107"/>
        <v>148842.50910450157</v>
      </c>
      <c r="T107" s="85">
        <f t="shared" si="107"/>
        <v>141986.51503285952</v>
      </c>
      <c r="U107" s="85">
        <f t="shared" si="107"/>
        <v>153639.62450713289</v>
      </c>
      <c r="V107" s="85">
        <f t="shared" si="107"/>
        <v>138934.60179950617</v>
      </c>
      <c r="W107" s="85">
        <f t="shared" si="107"/>
        <v>159541.84095045298</v>
      </c>
      <c r="X107" s="85">
        <f t="shared" ref="X107:Y107" si="108">SUM(X108:X111)</f>
        <v>162459.23144561501</v>
      </c>
      <c r="Y107" s="85">
        <f t="shared" si="108"/>
        <v>168988.57064117584</v>
      </c>
      <c r="DA107" s="117"/>
    </row>
    <row r="108" spans="1:105" ht="12" customHeight="1" x14ac:dyDescent="0.25">
      <c r="A108" s="61" t="s">
        <v>32</v>
      </c>
      <c r="B108" s="65">
        <v>25077.199322045377</v>
      </c>
      <c r="C108" s="65">
        <v>29934.38006994922</v>
      </c>
      <c r="D108" s="65">
        <v>30865.87348986798</v>
      </c>
      <c r="E108" s="65">
        <v>34355.647408752462</v>
      </c>
      <c r="F108" s="65">
        <v>39193.213080743946</v>
      </c>
      <c r="G108" s="65">
        <v>43356.452688615063</v>
      </c>
      <c r="H108" s="65">
        <v>48445.507278278579</v>
      </c>
      <c r="I108" s="65">
        <v>50325.561703757427</v>
      </c>
      <c r="J108" s="65">
        <v>54851.870014085289</v>
      </c>
      <c r="K108" s="65">
        <v>53638.163429833927</v>
      </c>
      <c r="L108" s="65">
        <v>43292.278265521847</v>
      </c>
      <c r="M108" s="65">
        <v>40011.97615852757</v>
      </c>
      <c r="N108" s="65">
        <v>49408.588537992444</v>
      </c>
      <c r="O108" s="65">
        <v>44674.339382069978</v>
      </c>
      <c r="P108" s="65">
        <v>44333.817876295907</v>
      </c>
      <c r="Q108" s="65">
        <v>60037.711514459646</v>
      </c>
      <c r="R108" s="65">
        <v>69420.109341013391</v>
      </c>
      <c r="S108" s="65">
        <v>66101.740916337265</v>
      </c>
      <c r="T108" s="65">
        <v>62171.777166576649</v>
      </c>
      <c r="U108" s="65">
        <v>66670.909899121019</v>
      </c>
      <c r="V108" s="65">
        <v>62934.285091233418</v>
      </c>
      <c r="W108" s="65">
        <v>70126.293992480903</v>
      </c>
      <c r="X108" s="65">
        <v>76292.928915298267</v>
      </c>
      <c r="Y108" s="65">
        <v>80791.718509521714</v>
      </c>
      <c r="DA108" s="109"/>
    </row>
    <row r="109" spans="1:105" ht="12" customHeight="1" x14ac:dyDescent="0.25">
      <c r="A109" s="61" t="s">
        <v>31</v>
      </c>
      <c r="B109" s="65">
        <v>9088.3821891510433</v>
      </c>
      <c r="C109" s="65">
        <v>11423.325511993118</v>
      </c>
      <c r="D109" s="65">
        <v>9559.8021303182231</v>
      </c>
      <c r="E109" s="65">
        <v>13357.898719357656</v>
      </c>
      <c r="F109" s="65">
        <v>8536.1075606188297</v>
      </c>
      <c r="G109" s="65">
        <v>8954.2284121023167</v>
      </c>
      <c r="H109" s="65">
        <v>11245.101074315051</v>
      </c>
      <c r="I109" s="65">
        <v>17806.626339669379</v>
      </c>
      <c r="J109" s="65">
        <v>18171.033090459954</v>
      </c>
      <c r="K109" s="65">
        <v>13095.751675655414</v>
      </c>
      <c r="L109" s="65">
        <v>17785.598502329856</v>
      </c>
      <c r="M109" s="65">
        <v>16501.43630590754</v>
      </c>
      <c r="N109" s="65">
        <v>28814.532783767183</v>
      </c>
      <c r="O109" s="65">
        <v>19522.450342710054</v>
      </c>
      <c r="P109" s="65">
        <v>17338.615130404534</v>
      </c>
      <c r="Q109" s="65">
        <v>23586.837831923902</v>
      </c>
      <c r="R109" s="65">
        <v>26940.063181420002</v>
      </c>
      <c r="S109" s="65">
        <v>28496.556303536268</v>
      </c>
      <c r="T109" s="65">
        <v>25581.802379996527</v>
      </c>
      <c r="U109" s="65">
        <v>33699.69412703572</v>
      </c>
      <c r="V109" s="65">
        <v>29308.81133944555</v>
      </c>
      <c r="W109" s="65">
        <v>39453.168508679642</v>
      </c>
      <c r="X109" s="65">
        <v>34912.369571379888</v>
      </c>
      <c r="Y109" s="65">
        <v>36407.63795230924</v>
      </c>
      <c r="DA109" s="109"/>
    </row>
    <row r="110" spans="1:105" ht="12" customHeight="1" x14ac:dyDescent="0.25">
      <c r="A110" s="61" t="s">
        <v>35</v>
      </c>
      <c r="B110" s="65">
        <v>18531.635938279709</v>
      </c>
      <c r="C110" s="65">
        <v>19326.149565676282</v>
      </c>
      <c r="D110" s="65">
        <v>20258.88903597253</v>
      </c>
      <c r="E110" s="65">
        <v>20456.856378782115</v>
      </c>
      <c r="F110" s="65">
        <v>20813.15963267368</v>
      </c>
      <c r="G110" s="65">
        <v>21989.771772977339</v>
      </c>
      <c r="H110" s="65">
        <v>21712.982257604803</v>
      </c>
      <c r="I110" s="65">
        <v>21324.013217584215</v>
      </c>
      <c r="J110" s="65">
        <v>21597.987817173223</v>
      </c>
      <c r="K110" s="65">
        <v>22095.831304482341</v>
      </c>
      <c r="L110" s="65">
        <v>23273.667549211168</v>
      </c>
      <c r="M110" s="65">
        <v>24034.043627697807</v>
      </c>
      <c r="N110" s="65">
        <v>24027.207943468798</v>
      </c>
      <c r="O110" s="65">
        <v>24418.834138445349</v>
      </c>
      <c r="P110" s="65">
        <v>25129.714858905674</v>
      </c>
      <c r="Q110" s="65">
        <v>25485.476691390428</v>
      </c>
      <c r="R110" s="65">
        <v>25591.446324584853</v>
      </c>
      <c r="S110" s="65">
        <v>25703.155766554835</v>
      </c>
      <c r="T110" s="65">
        <v>25766.615913820468</v>
      </c>
      <c r="U110" s="65">
        <v>25421.881320713608</v>
      </c>
      <c r="V110" s="65">
        <v>22766.186861502832</v>
      </c>
      <c r="W110" s="65">
        <v>23103.850624463339</v>
      </c>
      <c r="X110" s="65">
        <v>24533.95615920518</v>
      </c>
      <c r="Y110" s="65">
        <v>24785.777493770413</v>
      </c>
      <c r="DA110" s="109"/>
    </row>
    <row r="111" spans="1:105" ht="12" customHeight="1" x14ac:dyDescent="0.25">
      <c r="A111" s="74" t="s">
        <v>34</v>
      </c>
      <c r="B111" s="68">
        <v>24812.716437048803</v>
      </c>
      <c r="C111" s="68">
        <v>25352.338899833372</v>
      </c>
      <c r="D111" s="68">
        <v>26322.524550610065</v>
      </c>
      <c r="E111" s="68">
        <v>25885.171390071791</v>
      </c>
      <c r="F111" s="68">
        <v>26459.10792516905</v>
      </c>
      <c r="G111" s="68">
        <v>26818.325205557809</v>
      </c>
      <c r="H111" s="68">
        <v>26218.302835514798</v>
      </c>
      <c r="I111" s="68">
        <v>25532.724149744932</v>
      </c>
      <c r="J111" s="68">
        <v>25317.420316071646</v>
      </c>
      <c r="K111" s="68">
        <v>26024.565288582449</v>
      </c>
      <c r="L111" s="68">
        <v>27214.895005983661</v>
      </c>
      <c r="M111" s="68">
        <v>28096.403888938708</v>
      </c>
      <c r="N111" s="68">
        <v>27968.45578553365</v>
      </c>
      <c r="O111" s="68">
        <v>28551.31745612956</v>
      </c>
      <c r="P111" s="68">
        <v>28760.0591296895</v>
      </c>
      <c r="Q111" s="68">
        <v>28339.773225024954</v>
      </c>
      <c r="R111" s="68">
        <v>28550.89209289417</v>
      </c>
      <c r="S111" s="68">
        <v>28541.056118073189</v>
      </c>
      <c r="T111" s="68">
        <v>28466.319572465862</v>
      </c>
      <c r="U111" s="68">
        <v>27847.139160262544</v>
      </c>
      <c r="V111" s="68">
        <v>23925.318507324373</v>
      </c>
      <c r="W111" s="68">
        <v>26858.5278248291</v>
      </c>
      <c r="X111" s="68">
        <v>26719.976799731678</v>
      </c>
      <c r="Y111" s="68">
        <v>27003.436685574485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9466.5252556035248</v>
      </c>
      <c r="C113" s="82">
        <f t="shared" ref="C113:W113" si="110">C81*1000000/C$8</f>
        <v>11783.639628036301</v>
      </c>
      <c r="D113" s="82">
        <f t="shared" si="110"/>
        <v>11605.650237875498</v>
      </c>
      <c r="E113" s="82">
        <f t="shared" si="110"/>
        <v>12210.050553920533</v>
      </c>
      <c r="F113" s="82">
        <f t="shared" si="110"/>
        <v>12670.012879820999</v>
      </c>
      <c r="G113" s="82">
        <f t="shared" si="110"/>
        <v>15473.559321685654</v>
      </c>
      <c r="H113" s="82">
        <f t="shared" si="110"/>
        <v>15507.397030421715</v>
      </c>
      <c r="I113" s="82">
        <f t="shared" si="110"/>
        <v>14169.334876358602</v>
      </c>
      <c r="J113" s="82">
        <f t="shared" si="110"/>
        <v>13875.420291298184</v>
      </c>
      <c r="K113" s="82">
        <f t="shared" si="110"/>
        <v>11331.10594999233</v>
      </c>
      <c r="L113" s="82">
        <f t="shared" si="110"/>
        <v>10424.109934330632</v>
      </c>
      <c r="M113" s="82">
        <f t="shared" si="110"/>
        <v>10508.095432680946</v>
      </c>
      <c r="N113" s="82">
        <f t="shared" si="110"/>
        <v>7813.0979965928145</v>
      </c>
      <c r="O113" s="82">
        <f t="shared" si="110"/>
        <v>8359.8485884084494</v>
      </c>
      <c r="P113" s="82">
        <f t="shared" si="110"/>
        <v>5979.4397157072344</v>
      </c>
      <c r="Q113" s="82">
        <f t="shared" si="110"/>
        <v>7107.8167588772776</v>
      </c>
      <c r="R113" s="82">
        <f t="shared" si="110"/>
        <v>8406.5751233556566</v>
      </c>
      <c r="S113" s="82">
        <f t="shared" si="110"/>
        <v>6820.1663244801211</v>
      </c>
      <c r="T113" s="82">
        <f t="shared" si="110"/>
        <v>6510.1243600943217</v>
      </c>
      <c r="U113" s="82">
        <f t="shared" si="110"/>
        <v>6782.7322367879351</v>
      </c>
      <c r="V113" s="82">
        <f t="shared" si="110"/>
        <v>5371.1689636890287</v>
      </c>
      <c r="W113" s="82">
        <f t="shared" si="110"/>
        <v>5717.459047965589</v>
      </c>
      <c r="X113" s="82">
        <f t="shared" ref="X113:Y113" si="111">X81*1000000/X$8</f>
        <v>5632.717645286335</v>
      </c>
      <c r="Y113" s="82">
        <f t="shared" si="111"/>
        <v>6075.622846395876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9466.5252556035248</v>
      </c>
      <c r="C114" s="64">
        <f t="shared" ref="C114:W114" si="113">C82*1000000/C$8</f>
        <v>11783.639628036301</v>
      </c>
      <c r="D114" s="64">
        <f t="shared" si="113"/>
        <v>11605.650237875498</v>
      </c>
      <c r="E114" s="64">
        <f t="shared" si="113"/>
        <v>12210.050553920533</v>
      </c>
      <c r="F114" s="64">
        <f t="shared" si="113"/>
        <v>12670.012879820999</v>
      </c>
      <c r="G114" s="64">
        <f t="shared" si="113"/>
        <v>15473.559321685654</v>
      </c>
      <c r="H114" s="64">
        <f t="shared" si="113"/>
        <v>15507.397030421715</v>
      </c>
      <c r="I114" s="64">
        <f t="shared" si="113"/>
        <v>14169.334876358602</v>
      </c>
      <c r="J114" s="64">
        <f t="shared" si="113"/>
        <v>13875.420291298184</v>
      </c>
      <c r="K114" s="64">
        <f t="shared" si="113"/>
        <v>11331.10594999233</v>
      </c>
      <c r="L114" s="64">
        <f t="shared" si="113"/>
        <v>10424.109934330632</v>
      </c>
      <c r="M114" s="64">
        <f t="shared" si="113"/>
        <v>10508.095432680946</v>
      </c>
      <c r="N114" s="64">
        <f t="shared" si="113"/>
        <v>7813.0979965928145</v>
      </c>
      <c r="O114" s="64">
        <f t="shared" si="113"/>
        <v>8359.8485884084494</v>
      </c>
      <c r="P114" s="64">
        <f t="shared" si="113"/>
        <v>5979.4397157072344</v>
      </c>
      <c r="Q114" s="64">
        <f t="shared" si="113"/>
        <v>7107.8167588772776</v>
      </c>
      <c r="R114" s="64">
        <f t="shared" si="113"/>
        <v>8406.5751233556566</v>
      </c>
      <c r="S114" s="64">
        <f t="shared" si="113"/>
        <v>6820.1663244801211</v>
      </c>
      <c r="T114" s="64">
        <f t="shared" si="113"/>
        <v>6510.1243600943217</v>
      </c>
      <c r="U114" s="64">
        <f t="shared" si="113"/>
        <v>6782.7322367879351</v>
      </c>
      <c r="V114" s="64">
        <f t="shared" si="113"/>
        <v>5371.1689636890287</v>
      </c>
      <c r="W114" s="64">
        <f t="shared" si="113"/>
        <v>5717.459047965589</v>
      </c>
      <c r="X114" s="64">
        <f t="shared" ref="X114:Y114" si="114">X82*1000000/X$8</f>
        <v>5632.717645286335</v>
      </c>
      <c r="Y114" s="64">
        <f t="shared" si="114"/>
        <v>6075.622846395876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8025.5693668959602</v>
      </c>
      <c r="C115" s="65">
        <f t="shared" ref="C115:W115" si="116">C83*1000000/C$8</f>
        <v>10252.342121971931</v>
      </c>
      <c r="D115" s="65">
        <f t="shared" si="116"/>
        <v>10296.280485157253</v>
      </c>
      <c r="E115" s="65">
        <f t="shared" si="116"/>
        <v>10772.12411045987</v>
      </c>
      <c r="F115" s="65">
        <f t="shared" si="116"/>
        <v>10317.174246776489</v>
      </c>
      <c r="G115" s="65">
        <f t="shared" si="116"/>
        <v>13051.451350073594</v>
      </c>
      <c r="H115" s="65">
        <f t="shared" si="116"/>
        <v>13088.203074844705</v>
      </c>
      <c r="I115" s="65">
        <f t="shared" si="116"/>
        <v>11705.280356317144</v>
      </c>
      <c r="J115" s="65">
        <f t="shared" si="116"/>
        <v>11359.685814918406</v>
      </c>
      <c r="K115" s="65">
        <f t="shared" si="116"/>
        <v>8724.447791168499</v>
      </c>
      <c r="L115" s="65">
        <f t="shared" si="116"/>
        <v>7469.467028339257</v>
      </c>
      <c r="M115" s="65">
        <f t="shared" si="116"/>
        <v>7605.0255563917253</v>
      </c>
      <c r="N115" s="65">
        <f t="shared" si="116"/>
        <v>3243.7312239183625</v>
      </c>
      <c r="O115" s="65">
        <f t="shared" si="116"/>
        <v>4528.1496016275732</v>
      </c>
      <c r="P115" s="65">
        <f t="shared" si="116"/>
        <v>2883.6112973110321</v>
      </c>
      <c r="Q115" s="65">
        <f t="shared" si="116"/>
        <v>3813.9420959557588</v>
      </c>
      <c r="R115" s="65">
        <f t="shared" si="116"/>
        <v>4942.7154138337482</v>
      </c>
      <c r="S115" s="65">
        <f t="shared" si="116"/>
        <v>3200.7825883171963</v>
      </c>
      <c r="T115" s="65">
        <f t="shared" si="116"/>
        <v>2932.0570809531027</v>
      </c>
      <c r="U115" s="65">
        <f t="shared" si="116"/>
        <v>3106.1366598299496</v>
      </c>
      <c r="V115" s="65">
        <f t="shared" si="116"/>
        <v>2659.8947915926215</v>
      </c>
      <c r="W115" s="65">
        <f t="shared" si="116"/>
        <v>2419.3549753766029</v>
      </c>
      <c r="X115" s="65">
        <f t="shared" ref="X115:Y115" si="117">X83*1000000/X$8</f>
        <v>2298.7094441998374</v>
      </c>
      <c r="Y115" s="65">
        <f t="shared" si="117"/>
        <v>2435.2959045306438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1.1006460835279055</v>
      </c>
      <c r="C116" s="65">
        <f t="shared" ref="C116:W116" si="119">C84*1000000/C$8</f>
        <v>1.3815993743650941</v>
      </c>
      <c r="D116" s="65">
        <f t="shared" si="119"/>
        <v>1.5138755953855081</v>
      </c>
      <c r="E116" s="65">
        <f t="shared" si="119"/>
        <v>1.7504242796603342</v>
      </c>
      <c r="F116" s="65">
        <f t="shared" si="119"/>
        <v>2.2731115757146325</v>
      </c>
      <c r="G116" s="65">
        <f t="shared" si="119"/>
        <v>3.5099982562173047</v>
      </c>
      <c r="H116" s="65">
        <f t="shared" si="119"/>
        <v>5.6129195926612683</v>
      </c>
      <c r="I116" s="65">
        <f t="shared" si="119"/>
        <v>8.1005729306636081</v>
      </c>
      <c r="J116" s="65">
        <f t="shared" si="119"/>
        <v>10.670413545948669</v>
      </c>
      <c r="K116" s="65">
        <f t="shared" si="119"/>
        <v>12.577914874233494</v>
      </c>
      <c r="L116" s="65">
        <f t="shared" si="119"/>
        <v>17.568655416261354</v>
      </c>
      <c r="M116" s="65">
        <f t="shared" si="119"/>
        <v>20.885521699534692</v>
      </c>
      <c r="N116" s="65">
        <f t="shared" si="119"/>
        <v>39.905040228418493</v>
      </c>
      <c r="O116" s="65">
        <f t="shared" si="119"/>
        <v>40.663581861478768</v>
      </c>
      <c r="P116" s="65">
        <f t="shared" si="119"/>
        <v>49.405368348112241</v>
      </c>
      <c r="Q116" s="65">
        <f t="shared" si="119"/>
        <v>72.505133227054984</v>
      </c>
      <c r="R116" s="65">
        <f t="shared" si="119"/>
        <v>87.257607419488323</v>
      </c>
      <c r="S116" s="65">
        <f t="shared" si="119"/>
        <v>98.896389258730082</v>
      </c>
      <c r="T116" s="65">
        <f t="shared" si="119"/>
        <v>97.089343810335663</v>
      </c>
      <c r="U116" s="65">
        <f t="shared" si="119"/>
        <v>123.12947249662508</v>
      </c>
      <c r="V116" s="65">
        <f t="shared" si="119"/>
        <v>104.63298912752522</v>
      </c>
      <c r="W116" s="65">
        <f t="shared" si="119"/>
        <v>139.92937736959516</v>
      </c>
      <c r="X116" s="65">
        <f t="shared" ref="X116:Y116" si="120">X84*1000000/X$8</f>
        <v>127.03022781953422</v>
      </c>
      <c r="Y116" s="65">
        <f t="shared" si="120"/>
        <v>131.12624308976919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662.60838844992065</v>
      </c>
      <c r="C117" s="65">
        <f t="shared" ref="C117:W117" si="122">C85*1000000/C$8</f>
        <v>749.33122579346275</v>
      </c>
      <c r="D117" s="65">
        <f t="shared" si="122"/>
        <v>798.02137710184218</v>
      </c>
      <c r="E117" s="65">
        <f t="shared" si="122"/>
        <v>810.12547033728265</v>
      </c>
      <c r="F117" s="65">
        <f t="shared" si="122"/>
        <v>839.08728755177833</v>
      </c>
      <c r="G117" s="65">
        <f t="shared" si="122"/>
        <v>1031.9173245586398</v>
      </c>
      <c r="H117" s="65">
        <f t="shared" si="122"/>
        <v>1089.6701123180192</v>
      </c>
      <c r="I117" s="65">
        <f t="shared" si="122"/>
        <v>1202.5792674046852</v>
      </c>
      <c r="J117" s="65">
        <f t="shared" si="122"/>
        <v>1242.6369133667502</v>
      </c>
      <c r="K117" s="65">
        <f t="shared" si="122"/>
        <v>1287.5599457932226</v>
      </c>
      <c r="L117" s="65">
        <f t="shared" si="122"/>
        <v>1441.1463796737044</v>
      </c>
      <c r="M117" s="65">
        <f t="shared" si="122"/>
        <v>1457.0262588226883</v>
      </c>
      <c r="N117" s="65">
        <f t="shared" si="122"/>
        <v>1444.2567149469974</v>
      </c>
      <c r="O117" s="65">
        <f t="shared" si="122"/>
        <v>1497.710287492431</v>
      </c>
      <c r="P117" s="65">
        <f t="shared" si="122"/>
        <v>1500.742180486018</v>
      </c>
      <c r="Q117" s="65">
        <f t="shared" si="122"/>
        <v>1528.382976928129</v>
      </c>
      <c r="R117" s="65">
        <f t="shared" si="122"/>
        <v>1534.1289903563677</v>
      </c>
      <c r="S117" s="65">
        <f t="shared" si="122"/>
        <v>1572.2790709885483</v>
      </c>
      <c r="T117" s="65">
        <f t="shared" si="122"/>
        <v>1458.8526162539079</v>
      </c>
      <c r="U117" s="65">
        <f t="shared" si="122"/>
        <v>1373.0251765344137</v>
      </c>
      <c r="V117" s="65">
        <f t="shared" si="122"/>
        <v>1027.6868123609497</v>
      </c>
      <c r="W117" s="65">
        <f t="shared" si="122"/>
        <v>1062.7201515501724</v>
      </c>
      <c r="X117" s="65">
        <f t="shared" ref="X117:Y117" si="123">X85*1000000/X$8</f>
        <v>898.490421094986</v>
      </c>
      <c r="Y117" s="65">
        <f t="shared" si="123"/>
        <v>823.12767201553197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777.24685417411604</v>
      </c>
      <c r="C118" s="67">
        <f t="shared" ref="C118:W118" si="125">C86*1000000/C$8</f>
        <v>780.58468089654184</v>
      </c>
      <c r="D118" s="67">
        <f t="shared" si="125"/>
        <v>509.83450002101642</v>
      </c>
      <c r="E118" s="67">
        <f t="shared" si="125"/>
        <v>626.05054884372169</v>
      </c>
      <c r="F118" s="67">
        <f t="shared" si="125"/>
        <v>1511.478233917016</v>
      </c>
      <c r="G118" s="67">
        <f t="shared" si="125"/>
        <v>1386.6806487972012</v>
      </c>
      <c r="H118" s="67">
        <f t="shared" si="125"/>
        <v>1323.9109236663278</v>
      </c>
      <c r="I118" s="67">
        <f t="shared" si="125"/>
        <v>1253.3746797061092</v>
      </c>
      <c r="J118" s="67">
        <f t="shared" si="125"/>
        <v>1262.4271494670779</v>
      </c>
      <c r="K118" s="67">
        <f t="shared" si="125"/>
        <v>1306.5202981563759</v>
      </c>
      <c r="L118" s="67">
        <f t="shared" si="125"/>
        <v>1495.9278709014129</v>
      </c>
      <c r="M118" s="67">
        <f t="shared" si="125"/>
        <v>1425.1580957669967</v>
      </c>
      <c r="N118" s="67">
        <f t="shared" si="125"/>
        <v>3085.2050174990359</v>
      </c>
      <c r="O118" s="67">
        <f t="shared" si="125"/>
        <v>2293.3251174269681</v>
      </c>
      <c r="P118" s="67">
        <f t="shared" si="125"/>
        <v>1545.6808695620723</v>
      </c>
      <c r="Q118" s="67">
        <f t="shared" si="125"/>
        <v>1692.9865527663344</v>
      </c>
      <c r="R118" s="67">
        <f t="shared" si="125"/>
        <v>1842.4731117460524</v>
      </c>
      <c r="S118" s="67">
        <f t="shared" si="125"/>
        <v>1948.2082759156463</v>
      </c>
      <c r="T118" s="67">
        <f t="shared" si="125"/>
        <v>2022.1253190769767</v>
      </c>
      <c r="U118" s="67">
        <f t="shared" si="125"/>
        <v>2180.4409279269466</v>
      </c>
      <c r="V118" s="67">
        <f t="shared" si="125"/>
        <v>1578.9543706079314</v>
      </c>
      <c r="W118" s="67">
        <f t="shared" si="125"/>
        <v>2095.4545436692188</v>
      </c>
      <c r="X118" s="67">
        <f t="shared" ref="X118:Y118" si="126">X86*1000000/X$8</f>
        <v>2308.4875521719773</v>
      </c>
      <c r="Y118" s="67">
        <f t="shared" si="126"/>
        <v>2686.0730267599311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0.59298964610931759</v>
      </c>
      <c r="C121" s="86">
        <f t="shared" ref="C121:W121" si="131">IF(C107=0,"",C107/C100)</f>
        <v>0.59568402783030427</v>
      </c>
      <c r="D121" s="86">
        <f t="shared" si="131"/>
        <v>0.59324310430374172</v>
      </c>
      <c r="E121" s="86">
        <f t="shared" si="131"/>
        <v>0.61255529945888487</v>
      </c>
      <c r="F121" s="86">
        <f t="shared" si="131"/>
        <v>0.59874039359264286</v>
      </c>
      <c r="G121" s="86">
        <f t="shared" si="131"/>
        <v>0.59284997225590974</v>
      </c>
      <c r="H121" s="86">
        <f t="shared" si="131"/>
        <v>0.61072324003653911</v>
      </c>
      <c r="I121" s="86">
        <f t="shared" si="131"/>
        <v>0.65640501790694883</v>
      </c>
      <c r="J121" s="86">
        <f t="shared" si="131"/>
        <v>0.67000997453724476</v>
      </c>
      <c r="K121" s="86">
        <f t="shared" si="131"/>
        <v>0.67588036327168843</v>
      </c>
      <c r="L121" s="86">
        <f t="shared" si="131"/>
        <v>0.72363345540674895</v>
      </c>
      <c r="M121" s="86">
        <f t="shared" si="131"/>
        <v>0.73432862970256152</v>
      </c>
      <c r="N121" s="86">
        <f t="shared" si="131"/>
        <v>0.83745252021051819</v>
      </c>
      <c r="O121" s="86">
        <f t="shared" si="131"/>
        <v>0.82725340618450838</v>
      </c>
      <c r="P121" s="86">
        <f t="shared" si="131"/>
        <v>0.89965056375779195</v>
      </c>
      <c r="Q121" s="86">
        <f t="shared" si="131"/>
        <v>0.94575237233078635</v>
      </c>
      <c r="R121" s="86">
        <f t="shared" si="131"/>
        <v>0.93617064620177126</v>
      </c>
      <c r="S121" s="86">
        <f t="shared" si="131"/>
        <v>0.98111716846342512</v>
      </c>
      <c r="T121" s="86">
        <f t="shared" si="131"/>
        <v>1.0299343115190465</v>
      </c>
      <c r="U121" s="86">
        <f t="shared" si="131"/>
        <v>1.0897336616928766</v>
      </c>
      <c r="V121" s="86">
        <f t="shared" si="131"/>
        <v>1.199345147269999</v>
      </c>
      <c r="W121" s="86">
        <f t="shared" si="131"/>
        <v>1.2660718376619706</v>
      </c>
      <c r="X121" s="86">
        <f t="shared" ref="X121:Y121" si="132">IF(X107=0,"",X107/X100)</f>
        <v>1.2466425781011967</v>
      </c>
      <c r="Y121" s="86">
        <f t="shared" si="132"/>
        <v>1.3053860351486604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0.47810737015701466</v>
      </c>
      <c r="C122" s="75">
        <f t="shared" ref="C122:W122" si="134">IF(C108=0,"",C108/C101)</f>
        <v>0.475977287104628</v>
      </c>
      <c r="D122" s="75">
        <f t="shared" si="134"/>
        <v>0.48453980627306265</v>
      </c>
      <c r="E122" s="75">
        <f t="shared" si="134"/>
        <v>0.49607875363144383</v>
      </c>
      <c r="F122" s="75">
        <f t="shared" si="134"/>
        <v>0.52351882252843429</v>
      </c>
      <c r="G122" s="75">
        <f t="shared" si="134"/>
        <v>0.51447143074170831</v>
      </c>
      <c r="H122" s="75">
        <f t="shared" si="134"/>
        <v>0.53276433676884483</v>
      </c>
      <c r="I122" s="75">
        <f t="shared" si="134"/>
        <v>0.56192921809014484</v>
      </c>
      <c r="J122" s="75">
        <f t="shared" si="134"/>
        <v>0.58433185384663211</v>
      </c>
      <c r="K122" s="75">
        <f t="shared" si="134"/>
        <v>0.62925337022805417</v>
      </c>
      <c r="L122" s="75">
        <f t="shared" si="134"/>
        <v>0.67700387057657463</v>
      </c>
      <c r="M122" s="75">
        <f t="shared" si="134"/>
        <v>0.71376317749759155</v>
      </c>
      <c r="N122" s="75">
        <f t="shared" si="134"/>
        <v>0.84715393089899083</v>
      </c>
      <c r="O122" s="75">
        <f t="shared" si="134"/>
        <v>0.93102532059710608</v>
      </c>
      <c r="P122" s="75">
        <f t="shared" si="134"/>
        <v>1.2427294731527978</v>
      </c>
      <c r="Q122" s="75">
        <f t="shared" si="134"/>
        <v>1.1676342993956046</v>
      </c>
      <c r="R122" s="75">
        <f t="shared" si="134"/>
        <v>1.0441833290299734</v>
      </c>
      <c r="S122" s="75">
        <f t="shared" si="134"/>
        <v>1.1327898742474396</v>
      </c>
      <c r="T122" s="75">
        <f t="shared" si="134"/>
        <v>1.322776351647752</v>
      </c>
      <c r="U122" s="75">
        <f t="shared" si="134"/>
        <v>1.3138115218407007</v>
      </c>
      <c r="V122" s="75">
        <f t="shared" si="134"/>
        <v>1.6211651664283742</v>
      </c>
      <c r="W122" s="75">
        <f t="shared" si="134"/>
        <v>1.6471495483687857</v>
      </c>
      <c r="X122" s="75">
        <f t="shared" ref="X122:Y122" si="135">IF(X108=0,"",X108/X101)</f>
        <v>1.6077576605433779</v>
      </c>
      <c r="Y122" s="75">
        <f t="shared" si="135"/>
        <v>1.7421783897087479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1.6804912603137574</v>
      </c>
      <c r="C123" s="76">
        <f t="shared" ref="C123:W123" si="137">IF(C109=0,"",C109/C102)</f>
        <v>1.750361618171709</v>
      </c>
      <c r="D123" s="76">
        <f t="shared" si="137"/>
        <v>1.8285050935226888</v>
      </c>
      <c r="E123" s="76">
        <f t="shared" si="137"/>
        <v>1.9235649101567167</v>
      </c>
      <c r="F123" s="76">
        <f t="shared" si="137"/>
        <v>2.0180376878022726</v>
      </c>
      <c r="G123" s="76">
        <f t="shared" si="137"/>
        <v>2.1170353784164653</v>
      </c>
      <c r="H123" s="76">
        <f t="shared" si="137"/>
        <v>2.248269066472532</v>
      </c>
      <c r="I123" s="76">
        <f t="shared" si="137"/>
        <v>2.3946070199186211</v>
      </c>
      <c r="J123" s="76">
        <f t="shared" si="137"/>
        <v>2.5434044145191295</v>
      </c>
      <c r="K123" s="76">
        <f t="shared" si="137"/>
        <v>2.5860778588656381</v>
      </c>
      <c r="L123" s="76">
        <f t="shared" si="137"/>
        <v>2.6416115396056425</v>
      </c>
      <c r="M123" s="76">
        <f t="shared" si="137"/>
        <v>2.7302037806321491</v>
      </c>
      <c r="N123" s="76">
        <f t="shared" si="137"/>
        <v>2.8341842587736585</v>
      </c>
      <c r="O123" s="76">
        <f t="shared" si="137"/>
        <v>2.9330590129466905</v>
      </c>
      <c r="P123" s="76">
        <f t="shared" si="137"/>
        <v>3.037924673753797</v>
      </c>
      <c r="Q123" s="76">
        <f t="shared" si="137"/>
        <v>3.1527710635292698</v>
      </c>
      <c r="R123" s="76">
        <f t="shared" si="137"/>
        <v>3.2702423150644861</v>
      </c>
      <c r="S123" s="76">
        <f t="shared" si="137"/>
        <v>3.3772306052419179</v>
      </c>
      <c r="T123" s="76">
        <f t="shared" si="137"/>
        <v>3.4532752245407683</v>
      </c>
      <c r="U123" s="76">
        <f t="shared" si="137"/>
        <v>3.5249377975807255</v>
      </c>
      <c r="V123" s="76">
        <f t="shared" si="137"/>
        <v>3.5909878259652541</v>
      </c>
      <c r="W123" s="76">
        <f t="shared" si="137"/>
        <v>3.6560008963741586</v>
      </c>
      <c r="X123" s="76">
        <f t="shared" ref="X123:Y123" si="138">IF(X109=0,"",X109/X102)</f>
        <v>3.7030332002952742</v>
      </c>
      <c r="Y123" s="76">
        <f t="shared" si="138"/>
        <v>3.7491006561374531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0.53549830266367471</v>
      </c>
      <c r="C124" s="76">
        <f t="shared" ref="C124:W124" si="140">IF(C110=0,"",C110/C103)</f>
        <v>0.53613717939606009</v>
      </c>
      <c r="D124" s="76">
        <f t="shared" si="140"/>
        <v>0.53746860262613005</v>
      </c>
      <c r="E124" s="76">
        <f t="shared" si="140"/>
        <v>0.53940555738831153</v>
      </c>
      <c r="F124" s="76">
        <f t="shared" si="140"/>
        <v>0.5415056583855401</v>
      </c>
      <c r="G124" s="76">
        <f t="shared" si="140"/>
        <v>0.54137744153987921</v>
      </c>
      <c r="H124" s="76">
        <f t="shared" si="140"/>
        <v>0.54385087922104036</v>
      </c>
      <c r="I124" s="76">
        <f t="shared" si="140"/>
        <v>0.54608392296197594</v>
      </c>
      <c r="J124" s="76">
        <f t="shared" si="140"/>
        <v>0.54966975618863401</v>
      </c>
      <c r="K124" s="76">
        <f t="shared" si="140"/>
        <v>0.55294003110540324</v>
      </c>
      <c r="L124" s="76">
        <f t="shared" si="140"/>
        <v>0.5547065074211075</v>
      </c>
      <c r="M124" s="76">
        <f t="shared" si="140"/>
        <v>0.55799452004003813</v>
      </c>
      <c r="N124" s="76">
        <f t="shared" si="140"/>
        <v>0.56339918874152184</v>
      </c>
      <c r="O124" s="76">
        <f t="shared" si="140"/>
        <v>0.57009693066641232</v>
      </c>
      <c r="P124" s="76">
        <f t="shared" si="140"/>
        <v>0.57508600589211734</v>
      </c>
      <c r="Q124" s="76">
        <f t="shared" si="140"/>
        <v>0.58206648581110576</v>
      </c>
      <c r="R124" s="76">
        <f t="shared" si="140"/>
        <v>0.59161626332865203</v>
      </c>
      <c r="S124" s="76">
        <f t="shared" si="140"/>
        <v>0.60512979245896892</v>
      </c>
      <c r="T124" s="76">
        <f t="shared" si="140"/>
        <v>0.62047887396737522</v>
      </c>
      <c r="U124" s="76">
        <f t="shared" si="140"/>
        <v>0.63686173649279365</v>
      </c>
      <c r="V124" s="76">
        <f t="shared" si="140"/>
        <v>0.65646446098265387</v>
      </c>
      <c r="W124" s="76">
        <f t="shared" si="140"/>
        <v>0.67283027331194245</v>
      </c>
      <c r="X124" s="76">
        <f t="shared" ref="X124:Y124" si="141">IF(X110=0,"",X110/X103)</f>
        <v>0.69185900222939423</v>
      </c>
      <c r="Y124" s="76">
        <f t="shared" si="141"/>
        <v>0.70910671577953877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0.6487841877183993</v>
      </c>
      <c r="C125" s="56">
        <f t="shared" ref="C125:W125" si="143">IF(C111=0,"",C111/C104)</f>
        <v>0.65057779317174824</v>
      </c>
      <c r="D125" s="56">
        <f t="shared" si="143"/>
        <v>0.65739453117099178</v>
      </c>
      <c r="E125" s="56">
        <f t="shared" si="143"/>
        <v>0.65660616865068533</v>
      </c>
      <c r="F125" s="56">
        <f t="shared" si="143"/>
        <v>0.64317140257283467</v>
      </c>
      <c r="G125" s="56">
        <f t="shared" si="143"/>
        <v>0.64712476898153704</v>
      </c>
      <c r="H125" s="56">
        <f t="shared" si="143"/>
        <v>0.64958088140640891</v>
      </c>
      <c r="I125" s="56">
        <f t="shared" si="143"/>
        <v>0.65240695848905073</v>
      </c>
      <c r="J125" s="56">
        <f t="shared" si="143"/>
        <v>0.65416968552747978</v>
      </c>
      <c r="K125" s="56">
        <f t="shared" si="143"/>
        <v>0.65606989643098979</v>
      </c>
      <c r="L125" s="56">
        <f t="shared" si="143"/>
        <v>0.65516656142922058</v>
      </c>
      <c r="M125" s="56">
        <f t="shared" si="143"/>
        <v>0.65682750527423406</v>
      </c>
      <c r="N125" s="56">
        <f t="shared" si="143"/>
        <v>0.63052724297007579</v>
      </c>
      <c r="O125" s="56">
        <f t="shared" si="143"/>
        <v>0.64652969958916551</v>
      </c>
      <c r="P125" s="56">
        <f t="shared" si="143"/>
        <v>0.6630856392110841</v>
      </c>
      <c r="Q125" s="56">
        <f t="shared" si="143"/>
        <v>0.66447636282164901</v>
      </c>
      <c r="R125" s="56">
        <f t="shared" si="143"/>
        <v>0.66728718254881458</v>
      </c>
      <c r="S125" s="56">
        <f t="shared" si="143"/>
        <v>0.67249047969515285</v>
      </c>
      <c r="T125" s="56">
        <f t="shared" si="143"/>
        <v>0.67900081037501381</v>
      </c>
      <c r="U125" s="56">
        <f t="shared" si="143"/>
        <v>0.68312621040451726</v>
      </c>
      <c r="V125" s="56">
        <f t="shared" si="143"/>
        <v>0.69998250797339989</v>
      </c>
      <c r="W125" s="56">
        <f t="shared" si="143"/>
        <v>0.70109720755277505</v>
      </c>
      <c r="X125" s="56">
        <f t="shared" ref="X125:Y125" si="144">IF(X111=0,"",X111/X104)</f>
        <v>0.70361202293217884</v>
      </c>
      <c r="Y125" s="56">
        <f t="shared" si="144"/>
        <v>0.70291531752557279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208.57301196045813</v>
      </c>
      <c r="C129" s="82">
        <f t="shared" ref="C129:W129" si="146">IF(C99=0,0,C99/C$26)</f>
        <v>223.50399214581537</v>
      </c>
      <c r="D129" s="82">
        <f t="shared" si="146"/>
        <v>226.57093905983993</v>
      </c>
      <c r="E129" s="82">
        <f t="shared" si="146"/>
        <v>234.61296185674368</v>
      </c>
      <c r="F129" s="82">
        <f t="shared" si="146"/>
        <v>240.97870607990555</v>
      </c>
      <c r="G129" s="82">
        <f t="shared" si="146"/>
        <v>255.23873796548162</v>
      </c>
      <c r="H129" s="82">
        <f t="shared" si="146"/>
        <v>261.82406149133874</v>
      </c>
      <c r="I129" s="82">
        <f t="shared" si="146"/>
        <v>261.06294879252005</v>
      </c>
      <c r="J129" s="82">
        <f t="shared" si="146"/>
        <v>266.2703651027993</v>
      </c>
      <c r="K129" s="82">
        <f t="shared" si="146"/>
        <v>257.33486472070291</v>
      </c>
      <c r="L129" s="82">
        <f t="shared" si="146"/>
        <v>242.04367611732127</v>
      </c>
      <c r="M129" s="82">
        <f t="shared" si="146"/>
        <v>236.73341976267974</v>
      </c>
      <c r="N129" s="82">
        <f t="shared" si="146"/>
        <v>245.59475781134589</v>
      </c>
      <c r="O129" s="82">
        <f t="shared" si="146"/>
        <v>230.66272910607685</v>
      </c>
      <c r="P129" s="82">
        <f t="shared" si="146"/>
        <v>216.75719717128032</v>
      </c>
      <c r="Q129" s="82">
        <f t="shared" si="146"/>
        <v>236.70251771815009</v>
      </c>
      <c r="R129" s="82">
        <f t="shared" si="146"/>
        <v>255.00670166485097</v>
      </c>
      <c r="S129" s="82">
        <f t="shared" si="146"/>
        <v>243.98123162635341</v>
      </c>
      <c r="T129" s="82">
        <f t="shared" si="146"/>
        <v>227.00186480755846</v>
      </c>
      <c r="U129" s="82">
        <f t="shared" si="146"/>
        <v>228.23181615690461</v>
      </c>
      <c r="V129" s="82">
        <f t="shared" si="146"/>
        <v>194.39987147690709</v>
      </c>
      <c r="W129" s="82">
        <f t="shared" si="146"/>
        <v>205.52604096103559</v>
      </c>
      <c r="X129" s="82">
        <f t="shared" ref="X129:Y129" si="147">IF(X99=0,0,X99/X$26)</f>
        <v>209.41433637193526</v>
      </c>
      <c r="Y129" s="82">
        <f t="shared" si="147"/>
        <v>207.33404332159293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145.23381534207908</v>
      </c>
      <c r="C130" s="64">
        <f t="shared" ref="C130:W130" si="149">IF(C100=0,0,C100/C$26)</f>
        <v>160.48066877339278</v>
      </c>
      <c r="D130" s="64">
        <f t="shared" si="149"/>
        <v>162.95940544734736</v>
      </c>
      <c r="E130" s="64">
        <f t="shared" si="149"/>
        <v>170.60695305577619</v>
      </c>
      <c r="F130" s="64">
        <f t="shared" si="149"/>
        <v>176.29897924200532</v>
      </c>
      <c r="G130" s="64">
        <f t="shared" si="149"/>
        <v>189.51539702077832</v>
      </c>
      <c r="H130" s="64">
        <f t="shared" si="149"/>
        <v>195.80044407544349</v>
      </c>
      <c r="I130" s="64">
        <f t="shared" si="149"/>
        <v>194.64426564869683</v>
      </c>
      <c r="J130" s="64">
        <f t="shared" si="149"/>
        <v>198.89971094274097</v>
      </c>
      <c r="K130" s="64">
        <f t="shared" si="149"/>
        <v>188.8143358234891</v>
      </c>
      <c r="L130" s="64">
        <f t="shared" si="149"/>
        <v>171.30594147179403</v>
      </c>
      <c r="M130" s="64">
        <f t="shared" si="149"/>
        <v>164.38879691761989</v>
      </c>
      <c r="N130" s="64">
        <f t="shared" si="149"/>
        <v>172.77103531662874</v>
      </c>
      <c r="O130" s="64">
        <f t="shared" si="149"/>
        <v>157.37075167243563</v>
      </c>
      <c r="P130" s="64">
        <f t="shared" si="149"/>
        <v>142.72480604098666</v>
      </c>
      <c r="Q130" s="64">
        <f t="shared" si="149"/>
        <v>161.48201542916314</v>
      </c>
      <c r="R130" s="64">
        <f t="shared" si="149"/>
        <v>178.62663482765996</v>
      </c>
      <c r="S130" s="64">
        <f t="shared" si="149"/>
        <v>168.5635222658257</v>
      </c>
      <c r="T130" s="64">
        <f t="shared" si="149"/>
        <v>153.17753056335334</v>
      </c>
      <c r="U130" s="64">
        <f t="shared" si="149"/>
        <v>156.65359334832249</v>
      </c>
      <c r="V130" s="64">
        <f t="shared" si="149"/>
        <v>128.71339007675709</v>
      </c>
      <c r="W130" s="64">
        <f t="shared" si="149"/>
        <v>140.01473446761801</v>
      </c>
      <c r="X130" s="64">
        <f t="shared" ref="X130:Y130" si="150">IF(X100=0,0,X100/X$26)</f>
        <v>144.79712175139701</v>
      </c>
      <c r="Y130" s="64">
        <f t="shared" si="150"/>
        <v>143.83873692107659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58.278864835574488</v>
      </c>
      <c r="C131" s="65">
        <f t="shared" ref="C131:W131" si="152">IF(C101=0,0,C101/C$26)</f>
        <v>69.878171083050788</v>
      </c>
      <c r="D131" s="65">
        <f t="shared" si="152"/>
        <v>70.779355059664582</v>
      </c>
      <c r="E131" s="65">
        <f t="shared" si="152"/>
        <v>76.949357911104315</v>
      </c>
      <c r="F131" s="65">
        <f t="shared" si="152"/>
        <v>83.183283313170051</v>
      </c>
      <c r="G131" s="65">
        <f t="shared" si="152"/>
        <v>93.637534452071847</v>
      </c>
      <c r="H131" s="65">
        <f t="shared" si="152"/>
        <v>101.03593222243875</v>
      </c>
      <c r="I131" s="65">
        <f t="shared" si="152"/>
        <v>99.5094915548286</v>
      </c>
      <c r="J131" s="65">
        <f t="shared" si="152"/>
        <v>104.30121486046694</v>
      </c>
      <c r="K131" s="65">
        <f t="shared" si="152"/>
        <v>94.712181430005927</v>
      </c>
      <c r="L131" s="65">
        <f t="shared" si="152"/>
        <v>71.052077390884875</v>
      </c>
      <c r="M131" s="65">
        <f t="shared" si="152"/>
        <v>62.286417524533704</v>
      </c>
      <c r="N131" s="65">
        <f t="shared" si="152"/>
        <v>64.803372452775918</v>
      </c>
      <c r="O131" s="65">
        <f t="shared" si="152"/>
        <v>53.315579899729883</v>
      </c>
      <c r="P131" s="65">
        <f t="shared" si="152"/>
        <v>39.638391705120632</v>
      </c>
      <c r="Q131" s="65">
        <f t="shared" si="152"/>
        <v>57.131388127198356</v>
      </c>
      <c r="R131" s="65">
        <f t="shared" si="152"/>
        <v>73.869647866341381</v>
      </c>
      <c r="S131" s="65">
        <f t="shared" si="152"/>
        <v>64.836719029399731</v>
      </c>
      <c r="T131" s="65">
        <f t="shared" si="152"/>
        <v>52.223304658611667</v>
      </c>
      <c r="U131" s="65">
        <f t="shared" si="152"/>
        <v>56.384639307329181</v>
      </c>
      <c r="V131" s="65">
        <f t="shared" si="152"/>
        <v>43.133781111742934</v>
      </c>
      <c r="W131" s="65">
        <f t="shared" si="152"/>
        <v>47.304814862289938</v>
      </c>
      <c r="X131" s="65">
        <f t="shared" ref="X131:Y131" si="153">IF(X101=0,0,X101/X$26)</f>
        <v>52.72555876881853</v>
      </c>
      <c r="Y131" s="65">
        <f t="shared" si="153"/>
        <v>51.526627038863701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6.0090776256132719</v>
      </c>
      <c r="C132" s="65">
        <f t="shared" ref="C132:W132" si="155">IF(C102=0,0,C102/C$26)</f>
        <v>7.251406663882551</v>
      </c>
      <c r="D132" s="65">
        <f t="shared" si="155"/>
        <v>5.8091182817306404</v>
      </c>
      <c r="E132" s="65">
        <f t="shared" si="155"/>
        <v>7.7159390929864458</v>
      </c>
      <c r="F132" s="65">
        <f t="shared" si="155"/>
        <v>4.6998943644963482</v>
      </c>
      <c r="G132" s="65">
        <f t="shared" si="155"/>
        <v>4.6995637302743649</v>
      </c>
      <c r="H132" s="65">
        <f t="shared" si="155"/>
        <v>5.5574116708559878</v>
      </c>
      <c r="I132" s="65">
        <f t="shared" si="155"/>
        <v>8.2623746664213851</v>
      </c>
      <c r="J132" s="65">
        <f t="shared" si="155"/>
        <v>7.9381936478218185</v>
      </c>
      <c r="K132" s="65">
        <f t="shared" si="155"/>
        <v>5.6266036791155578</v>
      </c>
      <c r="L132" s="65">
        <f t="shared" si="155"/>
        <v>7.4809546435620167</v>
      </c>
      <c r="M132" s="65">
        <f t="shared" si="155"/>
        <v>6.7155900079154165</v>
      </c>
      <c r="N132" s="65">
        <f t="shared" si="155"/>
        <v>11.29642416099381</v>
      </c>
      <c r="O132" s="65">
        <f t="shared" si="155"/>
        <v>7.3955591742791542</v>
      </c>
      <c r="P132" s="65">
        <f t="shared" si="155"/>
        <v>6.3415423328672738</v>
      </c>
      <c r="Q132" s="65">
        <f t="shared" si="155"/>
        <v>8.3125596698699997</v>
      </c>
      <c r="R132" s="65">
        <f t="shared" si="155"/>
        <v>9.1532677554265138</v>
      </c>
      <c r="S132" s="65">
        <f t="shared" si="155"/>
        <v>9.3753859414034437</v>
      </c>
      <c r="T132" s="65">
        <f t="shared" si="155"/>
        <v>8.2310916502297573</v>
      </c>
      <c r="U132" s="65">
        <f t="shared" si="155"/>
        <v>10.622628464903496</v>
      </c>
      <c r="V132" s="65">
        <f t="shared" si="155"/>
        <v>9.0686316721120441</v>
      </c>
      <c r="W132" s="65">
        <f t="shared" si="155"/>
        <v>11.990383793944954</v>
      </c>
      <c r="X132" s="65">
        <f t="shared" ref="X132:Y132" si="156">IF(X102=0,0,X102/X$26)</f>
        <v>10.475607332627877</v>
      </c>
      <c r="Y132" s="65">
        <f t="shared" si="156"/>
        <v>10.790036002873926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38.4514880731952</v>
      </c>
      <c r="C133" s="65">
        <f t="shared" ref="C133:W133" si="158">IF(C103=0,0,C103/C$26)</f>
        <v>40.052248459260447</v>
      </c>
      <c r="D133" s="65">
        <f t="shared" si="158"/>
        <v>41.881286826152149</v>
      </c>
      <c r="E133" s="65">
        <f t="shared" si="158"/>
        <v>42.138684167293583</v>
      </c>
      <c r="F133" s="65">
        <f t="shared" si="158"/>
        <v>42.706355080648045</v>
      </c>
      <c r="G133" s="65">
        <f t="shared" si="158"/>
        <v>45.131322203333433</v>
      </c>
      <c r="H133" s="65">
        <f t="shared" si="158"/>
        <v>44.360571552882675</v>
      </c>
      <c r="I133" s="65">
        <f t="shared" si="158"/>
        <v>43.387741376864881</v>
      </c>
      <c r="J133" s="65">
        <f t="shared" si="158"/>
        <v>43.65851308193151</v>
      </c>
      <c r="K133" s="65">
        <f t="shared" si="158"/>
        <v>44.400698612047265</v>
      </c>
      <c r="L133" s="65">
        <f t="shared" si="158"/>
        <v>46.618581654033484</v>
      </c>
      <c r="M133" s="65">
        <f t="shared" si="158"/>
        <v>47.857984192654939</v>
      </c>
      <c r="N133" s="65">
        <f t="shared" si="158"/>
        <v>47.385403189164734</v>
      </c>
      <c r="O133" s="65">
        <f t="shared" si="158"/>
        <v>47.591973350724871</v>
      </c>
      <c r="P133" s="65">
        <f t="shared" si="158"/>
        <v>48.55257320245429</v>
      </c>
      <c r="Q133" s="65">
        <f t="shared" si="158"/>
        <v>48.649418947918498</v>
      </c>
      <c r="R133" s="65">
        <f t="shared" si="158"/>
        <v>48.063148569757594</v>
      </c>
      <c r="S133" s="65">
        <f t="shared" si="158"/>
        <v>47.19493622481852</v>
      </c>
      <c r="T133" s="65">
        <f t="shared" si="158"/>
        <v>46.141092692679877</v>
      </c>
      <c r="U133" s="65">
        <f t="shared" si="158"/>
        <v>44.352695698672306</v>
      </c>
      <c r="V133" s="65">
        <f t="shared" si="158"/>
        <v>38.533332240990866</v>
      </c>
      <c r="W133" s="65">
        <f t="shared" si="158"/>
        <v>38.153671373807001</v>
      </c>
      <c r="X133" s="65">
        <f t="shared" ref="X133:Y133" si="159">IF(X103=0,0,X103/X$26)</f>
        <v>39.401021306603425</v>
      </c>
      <c r="Y133" s="65">
        <f t="shared" si="159"/>
        <v>38.837247142104516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42.494384807696136</v>
      </c>
      <c r="C134" s="67">
        <f t="shared" ref="C134:W134" si="161">IF(C104=0,0,C104/C$26)</f>
        <v>43.298842567199031</v>
      </c>
      <c r="D134" s="67">
        <f t="shared" si="161"/>
        <v>44.489645279799994</v>
      </c>
      <c r="E134" s="67">
        <f t="shared" si="161"/>
        <v>43.80297188439183</v>
      </c>
      <c r="F134" s="67">
        <f t="shared" si="161"/>
        <v>45.709446483690868</v>
      </c>
      <c r="G134" s="67">
        <f t="shared" si="161"/>
        <v>46.046976635098659</v>
      </c>
      <c r="H134" s="67">
        <f t="shared" si="161"/>
        <v>44.846528629266125</v>
      </c>
      <c r="I134" s="67">
        <f t="shared" si="161"/>
        <v>43.48465805058197</v>
      </c>
      <c r="J134" s="67">
        <f t="shared" si="161"/>
        <v>43.001789352520689</v>
      </c>
      <c r="K134" s="67">
        <f t="shared" si="161"/>
        <v>44.074852102320349</v>
      </c>
      <c r="L134" s="67">
        <f t="shared" si="161"/>
        <v>46.154327783313633</v>
      </c>
      <c r="M134" s="67">
        <f t="shared" si="161"/>
        <v>47.528805192515819</v>
      </c>
      <c r="N134" s="67">
        <f t="shared" si="161"/>
        <v>49.285835513694238</v>
      </c>
      <c r="O134" s="67">
        <f t="shared" si="161"/>
        <v>49.06763924770177</v>
      </c>
      <c r="P134" s="67">
        <f t="shared" si="161"/>
        <v>48.192298800544421</v>
      </c>
      <c r="Q134" s="67">
        <f t="shared" si="161"/>
        <v>47.388648684176303</v>
      </c>
      <c r="R134" s="67">
        <f t="shared" si="161"/>
        <v>47.540570636134476</v>
      </c>
      <c r="S134" s="67">
        <f t="shared" si="161"/>
        <v>47.156481070203995</v>
      </c>
      <c r="T134" s="67">
        <f t="shared" si="161"/>
        <v>46.582041561832021</v>
      </c>
      <c r="U134" s="67">
        <f t="shared" si="161"/>
        <v>45.293629877417523</v>
      </c>
      <c r="V134" s="67">
        <f t="shared" si="161"/>
        <v>37.977645051911246</v>
      </c>
      <c r="W134" s="67">
        <f t="shared" si="161"/>
        <v>42.565864437576067</v>
      </c>
      <c r="X134" s="67">
        <f t="shared" ref="X134:Y134" si="162">IF(X104=0,0,X104/X$26)</f>
        <v>42.194934343347171</v>
      </c>
      <c r="Y134" s="67">
        <f t="shared" si="162"/>
        <v>42.684826737234438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63.339196618379027</v>
      </c>
      <c r="C135" s="68">
        <f t="shared" ref="C135:W135" si="164">IF(C105=0,0,C105/C$26)</f>
        <v>63.023323372422574</v>
      </c>
      <c r="D135" s="68">
        <f t="shared" si="164"/>
        <v>63.611533612492593</v>
      </c>
      <c r="E135" s="68">
        <f t="shared" si="164"/>
        <v>64.006008800967493</v>
      </c>
      <c r="F135" s="68">
        <f t="shared" si="164"/>
        <v>64.679726837900219</v>
      </c>
      <c r="G135" s="68">
        <f t="shared" si="164"/>
        <v>65.723340944703295</v>
      </c>
      <c r="H135" s="68">
        <f t="shared" si="164"/>
        <v>66.023617415895259</v>
      </c>
      <c r="I135" s="68">
        <f t="shared" si="164"/>
        <v>66.41868314382323</v>
      </c>
      <c r="J135" s="68">
        <f t="shared" si="164"/>
        <v>67.370654160058351</v>
      </c>
      <c r="K135" s="68">
        <f t="shared" si="164"/>
        <v>68.520528897213779</v>
      </c>
      <c r="L135" s="68">
        <f t="shared" si="164"/>
        <v>70.737734645527254</v>
      </c>
      <c r="M135" s="68">
        <f t="shared" si="164"/>
        <v>72.344622845059845</v>
      </c>
      <c r="N135" s="68">
        <f t="shared" si="164"/>
        <v>72.823722494717174</v>
      </c>
      <c r="O135" s="68">
        <f t="shared" si="164"/>
        <v>73.291977433641179</v>
      </c>
      <c r="P135" s="68">
        <f t="shared" si="164"/>
        <v>74.032391130293689</v>
      </c>
      <c r="Q135" s="68">
        <f t="shared" si="164"/>
        <v>75.220502288986921</v>
      </c>
      <c r="R135" s="68">
        <f t="shared" si="164"/>
        <v>76.380066837190981</v>
      </c>
      <c r="S135" s="68">
        <f t="shared" si="164"/>
        <v>75.417709360527695</v>
      </c>
      <c r="T135" s="68">
        <f t="shared" si="164"/>
        <v>73.824334244205161</v>
      </c>
      <c r="U135" s="68">
        <f t="shared" si="164"/>
        <v>71.578222808582112</v>
      </c>
      <c r="V135" s="68">
        <f t="shared" si="164"/>
        <v>65.686481400150029</v>
      </c>
      <c r="W135" s="68">
        <f t="shared" si="164"/>
        <v>65.511306493417663</v>
      </c>
      <c r="X135" s="68">
        <f t="shared" ref="X135:Y135" si="165">IF(X105=0,0,X105/X$26)</f>
        <v>64.617214620538277</v>
      </c>
      <c r="Y135" s="68">
        <f t="shared" si="165"/>
        <v>63.495306400516363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86.122148762805466</v>
      </c>
      <c r="C137" s="85">
        <f t="shared" ref="C137:W137" si="167">IF(C107=0,0,C107/C$26)</f>
        <v>95.595771163835551</v>
      </c>
      <c r="D137" s="85">
        <f t="shared" si="167"/>
        <v>96.674543563076426</v>
      </c>
      <c r="E137" s="85">
        <f t="shared" si="167"/>
        <v>104.50619321884891</v>
      </c>
      <c r="F137" s="85">
        <f t="shared" si="167"/>
        <v>105.55732022133944</v>
      </c>
      <c r="G137" s="85">
        <f t="shared" si="167"/>
        <v>112.35419786583614</v>
      </c>
      <c r="H137" s="85">
        <f t="shared" si="167"/>
        <v>119.57988160634802</v>
      </c>
      <c r="I137" s="85">
        <f t="shared" si="167"/>
        <v>127.76547267861774</v>
      </c>
      <c r="J137" s="85">
        <f t="shared" si="167"/>
        <v>133.26479026421123</v>
      </c>
      <c r="K137" s="85">
        <f t="shared" si="167"/>
        <v>127.61590188728239</v>
      </c>
      <c r="L137" s="85">
        <f t="shared" si="167"/>
        <v>123.9627103589406</v>
      </c>
      <c r="M137" s="85">
        <f t="shared" si="167"/>
        <v>120.71539997896848</v>
      </c>
      <c r="N137" s="85">
        <f t="shared" si="167"/>
        <v>144.68753894529118</v>
      </c>
      <c r="O137" s="85">
        <f t="shared" si="167"/>
        <v>130.18549035483881</v>
      </c>
      <c r="P137" s="85">
        <f t="shared" si="167"/>
        <v>128.40245221699516</v>
      </c>
      <c r="Q137" s="85">
        <f t="shared" si="167"/>
        <v>152.72199918088768</v>
      </c>
      <c r="R137" s="85">
        <f t="shared" si="167"/>
        <v>167.22501215545827</v>
      </c>
      <c r="S137" s="85">
        <f t="shared" si="167"/>
        <v>165.38056567166842</v>
      </c>
      <c r="T137" s="85">
        <f t="shared" si="167"/>
        <v>157.76279448095502</v>
      </c>
      <c r="U137" s="85">
        <f t="shared" si="167"/>
        <v>170.71069389681435</v>
      </c>
      <c r="V137" s="85">
        <f t="shared" si="167"/>
        <v>154.37177977722905</v>
      </c>
      <c r="W137" s="85">
        <f t="shared" si="167"/>
        <v>177.26871216716998</v>
      </c>
      <c r="X137" s="85">
        <f t="shared" ref="X137:Y137" si="168">IF(X107=0,0,X107/X$26)</f>
        <v>180.51025716179441</v>
      </c>
      <c r="Y137" s="85">
        <f t="shared" si="168"/>
        <v>187.76507849019538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27.863554802272638</v>
      </c>
      <c r="C138" s="65">
        <f t="shared" ref="C138:W138" si="170">IF(C108=0,0,C108/C$26)</f>
        <v>33.260422299943578</v>
      </c>
      <c r="D138" s="65">
        <f t="shared" si="170"/>
        <v>34.295414988742195</v>
      </c>
      <c r="E138" s="65">
        <f t="shared" si="170"/>
        <v>38.17294156528051</v>
      </c>
      <c r="F138" s="65">
        <f t="shared" si="170"/>
        <v>43.548014534159933</v>
      </c>
      <c r="G138" s="65">
        <f t="shared" si="170"/>
        <v>48.173836320683407</v>
      </c>
      <c r="H138" s="65">
        <f t="shared" si="170"/>
        <v>53.828341420309535</v>
      </c>
      <c r="I138" s="65">
        <f t="shared" si="170"/>
        <v>55.917290781952701</v>
      </c>
      <c r="J138" s="65">
        <f t="shared" si="170"/>
        <v>60.946522237872543</v>
      </c>
      <c r="K138" s="65">
        <f t="shared" si="170"/>
        <v>59.597959366482151</v>
      </c>
      <c r="L138" s="65">
        <f t="shared" si="170"/>
        <v>48.102531406135384</v>
      </c>
      <c r="M138" s="65">
        <f t="shared" si="170"/>
        <v>44.457751287252847</v>
      </c>
      <c r="N138" s="65">
        <f t="shared" si="170"/>
        <v>54.898431708880494</v>
      </c>
      <c r="O138" s="65">
        <f t="shared" si="170"/>
        <v>49.638154868966637</v>
      </c>
      <c r="P138" s="65">
        <f t="shared" si="170"/>
        <v>49.259797640328792</v>
      </c>
      <c r="Q138" s="65">
        <f t="shared" si="170"/>
        <v>66.708568349399613</v>
      </c>
      <c r="R138" s="65">
        <f t="shared" si="170"/>
        <v>77.133454823348217</v>
      </c>
      <c r="S138" s="65">
        <f t="shared" si="170"/>
        <v>73.4463787959303</v>
      </c>
      <c r="T138" s="65">
        <f t="shared" si="170"/>
        <v>69.079752407307382</v>
      </c>
      <c r="U138" s="65">
        <f t="shared" si="170"/>
        <v>74.078788776801147</v>
      </c>
      <c r="V138" s="65">
        <f t="shared" si="170"/>
        <v>69.926983434703786</v>
      </c>
      <c r="W138" s="65">
        <f t="shared" si="170"/>
        <v>77.918104436089891</v>
      </c>
      <c r="X138" s="65">
        <f t="shared" ref="X138:Y138" si="171">IF(X108=0,0,X108/X$26)</f>
        <v>84.769921016998069</v>
      </c>
      <c r="Y138" s="65">
        <f t="shared" si="171"/>
        <v>89.768576121690799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10.098202432390046</v>
      </c>
      <c r="C139" s="65">
        <f t="shared" ref="C139:W139" si="173">IF(C109=0,0,C109/C$26)</f>
        <v>12.692583902214576</v>
      </c>
      <c r="D139" s="65">
        <f t="shared" si="173"/>
        <v>10.622002367020247</v>
      </c>
      <c r="E139" s="65">
        <f t="shared" si="173"/>
        <v>14.842109688175171</v>
      </c>
      <c r="F139" s="65">
        <f t="shared" si="173"/>
        <v>9.484563956243143</v>
      </c>
      <c r="G139" s="65">
        <f t="shared" si="173"/>
        <v>9.9491426801136846</v>
      </c>
      <c r="H139" s="65">
        <f t="shared" si="173"/>
        <v>12.494556749238946</v>
      </c>
      <c r="I139" s="65">
        <f t="shared" si="173"/>
        <v>19.785140377410425</v>
      </c>
      <c r="J139" s="65">
        <f t="shared" si="173"/>
        <v>20.190036767177727</v>
      </c>
      <c r="K139" s="65">
        <f t="shared" si="173"/>
        <v>14.550835195172684</v>
      </c>
      <c r="L139" s="65">
        <f t="shared" si="173"/>
        <v>19.761776113699842</v>
      </c>
      <c r="M139" s="65">
        <f t="shared" si="173"/>
        <v>18.334929228786155</v>
      </c>
      <c r="N139" s="65">
        <f t="shared" si="173"/>
        <v>32.016147537519089</v>
      </c>
      <c r="O139" s="65">
        <f t="shared" si="173"/>
        <v>21.691611491900058</v>
      </c>
      <c r="P139" s="65">
        <f t="shared" si="173"/>
        <v>19.265127922671706</v>
      </c>
      <c r="Q139" s="65">
        <f t="shared" si="173"/>
        <v>26.207597591026559</v>
      </c>
      <c r="R139" s="65">
        <f t="shared" si="173"/>
        <v>29.933403534911115</v>
      </c>
      <c r="S139" s="65">
        <f t="shared" si="173"/>
        <v>31.662840337262519</v>
      </c>
      <c r="T139" s="65">
        <f t="shared" si="173"/>
        <v>28.424224866662808</v>
      </c>
      <c r="U139" s="65">
        <f t="shared" si="173"/>
        <v>37.444104585595248</v>
      </c>
      <c r="V139" s="65">
        <f t="shared" si="173"/>
        <v>32.565345932717271</v>
      </c>
      <c r="W139" s="65">
        <f t="shared" si="173"/>
        <v>43.836853898532937</v>
      </c>
      <c r="X139" s="65">
        <f t="shared" ref="X139:Y139" si="174">IF(X109=0,0,X109/X$26)</f>
        <v>38.791521745977647</v>
      </c>
      <c r="Y139" s="65">
        <f t="shared" si="174"/>
        <v>40.452931058121379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20.590706598088563</v>
      </c>
      <c r="C140" s="65">
        <f t="shared" ref="C140:W140" si="176">IF(C110=0,0,C110/C$26)</f>
        <v>21.473499517418091</v>
      </c>
      <c r="D140" s="65">
        <f t="shared" si="176"/>
        <v>22.509876706636142</v>
      </c>
      <c r="E140" s="65">
        <f t="shared" si="176"/>
        <v>22.729840420869014</v>
      </c>
      <c r="F140" s="65">
        <f t="shared" si="176"/>
        <v>23.125732925192974</v>
      </c>
      <c r="G140" s="65">
        <f t="shared" si="176"/>
        <v>24.4330797477526</v>
      </c>
      <c r="H140" s="65">
        <f t="shared" si="176"/>
        <v>24.125535841783115</v>
      </c>
      <c r="I140" s="65">
        <f t="shared" si="176"/>
        <v>23.693348019538021</v>
      </c>
      <c r="J140" s="65">
        <f t="shared" si="176"/>
        <v>23.997764241303582</v>
      </c>
      <c r="K140" s="65">
        <f t="shared" si="176"/>
        <v>24.550923671647048</v>
      </c>
      <c r="L140" s="65">
        <f t="shared" si="176"/>
        <v>25.859630610234632</v>
      </c>
      <c r="M140" s="65">
        <f t="shared" si="176"/>
        <v>26.704492919664226</v>
      </c>
      <c r="N140" s="65">
        <f t="shared" si="176"/>
        <v>26.696897714965331</v>
      </c>
      <c r="O140" s="65">
        <f t="shared" si="176"/>
        <v>27.132037931605939</v>
      </c>
      <c r="P140" s="65">
        <f t="shared" si="176"/>
        <v>27.921905398784087</v>
      </c>
      <c r="Q140" s="65">
        <f t="shared" si="176"/>
        <v>28.317196323767142</v>
      </c>
      <c r="R140" s="65">
        <f t="shared" si="176"/>
        <v>28.434940360649836</v>
      </c>
      <c r="S140" s="65">
        <f t="shared" si="176"/>
        <v>28.559061962838705</v>
      </c>
      <c r="T140" s="65">
        <f t="shared" si="176"/>
        <v>28.629573237578299</v>
      </c>
      <c r="U140" s="65">
        <f t="shared" si="176"/>
        <v>28.246534800792901</v>
      </c>
      <c r="V140" s="65">
        <f t="shared" si="176"/>
        <v>25.29576317944759</v>
      </c>
      <c r="W140" s="65">
        <f t="shared" si="176"/>
        <v>25.670945138292598</v>
      </c>
      <c r="X140" s="65">
        <f t="shared" ref="X140:Y140" si="177">IF(X110=0,0,X110/X$26)</f>
        <v>27.259951288005752</v>
      </c>
      <c r="Y140" s="65">
        <f t="shared" si="177"/>
        <v>27.539752770856015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27.569684930054223</v>
      </c>
      <c r="C141" s="68">
        <f t="shared" ref="C141:W141" si="179">IF(C111=0,0,C111/C$26)</f>
        <v>28.169265444259302</v>
      </c>
      <c r="D141" s="68">
        <f t="shared" si="179"/>
        <v>29.247249500677846</v>
      </c>
      <c r="E141" s="68">
        <f t="shared" si="179"/>
        <v>28.761301544524208</v>
      </c>
      <c r="F141" s="68">
        <f t="shared" si="179"/>
        <v>29.399008805743385</v>
      </c>
      <c r="G141" s="68">
        <f t="shared" si="179"/>
        <v>29.798139117286453</v>
      </c>
      <c r="H141" s="68">
        <f t="shared" si="179"/>
        <v>29.131447595016443</v>
      </c>
      <c r="I141" s="68">
        <f t="shared" si="179"/>
        <v>28.369693499716593</v>
      </c>
      <c r="J141" s="68">
        <f t="shared" si="179"/>
        <v>28.130467017857384</v>
      </c>
      <c r="K141" s="68">
        <f t="shared" si="179"/>
        <v>28.916183653980504</v>
      </c>
      <c r="L141" s="68">
        <f t="shared" si="179"/>
        <v>30.238772228870733</v>
      </c>
      <c r="M141" s="68">
        <f t="shared" si="179"/>
        <v>31.218226543265228</v>
      </c>
      <c r="N141" s="68">
        <f t="shared" si="179"/>
        <v>31.076061983926277</v>
      </c>
      <c r="O141" s="68">
        <f t="shared" si="179"/>
        <v>31.723686062366173</v>
      </c>
      <c r="P141" s="68">
        <f t="shared" si="179"/>
        <v>31.955621255210559</v>
      </c>
      <c r="Q141" s="68">
        <f t="shared" si="179"/>
        <v>31.488636916694393</v>
      </c>
      <c r="R141" s="68">
        <f t="shared" si="179"/>
        <v>31.723213436549077</v>
      </c>
      <c r="S141" s="68">
        <f t="shared" si="179"/>
        <v>31.712284575636875</v>
      </c>
      <c r="T141" s="68">
        <f t="shared" si="179"/>
        <v>31.629243969406513</v>
      </c>
      <c r="U141" s="68">
        <f t="shared" si="179"/>
        <v>30.941265733625052</v>
      </c>
      <c r="V141" s="68">
        <f t="shared" si="179"/>
        <v>26.583687230360411</v>
      </c>
      <c r="W141" s="68">
        <f t="shared" si="179"/>
        <v>29.842808694254554</v>
      </c>
      <c r="X141" s="68">
        <f t="shared" ref="X141:Y141" si="180">IF(X111=0,0,X111/X$26)</f>
        <v>29.688863110812971</v>
      </c>
      <c r="Y141" s="68">
        <f t="shared" si="180"/>
        <v>30.003818539527206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10.518361395115026</v>
      </c>
      <c r="C143" s="82">
        <f t="shared" ref="C143:W143" si="182">IF(C113=0,0,C113/C$26)</f>
        <v>13.092932920040335</v>
      </c>
      <c r="D143" s="82">
        <f t="shared" si="182"/>
        <v>12.895166930972774</v>
      </c>
      <c r="E143" s="82">
        <f t="shared" si="182"/>
        <v>13.566722837689479</v>
      </c>
      <c r="F143" s="82">
        <f t="shared" si="182"/>
        <v>14.077792088689996</v>
      </c>
      <c r="G143" s="82">
        <f t="shared" si="182"/>
        <v>17.192843690761837</v>
      </c>
      <c r="H143" s="82">
        <f t="shared" si="182"/>
        <v>17.230441144913016</v>
      </c>
      <c r="I143" s="82">
        <f t="shared" si="182"/>
        <v>15.743705418176226</v>
      </c>
      <c r="J143" s="82">
        <f t="shared" si="182"/>
        <v>15.417133656997981</v>
      </c>
      <c r="K143" s="82">
        <f t="shared" si="182"/>
        <v>12.590117722213702</v>
      </c>
      <c r="L143" s="82">
        <f t="shared" si="182"/>
        <v>11.582344371478481</v>
      </c>
      <c r="M143" s="82">
        <f t="shared" si="182"/>
        <v>11.675661591867716</v>
      </c>
      <c r="N143" s="82">
        <f t="shared" si="182"/>
        <v>8.6812199962142387</v>
      </c>
      <c r="O143" s="82">
        <f t="shared" si="182"/>
        <v>9.2887206537871645</v>
      </c>
      <c r="P143" s="82">
        <f t="shared" si="182"/>
        <v>6.6438219063413726</v>
      </c>
      <c r="Q143" s="82">
        <f t="shared" si="182"/>
        <v>7.8975741765303082</v>
      </c>
      <c r="R143" s="82">
        <f t="shared" si="182"/>
        <v>9.340639025950729</v>
      </c>
      <c r="S143" s="82">
        <f t="shared" si="182"/>
        <v>7.5779625827556902</v>
      </c>
      <c r="T143" s="82">
        <f t="shared" si="182"/>
        <v>7.2334715112159129</v>
      </c>
      <c r="U143" s="82">
        <f t="shared" si="182"/>
        <v>7.5363691519865954</v>
      </c>
      <c r="V143" s="82">
        <f t="shared" si="182"/>
        <v>5.9679655152100315</v>
      </c>
      <c r="W143" s="82">
        <f t="shared" si="182"/>
        <v>6.3527322755173214</v>
      </c>
      <c r="X143" s="82">
        <f t="shared" ref="X143:Y143" si="183">IF(X113=0,0,X113/X$26)</f>
        <v>6.2585751614292606</v>
      </c>
      <c r="Y143" s="82">
        <f t="shared" si="183"/>
        <v>6.7506920515509732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10.518361395115026</v>
      </c>
      <c r="C144" s="64">
        <f t="shared" ref="C144:W144" si="185">IF(C114=0,0,C114/C$26)</f>
        <v>13.092932920040335</v>
      </c>
      <c r="D144" s="64">
        <f t="shared" si="185"/>
        <v>12.895166930972774</v>
      </c>
      <c r="E144" s="64">
        <f t="shared" si="185"/>
        <v>13.566722837689479</v>
      </c>
      <c r="F144" s="64">
        <f t="shared" si="185"/>
        <v>14.077792088689996</v>
      </c>
      <c r="G144" s="64">
        <f t="shared" si="185"/>
        <v>17.192843690761837</v>
      </c>
      <c r="H144" s="64">
        <f t="shared" si="185"/>
        <v>17.230441144913016</v>
      </c>
      <c r="I144" s="64">
        <f t="shared" si="185"/>
        <v>15.743705418176226</v>
      </c>
      <c r="J144" s="64">
        <f t="shared" si="185"/>
        <v>15.417133656997981</v>
      </c>
      <c r="K144" s="64">
        <f t="shared" si="185"/>
        <v>12.590117722213702</v>
      </c>
      <c r="L144" s="64">
        <f t="shared" si="185"/>
        <v>11.582344371478481</v>
      </c>
      <c r="M144" s="64">
        <f t="shared" si="185"/>
        <v>11.675661591867716</v>
      </c>
      <c r="N144" s="64">
        <f t="shared" si="185"/>
        <v>8.6812199962142387</v>
      </c>
      <c r="O144" s="64">
        <f t="shared" si="185"/>
        <v>9.2887206537871645</v>
      </c>
      <c r="P144" s="64">
        <f t="shared" si="185"/>
        <v>6.6438219063413726</v>
      </c>
      <c r="Q144" s="64">
        <f t="shared" si="185"/>
        <v>7.8975741765303082</v>
      </c>
      <c r="R144" s="64">
        <f t="shared" si="185"/>
        <v>9.340639025950729</v>
      </c>
      <c r="S144" s="64">
        <f t="shared" si="185"/>
        <v>7.5779625827556902</v>
      </c>
      <c r="T144" s="64">
        <f t="shared" si="185"/>
        <v>7.2334715112159129</v>
      </c>
      <c r="U144" s="64">
        <f t="shared" si="185"/>
        <v>7.5363691519865954</v>
      </c>
      <c r="V144" s="64">
        <f t="shared" si="185"/>
        <v>5.9679655152100315</v>
      </c>
      <c r="W144" s="64">
        <f t="shared" si="185"/>
        <v>6.3527322755173214</v>
      </c>
      <c r="X144" s="64">
        <f t="shared" ref="X144:Y144" si="186">IF(X114=0,0,X114/X$26)</f>
        <v>6.2585751614292606</v>
      </c>
      <c r="Y144" s="64">
        <f t="shared" si="186"/>
        <v>6.7506920515509732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8.9172992965510662</v>
      </c>
      <c r="C145" s="65">
        <f t="shared" ref="C145:W145" si="188">IF(C115=0,0,C115/C$26)</f>
        <v>11.391491246635479</v>
      </c>
      <c r="D145" s="65">
        <f t="shared" si="188"/>
        <v>11.440311650174724</v>
      </c>
      <c r="E145" s="65">
        <f t="shared" si="188"/>
        <v>11.969026789399855</v>
      </c>
      <c r="F145" s="65">
        <f t="shared" si="188"/>
        <v>11.463526940862764</v>
      </c>
      <c r="G145" s="65">
        <f t="shared" si="188"/>
        <v>14.501612611192883</v>
      </c>
      <c r="H145" s="65">
        <f t="shared" si="188"/>
        <v>14.542447860938561</v>
      </c>
      <c r="I145" s="65">
        <f t="shared" si="188"/>
        <v>13.005867062574605</v>
      </c>
      <c r="J145" s="65">
        <f t="shared" si="188"/>
        <v>12.621873127687119</v>
      </c>
      <c r="K145" s="65">
        <f t="shared" si="188"/>
        <v>9.6938308790761116</v>
      </c>
      <c r="L145" s="65">
        <f t="shared" si="188"/>
        <v>8.2994078092658405</v>
      </c>
      <c r="M145" s="65">
        <f t="shared" si="188"/>
        <v>8.4500283959908042</v>
      </c>
      <c r="N145" s="65">
        <f t="shared" si="188"/>
        <v>3.604145804353736</v>
      </c>
      <c r="O145" s="65">
        <f t="shared" si="188"/>
        <v>5.0312773351417475</v>
      </c>
      <c r="P145" s="65">
        <f t="shared" si="188"/>
        <v>3.2040125525678138</v>
      </c>
      <c r="Q145" s="65">
        <f t="shared" si="188"/>
        <v>4.2377134399508432</v>
      </c>
      <c r="R145" s="65">
        <f t="shared" si="188"/>
        <v>5.491906015370831</v>
      </c>
      <c r="S145" s="65">
        <f t="shared" si="188"/>
        <v>3.5564250981302181</v>
      </c>
      <c r="T145" s="65">
        <f t="shared" si="188"/>
        <v>3.2578412010590032</v>
      </c>
      <c r="U145" s="65">
        <f t="shared" si="188"/>
        <v>3.451262955366611</v>
      </c>
      <c r="V145" s="65">
        <f t="shared" si="188"/>
        <v>2.9554386573251348</v>
      </c>
      <c r="W145" s="65">
        <f t="shared" si="188"/>
        <v>2.6881721948628923</v>
      </c>
      <c r="X145" s="65">
        <f t="shared" ref="X145:Y145" si="189">IF(X115=0,0,X115/X$26)</f>
        <v>2.5541216046664856</v>
      </c>
      <c r="Y145" s="65">
        <f t="shared" si="189"/>
        <v>2.7058843383673818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1.2229400928087837E-3</v>
      </c>
      <c r="C146" s="65">
        <f t="shared" ref="C146:W146" si="191">IF(C116=0,0,C116/C$26)</f>
        <v>1.5351104159612157E-3</v>
      </c>
      <c r="D146" s="65">
        <f t="shared" si="191"/>
        <v>1.6820839948727866E-3</v>
      </c>
      <c r="E146" s="65">
        <f t="shared" si="191"/>
        <v>1.9449158662892599E-3</v>
      </c>
      <c r="F146" s="65">
        <f t="shared" si="191"/>
        <v>2.5256795285718138E-3</v>
      </c>
      <c r="G146" s="65">
        <f t="shared" si="191"/>
        <v>3.8999980624636718E-3</v>
      </c>
      <c r="H146" s="65">
        <f t="shared" si="191"/>
        <v>6.2365773251791866E-3</v>
      </c>
      <c r="I146" s="65">
        <f t="shared" si="191"/>
        <v>9.0006365896262326E-3</v>
      </c>
      <c r="J146" s="65">
        <f t="shared" si="191"/>
        <v>1.1856015051054077E-2</v>
      </c>
      <c r="K146" s="65">
        <f t="shared" si="191"/>
        <v>1.397546097137055E-2</v>
      </c>
      <c r="L146" s="65">
        <f t="shared" si="191"/>
        <v>1.9520728240290393E-2</v>
      </c>
      <c r="M146" s="65">
        <f t="shared" si="191"/>
        <v>2.3206135221705209E-2</v>
      </c>
      <c r="N146" s="65">
        <f t="shared" si="191"/>
        <v>4.433893358713166E-2</v>
      </c>
      <c r="O146" s="65">
        <f t="shared" si="191"/>
        <v>4.5181757623865289E-2</v>
      </c>
      <c r="P146" s="65">
        <f t="shared" si="191"/>
        <v>5.4894853720124717E-2</v>
      </c>
      <c r="Q146" s="65">
        <f t="shared" si="191"/>
        <v>8.0561259141172209E-2</v>
      </c>
      <c r="R146" s="65">
        <f t="shared" si="191"/>
        <v>9.6952897132764809E-2</v>
      </c>
      <c r="S146" s="65">
        <f t="shared" si="191"/>
        <v>0.10988487695414453</v>
      </c>
      <c r="T146" s="65">
        <f t="shared" si="191"/>
        <v>0.10787704867815073</v>
      </c>
      <c r="U146" s="65">
        <f t="shared" si="191"/>
        <v>0.1368105249962501</v>
      </c>
      <c r="V146" s="65">
        <f t="shared" si="191"/>
        <v>0.11625887680836135</v>
      </c>
      <c r="W146" s="65">
        <f t="shared" si="191"/>
        <v>0.15547708596621684</v>
      </c>
      <c r="X146" s="65">
        <f t="shared" ref="X146:Y146" si="192">IF(X116=0,0,X116/X$26)</f>
        <v>0.14114469757726023</v>
      </c>
      <c r="Y146" s="65">
        <f t="shared" si="192"/>
        <v>0.14569582565529909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0.73623154272213398</v>
      </c>
      <c r="C147" s="65">
        <f t="shared" ref="C147:W147" si="194">IF(C117=0,0,C117/C$26)</f>
        <v>0.8325902508816253</v>
      </c>
      <c r="D147" s="65">
        <f t="shared" si="194"/>
        <v>0.8866904190020467</v>
      </c>
      <c r="E147" s="65">
        <f t="shared" si="194"/>
        <v>0.90013941148586951</v>
      </c>
      <c r="F147" s="65">
        <f t="shared" si="194"/>
        <v>0.93231920839086468</v>
      </c>
      <c r="G147" s="65">
        <f t="shared" si="194"/>
        <v>1.1465748050651554</v>
      </c>
      <c r="H147" s="65">
        <f t="shared" si="194"/>
        <v>1.2107445692422436</v>
      </c>
      <c r="I147" s="65">
        <f t="shared" si="194"/>
        <v>1.336199186005206</v>
      </c>
      <c r="J147" s="65">
        <f t="shared" si="194"/>
        <v>1.3807076815186112</v>
      </c>
      <c r="K147" s="65">
        <f t="shared" si="194"/>
        <v>1.4306221619924697</v>
      </c>
      <c r="L147" s="65">
        <f t="shared" si="194"/>
        <v>1.6012737551930047</v>
      </c>
      <c r="M147" s="65">
        <f t="shared" si="194"/>
        <v>1.6189180653585424</v>
      </c>
      <c r="N147" s="65">
        <f t="shared" si="194"/>
        <v>1.6047296832744415</v>
      </c>
      <c r="O147" s="65">
        <f t="shared" si="194"/>
        <v>1.6641225416582566</v>
      </c>
      <c r="P147" s="65">
        <f t="shared" si="194"/>
        <v>1.6674913116511314</v>
      </c>
      <c r="Q147" s="65">
        <f t="shared" si="194"/>
        <v>1.698203307697921</v>
      </c>
      <c r="R147" s="65">
        <f t="shared" si="194"/>
        <v>1.7045877670626308</v>
      </c>
      <c r="S147" s="65">
        <f t="shared" si="194"/>
        <v>1.7469767455428313</v>
      </c>
      <c r="T147" s="65">
        <f t="shared" si="194"/>
        <v>1.6209473513932309</v>
      </c>
      <c r="U147" s="65">
        <f t="shared" si="194"/>
        <v>1.5255835294826821</v>
      </c>
      <c r="V147" s="65">
        <f t="shared" si="194"/>
        <v>1.1418742359566108</v>
      </c>
      <c r="W147" s="65">
        <f t="shared" si="194"/>
        <v>1.1808001683890805</v>
      </c>
      <c r="X147" s="65">
        <f t="shared" ref="X147:Y147" si="195">IF(X117=0,0,X117/X$26)</f>
        <v>0.99832269010553987</v>
      </c>
      <c r="Y147" s="65">
        <f t="shared" si="195"/>
        <v>0.91458630223948001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0.86360761574901768</v>
      </c>
      <c r="C148" s="67">
        <f t="shared" ref="C148:W148" si="197">IF(C118=0,0,C118/C$26)</f>
        <v>0.86731631210726867</v>
      </c>
      <c r="D148" s="67">
        <f t="shared" si="197"/>
        <v>0.56648277780112932</v>
      </c>
      <c r="E148" s="67">
        <f t="shared" si="197"/>
        <v>0.69561172093746848</v>
      </c>
      <c r="F148" s="67">
        <f t="shared" si="197"/>
        <v>1.6794202599077954</v>
      </c>
      <c r="G148" s="67">
        <f t="shared" si="197"/>
        <v>1.5407562764413347</v>
      </c>
      <c r="H148" s="67">
        <f t="shared" si="197"/>
        <v>1.4710121374070309</v>
      </c>
      <c r="I148" s="67">
        <f t="shared" si="197"/>
        <v>1.3926385330067881</v>
      </c>
      <c r="J148" s="67">
        <f t="shared" si="197"/>
        <v>1.4026968327411977</v>
      </c>
      <c r="K148" s="67">
        <f t="shared" si="197"/>
        <v>1.4516892201737512</v>
      </c>
      <c r="L148" s="67">
        <f t="shared" si="197"/>
        <v>1.6621420787793477</v>
      </c>
      <c r="M148" s="67">
        <f t="shared" si="197"/>
        <v>1.5835089952966628</v>
      </c>
      <c r="N148" s="67">
        <f t="shared" si="197"/>
        <v>3.4280055749989287</v>
      </c>
      <c r="O148" s="67">
        <f t="shared" si="197"/>
        <v>2.5481390193632976</v>
      </c>
      <c r="P148" s="67">
        <f t="shared" si="197"/>
        <v>1.7174231884023028</v>
      </c>
      <c r="Q148" s="67">
        <f t="shared" si="197"/>
        <v>1.8810961697403716</v>
      </c>
      <c r="R148" s="67">
        <f t="shared" si="197"/>
        <v>2.0471923463845028</v>
      </c>
      <c r="S148" s="67">
        <f t="shared" si="197"/>
        <v>2.1646758621284961</v>
      </c>
      <c r="T148" s="67">
        <f t="shared" si="197"/>
        <v>2.2468059100855298</v>
      </c>
      <c r="U148" s="67">
        <f t="shared" si="197"/>
        <v>2.422712142141052</v>
      </c>
      <c r="V148" s="67">
        <f t="shared" si="197"/>
        <v>1.7543937451199236</v>
      </c>
      <c r="W148" s="67">
        <f t="shared" si="197"/>
        <v>2.328282826299132</v>
      </c>
      <c r="X148" s="67">
        <f t="shared" ref="X148:Y148" si="198">IF(X118=0,0,X118/X$26)</f>
        <v>2.5649861690799747</v>
      </c>
      <c r="Y148" s="67">
        <f t="shared" si="198"/>
        <v>2.9845255852888122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5331.9301635497904</v>
      </c>
      <c r="C153" s="82">
        <f t="shared" ref="C153:W153" si="203">IF(C99=0,0,C99/C$23)</f>
        <v>5891.9611114894797</v>
      </c>
      <c r="D153" s="82">
        <f t="shared" si="203"/>
        <v>5955.3050101779518</v>
      </c>
      <c r="E153" s="82">
        <f t="shared" si="203"/>
        <v>6323.0077079369185</v>
      </c>
      <c r="F153" s="82">
        <f t="shared" si="203"/>
        <v>6389.8294191111563</v>
      </c>
      <c r="G153" s="82">
        <f t="shared" si="203"/>
        <v>6939.7583411761134</v>
      </c>
      <c r="H153" s="82">
        <f t="shared" si="203"/>
        <v>7211.7014810880955</v>
      </c>
      <c r="I153" s="82">
        <f t="shared" si="203"/>
        <v>7293.6757573117229</v>
      </c>
      <c r="J153" s="82">
        <f t="shared" si="203"/>
        <v>7451.738646101112</v>
      </c>
      <c r="K153" s="82">
        <f t="shared" si="203"/>
        <v>7220.2688680597357</v>
      </c>
      <c r="L153" s="82">
        <f t="shared" si="203"/>
        <v>6633.7363496799253</v>
      </c>
      <c r="M153" s="82">
        <f t="shared" si="203"/>
        <v>6574.2423969227057</v>
      </c>
      <c r="N153" s="82">
        <f t="shared" si="203"/>
        <v>7075.2437808904806</v>
      </c>
      <c r="O153" s="82">
        <f t="shared" si="203"/>
        <v>6648.5535826950718</v>
      </c>
      <c r="P153" s="82">
        <f t="shared" si="203"/>
        <v>5992.4811809621478</v>
      </c>
      <c r="Q153" s="82">
        <f t="shared" si="203"/>
        <v>6726.2992703097552</v>
      </c>
      <c r="R153" s="82">
        <f t="shared" si="203"/>
        <v>6946.0090585209555</v>
      </c>
      <c r="S153" s="82">
        <f t="shared" si="203"/>
        <v>6722.6530353945664</v>
      </c>
      <c r="T153" s="82">
        <f t="shared" si="203"/>
        <v>5986.5416971591612</v>
      </c>
      <c r="U153" s="82">
        <f t="shared" si="203"/>
        <v>5888.2975245794232</v>
      </c>
      <c r="V153" s="82">
        <f t="shared" si="203"/>
        <v>5200.456672212551</v>
      </c>
      <c r="W153" s="82">
        <f t="shared" si="203"/>
        <v>5248.0784236961053</v>
      </c>
      <c r="X153" s="82">
        <f t="shared" ref="X153:Y153" si="204">IF(X99=0,0,X99/X$23)</f>
        <v>5241.7078789124944</v>
      </c>
      <c r="Y153" s="82">
        <f t="shared" si="204"/>
        <v>5166.9498249690105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3712.7361469788834</v>
      </c>
      <c r="C154" s="64">
        <f t="shared" ref="C154:W154" si="206">IF(C100=0,0,C100/C$23)</f>
        <v>4230.554678154359</v>
      </c>
      <c r="D154" s="64">
        <f t="shared" si="206"/>
        <v>4283.3073285709206</v>
      </c>
      <c r="E154" s="64">
        <f t="shared" si="206"/>
        <v>4597.9943761930626</v>
      </c>
      <c r="F154" s="64">
        <f t="shared" si="206"/>
        <v>4674.7715698427419</v>
      </c>
      <c r="G154" s="64">
        <f t="shared" si="206"/>
        <v>5152.7878085422717</v>
      </c>
      <c r="H154" s="64">
        <f t="shared" si="206"/>
        <v>5393.1420378004268</v>
      </c>
      <c r="I154" s="64">
        <f t="shared" si="206"/>
        <v>5438.0453765192415</v>
      </c>
      <c r="J154" s="64">
        <f t="shared" si="206"/>
        <v>5566.3297797265141</v>
      </c>
      <c r="K154" s="64">
        <f t="shared" si="206"/>
        <v>5297.7285929341706</v>
      </c>
      <c r="L154" s="64">
        <f t="shared" si="206"/>
        <v>4695.0140118792306</v>
      </c>
      <c r="M154" s="64">
        <f t="shared" si="206"/>
        <v>4565.1847523613014</v>
      </c>
      <c r="N154" s="64">
        <f t="shared" si="206"/>
        <v>4977.2935059182892</v>
      </c>
      <c r="O154" s="64">
        <f t="shared" si="206"/>
        <v>4536.0075244840409</v>
      </c>
      <c r="P154" s="64">
        <f t="shared" si="206"/>
        <v>3945.7776969742376</v>
      </c>
      <c r="Q154" s="64">
        <f t="shared" si="206"/>
        <v>4588.782464251929</v>
      </c>
      <c r="R154" s="64">
        <f t="shared" si="206"/>
        <v>4865.5279077203159</v>
      </c>
      <c r="S154" s="64">
        <f t="shared" si="206"/>
        <v>4644.5952709698167</v>
      </c>
      <c r="T154" s="64">
        <f t="shared" si="206"/>
        <v>4039.6305755583958</v>
      </c>
      <c r="U154" s="64">
        <f t="shared" si="206"/>
        <v>4041.6055108427668</v>
      </c>
      <c r="V154" s="64">
        <f t="shared" si="206"/>
        <v>3443.2554051728525</v>
      </c>
      <c r="W154" s="64">
        <f t="shared" si="206"/>
        <v>3575.2564663976241</v>
      </c>
      <c r="X154" s="64">
        <f t="shared" ref="X154:Y154" si="207">IF(X100=0,0,X100/X$23)</f>
        <v>3624.3183111405406</v>
      </c>
      <c r="Y154" s="64">
        <f t="shared" si="207"/>
        <v>3584.5899913568051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1489.8324303489062</v>
      </c>
      <c r="C155" s="65">
        <f t="shared" ref="C155:W155" si="209">IF(C101=0,0,C101/C$23)</f>
        <v>1842.1123605467217</v>
      </c>
      <c r="D155" s="65">
        <f t="shared" si="209"/>
        <v>1860.4003212109142</v>
      </c>
      <c r="E155" s="65">
        <f t="shared" si="209"/>
        <v>2073.846983312887</v>
      </c>
      <c r="F155" s="65">
        <f t="shared" si="209"/>
        <v>2205.7010743368519</v>
      </c>
      <c r="G155" s="65">
        <f t="shared" si="209"/>
        <v>2545.9374464107127</v>
      </c>
      <c r="H155" s="65">
        <f t="shared" si="209"/>
        <v>2782.9412541436027</v>
      </c>
      <c r="I155" s="65">
        <f t="shared" si="209"/>
        <v>2780.133946746656</v>
      </c>
      <c r="J155" s="65">
        <f t="shared" si="209"/>
        <v>2918.9331426761401</v>
      </c>
      <c r="K155" s="65">
        <f t="shared" si="209"/>
        <v>2657.4223269252984</v>
      </c>
      <c r="L155" s="65">
        <f t="shared" si="209"/>
        <v>1947.3375882777455</v>
      </c>
      <c r="M155" s="65">
        <f t="shared" si="209"/>
        <v>1729.7346832260521</v>
      </c>
      <c r="N155" s="65">
        <f t="shared" si="209"/>
        <v>1866.8951325069802</v>
      </c>
      <c r="O155" s="65">
        <f t="shared" si="209"/>
        <v>1536.7523445575841</v>
      </c>
      <c r="P155" s="65">
        <f t="shared" si="209"/>
        <v>1095.8451181154774</v>
      </c>
      <c r="Q155" s="65">
        <f t="shared" si="209"/>
        <v>1623.4842703673166</v>
      </c>
      <c r="R155" s="65">
        <f t="shared" si="209"/>
        <v>2012.1010149125971</v>
      </c>
      <c r="S155" s="65">
        <f t="shared" si="209"/>
        <v>1786.5094092792428</v>
      </c>
      <c r="T155" s="65">
        <f t="shared" si="209"/>
        <v>1377.2441524533906</v>
      </c>
      <c r="U155" s="65">
        <f t="shared" si="209"/>
        <v>1454.7031069033794</v>
      </c>
      <c r="V155" s="65">
        <f t="shared" si="209"/>
        <v>1153.8863584432247</v>
      </c>
      <c r="W155" s="65">
        <f t="shared" si="209"/>
        <v>1207.921765314346</v>
      </c>
      <c r="X155" s="65">
        <f t="shared" ref="X155:Y155" si="210">IF(X101=0,0,X101/X$23)</f>
        <v>1319.737614944007</v>
      </c>
      <c r="Y155" s="65">
        <f t="shared" si="210"/>
        <v>1284.0896376421219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153.61518705590629</v>
      </c>
      <c r="C156" s="65">
        <f t="shared" ref="C156:W156" si="212">IF(C102=0,0,C102/C$23)</f>
        <v>191.15992361925061</v>
      </c>
      <c r="D156" s="65">
        <f t="shared" si="212"/>
        <v>152.68979928078892</v>
      </c>
      <c r="E156" s="65">
        <f t="shared" si="212"/>
        <v>207.95075418175466</v>
      </c>
      <c r="F156" s="65">
        <f t="shared" si="212"/>
        <v>124.62314104639361</v>
      </c>
      <c r="G156" s="65">
        <f t="shared" si="212"/>
        <v>127.77776938182063</v>
      </c>
      <c r="H156" s="65">
        <f t="shared" si="212"/>
        <v>153.07376163001814</v>
      </c>
      <c r="I156" s="65">
        <f t="shared" si="212"/>
        <v>230.83735965228186</v>
      </c>
      <c r="J156" s="65">
        <f t="shared" si="212"/>
        <v>222.15519313563419</v>
      </c>
      <c r="K156" s="65">
        <f t="shared" si="212"/>
        <v>157.87052959699503</v>
      </c>
      <c r="L156" s="65">
        <f t="shared" si="212"/>
        <v>205.03192459054196</v>
      </c>
      <c r="M156" s="65">
        <f t="shared" si="212"/>
        <v>186.49634088269994</v>
      </c>
      <c r="N156" s="65">
        <f t="shared" si="212"/>
        <v>325.43428656065595</v>
      </c>
      <c r="O156" s="65">
        <f t="shared" si="212"/>
        <v>213.16738787728016</v>
      </c>
      <c r="P156" s="65">
        <f t="shared" si="212"/>
        <v>175.31862186773574</v>
      </c>
      <c r="Q156" s="65">
        <f t="shared" si="212"/>
        <v>236.21533298783984</v>
      </c>
      <c r="R156" s="65">
        <f t="shared" si="212"/>
        <v>249.32160735061871</v>
      </c>
      <c r="S156" s="65">
        <f t="shared" si="212"/>
        <v>258.32916055401842</v>
      </c>
      <c r="T156" s="65">
        <f t="shared" si="212"/>
        <v>217.07210827987134</v>
      </c>
      <c r="U156" s="65">
        <f t="shared" si="212"/>
        <v>274.05993584793146</v>
      </c>
      <c r="V156" s="65">
        <f t="shared" si="212"/>
        <v>242.59803120639117</v>
      </c>
      <c r="W156" s="65">
        <f t="shared" si="212"/>
        <v>306.17275643804089</v>
      </c>
      <c r="X156" s="65">
        <f t="shared" ref="X156:Y156" si="213">IF(X102=0,0,X102/X$23)</f>
        <v>262.20780507741705</v>
      </c>
      <c r="Y156" s="65">
        <f t="shared" si="213"/>
        <v>268.89734914388021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982.96825252594476</v>
      </c>
      <c r="C157" s="65">
        <f t="shared" ref="C157:W157" si="215">IF(C103=0,0,C103/C$23)</f>
        <v>1055.8482114078663</v>
      </c>
      <c r="D157" s="65">
        <f t="shared" si="215"/>
        <v>1100.8288984608489</v>
      </c>
      <c r="E157" s="65">
        <f t="shared" si="215"/>
        <v>1135.6713741792698</v>
      </c>
      <c r="F157" s="65">
        <f t="shared" si="215"/>
        <v>1132.4084543256131</v>
      </c>
      <c r="G157" s="65">
        <f t="shared" si="215"/>
        <v>1227.0883025257986</v>
      </c>
      <c r="H157" s="65">
        <f t="shared" si="215"/>
        <v>1221.8708920319052</v>
      </c>
      <c r="I157" s="65">
        <f t="shared" si="215"/>
        <v>1212.1831876512429</v>
      </c>
      <c r="J157" s="65">
        <f t="shared" si="215"/>
        <v>1221.8101291082046</v>
      </c>
      <c r="K157" s="65">
        <f t="shared" si="215"/>
        <v>1245.7891481459897</v>
      </c>
      <c r="L157" s="65">
        <f t="shared" si="215"/>
        <v>1277.6841958844821</v>
      </c>
      <c r="M157" s="65">
        <f t="shared" si="215"/>
        <v>1329.0476225368545</v>
      </c>
      <c r="N157" s="65">
        <f t="shared" si="215"/>
        <v>1365.1076358749438</v>
      </c>
      <c r="O157" s="65">
        <f t="shared" si="215"/>
        <v>1371.776819578756</v>
      </c>
      <c r="P157" s="65">
        <f t="shared" si="215"/>
        <v>1342.2870612830773</v>
      </c>
      <c r="Q157" s="65">
        <f t="shared" si="215"/>
        <v>1382.4548818700043</v>
      </c>
      <c r="R157" s="65">
        <f t="shared" si="215"/>
        <v>1309.1697714883658</v>
      </c>
      <c r="S157" s="65">
        <f t="shared" si="215"/>
        <v>1300.408146774676</v>
      </c>
      <c r="T157" s="65">
        <f t="shared" si="215"/>
        <v>1216.8427585006186</v>
      </c>
      <c r="U157" s="65">
        <f t="shared" si="215"/>
        <v>1144.2833549174109</v>
      </c>
      <c r="V157" s="65">
        <f t="shared" si="215"/>
        <v>1030.8181956748288</v>
      </c>
      <c r="W157" s="65">
        <f t="shared" si="215"/>
        <v>974.24860901022896</v>
      </c>
      <c r="X157" s="65">
        <f t="shared" ref="X157:Y157" si="216">IF(X103=0,0,X103/X$23)</f>
        <v>986.22017669894478</v>
      </c>
      <c r="Y157" s="65">
        <f t="shared" si="216"/>
        <v>967.85893965285072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1086.3202770481259</v>
      </c>
      <c r="C158" s="67">
        <f t="shared" ref="C158:W158" si="218">IF(C104=0,0,C104/C$23)</f>
        <v>1141.4341825805211</v>
      </c>
      <c r="D158" s="67">
        <f t="shared" si="218"/>
        <v>1169.3883096183692</v>
      </c>
      <c r="E158" s="67">
        <f t="shared" si="218"/>
        <v>1180.5252645191504</v>
      </c>
      <c r="F158" s="67">
        <f t="shared" si="218"/>
        <v>1212.0389001338829</v>
      </c>
      <c r="G158" s="67">
        <f t="shared" si="218"/>
        <v>1251.9842902239393</v>
      </c>
      <c r="H158" s="67">
        <f t="shared" si="218"/>
        <v>1235.2561299949016</v>
      </c>
      <c r="I158" s="67">
        <f t="shared" si="218"/>
        <v>1214.8908824690602</v>
      </c>
      <c r="J158" s="67">
        <f t="shared" si="218"/>
        <v>1203.4313148065344</v>
      </c>
      <c r="K158" s="67">
        <f t="shared" si="218"/>
        <v>1236.646588265887</v>
      </c>
      <c r="L158" s="67">
        <f t="shared" si="218"/>
        <v>1264.9603031264612</v>
      </c>
      <c r="M158" s="67">
        <f t="shared" si="218"/>
        <v>1319.9061057156948</v>
      </c>
      <c r="N158" s="67">
        <f t="shared" si="218"/>
        <v>1419.8564509757091</v>
      </c>
      <c r="O158" s="67">
        <f t="shared" si="218"/>
        <v>1414.3109724704216</v>
      </c>
      <c r="P158" s="67">
        <f t="shared" si="218"/>
        <v>1332.3268957079463</v>
      </c>
      <c r="Q158" s="67">
        <f t="shared" si="218"/>
        <v>1346.627979026769</v>
      </c>
      <c r="R158" s="67">
        <f t="shared" si="218"/>
        <v>1294.9355139687341</v>
      </c>
      <c r="S158" s="67">
        <f t="shared" si="218"/>
        <v>1299.3485543618799</v>
      </c>
      <c r="T158" s="67">
        <f t="shared" si="218"/>
        <v>1228.4715563245147</v>
      </c>
      <c r="U158" s="67">
        <f t="shared" si="218"/>
        <v>1168.5591131740453</v>
      </c>
      <c r="V158" s="67">
        <f t="shared" si="218"/>
        <v>1015.9528198484077</v>
      </c>
      <c r="W158" s="67">
        <f t="shared" si="218"/>
        <v>1086.9133356350071</v>
      </c>
      <c r="X158" s="67">
        <f t="shared" ref="X158:Y158" si="219">IF(X104=0,0,X104/X$23)</f>
        <v>1056.1527144201716</v>
      </c>
      <c r="Y158" s="67">
        <f t="shared" si="219"/>
        <v>1063.7440649179521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1619.194016570907</v>
      </c>
      <c r="C159" s="68">
        <f t="shared" ref="C159:W159" si="221">IF(C105=0,0,C105/C$23)</f>
        <v>1661.40643333512</v>
      </c>
      <c r="D159" s="68">
        <f t="shared" si="221"/>
        <v>1671.9976816070312</v>
      </c>
      <c r="E159" s="68">
        <f t="shared" si="221"/>
        <v>1725.0133317438565</v>
      </c>
      <c r="F159" s="68">
        <f t="shared" si="221"/>
        <v>1715.0578492684144</v>
      </c>
      <c r="G159" s="68">
        <f t="shared" si="221"/>
        <v>1786.9705326338419</v>
      </c>
      <c r="H159" s="68">
        <f t="shared" si="221"/>
        <v>1818.5594432876699</v>
      </c>
      <c r="I159" s="68">
        <f t="shared" si="221"/>
        <v>1855.6303807924821</v>
      </c>
      <c r="J159" s="68">
        <f t="shared" si="221"/>
        <v>1885.408866374599</v>
      </c>
      <c r="K159" s="68">
        <f t="shared" si="221"/>
        <v>1922.5402751255647</v>
      </c>
      <c r="L159" s="68">
        <f t="shared" si="221"/>
        <v>1938.7223378006943</v>
      </c>
      <c r="M159" s="68">
        <f t="shared" si="221"/>
        <v>2009.0576445614031</v>
      </c>
      <c r="N159" s="68">
        <f t="shared" si="221"/>
        <v>2097.9502749721914</v>
      </c>
      <c r="O159" s="68">
        <f t="shared" si="221"/>
        <v>2112.5460582110304</v>
      </c>
      <c r="P159" s="68">
        <f t="shared" si="221"/>
        <v>2046.7034839879107</v>
      </c>
      <c r="Q159" s="68">
        <f t="shared" si="221"/>
        <v>2137.5168060578253</v>
      </c>
      <c r="R159" s="68">
        <f t="shared" si="221"/>
        <v>2080.4811508006401</v>
      </c>
      <c r="S159" s="68">
        <f t="shared" si="221"/>
        <v>2078.0577644247483</v>
      </c>
      <c r="T159" s="68">
        <f t="shared" si="221"/>
        <v>1946.9111216007659</v>
      </c>
      <c r="U159" s="68">
        <f t="shared" si="221"/>
        <v>1846.6920137366562</v>
      </c>
      <c r="V159" s="68">
        <f t="shared" si="221"/>
        <v>1757.2012670396994</v>
      </c>
      <c r="W159" s="68">
        <f t="shared" si="221"/>
        <v>1672.8219572984831</v>
      </c>
      <c r="X159" s="68">
        <f t="shared" ref="X159:Y159" si="222">IF(X105=0,0,X105/X$23)</f>
        <v>1617.3895677719547</v>
      </c>
      <c r="Y159" s="68">
        <f t="shared" si="222"/>
        <v>1582.3598336122061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2201.6140938942794</v>
      </c>
      <c r="C161" s="85">
        <f t="shared" ref="C161:W161" si="224">IF(C107=0,0,C107/C$23)</f>
        <v>2520.073850639325</v>
      </c>
      <c r="D161" s="85">
        <f t="shared" si="224"/>
        <v>2541.0425362883802</v>
      </c>
      <c r="E161" s="85">
        <f t="shared" si="224"/>
        <v>2816.52582201921</v>
      </c>
      <c r="F161" s="85">
        <f t="shared" si="224"/>
        <v>2798.9745696833402</v>
      </c>
      <c r="G161" s="85">
        <f t="shared" si="224"/>
        <v>3054.8301093348759</v>
      </c>
      <c r="H161" s="85">
        <f t="shared" si="224"/>
        <v>3293.7171793027396</v>
      </c>
      <c r="I161" s="85">
        <f t="shared" si="224"/>
        <v>3569.5602727529126</v>
      </c>
      <c r="J161" s="85">
        <f t="shared" si="224"/>
        <v>3729.4964739804691</v>
      </c>
      <c r="K161" s="85">
        <f t="shared" si="224"/>
        <v>3580.6307259071582</v>
      </c>
      <c r="L161" s="85">
        <f t="shared" si="224"/>
        <v>3397.4692125992706</v>
      </c>
      <c r="M161" s="85">
        <f t="shared" si="224"/>
        <v>3352.3458635405018</v>
      </c>
      <c r="N161" s="85">
        <f t="shared" si="224"/>
        <v>4168.246990358718</v>
      </c>
      <c r="O161" s="85">
        <f t="shared" si="224"/>
        <v>3752.4276751079824</v>
      </c>
      <c r="P161" s="85">
        <f t="shared" si="224"/>
        <v>3549.8211295457945</v>
      </c>
      <c r="Q161" s="85">
        <f t="shared" si="224"/>
        <v>4339.8519016761738</v>
      </c>
      <c r="R161" s="85">
        <f t="shared" si="224"/>
        <v>4554.9644054832797</v>
      </c>
      <c r="S161" s="85">
        <f t="shared" si="224"/>
        <v>4556.8921609125218</v>
      </c>
      <c r="T161" s="85">
        <f t="shared" si="224"/>
        <v>4160.554135629026</v>
      </c>
      <c r="U161" s="85">
        <f t="shared" si="224"/>
        <v>4404.2735724487975</v>
      </c>
      <c r="V161" s="85">
        <f t="shared" si="224"/>
        <v>4129.6516610052549</v>
      </c>
      <c r="W161" s="85">
        <f t="shared" si="224"/>
        <v>4526.531524524883</v>
      </c>
      <c r="X161" s="85">
        <f t="shared" ref="X161:Y161" si="225">IF(X107=0,0,X107/X$23)</f>
        <v>4518.229523259618</v>
      </c>
      <c r="Y161" s="85">
        <f t="shared" si="225"/>
        <v>4679.2737164508299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712.29986524874926</v>
      </c>
      <c r="C162" s="65">
        <f t="shared" ref="C162:W162" si="227">IF(C108=0,0,C108/C$23)</f>
        <v>876.80364391493094</v>
      </c>
      <c r="D162" s="65">
        <f t="shared" si="227"/>
        <v>901.43801122987986</v>
      </c>
      <c r="E162" s="65">
        <f t="shared" si="227"/>
        <v>1028.7914267041865</v>
      </c>
      <c r="F162" s="65">
        <f t="shared" si="227"/>
        <v>1154.726029286531</v>
      </c>
      <c r="G162" s="65">
        <f t="shared" si="227"/>
        <v>1309.8120806338106</v>
      </c>
      <c r="H162" s="65">
        <f t="shared" si="227"/>
        <v>1482.6518515304738</v>
      </c>
      <c r="I162" s="65">
        <f t="shared" si="227"/>
        <v>1562.2384948812169</v>
      </c>
      <c r="J162" s="65">
        <f t="shared" si="227"/>
        <v>1705.6256145143248</v>
      </c>
      <c r="K162" s="65">
        <f t="shared" si="227"/>
        <v>1672.1919553370219</v>
      </c>
      <c r="L162" s="65">
        <f t="shared" si="227"/>
        <v>1318.3550845832858</v>
      </c>
      <c r="M162" s="65">
        <f t="shared" si="227"/>
        <v>1234.6209237272169</v>
      </c>
      <c r="N162" s="65">
        <f t="shared" si="227"/>
        <v>1581.5475500794805</v>
      </c>
      <c r="O162" s="65">
        <f t="shared" si="227"/>
        <v>1430.7553442700791</v>
      </c>
      <c r="P162" s="65">
        <f t="shared" si="227"/>
        <v>1361.8390262927126</v>
      </c>
      <c r="Q162" s="65">
        <f t="shared" si="227"/>
        <v>1895.6359186101258</v>
      </c>
      <c r="R162" s="65">
        <f t="shared" si="227"/>
        <v>2101.0023360960236</v>
      </c>
      <c r="S162" s="65">
        <f t="shared" si="227"/>
        <v>2023.7397690793009</v>
      </c>
      <c r="T162" s="65">
        <f t="shared" si="227"/>
        <v>1821.7859953104962</v>
      </c>
      <c r="U162" s="65">
        <f t="shared" si="227"/>
        <v>1911.2057027071244</v>
      </c>
      <c r="V162" s="65">
        <f t="shared" si="227"/>
        <v>1870.640370325041</v>
      </c>
      <c r="W162" s="65">
        <f t="shared" si="227"/>
        <v>1989.6277902023512</v>
      </c>
      <c r="X162" s="65">
        <f t="shared" ref="X162:Y162" si="228">IF(X108=0,0,X108/X$23)</f>
        <v>2121.818260333474</v>
      </c>
      <c r="Y162" s="65">
        <f t="shared" si="228"/>
        <v>2237.1132171490417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258.14897929891356</v>
      </c>
      <c r="C163" s="65">
        <f t="shared" ref="C163:W163" si="230">IF(C109=0,0,C109/C$23)</f>
        <v>334.59899323577179</v>
      </c>
      <c r="D163" s="65">
        <f t="shared" si="230"/>
        <v>279.1940757138795</v>
      </c>
      <c r="E163" s="65">
        <f t="shared" si="230"/>
        <v>400.00677378464843</v>
      </c>
      <c r="F163" s="65">
        <f t="shared" si="230"/>
        <v>251.49419540392068</v>
      </c>
      <c r="G163" s="65">
        <f t="shared" si="230"/>
        <v>270.51005835645446</v>
      </c>
      <c r="H163" s="65">
        <f t="shared" si="230"/>
        <v>344.15100316135977</v>
      </c>
      <c r="I163" s="65">
        <f t="shared" si="230"/>
        <v>552.76476188283357</v>
      </c>
      <c r="J163" s="65">
        <f t="shared" si="230"/>
        <v>565.03049892952185</v>
      </c>
      <c r="K163" s="65">
        <f t="shared" si="230"/>
        <v>408.26548115818122</v>
      </c>
      <c r="L163" s="65">
        <f t="shared" si="230"/>
        <v>541.61469798592952</v>
      </c>
      <c r="M163" s="65">
        <f t="shared" si="230"/>
        <v>509.1730149520094</v>
      </c>
      <c r="N163" s="65">
        <f t="shared" si="230"/>
        <v>922.34073223544704</v>
      </c>
      <c r="O163" s="65">
        <f t="shared" si="230"/>
        <v>625.23252827975955</v>
      </c>
      <c r="P163" s="65">
        <f t="shared" si="230"/>
        <v>532.60476714050651</v>
      </c>
      <c r="Q163" s="65">
        <f t="shared" si="230"/>
        <v>744.73286660599251</v>
      </c>
      <c r="R163" s="65">
        <f t="shared" si="230"/>
        <v>815.34207041788613</v>
      </c>
      <c r="S163" s="65">
        <f t="shared" si="230"/>
        <v>872.43714724948416</v>
      </c>
      <c r="T163" s="65">
        <f t="shared" si="230"/>
        <v>749.60973346171068</v>
      </c>
      <c r="U163" s="65">
        <f t="shared" si="230"/>
        <v>966.04422667292249</v>
      </c>
      <c r="V163" s="65">
        <f t="shared" si="230"/>
        <v>871.16657666528954</v>
      </c>
      <c r="W163" s="65">
        <f t="shared" si="230"/>
        <v>1119.3678719828245</v>
      </c>
      <c r="X163" s="65">
        <f t="shared" ref="X163:Y163" si="231">IF(X109=0,0,X109/X$23)</f>
        <v>970.96420757822705</v>
      </c>
      <c r="Y163" s="65">
        <f t="shared" si="231"/>
        <v>1008.1232281089431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526.37783079992187</v>
      </c>
      <c r="C164" s="65">
        <f t="shared" ref="C164:W164" si="233">IF(C110=0,0,C110/C$23)</f>
        <v>566.07948193458844</v>
      </c>
      <c r="D164" s="65">
        <f t="shared" si="233"/>
        <v>591.66096978621442</v>
      </c>
      <c r="E164" s="65">
        <f t="shared" si="233"/>
        <v>612.58745059911871</v>
      </c>
      <c r="F164" s="65">
        <f t="shared" si="233"/>
        <v>613.205585620943</v>
      </c>
      <c r="G164" s="65">
        <f t="shared" si="233"/>
        <v>664.31792576493012</v>
      </c>
      <c r="H164" s="65">
        <f t="shared" si="233"/>
        <v>664.51555892614851</v>
      </c>
      <c r="I164" s="65">
        <f t="shared" si="233"/>
        <v>661.95375046114384</v>
      </c>
      <c r="J164" s="65">
        <f t="shared" si="233"/>
        <v>671.59207577571033</v>
      </c>
      <c r="K164" s="65">
        <f t="shared" si="233"/>
        <v>688.84669032661736</v>
      </c>
      <c r="L164" s="65">
        <f t="shared" si="233"/>
        <v>708.73973788622709</v>
      </c>
      <c r="M164" s="65">
        <f t="shared" si="233"/>
        <v>741.60129024780599</v>
      </c>
      <c r="N164" s="65">
        <f t="shared" si="233"/>
        <v>769.1005345968</v>
      </c>
      <c r="O164" s="65">
        <f t="shared" si="233"/>
        <v>782.04575440118163</v>
      </c>
      <c r="P164" s="65">
        <f t="shared" si="233"/>
        <v>771.93050483395268</v>
      </c>
      <c r="Q164" s="65">
        <f t="shared" si="233"/>
        <v>804.68065488248078</v>
      </c>
      <c r="R164" s="65">
        <f t="shared" si="233"/>
        <v>774.52612827077223</v>
      </c>
      <c r="S164" s="65">
        <f t="shared" si="233"/>
        <v>786.91571196971211</v>
      </c>
      <c r="T164" s="65">
        <f t="shared" si="233"/>
        <v>755.02522458981855</v>
      </c>
      <c r="U164" s="65">
        <f t="shared" si="233"/>
        <v>728.75028445250189</v>
      </c>
      <c r="V164" s="65">
        <f t="shared" si="233"/>
        <v>676.69551119478831</v>
      </c>
      <c r="W164" s="65">
        <f t="shared" si="233"/>
        <v>655.50395787413208</v>
      </c>
      <c r="X164" s="65">
        <f t="shared" ref="X164:Y164" si="234">IF(X110=0,0,X110/X$23)</f>
        <v>682.32530742942879</v>
      </c>
      <c r="Y164" s="65">
        <f t="shared" si="234"/>
        <v>686.31527403509983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704.78741854669488</v>
      </c>
      <c r="C165" s="68">
        <f t="shared" ref="C165:W165" si="236">IF(C111=0,0,C111/C$23)</f>
        <v>742.5917315540338</v>
      </c>
      <c r="D165" s="68">
        <f t="shared" si="236"/>
        <v>768.74947955840639</v>
      </c>
      <c r="E165" s="68">
        <f t="shared" si="236"/>
        <v>775.14017093125608</v>
      </c>
      <c r="F165" s="68">
        <f t="shared" si="236"/>
        <v>779.54875937194527</v>
      </c>
      <c r="G165" s="68">
        <f t="shared" si="236"/>
        <v>810.19004457968038</v>
      </c>
      <c r="H165" s="68">
        <f t="shared" si="236"/>
        <v>802.39876568475779</v>
      </c>
      <c r="I165" s="68">
        <f t="shared" si="236"/>
        <v>792.60326552771835</v>
      </c>
      <c r="J165" s="68">
        <f t="shared" si="236"/>
        <v>787.24828476091216</v>
      </c>
      <c r="K165" s="68">
        <f t="shared" si="236"/>
        <v>811.32659908533731</v>
      </c>
      <c r="L165" s="68">
        <f t="shared" si="236"/>
        <v>828.75969214382815</v>
      </c>
      <c r="M165" s="68">
        <f t="shared" si="236"/>
        <v>866.95063461346922</v>
      </c>
      <c r="N165" s="68">
        <f t="shared" si="236"/>
        <v>895.25817344699033</v>
      </c>
      <c r="O165" s="68">
        <f t="shared" si="236"/>
        <v>914.39404815696219</v>
      </c>
      <c r="P165" s="68">
        <f t="shared" si="236"/>
        <v>883.44683127862288</v>
      </c>
      <c r="Q165" s="68">
        <f t="shared" si="236"/>
        <v>894.80246157757529</v>
      </c>
      <c r="R165" s="68">
        <f t="shared" si="236"/>
        <v>864.09387069859758</v>
      </c>
      <c r="S165" s="68">
        <f t="shared" si="236"/>
        <v>873.79953261402397</v>
      </c>
      <c r="T165" s="68">
        <f t="shared" si="236"/>
        <v>834.13318226699982</v>
      </c>
      <c r="U165" s="68">
        <f t="shared" si="236"/>
        <v>798.27335861624897</v>
      </c>
      <c r="V165" s="68">
        <f t="shared" si="236"/>
        <v>711.14920282013611</v>
      </c>
      <c r="W165" s="68">
        <f t="shared" si="236"/>
        <v>762.03190446557574</v>
      </c>
      <c r="X165" s="68">
        <f t="shared" ref="X165:Y165" si="237">IF(X111=0,0,X111/X$23)</f>
        <v>743.12174791848861</v>
      </c>
      <c r="Y165" s="68">
        <f t="shared" si="237"/>
        <v>747.72199715774582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268.88986195569669</v>
      </c>
      <c r="C167" s="82">
        <f t="shared" ref="C167:W167" si="239">IF(C113=0,0,C113/C$23)</f>
        <v>345.15290245862565</v>
      </c>
      <c r="D167" s="82">
        <f t="shared" si="239"/>
        <v>338.94308135793563</v>
      </c>
      <c r="E167" s="82">
        <f t="shared" si="239"/>
        <v>365.63407407359614</v>
      </c>
      <c r="F167" s="82">
        <f t="shared" si="239"/>
        <v>373.28895779950687</v>
      </c>
      <c r="G167" s="82">
        <f t="shared" si="239"/>
        <v>467.46109686389997</v>
      </c>
      <c r="H167" s="82">
        <f t="shared" si="239"/>
        <v>474.59655624004245</v>
      </c>
      <c r="I167" s="82">
        <f t="shared" si="239"/>
        <v>439.85361794894141</v>
      </c>
      <c r="J167" s="82">
        <f t="shared" si="239"/>
        <v>431.45789295629822</v>
      </c>
      <c r="K167" s="82">
        <f t="shared" si="239"/>
        <v>353.25191995872376</v>
      </c>
      <c r="L167" s="82">
        <f t="shared" si="239"/>
        <v>317.43948077513528</v>
      </c>
      <c r="M167" s="82">
        <f t="shared" si="239"/>
        <v>324.24078326721968</v>
      </c>
      <c r="N167" s="82">
        <f t="shared" si="239"/>
        <v>250.09388773655385</v>
      </c>
      <c r="O167" s="82">
        <f t="shared" si="239"/>
        <v>267.73530869388895</v>
      </c>
      <c r="P167" s="82">
        <f t="shared" si="239"/>
        <v>183.67545928338768</v>
      </c>
      <c r="Q167" s="82">
        <f t="shared" si="239"/>
        <v>224.42282377438221</v>
      </c>
      <c r="R167" s="82">
        <f t="shared" si="239"/>
        <v>254.42532632690779</v>
      </c>
      <c r="S167" s="82">
        <f t="shared" si="239"/>
        <v>208.80300021227663</v>
      </c>
      <c r="T167" s="82">
        <f t="shared" si="239"/>
        <v>190.76265674653206</v>
      </c>
      <c r="U167" s="82">
        <f t="shared" si="239"/>
        <v>194.43557243329982</v>
      </c>
      <c r="V167" s="82">
        <f t="shared" si="239"/>
        <v>159.65106276726746</v>
      </c>
      <c r="W167" s="82">
        <f t="shared" si="239"/>
        <v>162.21612127964343</v>
      </c>
      <c r="X167" s="82">
        <f t="shared" ref="X167:Y167" si="240">IF(X113=0,0,X113/X$23)</f>
        <v>156.65413983961724</v>
      </c>
      <c r="Y167" s="82">
        <f t="shared" si="240"/>
        <v>168.23328458452121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268.88986195569669</v>
      </c>
      <c r="C168" s="64">
        <f t="shared" ref="C168:W168" si="242">IF(C114=0,0,C114/C$23)</f>
        <v>345.15290245862565</v>
      </c>
      <c r="D168" s="64">
        <f t="shared" si="242"/>
        <v>338.94308135793563</v>
      </c>
      <c r="E168" s="64">
        <f t="shared" si="242"/>
        <v>365.63407407359614</v>
      </c>
      <c r="F168" s="64">
        <f t="shared" si="242"/>
        <v>373.28895779950687</v>
      </c>
      <c r="G168" s="64">
        <f t="shared" si="242"/>
        <v>467.46109686389997</v>
      </c>
      <c r="H168" s="64">
        <f t="shared" si="242"/>
        <v>474.59655624004245</v>
      </c>
      <c r="I168" s="64">
        <f t="shared" si="242"/>
        <v>439.85361794894141</v>
      </c>
      <c r="J168" s="64">
        <f t="shared" si="242"/>
        <v>431.45789295629822</v>
      </c>
      <c r="K168" s="64">
        <f t="shared" si="242"/>
        <v>353.25191995872376</v>
      </c>
      <c r="L168" s="64">
        <f t="shared" si="242"/>
        <v>317.43948077513528</v>
      </c>
      <c r="M168" s="64">
        <f t="shared" si="242"/>
        <v>324.24078326721968</v>
      </c>
      <c r="N168" s="64">
        <f t="shared" si="242"/>
        <v>250.09388773655385</v>
      </c>
      <c r="O168" s="64">
        <f t="shared" si="242"/>
        <v>267.73530869388895</v>
      </c>
      <c r="P168" s="64">
        <f t="shared" si="242"/>
        <v>183.67545928338768</v>
      </c>
      <c r="Q168" s="64">
        <f t="shared" si="242"/>
        <v>224.42282377438221</v>
      </c>
      <c r="R168" s="64">
        <f t="shared" si="242"/>
        <v>254.42532632690779</v>
      </c>
      <c r="S168" s="64">
        <f t="shared" si="242"/>
        <v>208.80300021227663</v>
      </c>
      <c r="T168" s="64">
        <f t="shared" si="242"/>
        <v>190.76265674653206</v>
      </c>
      <c r="U168" s="64">
        <f t="shared" si="242"/>
        <v>194.43557243329982</v>
      </c>
      <c r="V168" s="64">
        <f t="shared" si="242"/>
        <v>159.65106276726746</v>
      </c>
      <c r="W168" s="64">
        <f t="shared" si="242"/>
        <v>162.21612127964343</v>
      </c>
      <c r="X168" s="64">
        <f t="shared" ref="X168:Y168" si="243">IF(X114=0,0,X114/X$23)</f>
        <v>156.65413983961724</v>
      </c>
      <c r="Y168" s="64">
        <f t="shared" si="243"/>
        <v>168.23328458452121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227.96054316795284</v>
      </c>
      <c r="C169" s="65">
        <f t="shared" ref="C169:W169" si="245">IF(C115=0,0,C115/C$23)</f>
        <v>300.29988629134067</v>
      </c>
      <c r="D169" s="65">
        <f t="shared" si="245"/>
        <v>300.70293026542419</v>
      </c>
      <c r="E169" s="65">
        <f t="shared" si="245"/>
        <v>322.57488267885913</v>
      </c>
      <c r="F169" s="65">
        <f t="shared" si="245"/>
        <v>303.96869036722865</v>
      </c>
      <c r="G169" s="65">
        <f t="shared" si="245"/>
        <v>394.28845276864178</v>
      </c>
      <c r="H169" s="65">
        <f t="shared" si="245"/>
        <v>400.55826870918196</v>
      </c>
      <c r="I169" s="65">
        <f t="shared" si="245"/>
        <v>363.36285074489808</v>
      </c>
      <c r="J169" s="65">
        <f t="shared" si="245"/>
        <v>353.23082137007373</v>
      </c>
      <c r="K169" s="65">
        <f t="shared" si="245"/>
        <v>271.98827249620808</v>
      </c>
      <c r="L169" s="65">
        <f t="shared" si="245"/>
        <v>227.46342374364676</v>
      </c>
      <c r="M169" s="65">
        <f t="shared" si="245"/>
        <v>234.66283295283679</v>
      </c>
      <c r="N169" s="65">
        <f t="shared" si="245"/>
        <v>103.83043357653557</v>
      </c>
      <c r="O169" s="65">
        <f t="shared" si="245"/>
        <v>145.02003458350617</v>
      </c>
      <c r="P169" s="65">
        <f t="shared" si="245"/>
        <v>88.578304090439957</v>
      </c>
      <c r="Q169" s="65">
        <f t="shared" si="245"/>
        <v>120.42173904066392</v>
      </c>
      <c r="R169" s="65">
        <f t="shared" si="245"/>
        <v>149.59147615440696</v>
      </c>
      <c r="S169" s="65">
        <f t="shared" si="245"/>
        <v>97.993652305655715</v>
      </c>
      <c r="T169" s="65">
        <f t="shared" si="245"/>
        <v>85.916484472040366</v>
      </c>
      <c r="U169" s="65">
        <f t="shared" si="245"/>
        <v>89.041324119275657</v>
      </c>
      <c r="V169" s="65">
        <f t="shared" si="245"/>
        <v>79.061938508674217</v>
      </c>
      <c r="W169" s="65">
        <f t="shared" si="245"/>
        <v>68.642097269388586</v>
      </c>
      <c r="X169" s="65">
        <f t="shared" ref="X169:Y169" si="246">IF(X115=0,0,X115/X$23)</f>
        <v>63.930481412232162</v>
      </c>
      <c r="Y169" s="65">
        <f t="shared" si="246"/>
        <v>67.433058192125912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3.1263062789243963E-2</v>
      </c>
      <c r="C170" s="65">
        <f t="shared" ref="C170:W170" si="248">IF(C116=0,0,C116/C$23)</f>
        <v>4.0468229609004168E-2</v>
      </c>
      <c r="D170" s="65">
        <f t="shared" si="248"/>
        <v>4.4212745393443248E-2</v>
      </c>
      <c r="E170" s="65">
        <f t="shared" si="248"/>
        <v>5.2417044295041432E-2</v>
      </c>
      <c r="F170" s="65">
        <f t="shared" si="248"/>
        <v>6.6971317165109151E-2</v>
      </c>
      <c r="G170" s="65">
        <f t="shared" si="248"/>
        <v>0.10603815196819072</v>
      </c>
      <c r="H170" s="65">
        <f t="shared" si="248"/>
        <v>0.17178075107662716</v>
      </c>
      <c r="I170" s="65">
        <f t="shared" si="248"/>
        <v>0.25146320149131268</v>
      </c>
      <c r="J170" s="65">
        <f t="shared" si="248"/>
        <v>0.33179781576739692</v>
      </c>
      <c r="K170" s="65">
        <f t="shared" si="248"/>
        <v>0.39212170444875055</v>
      </c>
      <c r="L170" s="65">
        <f t="shared" si="248"/>
        <v>0.53500825378751049</v>
      </c>
      <c r="M170" s="65">
        <f t="shared" si="248"/>
        <v>0.64444960156532449</v>
      </c>
      <c r="N170" s="65">
        <f t="shared" si="248"/>
        <v>1.2773430789375617</v>
      </c>
      <c r="O170" s="65">
        <f t="shared" si="248"/>
        <v>1.3023054816301316</v>
      </c>
      <c r="P170" s="65">
        <f t="shared" si="248"/>
        <v>1.5176260910477535</v>
      </c>
      <c r="Q170" s="65">
        <f t="shared" si="248"/>
        <v>2.2892833747621393</v>
      </c>
      <c r="R170" s="65">
        <f t="shared" si="248"/>
        <v>2.6408549161155563</v>
      </c>
      <c r="S170" s="65">
        <f t="shared" si="248"/>
        <v>3.0277652779909414</v>
      </c>
      <c r="T170" s="65">
        <f t="shared" si="248"/>
        <v>2.8449565849412988</v>
      </c>
      <c r="U170" s="65">
        <f t="shared" si="248"/>
        <v>3.5296615924837167</v>
      </c>
      <c r="V170" s="65">
        <f t="shared" si="248"/>
        <v>3.1100805109009579</v>
      </c>
      <c r="W170" s="65">
        <f t="shared" si="248"/>
        <v>3.9700854277300031</v>
      </c>
      <c r="X170" s="65">
        <f t="shared" ref="X170:Y170" si="249">IF(X116=0,0,X116/X$23)</f>
        <v>3.5328969648163784</v>
      </c>
      <c r="Y170" s="65">
        <f t="shared" si="249"/>
        <v>3.6308703038251222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18.820916153529762</v>
      </c>
      <c r="C171" s="65">
        <f t="shared" ref="C171:W171" si="251">IF(C117=0,0,C117/C$23)</f>
        <v>21.948553727842896</v>
      </c>
      <c r="D171" s="65">
        <f t="shared" si="251"/>
        <v>23.306218867570802</v>
      </c>
      <c r="E171" s="65">
        <f t="shared" si="251"/>
        <v>24.259479919605969</v>
      </c>
      <c r="F171" s="65">
        <f t="shared" si="251"/>
        <v>24.721523335771359</v>
      </c>
      <c r="G171" s="65">
        <f t="shared" si="251"/>
        <v>31.174547134414148</v>
      </c>
      <c r="H171" s="65">
        <f t="shared" si="251"/>
        <v>33.34883873349623</v>
      </c>
      <c r="I171" s="65">
        <f t="shared" si="251"/>
        <v>37.331240051422661</v>
      </c>
      <c r="J171" s="65">
        <f t="shared" si="251"/>
        <v>38.639946977834889</v>
      </c>
      <c r="K171" s="65">
        <f t="shared" si="251"/>
        <v>40.140214461035377</v>
      </c>
      <c r="L171" s="65">
        <f t="shared" si="251"/>
        <v>43.886409618334753</v>
      </c>
      <c r="M171" s="65">
        <f t="shared" si="251"/>
        <v>44.958416910860137</v>
      </c>
      <c r="N171" s="65">
        <f t="shared" si="251"/>
        <v>46.230032810062376</v>
      </c>
      <c r="O171" s="65">
        <f t="shared" si="251"/>
        <v>47.966170907903937</v>
      </c>
      <c r="P171" s="65">
        <f t="shared" si="251"/>
        <v>46.099554870103553</v>
      </c>
      <c r="Q171" s="65">
        <f t="shared" si="251"/>
        <v>48.257296878470278</v>
      </c>
      <c r="R171" s="65">
        <f t="shared" si="251"/>
        <v>46.430474155232872</v>
      </c>
      <c r="S171" s="65">
        <f t="shared" si="251"/>
        <v>48.13615556779034</v>
      </c>
      <c r="T171" s="65">
        <f t="shared" si="251"/>
        <v>42.747970005628652</v>
      </c>
      <c r="U171" s="65">
        <f t="shared" si="251"/>
        <v>39.359498037803498</v>
      </c>
      <c r="V171" s="65">
        <f t="shared" si="251"/>
        <v>30.546663658229711</v>
      </c>
      <c r="W171" s="65">
        <f t="shared" si="251"/>
        <v>30.151565502078149</v>
      </c>
      <c r="X171" s="65">
        <f t="shared" ref="X171:Y171" si="252">IF(X117=0,0,X117/X$23)</f>
        <v>24.988336525008876</v>
      </c>
      <c r="Y171" s="65">
        <f t="shared" si="252"/>
        <v>22.79230877172202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22.07713957142488</v>
      </c>
      <c r="C172" s="67">
        <f t="shared" ref="C172:W172" si="254">IF(C118=0,0,C118/C$23)</f>
        <v>22.863994209833074</v>
      </c>
      <c r="D172" s="67">
        <f t="shared" si="254"/>
        <v>14.889719479547148</v>
      </c>
      <c r="E172" s="67">
        <f t="shared" si="254"/>
        <v>18.747294430836035</v>
      </c>
      <c r="F172" s="67">
        <f t="shared" si="254"/>
        <v>44.531772779341757</v>
      </c>
      <c r="G172" s="67">
        <f t="shared" si="254"/>
        <v>41.892058808875824</v>
      </c>
      <c r="H172" s="67">
        <f t="shared" si="254"/>
        <v>40.517668046287582</v>
      </c>
      <c r="I172" s="67">
        <f t="shared" si="254"/>
        <v>38.908063951129336</v>
      </c>
      <c r="J172" s="67">
        <f t="shared" si="254"/>
        <v>39.255326792622192</v>
      </c>
      <c r="K172" s="67">
        <f t="shared" si="254"/>
        <v>40.731311297031553</v>
      </c>
      <c r="L172" s="67">
        <f t="shared" si="254"/>
        <v>45.55463915936636</v>
      </c>
      <c r="M172" s="67">
        <f t="shared" si="254"/>
        <v>43.975083801957389</v>
      </c>
      <c r="N172" s="67">
        <f t="shared" si="254"/>
        <v>98.756078271018339</v>
      </c>
      <c r="O172" s="67">
        <f t="shared" si="254"/>
        <v>73.446797720848764</v>
      </c>
      <c r="P172" s="67">
        <f t="shared" si="254"/>
        <v>47.479974231796433</v>
      </c>
      <c r="Q172" s="67">
        <f t="shared" si="254"/>
        <v>53.454504480485859</v>
      </c>
      <c r="R172" s="67">
        <f t="shared" si="254"/>
        <v>55.762521101152394</v>
      </c>
      <c r="S172" s="67">
        <f t="shared" si="254"/>
        <v>59.64542706083963</v>
      </c>
      <c r="T172" s="67">
        <f t="shared" si="254"/>
        <v>59.253245683921783</v>
      </c>
      <c r="U172" s="67">
        <f t="shared" si="254"/>
        <v>62.505088683736943</v>
      </c>
      <c r="V172" s="67">
        <f t="shared" si="254"/>
        <v>46.932380089462548</v>
      </c>
      <c r="W172" s="67">
        <f t="shared" si="254"/>
        <v>59.452373080446719</v>
      </c>
      <c r="X172" s="67">
        <f t="shared" ref="X172:Y172" si="255">IF(X118=0,0,X118/X$23)</f>
        <v>64.202424937559826</v>
      </c>
      <c r="Y172" s="67">
        <f t="shared" si="255"/>
        <v>74.377047316848149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82321.292858613655</v>
      </c>
      <c r="C3" s="124">
        <f t="shared" si="0"/>
        <v>86015.530460422669</v>
      </c>
      <c r="D3" s="124">
        <f t="shared" si="0"/>
        <v>88952.606363310508</v>
      </c>
      <c r="E3" s="124">
        <f t="shared" si="0"/>
        <v>92851.505280293204</v>
      </c>
      <c r="F3" s="124">
        <f t="shared" si="0"/>
        <v>96722.10527202829</v>
      </c>
      <c r="G3" s="124">
        <f t="shared" si="0"/>
        <v>99509.75563857927</v>
      </c>
      <c r="H3" s="124">
        <f t="shared" si="0"/>
        <v>103730.98493346918</v>
      </c>
      <c r="I3" s="124">
        <f t="shared" si="0"/>
        <v>106882.92747508295</v>
      </c>
      <c r="J3" s="124">
        <f t="shared" si="0"/>
        <v>108864.02368563312</v>
      </c>
      <c r="K3" s="124">
        <f t="shared" si="0"/>
        <v>108761.66709577304</v>
      </c>
      <c r="L3" s="124">
        <f t="shared" si="0"/>
        <v>105130.92497909948</v>
      </c>
      <c r="M3" s="124">
        <f t="shared" si="0"/>
        <v>102677.37263257115</v>
      </c>
      <c r="N3" s="124">
        <f t="shared" si="0"/>
        <v>102840.3384765424</v>
      </c>
      <c r="O3" s="124">
        <f t="shared" si="0"/>
        <v>102666.82105583444</v>
      </c>
      <c r="P3" s="124">
        <f t="shared" si="0"/>
        <v>102791.10060854635</v>
      </c>
      <c r="Q3" s="124">
        <f t="shared" si="0"/>
        <v>103111.49547920613</v>
      </c>
      <c r="R3" s="124">
        <f t="shared" si="0"/>
        <v>103152.33338138016</v>
      </c>
      <c r="S3" s="124">
        <f t="shared" si="0"/>
        <v>103841.7514215073</v>
      </c>
      <c r="T3" s="124">
        <f t="shared" si="0"/>
        <v>104565.82746295445</v>
      </c>
      <c r="U3" s="124">
        <f t="shared" si="0"/>
        <v>105402.9749843938</v>
      </c>
      <c r="V3" s="124">
        <f t="shared" si="0"/>
        <v>106208.75666666664</v>
      </c>
      <c r="W3" s="124">
        <f t="shared" si="0"/>
        <v>106957.01164971085</v>
      </c>
      <c r="X3" s="124">
        <f t="shared" si="0"/>
        <v>107591.44049954161</v>
      </c>
      <c r="Y3" s="124">
        <f t="shared" si="0"/>
        <v>108092.99550616054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82321.292858613655</v>
      </c>
      <c r="C4" s="139">
        <f t="shared" si="1"/>
        <v>86015.530460422669</v>
      </c>
      <c r="D4" s="139">
        <f t="shared" si="1"/>
        <v>88952.606363310508</v>
      </c>
      <c r="E4" s="139">
        <f t="shared" si="1"/>
        <v>92851.505280293204</v>
      </c>
      <c r="F4" s="139">
        <f t="shared" si="1"/>
        <v>96722.10527202829</v>
      </c>
      <c r="G4" s="139">
        <f t="shared" si="1"/>
        <v>99509.75563857927</v>
      </c>
      <c r="H4" s="139">
        <f t="shared" si="1"/>
        <v>103730.98493346918</v>
      </c>
      <c r="I4" s="139">
        <f t="shared" si="1"/>
        <v>106882.92747508295</v>
      </c>
      <c r="J4" s="139">
        <f t="shared" si="1"/>
        <v>108864.02368563312</v>
      </c>
      <c r="K4" s="139">
        <f t="shared" si="1"/>
        <v>108761.66709577304</v>
      </c>
      <c r="L4" s="139">
        <f t="shared" si="1"/>
        <v>105130.92497909948</v>
      </c>
      <c r="M4" s="139">
        <f t="shared" si="1"/>
        <v>102677.37263257115</v>
      </c>
      <c r="N4" s="139">
        <f t="shared" si="1"/>
        <v>102840.3384765424</v>
      </c>
      <c r="O4" s="139">
        <f t="shared" si="1"/>
        <v>102666.82105583444</v>
      </c>
      <c r="P4" s="139">
        <f t="shared" si="1"/>
        <v>102791.10060854635</v>
      </c>
      <c r="Q4" s="139">
        <f t="shared" si="1"/>
        <v>103111.49547920613</v>
      </c>
      <c r="R4" s="139">
        <f t="shared" ref="R4:W4" si="2">SUM(R5:R14)</f>
        <v>103152.33338138016</v>
      </c>
      <c r="S4" s="139">
        <f t="shared" si="2"/>
        <v>103841.7514215073</v>
      </c>
      <c r="T4" s="139">
        <f t="shared" si="2"/>
        <v>104565.82746295445</v>
      </c>
      <c r="U4" s="139">
        <f t="shared" si="2"/>
        <v>105402.9749843938</v>
      </c>
      <c r="V4" s="139">
        <f t="shared" si="2"/>
        <v>106208.75666666664</v>
      </c>
      <c r="W4" s="139">
        <f t="shared" si="2"/>
        <v>106957.01164971085</v>
      </c>
      <c r="X4" s="139">
        <f t="shared" ref="X4:Y4" si="3">SUM(X5:X14)</f>
        <v>107591.44049954161</v>
      </c>
      <c r="Y4" s="139">
        <f t="shared" si="3"/>
        <v>108092.99550616054</v>
      </c>
      <c r="DA4" s="169" t="s">
        <v>246</v>
      </c>
    </row>
    <row r="5" spans="1:105" ht="12" customHeight="1" x14ac:dyDescent="0.25">
      <c r="A5" s="131" t="s">
        <v>29</v>
      </c>
      <c r="B5" s="140">
        <v>0</v>
      </c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518.67872799846407</v>
      </c>
      <c r="Y5" s="140">
        <v>1015.5106718290825</v>
      </c>
      <c r="DA5" s="170" t="s">
        <v>247</v>
      </c>
    </row>
    <row r="6" spans="1:105" ht="12" customHeight="1" x14ac:dyDescent="0.25">
      <c r="A6" s="131" t="s">
        <v>52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248</v>
      </c>
    </row>
    <row r="7" spans="1:105" ht="12" customHeight="1" x14ac:dyDescent="0.25">
      <c r="A7" s="131" t="s">
        <v>161</v>
      </c>
      <c r="B7" s="140">
        <v>37766.097374007724</v>
      </c>
      <c r="C7" s="140">
        <v>41345.087495632353</v>
      </c>
      <c r="D7" s="140">
        <v>40902.074741993398</v>
      </c>
      <c r="E7" s="140">
        <v>40939.697081073922</v>
      </c>
      <c r="F7" s="140">
        <v>38712.177041233415</v>
      </c>
      <c r="G7" s="140">
        <v>38544.681950624079</v>
      </c>
      <c r="H7" s="140">
        <v>36418.232061477298</v>
      </c>
      <c r="I7" s="140">
        <v>32728.022280469871</v>
      </c>
      <c r="J7" s="140">
        <v>28216.061638327101</v>
      </c>
      <c r="K7" s="140">
        <v>23762.121862031541</v>
      </c>
      <c r="L7" s="140">
        <v>20386.344301353434</v>
      </c>
      <c r="M7" s="140">
        <v>18154.218610163269</v>
      </c>
      <c r="N7" s="140">
        <v>11689.319168118824</v>
      </c>
      <c r="O7" s="140">
        <v>9797.2795245775669</v>
      </c>
      <c r="P7" s="140">
        <v>7055.8789344045754</v>
      </c>
      <c r="Q7" s="140">
        <v>6333.2878686298536</v>
      </c>
      <c r="R7" s="140">
        <v>5799.0118482175749</v>
      </c>
      <c r="S7" s="140">
        <v>4557.0990746509278</v>
      </c>
      <c r="T7" s="140">
        <v>4043.1499860022509</v>
      </c>
      <c r="U7" s="140">
        <v>3359.6601232219209</v>
      </c>
      <c r="V7" s="140">
        <v>2858.9499245855704</v>
      </c>
      <c r="W7" s="140">
        <v>3364.5431320684352</v>
      </c>
      <c r="X7" s="140">
        <v>2066.0483171737283</v>
      </c>
      <c r="Y7" s="140">
        <v>1716.509338440937</v>
      </c>
      <c r="DA7" s="170" t="s">
        <v>249</v>
      </c>
    </row>
    <row r="8" spans="1:105" ht="12" customHeight="1" x14ac:dyDescent="0.25">
      <c r="A8" s="131" t="s">
        <v>73</v>
      </c>
      <c r="B8" s="140">
        <v>3.2974144646217431</v>
      </c>
      <c r="C8" s="140">
        <v>3.9092335268761751</v>
      </c>
      <c r="D8" s="140">
        <v>6.2247879728623188</v>
      </c>
      <c r="E8" s="140">
        <v>9.2444752545553683</v>
      </c>
      <c r="F8" s="140">
        <v>12.960939217720702</v>
      </c>
      <c r="G8" s="140">
        <v>16.893184550834142</v>
      </c>
      <c r="H8" s="140">
        <v>19.77902508166979</v>
      </c>
      <c r="I8" s="140">
        <v>22.984471047744698</v>
      </c>
      <c r="J8" s="140">
        <v>28.024458094849667</v>
      </c>
      <c r="K8" s="140">
        <v>38.521099915738752</v>
      </c>
      <c r="L8" s="140">
        <v>56.300545888065685</v>
      </c>
      <c r="M8" s="140">
        <v>104.85757467986426</v>
      </c>
      <c r="N8" s="140">
        <v>247.12259134114817</v>
      </c>
      <c r="O8" s="140">
        <v>581.56377167807295</v>
      </c>
      <c r="P8" s="140">
        <v>1057.2369192490257</v>
      </c>
      <c r="Q8" s="140">
        <v>1513.8527908059966</v>
      </c>
      <c r="R8" s="140">
        <v>1709.0910099008124</v>
      </c>
      <c r="S8" s="140">
        <v>1848.4533567820308</v>
      </c>
      <c r="T8" s="140">
        <v>2004.0260516617691</v>
      </c>
      <c r="U8" s="140">
        <v>2155.4169322411208</v>
      </c>
      <c r="V8" s="140">
        <v>2352.8444719058666</v>
      </c>
      <c r="W8" s="140">
        <v>2436.6557594475562</v>
      </c>
      <c r="X8" s="140">
        <v>2469.08940744752</v>
      </c>
      <c r="Y8" s="140">
        <v>2560.3919820284514</v>
      </c>
      <c r="DA8" s="170" t="s">
        <v>250</v>
      </c>
    </row>
    <row r="9" spans="1:105" ht="12" customHeight="1" x14ac:dyDescent="0.25">
      <c r="A9" s="131" t="s">
        <v>78</v>
      </c>
      <c r="B9" s="140">
        <v>714.09540983419538</v>
      </c>
      <c r="C9" s="140">
        <v>935.83827944199049</v>
      </c>
      <c r="D9" s="140">
        <v>1728.7184473593297</v>
      </c>
      <c r="E9" s="140">
        <v>2835.6079129734753</v>
      </c>
      <c r="F9" s="140">
        <v>4226.735751914769</v>
      </c>
      <c r="G9" s="140">
        <v>5697.6978093701027</v>
      </c>
      <c r="H9" s="140">
        <v>6750.0847319047425</v>
      </c>
      <c r="I9" s="140">
        <v>7611.9336558529621</v>
      </c>
      <c r="J9" s="140">
        <v>8500.1708481628903</v>
      </c>
      <c r="K9" s="140">
        <v>9888.1233467525235</v>
      </c>
      <c r="L9" s="140">
        <v>10877.152964199371</v>
      </c>
      <c r="M9" s="140">
        <v>10903.63139146558</v>
      </c>
      <c r="N9" s="140">
        <v>10291.910112914664</v>
      </c>
      <c r="O9" s="140">
        <v>9338.1470864885687</v>
      </c>
      <c r="P9" s="140">
        <v>8473.1416593754275</v>
      </c>
      <c r="Q9" s="140">
        <v>8402.4877041278742</v>
      </c>
      <c r="R9" s="140">
        <v>7750.4332599270565</v>
      </c>
      <c r="S9" s="140">
        <v>7787.0364318280563</v>
      </c>
      <c r="T9" s="140">
        <v>7955.2460574916186</v>
      </c>
      <c r="U9" s="140">
        <v>8334.9391445613383</v>
      </c>
      <c r="V9" s="140">
        <v>8012.4969433167853</v>
      </c>
      <c r="W9" s="140">
        <v>7374.4239198058585</v>
      </c>
      <c r="X9" s="140">
        <v>6395.4843831129574</v>
      </c>
      <c r="Y9" s="140">
        <v>5880.4394696374538</v>
      </c>
      <c r="DA9" s="170" t="s">
        <v>251</v>
      </c>
    </row>
    <row r="10" spans="1:105" ht="12" customHeight="1" x14ac:dyDescent="0.25">
      <c r="A10" s="131" t="s">
        <v>128</v>
      </c>
      <c r="B10" s="140">
        <v>0</v>
      </c>
      <c r="C10" s="140">
        <v>0</v>
      </c>
      <c r="D10" s="140">
        <v>0</v>
      </c>
      <c r="E10" s="140">
        <v>0</v>
      </c>
      <c r="F10" s="140">
        <v>0</v>
      </c>
      <c r="G10" s="140">
        <v>0</v>
      </c>
      <c r="H10" s="140">
        <v>0</v>
      </c>
      <c r="I10" s="140">
        <v>0</v>
      </c>
      <c r="J10" s="140">
        <v>0</v>
      </c>
      <c r="K10" s="140">
        <v>0</v>
      </c>
      <c r="L10" s="140">
        <v>0</v>
      </c>
      <c r="M10" s="140">
        <v>0</v>
      </c>
      <c r="N10" s="140">
        <v>733.61422315892537</v>
      </c>
      <c r="O10" s="140">
        <v>927.57556134436425</v>
      </c>
      <c r="P10" s="140">
        <v>992.87612087193929</v>
      </c>
      <c r="Q10" s="140">
        <v>993.02740034572048</v>
      </c>
      <c r="R10" s="140">
        <v>966.18888370849277</v>
      </c>
      <c r="S10" s="140">
        <v>949.65428908187585</v>
      </c>
      <c r="T10" s="140">
        <v>882.27679661468017</v>
      </c>
      <c r="U10" s="140">
        <v>839.49140490166121</v>
      </c>
      <c r="V10" s="140">
        <v>820.92743070115341</v>
      </c>
      <c r="W10" s="140">
        <v>742.13890335407245</v>
      </c>
      <c r="X10" s="140">
        <v>642.05875993563041</v>
      </c>
      <c r="Y10" s="140">
        <v>390.15719173175518</v>
      </c>
      <c r="DA10" s="170" t="s">
        <v>252</v>
      </c>
    </row>
    <row r="11" spans="1:105" ht="12" customHeight="1" x14ac:dyDescent="0.25">
      <c r="A11" s="131" t="s">
        <v>25</v>
      </c>
      <c r="B11" s="140">
        <v>0</v>
      </c>
      <c r="C11" s="140">
        <v>0</v>
      </c>
      <c r="D11" s="140">
        <v>0</v>
      </c>
      <c r="E11" s="140">
        <v>0</v>
      </c>
      <c r="F11" s="140">
        <v>851.37383869046994</v>
      </c>
      <c r="G11" s="140">
        <v>999.84600474057288</v>
      </c>
      <c r="H11" s="140">
        <v>1021.6250465270393</v>
      </c>
      <c r="I11" s="140">
        <v>962.83151623006734</v>
      </c>
      <c r="J11" s="140">
        <v>990.78492902624043</v>
      </c>
      <c r="K11" s="140">
        <v>1147.3045004622093</v>
      </c>
      <c r="L11" s="140">
        <v>1299.9915163869177</v>
      </c>
      <c r="M11" s="140">
        <v>1379.9684184685395</v>
      </c>
      <c r="N11" s="140">
        <v>1348.2323882796945</v>
      </c>
      <c r="O11" s="140">
        <v>1323.2463543245474</v>
      </c>
      <c r="P11" s="140">
        <v>1276.2681319000837</v>
      </c>
      <c r="Q11" s="140">
        <v>1115.2761895371862</v>
      </c>
      <c r="R11" s="140">
        <v>999.57540730000756</v>
      </c>
      <c r="S11" s="140">
        <v>974.40315438587345</v>
      </c>
      <c r="T11" s="140">
        <v>959.83204122539416</v>
      </c>
      <c r="U11" s="140">
        <v>904.69910114743595</v>
      </c>
      <c r="V11" s="140">
        <v>878.96948440092729</v>
      </c>
      <c r="W11" s="140">
        <v>866.76215719434651</v>
      </c>
      <c r="X11" s="140">
        <v>852.60169754206856</v>
      </c>
      <c r="Y11" s="140">
        <v>851.51925578151281</v>
      </c>
      <c r="DA11" s="170" t="s">
        <v>253</v>
      </c>
    </row>
    <row r="12" spans="1:105" ht="12" customHeight="1" x14ac:dyDescent="0.25">
      <c r="A12" s="131" t="s">
        <v>162</v>
      </c>
      <c r="B12" s="140">
        <v>0</v>
      </c>
      <c r="C12" s="140">
        <v>0</v>
      </c>
      <c r="D12" s="140">
        <v>0</v>
      </c>
      <c r="E12" s="140">
        <v>0</v>
      </c>
      <c r="F12" s="140">
        <v>0</v>
      </c>
      <c r="G12" s="140">
        <v>0</v>
      </c>
      <c r="H12" s="140">
        <v>0</v>
      </c>
      <c r="I12" s="140">
        <v>0</v>
      </c>
      <c r="J12" s="140">
        <v>0</v>
      </c>
      <c r="K12" s="140">
        <v>0</v>
      </c>
      <c r="L12" s="140">
        <v>0</v>
      </c>
      <c r="M12" s="140">
        <v>0</v>
      </c>
      <c r="N12" s="140">
        <v>0</v>
      </c>
      <c r="O12" s="140">
        <v>0</v>
      </c>
      <c r="P12" s="140">
        <v>0</v>
      </c>
      <c r="Q12" s="140">
        <v>0</v>
      </c>
      <c r="R12" s="140">
        <v>0</v>
      </c>
      <c r="S12" s="140">
        <v>0</v>
      </c>
      <c r="T12" s="140">
        <v>0</v>
      </c>
      <c r="U12" s="140">
        <v>0</v>
      </c>
      <c r="V12" s="140">
        <v>0</v>
      </c>
      <c r="W12" s="140">
        <v>0</v>
      </c>
      <c r="X12" s="140">
        <v>0</v>
      </c>
      <c r="Y12" s="140">
        <v>0</v>
      </c>
      <c r="DA12" s="170" t="s">
        <v>254</v>
      </c>
    </row>
    <row r="13" spans="1:105" ht="12" customHeight="1" x14ac:dyDescent="0.25">
      <c r="A13" s="131" t="s">
        <v>77</v>
      </c>
      <c r="B13" s="140">
        <v>5690.1030115948261</v>
      </c>
      <c r="C13" s="140">
        <v>6140.7795820205347</v>
      </c>
      <c r="D13" s="140">
        <v>7332.6668937359573</v>
      </c>
      <c r="E13" s="140">
        <v>8553.5118576786281</v>
      </c>
      <c r="F13" s="140">
        <v>10076.934128285719</v>
      </c>
      <c r="G13" s="140">
        <v>11485.248952248116</v>
      </c>
      <c r="H13" s="140">
        <v>13515.373639761798</v>
      </c>
      <c r="I13" s="140">
        <v>16442.721283086961</v>
      </c>
      <c r="J13" s="140">
        <v>20300.396809832273</v>
      </c>
      <c r="K13" s="140">
        <v>25688.042222243166</v>
      </c>
      <c r="L13" s="140">
        <v>32503.199601495999</v>
      </c>
      <c r="M13" s="140">
        <v>38916.149281192767</v>
      </c>
      <c r="N13" s="140">
        <v>47936.43517067776</v>
      </c>
      <c r="O13" s="140">
        <v>57021.049957735086</v>
      </c>
      <c r="P13" s="140">
        <v>64771.574497201269</v>
      </c>
      <c r="Q13" s="140">
        <v>65938.379341027699</v>
      </c>
      <c r="R13" s="140">
        <v>64415.572422001758</v>
      </c>
      <c r="S13" s="140">
        <v>65194.588699554959</v>
      </c>
      <c r="T13" s="140">
        <v>69579.735358629434</v>
      </c>
      <c r="U13" s="140">
        <v>73324.045194350125</v>
      </c>
      <c r="V13" s="140">
        <v>77973.746194921507</v>
      </c>
      <c r="W13" s="140">
        <v>78510.448757047634</v>
      </c>
      <c r="X13" s="140">
        <v>78864.091516536966</v>
      </c>
      <c r="Y13" s="140">
        <v>79086.376043400815</v>
      </c>
      <c r="DA13" s="170" t="s">
        <v>255</v>
      </c>
    </row>
    <row r="14" spans="1:105" ht="12" customHeight="1" x14ac:dyDescent="0.25">
      <c r="A14" s="60" t="s">
        <v>76</v>
      </c>
      <c r="B14" s="141">
        <v>38147.699648712296</v>
      </c>
      <c r="C14" s="141">
        <v>37589.915869800912</v>
      </c>
      <c r="D14" s="141">
        <v>38982.92149224897</v>
      </c>
      <c r="E14" s="141">
        <v>40513.443953312628</v>
      </c>
      <c r="F14" s="141">
        <v>42841.923572686188</v>
      </c>
      <c r="G14" s="141">
        <v>42765.387737045559</v>
      </c>
      <c r="H14" s="141">
        <v>46005.890428716637</v>
      </c>
      <c r="I14" s="141">
        <v>49114.434268395351</v>
      </c>
      <c r="J14" s="141">
        <v>50828.585002189771</v>
      </c>
      <c r="K14" s="141">
        <v>48237.554064367861</v>
      </c>
      <c r="L14" s="141">
        <v>40007.936049775701</v>
      </c>
      <c r="M14" s="141">
        <v>33218.547356601128</v>
      </c>
      <c r="N14" s="141">
        <v>30593.704822051379</v>
      </c>
      <c r="O14" s="141">
        <v>23677.958799686232</v>
      </c>
      <c r="P14" s="141">
        <v>19164.124345544027</v>
      </c>
      <c r="Q14" s="141">
        <v>18815.184184731803</v>
      </c>
      <c r="R14" s="141">
        <v>21512.46055032446</v>
      </c>
      <c r="S14" s="141">
        <v>22530.516415223588</v>
      </c>
      <c r="T14" s="141">
        <v>19141.561171329311</v>
      </c>
      <c r="U14" s="141">
        <v>16484.723083970192</v>
      </c>
      <c r="V14" s="141">
        <v>13310.822216834826</v>
      </c>
      <c r="W14" s="141">
        <v>13662.039020792943</v>
      </c>
      <c r="X14" s="141">
        <v>15783.387689794277</v>
      </c>
      <c r="Y14" s="141">
        <v>16592.091553310529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38483.490198306543</v>
      </c>
      <c r="C15" s="143">
        <f t="shared" si="4"/>
        <v>42284.835008601221</v>
      </c>
      <c r="D15" s="143">
        <f t="shared" si="4"/>
        <v>42637.017977325588</v>
      </c>
      <c r="E15" s="143">
        <f t="shared" si="4"/>
        <v>43784.549469301957</v>
      </c>
      <c r="F15" s="143">
        <f t="shared" si="4"/>
        <v>43803.247571056381</v>
      </c>
      <c r="G15" s="143">
        <f t="shared" si="4"/>
        <v>45259.118949285592</v>
      </c>
      <c r="H15" s="143">
        <f t="shared" si="4"/>
        <v>44209.720864990755</v>
      </c>
      <c r="I15" s="143">
        <f t="shared" si="4"/>
        <v>41325.771923600645</v>
      </c>
      <c r="J15" s="143">
        <f t="shared" si="4"/>
        <v>37735.041873611081</v>
      </c>
      <c r="K15" s="143">
        <f t="shared" si="4"/>
        <v>34836.070809162018</v>
      </c>
      <c r="L15" s="143">
        <f t="shared" si="4"/>
        <v>32619.789327827788</v>
      </c>
      <c r="M15" s="143">
        <f t="shared" si="4"/>
        <v>30542.675994777252</v>
      </c>
      <c r="N15" s="143">
        <f t="shared" si="4"/>
        <v>24310.198483813259</v>
      </c>
      <c r="O15" s="143">
        <f t="shared" si="4"/>
        <v>21967.812298413122</v>
      </c>
      <c r="P15" s="143">
        <f t="shared" si="4"/>
        <v>18855.401765801053</v>
      </c>
      <c r="Q15" s="143">
        <f t="shared" si="4"/>
        <v>18357.931953446634</v>
      </c>
      <c r="R15" s="143">
        <f t="shared" ref="R15:W15" si="5">SUM(R5:R12)</f>
        <v>17224.300409053943</v>
      </c>
      <c r="S15" s="143">
        <f t="shared" si="5"/>
        <v>16116.646306728764</v>
      </c>
      <c r="T15" s="143">
        <f t="shared" si="5"/>
        <v>15844.530932995713</v>
      </c>
      <c r="U15" s="143">
        <f t="shared" si="5"/>
        <v>15594.206706073477</v>
      </c>
      <c r="V15" s="143">
        <f t="shared" si="5"/>
        <v>14924.188254910303</v>
      </c>
      <c r="W15" s="143">
        <f t="shared" si="5"/>
        <v>14784.523871870269</v>
      </c>
      <c r="X15" s="143">
        <f t="shared" ref="X15:Y15" si="6">SUM(X5:X12)</f>
        <v>12943.961293210366</v>
      </c>
      <c r="Y15" s="143">
        <f t="shared" si="6"/>
        <v>12414.527909449194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23844.208132054409</v>
      </c>
      <c r="C16" s="139">
        <f t="shared" si="7"/>
        <v>25233.453516116653</v>
      </c>
      <c r="D16" s="139">
        <f t="shared" si="7"/>
        <v>26711.174368575445</v>
      </c>
      <c r="E16" s="139">
        <f t="shared" si="7"/>
        <v>28903.701879694487</v>
      </c>
      <c r="F16" s="139">
        <f t="shared" si="7"/>
        <v>30676.836160867479</v>
      </c>
      <c r="G16" s="139">
        <f t="shared" si="7"/>
        <v>31990.917394031072</v>
      </c>
      <c r="H16" s="139">
        <f t="shared" si="7"/>
        <v>35248.323864462029</v>
      </c>
      <c r="I16" s="139">
        <f t="shared" si="7"/>
        <v>38863.337456990565</v>
      </c>
      <c r="J16" s="139">
        <f t="shared" si="7"/>
        <v>41251.069882124328</v>
      </c>
      <c r="K16" s="139">
        <f t="shared" si="7"/>
        <v>43317.638326902263</v>
      </c>
      <c r="L16" s="139">
        <f t="shared" si="7"/>
        <v>43730.795554086973</v>
      </c>
      <c r="M16" s="139">
        <f t="shared" si="7"/>
        <v>45298.613184479756</v>
      </c>
      <c r="N16" s="139">
        <f t="shared" si="7"/>
        <v>47686.910403143949</v>
      </c>
      <c r="O16" s="139">
        <f t="shared" si="7"/>
        <v>50618.787131695412</v>
      </c>
      <c r="P16" s="139">
        <f t="shared" si="7"/>
        <v>54572.628300701086</v>
      </c>
      <c r="Q16" s="139">
        <f t="shared" si="7"/>
        <v>57831.936877577718</v>
      </c>
      <c r="R16" s="139">
        <f t="shared" ref="R16:W16" si="8">SUM(R17:R18)</f>
        <v>60541.681375521177</v>
      </c>
      <c r="S16" s="139">
        <f t="shared" si="8"/>
        <v>64064.251163134206</v>
      </c>
      <c r="T16" s="139">
        <f t="shared" si="8"/>
        <v>67413.530964100908</v>
      </c>
      <c r="U16" s="139">
        <f t="shared" si="8"/>
        <v>70556.058654742796</v>
      </c>
      <c r="V16" s="139">
        <f t="shared" si="8"/>
        <v>71215.616237271242</v>
      </c>
      <c r="W16" s="139">
        <f t="shared" si="8"/>
        <v>71942.431243637577</v>
      </c>
      <c r="X16" s="139">
        <f t="shared" ref="X16:Y16" si="9">SUM(X17:X18)</f>
        <v>71765.456015857271</v>
      </c>
      <c r="Y16" s="139">
        <f t="shared" si="9"/>
        <v>72202.818345326581</v>
      </c>
      <c r="DA16" s="169" t="s">
        <v>257</v>
      </c>
    </row>
    <row r="17" spans="1:105" ht="12.95" customHeight="1" x14ac:dyDescent="0.25">
      <c r="A17" s="131" t="s">
        <v>73</v>
      </c>
      <c r="B17" s="140">
        <v>16.652977948395954</v>
      </c>
      <c r="C17" s="140">
        <v>17.486513475257542</v>
      </c>
      <c r="D17" s="140">
        <v>24.695105091365608</v>
      </c>
      <c r="E17" s="140">
        <v>23.324559849901089</v>
      </c>
      <c r="F17" s="140">
        <v>51.022427618370905</v>
      </c>
      <c r="G17" s="140">
        <v>78.517851678985792</v>
      </c>
      <c r="H17" s="140">
        <v>111.29183824812498</v>
      </c>
      <c r="I17" s="140">
        <v>107.67417784922209</v>
      </c>
      <c r="J17" s="140">
        <v>151.10544126659269</v>
      </c>
      <c r="K17" s="140">
        <v>208.03949877752331</v>
      </c>
      <c r="L17" s="140">
        <v>270.16635293703143</v>
      </c>
      <c r="M17" s="140">
        <v>384.38814366543215</v>
      </c>
      <c r="N17" s="140">
        <v>514.58994522004673</v>
      </c>
      <c r="O17" s="140">
        <v>769.80916318127538</v>
      </c>
      <c r="P17" s="140">
        <v>1093.8810518863852</v>
      </c>
      <c r="Q17" s="140">
        <v>1294.5281965820129</v>
      </c>
      <c r="R17" s="140">
        <v>1433.4694178148304</v>
      </c>
      <c r="S17" s="140">
        <v>1622.6608296255577</v>
      </c>
      <c r="T17" s="140">
        <v>1934.8911918942079</v>
      </c>
      <c r="U17" s="140">
        <v>2044.3056519438474</v>
      </c>
      <c r="V17" s="140">
        <v>2084.9525278072229</v>
      </c>
      <c r="W17" s="140">
        <v>2105.612974129207</v>
      </c>
      <c r="X17" s="140">
        <v>2103.2321512318149</v>
      </c>
      <c r="Y17" s="140">
        <v>2143.9982905164329</v>
      </c>
      <c r="DA17" s="170" t="s">
        <v>258</v>
      </c>
    </row>
    <row r="18" spans="1:105" ht="12" customHeight="1" x14ac:dyDescent="0.25">
      <c r="A18" s="131" t="s">
        <v>72</v>
      </c>
      <c r="B18" s="140">
        <v>23827.555154106012</v>
      </c>
      <c r="C18" s="140">
        <v>25215.967002641395</v>
      </c>
      <c r="D18" s="140">
        <v>26686.479263484078</v>
      </c>
      <c r="E18" s="140">
        <v>28880.377319844585</v>
      </c>
      <c r="F18" s="140">
        <v>30625.813733249106</v>
      </c>
      <c r="G18" s="140">
        <v>31912.399542352086</v>
      </c>
      <c r="H18" s="140">
        <v>35137.032026213907</v>
      </c>
      <c r="I18" s="140">
        <v>38755.663279141343</v>
      </c>
      <c r="J18" s="140">
        <v>41099.964440857737</v>
      </c>
      <c r="K18" s="140">
        <v>43109.598828124741</v>
      </c>
      <c r="L18" s="140">
        <v>43460.629201149939</v>
      </c>
      <c r="M18" s="140">
        <v>44914.225040814323</v>
      </c>
      <c r="N18" s="140">
        <v>47172.320457923903</v>
      </c>
      <c r="O18" s="140">
        <v>49848.977968514133</v>
      </c>
      <c r="P18" s="140">
        <v>53478.747248814703</v>
      </c>
      <c r="Q18" s="140">
        <v>56537.408680995708</v>
      </c>
      <c r="R18" s="140">
        <v>59108.211957706349</v>
      </c>
      <c r="S18" s="140">
        <v>62441.590333508648</v>
      </c>
      <c r="T18" s="140">
        <v>65478.639772206705</v>
      </c>
      <c r="U18" s="140">
        <v>68511.753002798941</v>
      </c>
      <c r="V18" s="140">
        <v>69130.663709464017</v>
      </c>
      <c r="W18" s="140">
        <v>69836.818269508367</v>
      </c>
      <c r="X18" s="140">
        <v>69662.223864625455</v>
      </c>
      <c r="Y18" s="140">
        <v>70058.820054810145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82321.292858613655</v>
      </c>
      <c r="C19" s="139">
        <f t="shared" si="10"/>
        <v>86015.530460422669</v>
      </c>
      <c r="D19" s="139">
        <f t="shared" si="10"/>
        <v>88952.606363310508</v>
      </c>
      <c r="E19" s="139">
        <f t="shared" si="10"/>
        <v>92851.505280293233</v>
      </c>
      <c r="F19" s="139">
        <f t="shared" si="10"/>
        <v>96722.105272028304</v>
      </c>
      <c r="G19" s="139">
        <f t="shared" si="10"/>
        <v>99509.75563857927</v>
      </c>
      <c r="H19" s="139">
        <f t="shared" si="10"/>
        <v>103730.98493346917</v>
      </c>
      <c r="I19" s="139">
        <f t="shared" si="10"/>
        <v>106882.92747508301</v>
      </c>
      <c r="J19" s="139">
        <f t="shared" si="10"/>
        <v>108864.02368563318</v>
      </c>
      <c r="K19" s="139">
        <f t="shared" si="10"/>
        <v>108761.6670957731</v>
      </c>
      <c r="L19" s="139">
        <f t="shared" si="10"/>
        <v>105130.92497909955</v>
      </c>
      <c r="M19" s="139">
        <f t="shared" si="10"/>
        <v>102677.37263257109</v>
      </c>
      <c r="N19" s="139">
        <f t="shared" si="10"/>
        <v>102840.3384765424</v>
      </c>
      <c r="O19" s="139">
        <f t="shared" si="10"/>
        <v>102666.82105583441</v>
      </c>
      <c r="P19" s="139">
        <f t="shared" si="10"/>
        <v>102791.10060854637</v>
      </c>
      <c r="Q19" s="139">
        <f t="shared" si="10"/>
        <v>103111.49547920609</v>
      </c>
      <c r="R19" s="139">
        <f t="shared" ref="R19:W19" si="11">SUM(R20:R26)</f>
        <v>103152.33338138014</v>
      </c>
      <c r="S19" s="139">
        <f t="shared" si="11"/>
        <v>103841.75142150724</v>
      </c>
      <c r="T19" s="139">
        <f t="shared" si="11"/>
        <v>104565.82746295448</v>
      </c>
      <c r="U19" s="139">
        <f t="shared" si="11"/>
        <v>105402.97498439385</v>
      </c>
      <c r="V19" s="139">
        <f t="shared" si="11"/>
        <v>106208.75666666665</v>
      </c>
      <c r="W19" s="139">
        <f t="shared" si="11"/>
        <v>106957.01164971082</v>
      </c>
      <c r="X19" s="139">
        <f t="shared" ref="X19:Y19" si="12">SUM(X20:X26)</f>
        <v>107591.44049954163</v>
      </c>
      <c r="Y19" s="139">
        <f t="shared" si="12"/>
        <v>108092.99550616057</v>
      </c>
      <c r="DA19" s="169" t="s">
        <v>260</v>
      </c>
    </row>
    <row r="20" spans="1:105" ht="12" customHeight="1" x14ac:dyDescent="0.25">
      <c r="A20" s="131" t="s">
        <v>29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1252.9801441846005</v>
      </c>
      <c r="C21" s="140">
        <v>1294.2777934490127</v>
      </c>
      <c r="D21" s="140">
        <v>1324.5428059014603</v>
      </c>
      <c r="E21" s="140">
        <v>1376.1269010166382</v>
      </c>
      <c r="F21" s="140">
        <v>1476.0529437376792</v>
      </c>
      <c r="G21" s="140">
        <v>1650.3485107024517</v>
      </c>
      <c r="H21" s="140">
        <v>1870.3451159718325</v>
      </c>
      <c r="I21" s="140">
        <v>2112.634403381689</v>
      </c>
      <c r="J21" s="140">
        <v>2245.2793488136085</v>
      </c>
      <c r="K21" s="140">
        <v>2288.7765517723228</v>
      </c>
      <c r="L21" s="140">
        <v>2285.3761530650731</v>
      </c>
      <c r="M21" s="140">
        <v>2293.1349472434727</v>
      </c>
      <c r="N21" s="140">
        <v>2355.1077612395597</v>
      </c>
      <c r="O21" s="140">
        <v>2395.744071129538</v>
      </c>
      <c r="P21" s="140">
        <v>2479.3427599561119</v>
      </c>
      <c r="Q21" s="140">
        <v>2657.0134286643965</v>
      </c>
      <c r="R21" s="140">
        <v>2981.9489986973499</v>
      </c>
      <c r="S21" s="140">
        <v>3310.1069408561334</v>
      </c>
      <c r="T21" s="140">
        <v>3418.2403647565334</v>
      </c>
      <c r="U21" s="140">
        <v>3453.2128601490981</v>
      </c>
      <c r="V21" s="140">
        <v>3715.3517219881533</v>
      </c>
      <c r="W21" s="140">
        <v>4090.3704204764235</v>
      </c>
      <c r="X21" s="140">
        <v>4415.2288589742366</v>
      </c>
      <c r="Y21" s="140">
        <v>4880.0274618999765</v>
      </c>
      <c r="DA21" s="170" t="s">
        <v>262</v>
      </c>
    </row>
    <row r="22" spans="1:105" ht="12" customHeight="1" x14ac:dyDescent="0.25">
      <c r="A22" s="131" t="s">
        <v>161</v>
      </c>
      <c r="B22" s="140">
        <v>3008.07989503409</v>
      </c>
      <c r="C22" s="140">
        <v>3161.7090227001017</v>
      </c>
      <c r="D22" s="140">
        <v>3312.1107023527566</v>
      </c>
      <c r="E22" s="140">
        <v>3461.5543803598989</v>
      </c>
      <c r="F22" s="140">
        <v>3612.1078304437051</v>
      </c>
      <c r="G22" s="140">
        <v>3776.579188515735</v>
      </c>
      <c r="H22" s="140">
        <v>3949.4119545980489</v>
      </c>
      <c r="I22" s="140">
        <v>4075.2970358687853</v>
      </c>
      <c r="J22" s="140">
        <v>4092.1986667191927</v>
      </c>
      <c r="K22" s="140">
        <v>4009.6719105034958</v>
      </c>
      <c r="L22" s="140">
        <v>3898.3389502462965</v>
      </c>
      <c r="M22" s="140">
        <v>3839.9281389137914</v>
      </c>
      <c r="N22" s="140">
        <v>3855.4828715763902</v>
      </c>
      <c r="O22" s="140">
        <v>3923.915770265337</v>
      </c>
      <c r="P22" s="140">
        <v>3998.4333811446013</v>
      </c>
      <c r="Q22" s="140">
        <v>4054.67223274158</v>
      </c>
      <c r="R22" s="140">
        <v>4023.2901533680215</v>
      </c>
      <c r="S22" s="140">
        <v>3863.6093776324033</v>
      </c>
      <c r="T22" s="140">
        <v>3474.9322834907907</v>
      </c>
      <c r="U22" s="140">
        <v>2989.0052156810943</v>
      </c>
      <c r="V22" s="140">
        <v>2461.7781692929761</v>
      </c>
      <c r="W22" s="140">
        <v>2095.9031564133084</v>
      </c>
      <c r="X22" s="140">
        <v>2012.0223750542427</v>
      </c>
      <c r="Y22" s="140">
        <v>1846.6175508094884</v>
      </c>
      <c r="DA22" s="170" t="s">
        <v>263</v>
      </c>
    </row>
    <row r="23" spans="1:105" ht="12" customHeight="1" x14ac:dyDescent="0.25">
      <c r="A23" s="131" t="s">
        <v>149</v>
      </c>
      <c r="B23" s="140">
        <v>1269.7044377471232</v>
      </c>
      <c r="C23" s="140">
        <v>1498.4696344588742</v>
      </c>
      <c r="D23" s="140">
        <v>1810.9545612037632</v>
      </c>
      <c r="E23" s="140">
        <v>2253.6516685485822</v>
      </c>
      <c r="F23" s="140">
        <v>2830.7433284829553</v>
      </c>
      <c r="G23" s="140">
        <v>3820.5874389914638</v>
      </c>
      <c r="H23" s="140">
        <v>4775.0621893971447</v>
      </c>
      <c r="I23" s="140">
        <v>5715.6497774169675</v>
      </c>
      <c r="J23" s="140">
        <v>6429.0750254747682</v>
      </c>
      <c r="K23" s="140">
        <v>7059.6665271239672</v>
      </c>
      <c r="L23" s="140">
        <v>7670.3379830361719</v>
      </c>
      <c r="M23" s="140">
        <v>8092.4870021300612</v>
      </c>
      <c r="N23" s="140">
        <v>8383.906414324716</v>
      </c>
      <c r="O23" s="140">
        <v>8439.3516388478056</v>
      </c>
      <c r="P23" s="140">
        <v>8203.8783308377424</v>
      </c>
      <c r="Q23" s="140">
        <v>8110.406312321903</v>
      </c>
      <c r="R23" s="140">
        <v>7968.2450300323753</v>
      </c>
      <c r="S23" s="140">
        <v>8097.1652780479781</v>
      </c>
      <c r="T23" s="140">
        <v>8291.3733798087451</v>
      </c>
      <c r="U23" s="140">
        <v>8540.4598046625415</v>
      </c>
      <c r="V23" s="140">
        <v>8274.9961665750416</v>
      </c>
      <c r="W23" s="140">
        <v>7363.0090451365741</v>
      </c>
      <c r="X23" s="140">
        <v>5066.6301758339969</v>
      </c>
      <c r="Y23" s="140">
        <v>3618.370927184058</v>
      </c>
      <c r="DA23" s="170" t="s">
        <v>264</v>
      </c>
    </row>
    <row r="24" spans="1:105" ht="12" customHeight="1" x14ac:dyDescent="0.25">
      <c r="A24" s="131" t="s">
        <v>128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265</v>
      </c>
    </row>
    <row r="25" spans="1:105" ht="12" customHeight="1" x14ac:dyDescent="0.25">
      <c r="A25" s="131" t="s">
        <v>162</v>
      </c>
      <c r="B25" s="140">
        <v>0</v>
      </c>
      <c r="C25" s="140">
        <v>0</v>
      </c>
      <c r="D25" s="140">
        <v>0</v>
      </c>
      <c r="E25" s="140">
        <v>0</v>
      </c>
      <c r="F25" s="140">
        <v>0</v>
      </c>
      <c r="G25" s="140">
        <v>0</v>
      </c>
      <c r="H25" s="140">
        <v>0</v>
      </c>
      <c r="I25" s="140">
        <v>0</v>
      </c>
      <c r="J25" s="140">
        <v>0</v>
      </c>
      <c r="K25" s="140">
        <v>0</v>
      </c>
      <c r="L25" s="140">
        <v>0</v>
      </c>
      <c r="M25" s="140">
        <v>0</v>
      </c>
      <c r="N25" s="140">
        <v>0</v>
      </c>
      <c r="O25" s="140">
        <v>0</v>
      </c>
      <c r="P25" s="140">
        <v>0</v>
      </c>
      <c r="Q25" s="140">
        <v>0</v>
      </c>
      <c r="R25" s="140">
        <v>0</v>
      </c>
      <c r="S25" s="140">
        <v>0</v>
      </c>
      <c r="T25" s="140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DA25" s="170" t="s">
        <v>266</v>
      </c>
    </row>
    <row r="26" spans="1:105" ht="12" customHeight="1" x14ac:dyDescent="0.25">
      <c r="A26" s="131" t="s">
        <v>24</v>
      </c>
      <c r="B26" s="141">
        <v>76790.528381647848</v>
      </c>
      <c r="C26" s="141">
        <v>80061.074009814678</v>
      </c>
      <c r="D26" s="141">
        <v>82504.998293852521</v>
      </c>
      <c r="E26" s="141">
        <v>85760.172330368106</v>
      </c>
      <c r="F26" s="141">
        <v>88803.201169363965</v>
      </c>
      <c r="G26" s="141">
        <v>90262.240500369619</v>
      </c>
      <c r="H26" s="141">
        <v>93136.165673502139</v>
      </c>
      <c r="I26" s="141">
        <v>94979.346258415564</v>
      </c>
      <c r="J26" s="141">
        <v>96097.470644625602</v>
      </c>
      <c r="K26" s="141">
        <v>95403.552106373303</v>
      </c>
      <c r="L26" s="141">
        <v>91276.871892752009</v>
      </c>
      <c r="M26" s="141">
        <v>88451.822544283757</v>
      </c>
      <c r="N26" s="141">
        <v>88245.841429401728</v>
      </c>
      <c r="O26" s="141">
        <v>87907.809575591731</v>
      </c>
      <c r="P26" s="141">
        <v>88109.446136607919</v>
      </c>
      <c r="Q26" s="141">
        <v>88289.403505478214</v>
      </c>
      <c r="R26" s="141">
        <v>88178.849199282398</v>
      </c>
      <c r="S26" s="141">
        <v>88570.869824970738</v>
      </c>
      <c r="T26" s="141">
        <v>89381.28143489841</v>
      </c>
      <c r="U26" s="141">
        <v>90420.297103901117</v>
      </c>
      <c r="V26" s="141">
        <v>91756.630608810476</v>
      </c>
      <c r="W26" s="141">
        <v>93407.729027684516</v>
      </c>
      <c r="X26" s="141">
        <v>96097.559089679155</v>
      </c>
      <c r="Y26" s="141">
        <v>97747.979566267051</v>
      </c>
      <c r="DA26" s="171" t="s">
        <v>267</v>
      </c>
    </row>
    <row r="27" spans="1:105" ht="12" customHeight="1" x14ac:dyDescent="0.25">
      <c r="A27" s="144" t="s">
        <v>26</v>
      </c>
      <c r="B27" s="150">
        <v>4539.5070563186946</v>
      </c>
      <c r="C27" s="150">
        <v>4413.484288463952</v>
      </c>
      <c r="D27" s="150">
        <v>4322.2484715775427</v>
      </c>
      <c r="E27" s="150">
        <v>4361.4062174539067</v>
      </c>
      <c r="F27" s="150">
        <v>4459.9505820806144</v>
      </c>
      <c r="G27" s="150">
        <v>4103.747089740591</v>
      </c>
      <c r="H27" s="150">
        <v>4358.6145629645061</v>
      </c>
      <c r="I27" s="150">
        <v>4829.0275482659208</v>
      </c>
      <c r="J27" s="150">
        <v>5488.0238783017858</v>
      </c>
      <c r="K27" s="150">
        <v>5897.8859852944142</v>
      </c>
      <c r="L27" s="150">
        <v>5624.677638625195</v>
      </c>
      <c r="M27" s="150">
        <v>5415.9886716999499</v>
      </c>
      <c r="N27" s="150">
        <v>5241.0361347505686</v>
      </c>
      <c r="O27" s="150">
        <v>5324.7365418967029</v>
      </c>
      <c r="P27" s="150">
        <v>5288.0030259997147</v>
      </c>
      <c r="Q27" s="150">
        <v>5283.9417794344608</v>
      </c>
      <c r="R27" s="150">
        <v>5509.8541680926437</v>
      </c>
      <c r="S27" s="150">
        <v>5639.8162237760689</v>
      </c>
      <c r="T27" s="150">
        <v>5636.8561789333471</v>
      </c>
      <c r="U27" s="150">
        <v>5707.7394503206369</v>
      </c>
      <c r="V27" s="150">
        <v>6458.1300334677389</v>
      </c>
      <c r="W27" s="150">
        <v>6877.6371771849981</v>
      </c>
      <c r="X27" s="150">
        <v>6833.1944561738756</v>
      </c>
      <c r="Y27" s="150">
        <v>6844.6081462123002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82321.292858613655</v>
      </c>
      <c r="C29" s="139">
        <f t="shared" si="13"/>
        <v>86015.530460422655</v>
      </c>
      <c r="D29" s="139">
        <f t="shared" si="13"/>
        <v>88952.606363310508</v>
      </c>
      <c r="E29" s="139">
        <f t="shared" si="13"/>
        <v>92851.505280293233</v>
      </c>
      <c r="F29" s="139">
        <f t="shared" si="13"/>
        <v>96722.105272028275</v>
      </c>
      <c r="G29" s="139">
        <f t="shared" si="13"/>
        <v>99509.7556385793</v>
      </c>
      <c r="H29" s="139">
        <f t="shared" si="13"/>
        <v>103730.98493346918</v>
      </c>
      <c r="I29" s="139">
        <f t="shared" si="13"/>
        <v>106882.92747508296</v>
      </c>
      <c r="J29" s="139">
        <f t="shared" si="13"/>
        <v>108864.02368563316</v>
      </c>
      <c r="K29" s="139">
        <f t="shared" si="13"/>
        <v>108761.6670957731</v>
      </c>
      <c r="L29" s="139">
        <f t="shared" si="13"/>
        <v>105130.92497909951</v>
      </c>
      <c r="M29" s="139">
        <f t="shared" si="13"/>
        <v>102677.37263257113</v>
      </c>
      <c r="N29" s="139">
        <f t="shared" si="13"/>
        <v>102840.33847654238</v>
      </c>
      <c r="O29" s="139">
        <f t="shared" si="13"/>
        <v>102666.82105583444</v>
      </c>
      <c r="P29" s="139">
        <f t="shared" si="13"/>
        <v>102791.10060854636</v>
      </c>
      <c r="Q29" s="139">
        <f t="shared" si="13"/>
        <v>103111.49547920616</v>
      </c>
      <c r="R29" s="139">
        <f t="shared" ref="R29:W29" si="14">SUM(R30:R33)</f>
        <v>103152.33338138013</v>
      </c>
      <c r="S29" s="139">
        <f t="shared" si="14"/>
        <v>103841.75142150722</v>
      </c>
      <c r="T29" s="139">
        <f t="shared" si="14"/>
        <v>104565.82746295448</v>
      </c>
      <c r="U29" s="139">
        <f t="shared" si="14"/>
        <v>105402.97498439383</v>
      </c>
      <c r="V29" s="139">
        <f t="shared" si="14"/>
        <v>106208.75666666668</v>
      </c>
      <c r="W29" s="139">
        <f t="shared" si="14"/>
        <v>106957.01164971085</v>
      </c>
      <c r="X29" s="139">
        <f t="shared" ref="X29:Y29" si="15">SUM(X30:X33)</f>
        <v>107591.44049954179</v>
      </c>
      <c r="Y29" s="139">
        <f t="shared" si="15"/>
        <v>108092.99550616057</v>
      </c>
      <c r="DA29" s="169" t="s">
        <v>269</v>
      </c>
    </row>
    <row r="30" spans="1:105" ht="12" customHeight="1" x14ac:dyDescent="0.25">
      <c r="A30" s="131" t="s">
        <v>52</v>
      </c>
      <c r="B30" s="140">
        <v>5359.5773816414612</v>
      </c>
      <c r="C30" s="140">
        <v>4808.0761305903952</v>
      </c>
      <c r="D30" s="140">
        <v>4731.6990307120832</v>
      </c>
      <c r="E30" s="140">
        <v>5826.8701432323533</v>
      </c>
      <c r="F30" s="140">
        <v>8174.5927967166235</v>
      </c>
      <c r="G30" s="140">
        <v>8896.2513708780516</v>
      </c>
      <c r="H30" s="140">
        <v>9041.2846875148916</v>
      </c>
      <c r="I30" s="140">
        <v>8470.9091789224458</v>
      </c>
      <c r="J30" s="140">
        <v>8579.8976482782782</v>
      </c>
      <c r="K30" s="140">
        <v>8540.1931603991616</v>
      </c>
      <c r="L30" s="140">
        <v>8495.9246406638395</v>
      </c>
      <c r="M30" s="140">
        <v>9941.3814859459399</v>
      </c>
      <c r="N30" s="140">
        <v>11636.661778995554</v>
      </c>
      <c r="O30" s="140">
        <v>11330.169602164911</v>
      </c>
      <c r="P30" s="140">
        <v>9624.4077049920998</v>
      </c>
      <c r="Q30" s="140">
        <v>9525.404121187943</v>
      </c>
      <c r="R30" s="140">
        <v>10008.927505030122</v>
      </c>
      <c r="S30" s="140">
        <v>10269.410877732067</v>
      </c>
      <c r="T30" s="140">
        <v>11100.648178895872</v>
      </c>
      <c r="U30" s="140">
        <v>11868.397737457897</v>
      </c>
      <c r="V30" s="140">
        <v>12079.52058806527</v>
      </c>
      <c r="W30" s="140">
        <v>14209.195346297416</v>
      </c>
      <c r="X30" s="140">
        <v>17365.307050893094</v>
      </c>
      <c r="Y30" s="140">
        <v>20131.373962492962</v>
      </c>
      <c r="DA30" s="170" t="s">
        <v>270</v>
      </c>
    </row>
    <row r="31" spans="1:105" ht="12" customHeight="1" x14ac:dyDescent="0.25">
      <c r="A31" s="131" t="s">
        <v>149</v>
      </c>
      <c r="B31" s="140">
        <v>480.79740256773755</v>
      </c>
      <c r="C31" s="140">
        <v>607.19015805851188</v>
      </c>
      <c r="D31" s="140">
        <v>945.79964905340842</v>
      </c>
      <c r="E31" s="140">
        <v>1404.7480989898668</v>
      </c>
      <c r="F31" s="140">
        <v>1970.0326589330884</v>
      </c>
      <c r="G31" s="140">
        <v>2642.7669838246948</v>
      </c>
      <c r="H31" s="140">
        <v>3265.6057818753111</v>
      </c>
      <c r="I31" s="140">
        <v>3944.6024067491803</v>
      </c>
      <c r="J31" s="140">
        <v>4681.4743545300153</v>
      </c>
      <c r="K31" s="140">
        <v>5498.3343761133001</v>
      </c>
      <c r="L31" s="140">
        <v>6213.4227504137743</v>
      </c>
      <c r="M31" s="140">
        <v>6756.6672109669398</v>
      </c>
      <c r="N31" s="140">
        <v>7092.4526039732773</v>
      </c>
      <c r="O31" s="140">
        <v>7277.7664789233559</v>
      </c>
      <c r="P31" s="140">
        <v>7441.0908121562561</v>
      </c>
      <c r="Q31" s="140">
        <v>7487.0406062903048</v>
      </c>
      <c r="R31" s="140">
        <v>7384.1118114008459</v>
      </c>
      <c r="S31" s="140">
        <v>7275.886615017258</v>
      </c>
      <c r="T31" s="140">
        <v>7321.0074118665971</v>
      </c>
      <c r="U31" s="140">
        <v>7541.4192253286128</v>
      </c>
      <c r="V31" s="140">
        <v>7655.3543412008585</v>
      </c>
      <c r="W31" s="140">
        <v>7277.9908925184636</v>
      </c>
      <c r="X31" s="140">
        <v>6320.2647337859498</v>
      </c>
      <c r="Y31" s="140">
        <v>5595.2891052586147</v>
      </c>
      <c r="DA31" s="170" t="s">
        <v>271</v>
      </c>
    </row>
    <row r="32" spans="1:105" ht="12" customHeight="1" x14ac:dyDescent="0.25">
      <c r="A32" s="131" t="s">
        <v>128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272</v>
      </c>
    </row>
    <row r="33" spans="1:105" ht="12" customHeight="1" x14ac:dyDescent="0.25">
      <c r="A33" s="62" t="s">
        <v>24</v>
      </c>
      <c r="B33" s="152">
        <v>76480.918074404457</v>
      </c>
      <c r="C33" s="152">
        <v>80600.264171773742</v>
      </c>
      <c r="D33" s="152">
        <v>83275.107683545022</v>
      </c>
      <c r="E33" s="152">
        <v>85619.887038071014</v>
      </c>
      <c r="F33" s="152">
        <v>86577.47981637856</v>
      </c>
      <c r="G33" s="152">
        <v>87970.737283876559</v>
      </c>
      <c r="H33" s="152">
        <v>91424.094464078982</v>
      </c>
      <c r="I33" s="152">
        <v>94467.415889411335</v>
      </c>
      <c r="J33" s="152">
        <v>95602.651682824871</v>
      </c>
      <c r="K33" s="152">
        <v>94723.139559260642</v>
      </c>
      <c r="L33" s="152">
        <v>90421.577588021901</v>
      </c>
      <c r="M33" s="152">
        <v>85979.323935658249</v>
      </c>
      <c r="N33" s="152">
        <v>84111.224093573546</v>
      </c>
      <c r="O33" s="152">
        <v>84058.884974746179</v>
      </c>
      <c r="P33" s="152">
        <v>85725.602091398003</v>
      </c>
      <c r="Q33" s="152">
        <v>86099.050751727918</v>
      </c>
      <c r="R33" s="152">
        <v>85759.294064949165</v>
      </c>
      <c r="S33" s="152">
        <v>86296.453928757895</v>
      </c>
      <c r="T33" s="152">
        <v>86144.171872192004</v>
      </c>
      <c r="U33" s="152">
        <v>85993.15802160732</v>
      </c>
      <c r="V33" s="152">
        <v>86473.881737400559</v>
      </c>
      <c r="W33" s="152">
        <v>85469.825410894977</v>
      </c>
      <c r="X33" s="152">
        <v>83905.868714862736</v>
      </c>
      <c r="Y33" s="152">
        <v>82366.332438408994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925.21512477852116</v>
      </c>
      <c r="C3" s="125">
        <f t="shared" si="0"/>
        <v>1068.2241502896036</v>
      </c>
      <c r="D3" s="125">
        <f t="shared" si="0"/>
        <v>1121.7624644334746</v>
      </c>
      <c r="E3" s="125">
        <f t="shared" si="0"/>
        <v>1225.8814412950842</v>
      </c>
      <c r="F3" s="125">
        <f t="shared" si="0"/>
        <v>1319.5879266239667</v>
      </c>
      <c r="G3" s="125">
        <f t="shared" si="0"/>
        <v>1459.3953364193794</v>
      </c>
      <c r="H3" s="125">
        <f t="shared" si="0"/>
        <v>1571.7554275942189</v>
      </c>
      <c r="I3" s="125">
        <f t="shared" si="0"/>
        <v>1609.9513358463801</v>
      </c>
      <c r="J3" s="125">
        <f t="shared" si="0"/>
        <v>1675.6423524352988</v>
      </c>
      <c r="K3" s="125">
        <f t="shared" si="0"/>
        <v>1589.1819210807771</v>
      </c>
      <c r="L3" s="125">
        <f t="shared" si="0"/>
        <v>1393.6884671720263</v>
      </c>
      <c r="M3" s="125">
        <f t="shared" si="0"/>
        <v>1306.200239205285</v>
      </c>
      <c r="N3" s="125">
        <f t="shared" si="0"/>
        <v>1374.9826806375131</v>
      </c>
      <c r="O3" s="125">
        <f t="shared" si="0"/>
        <v>1250.3077662285893</v>
      </c>
      <c r="P3" s="125">
        <f t="shared" si="0"/>
        <v>1135.3186506779782</v>
      </c>
      <c r="Q3" s="125">
        <f t="shared" si="0"/>
        <v>1288.5285377048604</v>
      </c>
      <c r="R3" s="125">
        <f t="shared" ref="R3:W3" si="1">SUM(R4,R16,R19,R29)</f>
        <v>1425.8967126296775</v>
      </c>
      <c r="S3" s="125">
        <f t="shared" si="1"/>
        <v>1354.5604677622891</v>
      </c>
      <c r="T3" s="125">
        <f t="shared" si="1"/>
        <v>1239.5031563955404</v>
      </c>
      <c r="U3" s="125">
        <f t="shared" si="1"/>
        <v>1277.7798196747867</v>
      </c>
      <c r="V3" s="125">
        <f t="shared" si="1"/>
        <v>1057.9054354052998</v>
      </c>
      <c r="W3" s="125">
        <f t="shared" si="1"/>
        <v>1158.8995552042788</v>
      </c>
      <c r="X3" s="125">
        <f t="shared" ref="X3:Y3" si="2">SUM(X4,X16,X19,X29)</f>
        <v>1205.5922457848919</v>
      </c>
      <c r="Y3" s="125">
        <f t="shared" si="2"/>
        <v>1203.1955244419223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371.26675405306975</v>
      </c>
      <c r="C4" s="130">
        <f t="shared" si="3"/>
        <v>465.13733086685323</v>
      </c>
      <c r="D4" s="130">
        <f t="shared" si="3"/>
        <v>487.22332745865884</v>
      </c>
      <c r="E4" s="130">
        <f t="shared" si="3"/>
        <v>552.91292701274892</v>
      </c>
      <c r="F4" s="130">
        <f t="shared" si="3"/>
        <v>622.62218890287613</v>
      </c>
      <c r="G4" s="130">
        <f t="shared" si="3"/>
        <v>721.07165560896351</v>
      </c>
      <c r="H4" s="130">
        <f t="shared" si="3"/>
        <v>811.04910462547946</v>
      </c>
      <c r="I4" s="130">
        <f t="shared" si="3"/>
        <v>823.0678583012392</v>
      </c>
      <c r="J4" s="130">
        <f t="shared" si="3"/>
        <v>878.69173968264556</v>
      </c>
      <c r="K4" s="130">
        <f t="shared" si="3"/>
        <v>797.15814892040305</v>
      </c>
      <c r="L4" s="130">
        <f t="shared" si="3"/>
        <v>578.05619570174213</v>
      </c>
      <c r="M4" s="130">
        <f t="shared" si="3"/>
        <v>494.91531658667338</v>
      </c>
      <c r="N4" s="130">
        <f t="shared" si="3"/>
        <v>515.73178690614145</v>
      </c>
      <c r="O4" s="130">
        <f t="shared" si="3"/>
        <v>423.59131478488797</v>
      </c>
      <c r="P4" s="130">
        <f t="shared" si="3"/>
        <v>315.30752525793815</v>
      </c>
      <c r="Q4" s="130">
        <f t="shared" si="3"/>
        <v>455.87382474106147</v>
      </c>
      <c r="R4" s="130">
        <f t="shared" ref="R4:W4" si="4">SUM(R5:R15)</f>
        <v>589.66843414674156</v>
      </c>
      <c r="S4" s="130">
        <f t="shared" si="4"/>
        <v>521.02172092805972</v>
      </c>
      <c r="T4" s="130">
        <f t="shared" si="4"/>
        <v>422.58776939208298</v>
      </c>
      <c r="U4" s="130">
        <f t="shared" si="4"/>
        <v>459.91383093491282</v>
      </c>
      <c r="V4" s="130">
        <f t="shared" si="4"/>
        <v>354.51992570845488</v>
      </c>
      <c r="W4" s="130">
        <f t="shared" si="4"/>
        <v>391.54114109045764</v>
      </c>
      <c r="X4" s="130">
        <f t="shared" ref="X4:Y4" si="5">SUM(X5:X15)</f>
        <v>438.99715710854565</v>
      </c>
      <c r="Y4" s="130">
        <f t="shared" si="5"/>
        <v>431.01467914561914</v>
      </c>
      <c r="DA4" s="155" t="s">
        <v>214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3.1331900257953569</v>
      </c>
      <c r="Y5" s="132">
        <v>12.045055889939809</v>
      </c>
      <c r="DA5" s="156" t="s">
        <v>275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276</v>
      </c>
    </row>
    <row r="7" spans="1:105" ht="12" customHeight="1" x14ac:dyDescent="0.25">
      <c r="A7" s="131" t="s">
        <v>161</v>
      </c>
      <c r="B7" s="132">
        <v>210.052540998225</v>
      </c>
      <c r="C7" s="132">
        <v>280.16253664218459</v>
      </c>
      <c r="D7" s="132">
        <v>288.33065296096044</v>
      </c>
      <c r="E7" s="132">
        <v>310.34179800431968</v>
      </c>
      <c r="F7" s="132">
        <v>299.88450450072173</v>
      </c>
      <c r="G7" s="132">
        <v>381.63851040739189</v>
      </c>
      <c r="H7" s="132">
        <v>391.99860797611672</v>
      </c>
      <c r="I7" s="132">
        <v>351.48860835566359</v>
      </c>
      <c r="J7" s="132">
        <v>333.28655775934675</v>
      </c>
      <c r="K7" s="132">
        <v>234.13669738181989</v>
      </c>
      <c r="L7" s="132">
        <v>193.34666227795833</v>
      </c>
      <c r="M7" s="132">
        <v>172.89708067896262</v>
      </c>
      <c r="N7" s="132">
        <v>57.689118652620692</v>
      </c>
      <c r="O7" s="132">
        <v>109.57605004854712</v>
      </c>
      <c r="P7" s="132">
        <v>49.060016389395798</v>
      </c>
      <c r="Q7" s="132">
        <v>54.982366612527471</v>
      </c>
      <c r="R7" s="132">
        <v>104.33743833977984</v>
      </c>
      <c r="S7" s="132">
        <v>43.057448818670167</v>
      </c>
      <c r="T7" s="132">
        <v>40.450900757015432</v>
      </c>
      <c r="U7" s="132">
        <v>39.176045718495843</v>
      </c>
      <c r="V7" s="132">
        <v>33.48765316705007</v>
      </c>
      <c r="W7" s="132">
        <v>25.189614865891627</v>
      </c>
      <c r="X7" s="132">
        <v>22.7305543046268</v>
      </c>
      <c r="Y7" s="132">
        <v>17.193375629987941</v>
      </c>
      <c r="DA7" s="156" t="s">
        <v>277</v>
      </c>
    </row>
    <row r="8" spans="1:105" ht="12" customHeight="1" x14ac:dyDescent="0.25">
      <c r="A8" s="131" t="s">
        <v>73</v>
      </c>
      <c r="B8" s="132">
        <v>6.9100397208730667E-3</v>
      </c>
      <c r="C8" s="132">
        <v>8.1659953749996517E-3</v>
      </c>
      <c r="D8" s="132">
        <v>1.2825404549939893E-2</v>
      </c>
      <c r="E8" s="132">
        <v>2.0252815859602188E-2</v>
      </c>
      <c r="F8" s="132">
        <v>3.2100743189000788E-2</v>
      </c>
      <c r="G8" s="132">
        <v>4.9506279750349977E-2</v>
      </c>
      <c r="H8" s="132">
        <v>5.7602737503169778E-2</v>
      </c>
      <c r="I8" s="132">
        <v>6.5177952264699746E-2</v>
      </c>
      <c r="J8" s="132">
        <v>7.6828262565959718E-2</v>
      </c>
      <c r="K8" s="132">
        <v>9.3065589720753447E-2</v>
      </c>
      <c r="L8" s="132">
        <v>0.10625792585357532</v>
      </c>
      <c r="M8" s="132">
        <v>0.14690105461144995</v>
      </c>
      <c r="N8" s="132">
        <v>0.22449244592244791</v>
      </c>
      <c r="O8" s="132">
        <v>0.62999578289664593</v>
      </c>
      <c r="P8" s="132">
        <v>1.7147010099884457</v>
      </c>
      <c r="Q8" s="132">
        <v>3.906500235385137</v>
      </c>
      <c r="R8" s="132">
        <v>3.9239957582577869</v>
      </c>
      <c r="S8" s="132">
        <v>3.9774415085879089</v>
      </c>
      <c r="T8" s="132">
        <v>4.2412971155257662</v>
      </c>
      <c r="U8" s="132">
        <v>4.45290541913855</v>
      </c>
      <c r="V8" s="132">
        <v>5.1207428365744221</v>
      </c>
      <c r="W8" s="132">
        <v>5.5371563132582287</v>
      </c>
      <c r="X8" s="132">
        <v>5.744639159350827</v>
      </c>
      <c r="Y8" s="132">
        <v>6.6989034409759922</v>
      </c>
      <c r="DA8" s="156" t="s">
        <v>278</v>
      </c>
    </row>
    <row r="9" spans="1:105" ht="12" customHeight="1" x14ac:dyDescent="0.25">
      <c r="A9" s="131" t="s">
        <v>78</v>
      </c>
      <c r="B9" s="132">
        <v>3.4647561968666531</v>
      </c>
      <c r="C9" s="132">
        <v>4.9113118921588619</v>
      </c>
      <c r="D9" s="132">
        <v>8.7393262557212026</v>
      </c>
      <c r="E9" s="132">
        <v>16.817831745443023</v>
      </c>
      <c r="F9" s="132">
        <v>29.877283221898963</v>
      </c>
      <c r="G9" s="132">
        <v>50.773515563559805</v>
      </c>
      <c r="H9" s="132">
        <v>62.381260287975856</v>
      </c>
      <c r="I9" s="132">
        <v>68.184106318817456</v>
      </c>
      <c r="J9" s="132">
        <v>85.353865704430675</v>
      </c>
      <c r="K9" s="132">
        <v>94.562042888913965</v>
      </c>
      <c r="L9" s="132">
        <v>79.613968238622888</v>
      </c>
      <c r="M9" s="132">
        <v>112.71385343459613</v>
      </c>
      <c r="N9" s="132">
        <v>81.439804290919184</v>
      </c>
      <c r="O9" s="132">
        <v>67.450335294108825</v>
      </c>
      <c r="P9" s="132">
        <v>65.853403373762134</v>
      </c>
      <c r="Q9" s="132">
        <v>102.23442098291366</v>
      </c>
      <c r="R9" s="132">
        <v>85.463966941689108</v>
      </c>
      <c r="S9" s="132">
        <v>86.209038072435703</v>
      </c>
      <c r="T9" s="132">
        <v>82.025068053543322</v>
      </c>
      <c r="U9" s="132">
        <v>96.568937609342427</v>
      </c>
      <c r="V9" s="132">
        <v>80.405503489430629</v>
      </c>
      <c r="W9" s="132">
        <v>79.819184483639575</v>
      </c>
      <c r="X9" s="132">
        <v>69.07764281461526</v>
      </c>
      <c r="Y9" s="132">
        <v>66.729630271564986</v>
      </c>
      <c r="DA9" s="156" t="s">
        <v>279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10.413671539122966</v>
      </c>
      <c r="O10" s="132">
        <v>7.2847807394669006</v>
      </c>
      <c r="P10" s="132">
        <v>5.9472914875322429</v>
      </c>
      <c r="Q10" s="132">
        <v>18.247807394668946</v>
      </c>
      <c r="R10" s="132">
        <v>11.655717970765259</v>
      </c>
      <c r="S10" s="132">
        <v>8.693981083404994</v>
      </c>
      <c r="T10" s="132">
        <v>13.232072226999088</v>
      </c>
      <c r="U10" s="132">
        <v>6.1024935511607046</v>
      </c>
      <c r="V10" s="132">
        <v>6.1886500429922116</v>
      </c>
      <c r="W10" s="132">
        <v>13.369991401547676</v>
      </c>
      <c r="X10" s="132">
        <v>8.1791917454858076</v>
      </c>
      <c r="Y10" s="132">
        <v>4.0495270851246792</v>
      </c>
      <c r="DA10" s="156" t="s">
        <v>280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5.06354256233878</v>
      </c>
      <c r="G11" s="132">
        <v>4.6813413585554615</v>
      </c>
      <c r="H11" s="132">
        <v>4.681341358555458</v>
      </c>
      <c r="I11" s="132">
        <v>4.5380911435941531</v>
      </c>
      <c r="J11" s="132">
        <v>4.5380911435941531</v>
      </c>
      <c r="K11" s="132">
        <v>5.8755803955288028</v>
      </c>
      <c r="L11" s="132">
        <v>5.8755803955288073</v>
      </c>
      <c r="M11" s="132">
        <v>5.8755803955288064</v>
      </c>
      <c r="N11" s="132">
        <v>5.8755803955288046</v>
      </c>
      <c r="O11" s="132">
        <v>5.636801375752361</v>
      </c>
      <c r="P11" s="132">
        <v>6.3294067067927715</v>
      </c>
      <c r="Q11" s="132">
        <v>5.9950128976784169</v>
      </c>
      <c r="R11" s="132">
        <v>5.9950128976784187</v>
      </c>
      <c r="S11" s="132">
        <v>5.8517626827171121</v>
      </c>
      <c r="T11" s="132">
        <v>5.8517626827171094</v>
      </c>
      <c r="U11" s="132">
        <v>7.6907996560619072</v>
      </c>
      <c r="V11" s="132">
        <v>2.5079105760963003</v>
      </c>
      <c r="W11" s="132">
        <v>2.3884780739466893</v>
      </c>
      <c r="X11" s="132">
        <v>6.1860705073086839</v>
      </c>
      <c r="Y11" s="132">
        <v>6.186070507308691</v>
      </c>
      <c r="DA11" s="156" t="s">
        <v>281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282</v>
      </c>
    </row>
    <row r="13" spans="1:105" ht="12" customHeight="1" x14ac:dyDescent="0.25">
      <c r="A13" s="131" t="s">
        <v>77</v>
      </c>
      <c r="B13" s="132">
        <v>9.1219773985975259</v>
      </c>
      <c r="C13" s="132">
        <v>11.288411356008435</v>
      </c>
      <c r="D13" s="132">
        <v>13.63209175012323</v>
      </c>
      <c r="E13" s="132">
        <v>16.810298925042414</v>
      </c>
      <c r="F13" s="132">
        <v>23.682822378180507</v>
      </c>
      <c r="G13" s="132">
        <v>25.522248690370898</v>
      </c>
      <c r="H13" s="132">
        <v>31.83289096271238</v>
      </c>
      <c r="I13" s="132">
        <v>40.894391211788083</v>
      </c>
      <c r="J13" s="132">
        <v>48.33327844710815</v>
      </c>
      <c r="K13" s="132">
        <v>56.280142220897439</v>
      </c>
      <c r="L13" s="132">
        <v>59.24448790128875</v>
      </c>
      <c r="M13" s="132">
        <v>62.75947510328605</v>
      </c>
      <c r="N13" s="132">
        <v>83.625382329014514</v>
      </c>
      <c r="O13" s="132">
        <v>88.722317814172698</v>
      </c>
      <c r="P13" s="132">
        <v>110.5823469114342</v>
      </c>
      <c r="Q13" s="132">
        <v>137.38178297998948</v>
      </c>
      <c r="R13" s="132">
        <v>136.80927591163987</v>
      </c>
      <c r="S13" s="132">
        <v>132.88643201373222</v>
      </c>
      <c r="T13" s="132">
        <v>138.65547766774446</v>
      </c>
      <c r="U13" s="132">
        <v>139.57028425915217</v>
      </c>
      <c r="V13" s="132">
        <v>146.59781892668767</v>
      </c>
      <c r="W13" s="132">
        <v>157.8679329929318</v>
      </c>
      <c r="X13" s="132">
        <v>158.37405085804127</v>
      </c>
      <c r="Y13" s="132">
        <v>167.67817377231074</v>
      </c>
      <c r="DA13" s="156" t="s">
        <v>283</v>
      </c>
    </row>
    <row r="14" spans="1:105" ht="12" customHeight="1" x14ac:dyDescent="0.25">
      <c r="A14" s="60" t="s">
        <v>76</v>
      </c>
      <c r="B14" s="65">
        <v>147.01483791364041</v>
      </c>
      <c r="C14" s="65">
        <v>166.63214962946299</v>
      </c>
      <c r="D14" s="65">
        <v>174.3073622986789</v>
      </c>
      <c r="E14" s="65">
        <v>206.51417470572605</v>
      </c>
      <c r="F14" s="65">
        <v>261.65093836208223</v>
      </c>
      <c r="G14" s="65">
        <v>255.23449147598799</v>
      </c>
      <c r="H14" s="65">
        <v>316.78707636116059</v>
      </c>
      <c r="I14" s="65">
        <v>354.85941144547434</v>
      </c>
      <c r="J14" s="65">
        <v>404.08058634889568</v>
      </c>
      <c r="K14" s="65">
        <v>403.81597100250968</v>
      </c>
      <c r="L14" s="65">
        <v>237.88636892057727</v>
      </c>
      <c r="M14" s="65">
        <v>138.42343994119662</v>
      </c>
      <c r="N14" s="65">
        <v>275.36385998979756</v>
      </c>
      <c r="O14" s="65">
        <v>142.94342435893978</v>
      </c>
      <c r="P14" s="65">
        <v>74.909415896147721</v>
      </c>
      <c r="Q14" s="65">
        <v>131.83140251601876</v>
      </c>
      <c r="R14" s="65">
        <v>239.98694201675826</v>
      </c>
      <c r="S14" s="65">
        <v>239.25671686064001</v>
      </c>
      <c r="T14" s="65">
        <v>137.03939316188928</v>
      </c>
      <c r="U14" s="65">
        <v>165.12314079799685</v>
      </c>
      <c r="V14" s="65">
        <v>79.142726484480391</v>
      </c>
      <c r="W14" s="65">
        <v>106.3020176897389</v>
      </c>
      <c r="X14" s="65">
        <v>164.59043654799493</v>
      </c>
      <c r="Y14" s="65">
        <v>149.46011798500547</v>
      </c>
      <c r="DA14" s="109" t="s">
        <v>284</v>
      </c>
    </row>
    <row r="15" spans="1:105" ht="12" customHeight="1" x14ac:dyDescent="0.25">
      <c r="A15" s="133" t="s">
        <v>80</v>
      </c>
      <c r="B15" s="134">
        <v>1.6057315060192294</v>
      </c>
      <c r="C15" s="134">
        <v>2.1347553516634119</v>
      </c>
      <c r="D15" s="134">
        <v>2.201068788625129</v>
      </c>
      <c r="E15" s="134">
        <v>2.4085708163581865</v>
      </c>
      <c r="F15" s="134">
        <v>2.4309971344648909</v>
      </c>
      <c r="G15" s="134">
        <v>3.172041833347206</v>
      </c>
      <c r="H15" s="134">
        <v>3.3103249414552831</v>
      </c>
      <c r="I15" s="134">
        <v>3.0380718736367593</v>
      </c>
      <c r="J15" s="134">
        <v>3.0225320167041212</v>
      </c>
      <c r="K15" s="134">
        <v>2.3946494410125854</v>
      </c>
      <c r="L15" s="134">
        <v>1.9828700419125014</v>
      </c>
      <c r="M15" s="134">
        <v>2.0989859784916409</v>
      </c>
      <c r="N15" s="134">
        <v>1.0998772632152827</v>
      </c>
      <c r="O15" s="134">
        <v>1.3476093710036703</v>
      </c>
      <c r="P15" s="134">
        <v>0.91094348288488225</v>
      </c>
      <c r="Q15" s="134">
        <v>1.2945311218796378</v>
      </c>
      <c r="R15" s="134">
        <v>1.4960843101730219</v>
      </c>
      <c r="S15" s="134">
        <v>1.0888998878715892</v>
      </c>
      <c r="T15" s="134">
        <v>1.0917977266484884</v>
      </c>
      <c r="U15" s="134">
        <v>1.2292239235643381</v>
      </c>
      <c r="V15" s="134">
        <v>1.0689201851432362</v>
      </c>
      <c r="W15" s="134">
        <v>1.0667652695031271</v>
      </c>
      <c r="X15" s="134">
        <v>0.98138114532667109</v>
      </c>
      <c r="Y15" s="134">
        <v>0.97382456340085688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38.28095744844606</v>
      </c>
      <c r="C16" s="130">
        <f t="shared" si="6"/>
        <v>48.268291633730989</v>
      </c>
      <c r="D16" s="130">
        <f t="shared" si="6"/>
        <v>39.988184922564642</v>
      </c>
      <c r="E16" s="130">
        <f t="shared" si="6"/>
        <v>55.442210102439113</v>
      </c>
      <c r="F16" s="130">
        <f t="shared" si="6"/>
        <v>35.178444517730483</v>
      </c>
      <c r="G16" s="130">
        <f t="shared" si="6"/>
        <v>36.189784571520114</v>
      </c>
      <c r="H16" s="130">
        <f t="shared" si="6"/>
        <v>44.611195844263406</v>
      </c>
      <c r="I16" s="130">
        <f t="shared" si="6"/>
        <v>68.34016449000616</v>
      </c>
      <c r="J16" s="130">
        <f t="shared" si="6"/>
        <v>66.875780839884385</v>
      </c>
      <c r="K16" s="130">
        <f t="shared" si="6"/>
        <v>47.357086552453694</v>
      </c>
      <c r="L16" s="130">
        <f t="shared" si="6"/>
        <v>60.862572077723812</v>
      </c>
      <c r="M16" s="130">
        <f t="shared" si="6"/>
        <v>53.360724326850587</v>
      </c>
      <c r="N16" s="130">
        <f t="shared" si="6"/>
        <v>89.901571441279032</v>
      </c>
      <c r="O16" s="130">
        <f t="shared" si="6"/>
        <v>58.757583432347133</v>
      </c>
      <c r="P16" s="130">
        <f t="shared" si="6"/>
        <v>50.444428577472408</v>
      </c>
      <c r="Q16" s="130">
        <f t="shared" si="6"/>
        <v>66.329184259534699</v>
      </c>
      <c r="R16" s="130">
        <f t="shared" ref="R16:W16" si="7">SUM(R17:R18)</f>
        <v>73.066451791325335</v>
      </c>
      <c r="S16" s="130">
        <f t="shared" si="7"/>
        <v>75.339711673870966</v>
      </c>
      <c r="T16" s="130">
        <f t="shared" si="7"/>
        <v>66.605487394387012</v>
      </c>
      <c r="U16" s="130">
        <f t="shared" si="7"/>
        <v>86.645827869239824</v>
      </c>
      <c r="V16" s="130">
        <f t="shared" si="7"/>
        <v>74.535794076240506</v>
      </c>
      <c r="W16" s="130">
        <f t="shared" si="7"/>
        <v>99.244200964757241</v>
      </c>
      <c r="X16" s="130">
        <f t="shared" ref="X16:Y16" si="8">SUM(X17:X18)</f>
        <v>87.220732134350428</v>
      </c>
      <c r="Y16" s="130">
        <f t="shared" si="8"/>
        <v>90.257487691570518</v>
      </c>
      <c r="DA16" s="155" t="s">
        <v>215</v>
      </c>
    </row>
    <row r="17" spans="1:105" ht="12.95" customHeight="1" x14ac:dyDescent="0.25">
      <c r="A17" s="131" t="s">
        <v>73</v>
      </c>
      <c r="B17" s="132">
        <v>4.2754660530432156E-2</v>
      </c>
      <c r="C17" s="132">
        <v>5.4958213463838314E-2</v>
      </c>
      <c r="D17" s="132">
        <v>6.1403838791723203E-2</v>
      </c>
      <c r="E17" s="132">
        <v>7.7679992061601394E-2</v>
      </c>
      <c r="F17" s="132">
        <v>0.10177596555939625</v>
      </c>
      <c r="G17" s="132">
        <v>0.1589541871344228</v>
      </c>
      <c r="H17" s="132">
        <v>0.26381161690445087</v>
      </c>
      <c r="I17" s="132">
        <v>0.37650466387584935</v>
      </c>
      <c r="J17" s="132">
        <v>0.49648752878828173</v>
      </c>
      <c r="K17" s="132">
        <v>0.58684296353802967</v>
      </c>
      <c r="L17" s="132">
        <v>0.79406917158256718</v>
      </c>
      <c r="M17" s="132">
        <v>0.99002584205495503</v>
      </c>
      <c r="N17" s="132">
        <v>1.9180927419133513</v>
      </c>
      <c r="O17" s="132">
        <v>1.9855038983694098</v>
      </c>
      <c r="P17" s="132">
        <v>2.3900581664295824</v>
      </c>
      <c r="Q17" s="132">
        <v>3.4526767219048442</v>
      </c>
      <c r="R17" s="132">
        <v>4.1388013662154881</v>
      </c>
      <c r="S17" s="132">
        <v>4.6633801760872382</v>
      </c>
      <c r="T17" s="132">
        <v>4.6971077892228417</v>
      </c>
      <c r="U17" s="132">
        <v>6.2248271640009394</v>
      </c>
      <c r="V17" s="132">
        <v>5.2157824870341178</v>
      </c>
      <c r="W17" s="132">
        <v>6.9335649270164144</v>
      </c>
      <c r="X17" s="132">
        <v>6.4085219968523699</v>
      </c>
      <c r="Y17" s="132">
        <v>6.6978033063350564</v>
      </c>
      <c r="DA17" s="156" t="s">
        <v>286</v>
      </c>
    </row>
    <row r="18" spans="1:105" ht="12" customHeight="1" x14ac:dyDescent="0.25">
      <c r="A18" s="131" t="s">
        <v>72</v>
      </c>
      <c r="B18" s="132">
        <v>38.238202787915625</v>
      </c>
      <c r="C18" s="132">
        <v>48.213333420267148</v>
      </c>
      <c r="D18" s="132">
        <v>39.926781083772916</v>
      </c>
      <c r="E18" s="132">
        <v>55.364530110377508</v>
      </c>
      <c r="F18" s="132">
        <v>35.076668552171085</v>
      </c>
      <c r="G18" s="132">
        <v>36.030830384385695</v>
      </c>
      <c r="H18" s="132">
        <v>44.347384227358958</v>
      </c>
      <c r="I18" s="132">
        <v>67.963659826130311</v>
      </c>
      <c r="J18" s="132">
        <v>66.379293311096106</v>
      </c>
      <c r="K18" s="132">
        <v>46.770243588915662</v>
      </c>
      <c r="L18" s="132">
        <v>60.068502906141248</v>
      </c>
      <c r="M18" s="132">
        <v>52.370698484795632</v>
      </c>
      <c r="N18" s="132">
        <v>87.983478699365676</v>
      </c>
      <c r="O18" s="132">
        <v>56.772079533977724</v>
      </c>
      <c r="P18" s="132">
        <v>48.054370411042825</v>
      </c>
      <c r="Q18" s="132">
        <v>62.876507537629848</v>
      </c>
      <c r="R18" s="132">
        <v>68.927650425109846</v>
      </c>
      <c r="S18" s="132">
        <v>70.676331497783721</v>
      </c>
      <c r="T18" s="132">
        <v>61.908379605164171</v>
      </c>
      <c r="U18" s="132">
        <v>80.421000705238882</v>
      </c>
      <c r="V18" s="132">
        <v>69.320011589206388</v>
      </c>
      <c r="W18" s="132">
        <v>92.310636037740821</v>
      </c>
      <c r="X18" s="132">
        <v>80.812210137498056</v>
      </c>
      <c r="Y18" s="132">
        <v>83.559684385235457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244.95602660968984</v>
      </c>
      <c r="C19" s="130">
        <f t="shared" si="9"/>
        <v>266.60394304560094</v>
      </c>
      <c r="D19" s="130">
        <f t="shared" si="9"/>
        <v>288.29790704488846</v>
      </c>
      <c r="E19" s="130">
        <f t="shared" si="9"/>
        <v>302.78385467907668</v>
      </c>
      <c r="F19" s="130">
        <f t="shared" si="9"/>
        <v>319.65466162558505</v>
      </c>
      <c r="G19" s="130">
        <f t="shared" si="9"/>
        <v>347.54137228630498</v>
      </c>
      <c r="H19" s="130">
        <f t="shared" si="9"/>
        <v>356.09709384806007</v>
      </c>
      <c r="I19" s="130">
        <f t="shared" si="9"/>
        <v>358.87084552037788</v>
      </c>
      <c r="J19" s="130">
        <f t="shared" si="9"/>
        <v>367.80371986309757</v>
      </c>
      <c r="K19" s="130">
        <f t="shared" si="9"/>
        <v>373.7046088681783</v>
      </c>
      <c r="L19" s="130">
        <f t="shared" si="9"/>
        <v>379.27335764849505</v>
      </c>
      <c r="M19" s="130">
        <f t="shared" si="9"/>
        <v>380.26989413186902</v>
      </c>
      <c r="N19" s="130">
        <f t="shared" si="9"/>
        <v>377.11245163706099</v>
      </c>
      <c r="O19" s="130">
        <f t="shared" si="9"/>
        <v>378.11736461939978</v>
      </c>
      <c r="P19" s="130">
        <f t="shared" si="9"/>
        <v>386.21626768457111</v>
      </c>
      <c r="Q19" s="130">
        <f t="shared" si="9"/>
        <v>388.19285535020407</v>
      </c>
      <c r="R19" s="130">
        <f t="shared" ref="R19:W19" si="10">SUM(R20:R27)</f>
        <v>383.6666665661046</v>
      </c>
      <c r="S19" s="130">
        <f t="shared" si="10"/>
        <v>379.25402856666778</v>
      </c>
      <c r="T19" s="130">
        <f t="shared" si="10"/>
        <v>373.37088423985023</v>
      </c>
      <c r="U19" s="130">
        <f t="shared" si="10"/>
        <v>361.77261115183387</v>
      </c>
      <c r="V19" s="130">
        <f t="shared" si="10"/>
        <v>316.70847607784168</v>
      </c>
      <c r="W19" s="130">
        <f t="shared" si="10"/>
        <v>315.79728342620484</v>
      </c>
      <c r="X19" s="130">
        <f t="shared" ref="X19:Y19" si="11">SUM(X20:X27)</f>
        <v>328.05600821818888</v>
      </c>
      <c r="Y19" s="130">
        <f t="shared" si="11"/>
        <v>324.86938458493842</v>
      </c>
      <c r="DA19" s="155" t="s">
        <v>216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4.3478759924903745</v>
      </c>
      <c r="C21" s="132">
        <v>4.8617925118983782</v>
      </c>
      <c r="D21" s="132">
        <v>5.1148715280153096</v>
      </c>
      <c r="E21" s="132">
        <v>5.156026732652669</v>
      </c>
      <c r="F21" s="132">
        <v>5.6325967663299981</v>
      </c>
      <c r="G21" s="132">
        <v>6.622800681919867</v>
      </c>
      <c r="H21" s="132">
        <v>7.324730095845613</v>
      </c>
      <c r="I21" s="132">
        <v>8.7721979529279839</v>
      </c>
      <c r="J21" s="132">
        <v>9.1568422801104479</v>
      </c>
      <c r="K21" s="132">
        <v>9.3319954056864329</v>
      </c>
      <c r="L21" s="132">
        <v>9.5639110459780134</v>
      </c>
      <c r="M21" s="132">
        <v>9.5686123670060326</v>
      </c>
      <c r="N21" s="132">
        <v>10.299637055805274</v>
      </c>
      <c r="O21" s="132">
        <v>10.375727470255056</v>
      </c>
      <c r="P21" s="132">
        <v>10.44789339609177</v>
      </c>
      <c r="Q21" s="132">
        <v>10.664067751827709</v>
      </c>
      <c r="R21" s="132">
        <v>12.702118104006516</v>
      </c>
      <c r="S21" s="132">
        <v>13.942075234545094</v>
      </c>
      <c r="T21" s="132">
        <v>13.983936040487132</v>
      </c>
      <c r="U21" s="132">
        <v>14.732682167097696</v>
      </c>
      <c r="V21" s="132">
        <v>8.5567008788663177</v>
      </c>
      <c r="W21" s="132">
        <v>11.710406955100556</v>
      </c>
      <c r="X21" s="132">
        <v>15.207106777734328</v>
      </c>
      <c r="Y21" s="132">
        <v>16.89344041916571</v>
      </c>
      <c r="DA21" s="156" t="s">
        <v>289</v>
      </c>
    </row>
    <row r="22" spans="1:105" ht="12" customHeight="1" x14ac:dyDescent="0.25">
      <c r="A22" s="131" t="s">
        <v>161</v>
      </c>
      <c r="B22" s="132">
        <v>10.980219104956459</v>
      </c>
      <c r="C22" s="132">
        <v>12.576586315683025</v>
      </c>
      <c r="D22" s="132">
        <v>13.589725370939913</v>
      </c>
      <c r="E22" s="132">
        <v>14.173335271690613</v>
      </c>
      <c r="F22" s="132">
        <v>15.014721638573372</v>
      </c>
      <c r="G22" s="132">
        <v>16.388574717285554</v>
      </c>
      <c r="H22" s="132">
        <v>17.015407501097133</v>
      </c>
      <c r="I22" s="132">
        <v>17.470978918627132</v>
      </c>
      <c r="J22" s="132">
        <v>17.621094863181217</v>
      </c>
      <c r="K22" s="132">
        <v>17.267773813364979</v>
      </c>
      <c r="L22" s="132">
        <v>17.272426286100021</v>
      </c>
      <c r="M22" s="132">
        <v>17.372308830925572</v>
      </c>
      <c r="N22" s="132">
        <v>17.32283319604656</v>
      </c>
      <c r="O22" s="132">
        <v>17.768317965210397</v>
      </c>
      <c r="P22" s="132">
        <v>18.356578623501857</v>
      </c>
      <c r="Q22" s="132">
        <v>18.629929174230913</v>
      </c>
      <c r="R22" s="132">
        <v>18.520085305963885</v>
      </c>
      <c r="S22" s="132">
        <v>17.848054190788144</v>
      </c>
      <c r="T22" s="132">
        <v>15.349271212030109</v>
      </c>
      <c r="U22" s="132">
        <v>13.476662793971933</v>
      </c>
      <c r="V22" s="132">
        <v>8.4504379765440483</v>
      </c>
      <c r="W22" s="132">
        <v>6.6931882295511915</v>
      </c>
      <c r="X22" s="132">
        <v>9.263598747823746</v>
      </c>
      <c r="Y22" s="132">
        <v>6.2563234241822991</v>
      </c>
      <c r="DA22" s="156" t="s">
        <v>290</v>
      </c>
    </row>
    <row r="23" spans="1:105" ht="12" customHeight="1" x14ac:dyDescent="0.25">
      <c r="A23" s="131" t="s">
        <v>149</v>
      </c>
      <c r="B23" s="132">
        <v>4.2038621634355229</v>
      </c>
      <c r="C23" s="132">
        <v>5.7809341614538052</v>
      </c>
      <c r="D23" s="132">
        <v>6.9355687386166833</v>
      </c>
      <c r="E23" s="132">
        <v>8.3779752362942528</v>
      </c>
      <c r="F23" s="132">
        <v>9.0497201715098026</v>
      </c>
      <c r="G23" s="132">
        <v>15.57020196470231</v>
      </c>
      <c r="H23" s="132">
        <v>18.45568717755863</v>
      </c>
      <c r="I23" s="132">
        <v>22.16674351805738</v>
      </c>
      <c r="J23" s="132">
        <v>24.051089084533533</v>
      </c>
      <c r="K23" s="132">
        <v>26.4575244819533</v>
      </c>
      <c r="L23" s="132">
        <v>31.23644592782404</v>
      </c>
      <c r="M23" s="132">
        <v>32.514296215238964</v>
      </c>
      <c r="N23" s="132">
        <v>34.406663782564998</v>
      </c>
      <c r="O23" s="132">
        <v>35.280243503705705</v>
      </c>
      <c r="P23" s="132">
        <v>32.696263609636681</v>
      </c>
      <c r="Q23" s="132">
        <v>34.195525138929099</v>
      </c>
      <c r="R23" s="132">
        <v>31.588785497651113</v>
      </c>
      <c r="S23" s="132">
        <v>32.234366040033677</v>
      </c>
      <c r="T23" s="132">
        <v>32.393780403093629</v>
      </c>
      <c r="U23" s="132">
        <v>31.477777150980067</v>
      </c>
      <c r="V23" s="132">
        <v>28.74202135139279</v>
      </c>
      <c r="W23" s="132">
        <v>29.152372734557229</v>
      </c>
      <c r="X23" s="132">
        <v>12.994695616825821</v>
      </c>
      <c r="Y23" s="132">
        <v>11.747115027947752</v>
      </c>
      <c r="DA23" s="156" t="s">
        <v>291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292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293</v>
      </c>
    </row>
    <row r="26" spans="1:105" ht="12" customHeight="1" x14ac:dyDescent="0.25">
      <c r="A26" s="131" t="s">
        <v>24</v>
      </c>
      <c r="B26" s="65">
        <v>219.64401775809381</v>
      </c>
      <c r="C26" s="65">
        <v>237.50904966103695</v>
      </c>
      <c r="D26" s="65">
        <v>256.66272850963816</v>
      </c>
      <c r="E26" s="65">
        <v>268.9142646439422</v>
      </c>
      <c r="F26" s="65">
        <v>283.58040894771017</v>
      </c>
      <c r="G26" s="65">
        <v>302.96478202471883</v>
      </c>
      <c r="H26" s="65">
        <v>306.82852616728178</v>
      </c>
      <c r="I26" s="65">
        <v>303.43882710840944</v>
      </c>
      <c r="J26" s="65">
        <v>308.85397136528098</v>
      </c>
      <c r="K26" s="65">
        <v>311.73837277680389</v>
      </c>
      <c r="L26" s="65">
        <v>312.26772830088879</v>
      </c>
      <c r="M26" s="65">
        <v>311.88183063099427</v>
      </c>
      <c r="N26" s="65">
        <v>306.07884640745931</v>
      </c>
      <c r="O26" s="65">
        <v>305.56917198289415</v>
      </c>
      <c r="P26" s="65">
        <v>315.35276335370713</v>
      </c>
      <c r="Q26" s="65">
        <v>315.12560327661788</v>
      </c>
      <c r="R26" s="65">
        <v>311.08689004025439</v>
      </c>
      <c r="S26" s="65">
        <v>305.19797678143846</v>
      </c>
      <c r="T26" s="65">
        <v>301.39737895741217</v>
      </c>
      <c r="U26" s="65">
        <v>291.64791380332679</v>
      </c>
      <c r="V26" s="65">
        <v>260.26137949958542</v>
      </c>
      <c r="W26" s="65">
        <v>257.14931206761497</v>
      </c>
      <c r="X26" s="65">
        <v>278.92534482301051</v>
      </c>
      <c r="Y26" s="65">
        <v>277.66425119945518</v>
      </c>
      <c r="DA26" s="109" t="s">
        <v>294</v>
      </c>
    </row>
    <row r="27" spans="1:105" ht="12" customHeight="1" x14ac:dyDescent="0.25">
      <c r="A27" s="144" t="s">
        <v>26</v>
      </c>
      <c r="B27" s="145">
        <v>5.7800515907136703</v>
      </c>
      <c r="C27" s="145">
        <v>5.8755803955288055</v>
      </c>
      <c r="D27" s="145">
        <v>5.9950128976784152</v>
      </c>
      <c r="E27" s="145">
        <v>6.1622527944969887</v>
      </c>
      <c r="F27" s="145">
        <v>6.3772141014617389</v>
      </c>
      <c r="G27" s="145">
        <v>5.9950128976784169</v>
      </c>
      <c r="H27" s="145">
        <v>6.4727429062768707</v>
      </c>
      <c r="I27" s="145">
        <v>7.0220980223559737</v>
      </c>
      <c r="J27" s="145">
        <v>8.1207222699914023</v>
      </c>
      <c r="K27" s="145">
        <v>8.9089423903697309</v>
      </c>
      <c r="L27" s="145">
        <v>8.9328460877042133</v>
      </c>
      <c r="M27" s="145">
        <v>8.9328460877042115</v>
      </c>
      <c r="N27" s="145">
        <v>9.0044711951848626</v>
      </c>
      <c r="O27" s="145">
        <v>9.1239036973344732</v>
      </c>
      <c r="P27" s="145">
        <v>9.3627687016337102</v>
      </c>
      <c r="Q27" s="145">
        <v>9.5777300085984542</v>
      </c>
      <c r="R27" s="145">
        <v>9.7687876182287194</v>
      </c>
      <c r="S27" s="145">
        <v>10.031556319862426</v>
      </c>
      <c r="T27" s="145">
        <v>10.246517626827174</v>
      </c>
      <c r="U27" s="145">
        <v>10.437575236457434</v>
      </c>
      <c r="V27" s="145">
        <v>10.697936371453132</v>
      </c>
      <c r="W27" s="145">
        <v>11.092003439380909</v>
      </c>
      <c r="X27" s="145">
        <v>11.665262252794504</v>
      </c>
      <c r="Y27" s="145">
        <v>12.308254514187462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270.71138666731548</v>
      </c>
      <c r="C29" s="130">
        <f t="shared" si="12"/>
        <v>288.21458474341858</v>
      </c>
      <c r="D29" s="130">
        <f t="shared" si="12"/>
        <v>306.25304500736274</v>
      </c>
      <c r="E29" s="130">
        <f t="shared" si="12"/>
        <v>314.74244950081942</v>
      </c>
      <c r="F29" s="130">
        <f t="shared" si="12"/>
        <v>342.13263157777499</v>
      </c>
      <c r="G29" s="130">
        <f t="shared" si="12"/>
        <v>354.59252395259102</v>
      </c>
      <c r="H29" s="130">
        <f t="shared" si="12"/>
        <v>359.99803327641609</v>
      </c>
      <c r="I29" s="130">
        <f t="shared" si="12"/>
        <v>359.67246753475678</v>
      </c>
      <c r="J29" s="130">
        <f t="shared" si="12"/>
        <v>362.27111204967133</v>
      </c>
      <c r="K29" s="130">
        <f t="shared" si="12"/>
        <v>370.96207673974209</v>
      </c>
      <c r="L29" s="130">
        <f t="shared" si="12"/>
        <v>375.49634174406543</v>
      </c>
      <c r="M29" s="130">
        <f t="shared" si="12"/>
        <v>377.65430415989215</v>
      </c>
      <c r="N29" s="130">
        <f t="shared" si="12"/>
        <v>392.23687065303159</v>
      </c>
      <c r="O29" s="130">
        <f t="shared" si="12"/>
        <v>389.84150339195452</v>
      </c>
      <c r="P29" s="130">
        <f t="shared" si="12"/>
        <v>383.35042915799659</v>
      </c>
      <c r="Q29" s="130">
        <f t="shared" si="12"/>
        <v>378.1326733540601</v>
      </c>
      <c r="R29" s="130">
        <f t="shared" ref="R29:W29" si="13">SUM(R30:R33)</f>
        <v>379.49516012550612</v>
      </c>
      <c r="S29" s="130">
        <f t="shared" si="13"/>
        <v>378.94500659369078</v>
      </c>
      <c r="T29" s="130">
        <f t="shared" si="13"/>
        <v>376.93901536922021</v>
      </c>
      <c r="U29" s="130">
        <f t="shared" si="13"/>
        <v>369.44754971880025</v>
      </c>
      <c r="V29" s="130">
        <f t="shared" si="13"/>
        <v>312.14123954276278</v>
      </c>
      <c r="W29" s="130">
        <f t="shared" si="13"/>
        <v>352.31692972285907</v>
      </c>
      <c r="X29" s="130">
        <f t="shared" ref="X29:Y29" si="14">SUM(X30:X33)</f>
        <v>351.31834832380696</v>
      </c>
      <c r="Y29" s="130">
        <f t="shared" si="14"/>
        <v>357.0539730197944</v>
      </c>
      <c r="DA29" s="155" t="s">
        <v>217</v>
      </c>
    </row>
    <row r="30" spans="1:105" ht="12" customHeight="1" x14ac:dyDescent="0.25">
      <c r="A30" s="131" t="s">
        <v>52</v>
      </c>
      <c r="B30" s="132">
        <v>22.765881531155372</v>
      </c>
      <c r="C30" s="132">
        <v>23.381715656631282</v>
      </c>
      <c r="D30" s="132">
        <v>14.090717465965769</v>
      </c>
      <c r="E30" s="132">
        <v>17.438814195980171</v>
      </c>
      <c r="F30" s="132">
        <v>48.59500426548427</v>
      </c>
      <c r="G30" s="132">
        <v>41.956047125474797</v>
      </c>
      <c r="H30" s="132">
        <v>40.124367066665144</v>
      </c>
      <c r="I30" s="132">
        <v>36.417483904337693</v>
      </c>
      <c r="J30" s="132">
        <v>34.903088932271345</v>
      </c>
      <c r="K30" s="132">
        <v>32.418305540143301</v>
      </c>
      <c r="L30" s="132">
        <v>34.383724379645329</v>
      </c>
      <c r="M30" s="132">
        <v>28.885557882349087</v>
      </c>
      <c r="N30" s="132">
        <v>92.977319092088138</v>
      </c>
      <c r="O30" s="132">
        <v>62.137858084345126</v>
      </c>
      <c r="P30" s="132">
        <v>31.302407549738007</v>
      </c>
      <c r="Q30" s="132">
        <v>36.579612385747488</v>
      </c>
      <c r="R30" s="132">
        <v>43.331157906311638</v>
      </c>
      <c r="S30" s="132">
        <v>48.524046863477231</v>
      </c>
      <c r="T30" s="132">
        <v>52.976855017122475</v>
      </c>
      <c r="U30" s="132">
        <v>60.490275700486173</v>
      </c>
      <c r="V30" s="132">
        <v>38.038827925948823</v>
      </c>
      <c r="W30" s="132">
        <v>57.172052202251145</v>
      </c>
      <c r="X30" s="132">
        <v>73.401233720975867</v>
      </c>
      <c r="Y30" s="132">
        <v>91.390222521504924</v>
      </c>
      <c r="DA30" s="156" t="s">
        <v>296</v>
      </c>
    </row>
    <row r="31" spans="1:105" ht="12" customHeight="1" x14ac:dyDescent="0.25">
      <c r="A31" s="131" t="s">
        <v>149</v>
      </c>
      <c r="B31" s="132">
        <v>1.8117255378987973</v>
      </c>
      <c r="C31" s="132">
        <v>2.4838386799388665</v>
      </c>
      <c r="D31" s="132">
        <v>3.7049600271527785</v>
      </c>
      <c r="E31" s="132">
        <v>5.7633539334713486</v>
      </c>
      <c r="F31" s="132">
        <v>8.2452247989606366</v>
      </c>
      <c r="G31" s="132">
        <v>12.353840921448095</v>
      </c>
      <c r="H31" s="132">
        <v>14.194432677048447</v>
      </c>
      <c r="I31" s="132">
        <v>16.417613720673266</v>
      </c>
      <c r="J31" s="132">
        <v>19.328866135072772</v>
      </c>
      <c r="K31" s="132">
        <v>24.217806964953901</v>
      </c>
      <c r="L31" s="132">
        <v>28.56009278598799</v>
      </c>
      <c r="M31" s="132">
        <v>32.325551140514868</v>
      </c>
      <c r="N31" s="132">
        <v>33.488160840141745</v>
      </c>
      <c r="O31" s="132">
        <v>33.904136482226406</v>
      </c>
      <c r="P31" s="132">
        <v>35.855032137689662</v>
      </c>
      <c r="Q31" s="132">
        <v>35.989208821125274</v>
      </c>
      <c r="R31" s="132">
        <v>34.753581992506255</v>
      </c>
      <c r="S31" s="132">
        <v>33.653607392881099</v>
      </c>
      <c r="T31" s="132">
        <v>33.074818865613516</v>
      </c>
      <c r="U31" s="132">
        <v>33.582947325497578</v>
      </c>
      <c r="V31" s="132">
        <v>31.542261099540525</v>
      </c>
      <c r="W31" s="132">
        <v>33.857205634391725</v>
      </c>
      <c r="X31" s="132">
        <v>25.534431624737536</v>
      </c>
      <c r="Y31" s="132">
        <v>23.109694986710196</v>
      </c>
      <c r="DA31" s="156" t="s">
        <v>297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298</v>
      </c>
    </row>
    <row r="33" spans="1:105" ht="12" customHeight="1" x14ac:dyDescent="0.25">
      <c r="A33" s="62" t="s">
        <v>24</v>
      </c>
      <c r="B33" s="68">
        <v>246.1337795982613</v>
      </c>
      <c r="C33" s="68">
        <v>262.34903040684844</v>
      </c>
      <c r="D33" s="68">
        <v>288.4573675142442</v>
      </c>
      <c r="E33" s="68">
        <v>291.54028137136788</v>
      </c>
      <c r="F33" s="68">
        <v>285.2924025133301</v>
      </c>
      <c r="G33" s="68">
        <v>300.28263590566814</v>
      </c>
      <c r="H33" s="68">
        <v>305.67923353270248</v>
      </c>
      <c r="I33" s="68">
        <v>306.8373699097458</v>
      </c>
      <c r="J33" s="68">
        <v>308.0391569823272</v>
      </c>
      <c r="K33" s="68">
        <v>314.32596423464486</v>
      </c>
      <c r="L33" s="68">
        <v>312.5525245784321</v>
      </c>
      <c r="M33" s="68">
        <v>316.44319513702823</v>
      </c>
      <c r="N33" s="68">
        <v>265.77139072080172</v>
      </c>
      <c r="O33" s="68">
        <v>293.79950882538299</v>
      </c>
      <c r="P33" s="68">
        <v>316.19298947056893</v>
      </c>
      <c r="Q33" s="68">
        <v>305.56385214718733</v>
      </c>
      <c r="R33" s="68">
        <v>301.41042022668825</v>
      </c>
      <c r="S33" s="68">
        <v>296.76735233733245</v>
      </c>
      <c r="T33" s="68">
        <v>290.88734148648422</v>
      </c>
      <c r="U33" s="68">
        <v>275.37432669281651</v>
      </c>
      <c r="V33" s="68">
        <v>242.56015051727343</v>
      </c>
      <c r="W33" s="68">
        <v>261.28767188621623</v>
      </c>
      <c r="X33" s="68">
        <v>252.38268297809356</v>
      </c>
      <c r="Y33" s="68">
        <v>242.55405551157926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548.64298941740344</v>
      </c>
      <c r="C3" s="125">
        <f t="shared" si="0"/>
        <v>636.32406447011533</v>
      </c>
      <c r="D3" s="125">
        <f t="shared" si="0"/>
        <v>665.47784669193015</v>
      </c>
      <c r="E3" s="125">
        <f t="shared" si="0"/>
        <v>750.92017337359971</v>
      </c>
      <c r="F3" s="125">
        <f t="shared" si="0"/>
        <v>790.09059456693342</v>
      </c>
      <c r="G3" s="125">
        <f t="shared" si="0"/>
        <v>865.2024847066333</v>
      </c>
      <c r="H3" s="125">
        <f t="shared" si="0"/>
        <v>959.90756728535723</v>
      </c>
      <c r="I3" s="125">
        <f t="shared" si="0"/>
        <v>1056.7801354355593</v>
      </c>
      <c r="J3" s="125">
        <f t="shared" si="0"/>
        <v>1122.6970898887034</v>
      </c>
      <c r="K3" s="125">
        <f t="shared" si="0"/>
        <v>1074.0968541248753</v>
      </c>
      <c r="L3" s="125">
        <f t="shared" si="0"/>
        <v>1008.5196012602289</v>
      </c>
      <c r="M3" s="125">
        <f t="shared" si="0"/>
        <v>959.18023177277496</v>
      </c>
      <c r="N3" s="125">
        <f t="shared" si="0"/>
        <v>1151.4827111456998</v>
      </c>
      <c r="O3" s="125">
        <f t="shared" si="0"/>
        <v>1034.3213583915449</v>
      </c>
      <c r="P3" s="125">
        <f t="shared" si="0"/>
        <v>1021.390064127179</v>
      </c>
      <c r="Q3" s="125">
        <f t="shared" si="0"/>
        <v>1218.628921350291</v>
      </c>
      <c r="R3" s="125">
        <f t="shared" ref="R3:W3" si="1">SUM(R4,R16,R19,R29)</f>
        <v>1334.8826468795064</v>
      </c>
      <c r="S3" s="125">
        <f t="shared" si="1"/>
        <v>1328.9825306434293</v>
      </c>
      <c r="T3" s="125">
        <f t="shared" si="1"/>
        <v>1276.6068300079257</v>
      </c>
      <c r="U3" s="125">
        <f t="shared" si="1"/>
        <v>1392.4396817314691</v>
      </c>
      <c r="V3" s="125">
        <f t="shared" si="1"/>
        <v>1268.7937502239017</v>
      </c>
      <c r="W3" s="125">
        <f t="shared" si="1"/>
        <v>1467.2500895231226</v>
      </c>
      <c r="X3" s="125">
        <f t="shared" ref="X3:Y3" si="2">SUM(X4,X16,X19,X29)</f>
        <v>1502.9426254240884</v>
      </c>
      <c r="Y3" s="125">
        <f t="shared" si="2"/>
        <v>1570.634635159855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177.50537140704435</v>
      </c>
      <c r="C4" s="130">
        <f t="shared" si="3"/>
        <v>221.39480487709253</v>
      </c>
      <c r="D4" s="130">
        <f t="shared" si="3"/>
        <v>236.07909669853547</v>
      </c>
      <c r="E4" s="130">
        <f t="shared" si="3"/>
        <v>274.28835569919789</v>
      </c>
      <c r="F4" s="130">
        <f t="shared" si="3"/>
        <v>325.95443521451017</v>
      </c>
      <c r="G4" s="130">
        <f t="shared" si="3"/>
        <v>370.97076632843573</v>
      </c>
      <c r="H4" s="130">
        <f t="shared" si="3"/>
        <v>432.098038312759</v>
      </c>
      <c r="I4" s="130">
        <f t="shared" si="3"/>
        <v>462.50587805034547</v>
      </c>
      <c r="J4" s="130">
        <f t="shared" si="3"/>
        <v>513.44757320848237</v>
      </c>
      <c r="K4" s="130">
        <f t="shared" si="3"/>
        <v>501.61445181292061</v>
      </c>
      <c r="L4" s="130">
        <f t="shared" si="3"/>
        <v>391.34628190084925</v>
      </c>
      <c r="M4" s="130">
        <f t="shared" si="3"/>
        <v>353.25232895913058</v>
      </c>
      <c r="N4" s="130">
        <f t="shared" si="3"/>
        <v>436.90421056709857</v>
      </c>
      <c r="O4" s="130">
        <f t="shared" si="3"/>
        <v>394.37423964975022</v>
      </c>
      <c r="P4" s="130">
        <f t="shared" si="3"/>
        <v>391.84195474491003</v>
      </c>
      <c r="Q4" s="130">
        <f t="shared" si="3"/>
        <v>532.29391396432413</v>
      </c>
      <c r="R4" s="130">
        <f t="shared" ref="R4:W4" si="4">SUM(R5:R15)</f>
        <v>615.72194859123624</v>
      </c>
      <c r="S4" s="130">
        <f t="shared" si="4"/>
        <v>590.20812973028126</v>
      </c>
      <c r="T4" s="130">
        <f t="shared" si="4"/>
        <v>558.98910784742088</v>
      </c>
      <c r="U4" s="130">
        <f t="shared" si="4"/>
        <v>604.24009013618445</v>
      </c>
      <c r="V4" s="130">
        <f t="shared" si="4"/>
        <v>574.73535436332213</v>
      </c>
      <c r="W4" s="130">
        <f t="shared" si="4"/>
        <v>644.92681371494643</v>
      </c>
      <c r="X4" s="130">
        <f t="shared" ref="X4:Y4" si="5">SUM(X5:X15)</f>
        <v>705.80104229802828</v>
      </c>
      <c r="Y4" s="130">
        <f t="shared" si="5"/>
        <v>750.90445965474794</v>
      </c>
      <c r="DA4" s="155" t="s">
        <v>302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2.3926835771720643</v>
      </c>
      <c r="Y5" s="132">
        <v>9.2315992594181235</v>
      </c>
      <c r="DA5" s="156" t="s">
        <v>303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304</v>
      </c>
    </row>
    <row r="7" spans="1:105" ht="12" customHeight="1" x14ac:dyDescent="0.25">
      <c r="A7" s="131" t="s">
        <v>161</v>
      </c>
      <c r="B7" s="132">
        <v>78.878498951464337</v>
      </c>
      <c r="C7" s="132">
        <v>106.95265036399755</v>
      </c>
      <c r="D7" s="132">
        <v>110.87041172207111</v>
      </c>
      <c r="E7" s="132">
        <v>120.43258366393452</v>
      </c>
      <c r="F7" s="132">
        <v>116.89921477427835</v>
      </c>
      <c r="G7" s="132">
        <v>150.39609370677812</v>
      </c>
      <c r="H7" s="132">
        <v>155.51020781637362</v>
      </c>
      <c r="I7" s="132">
        <v>140.0909965882218</v>
      </c>
      <c r="J7" s="132">
        <v>133.54802250192023</v>
      </c>
      <c r="K7" s="132">
        <v>94.342136541335265</v>
      </c>
      <c r="L7" s="132">
        <v>78.424027492187903</v>
      </c>
      <c r="M7" s="132">
        <v>71.002223979112074</v>
      </c>
      <c r="N7" s="132">
        <v>24.132305458786039</v>
      </c>
      <c r="O7" s="132">
        <v>46.86444242903405</v>
      </c>
      <c r="P7" s="132">
        <v>21.004508140006049</v>
      </c>
      <c r="Q7" s="132">
        <v>23.550594662527381</v>
      </c>
      <c r="R7" s="132">
        <v>45.880838913727672</v>
      </c>
      <c r="S7" s="132">
        <v>19.956676802239901</v>
      </c>
      <c r="T7" s="132">
        <v>19.689971514300638</v>
      </c>
      <c r="U7" s="132">
        <v>20.091341769213141</v>
      </c>
      <c r="V7" s="132">
        <v>18.095202206462773</v>
      </c>
      <c r="W7" s="132">
        <v>14.891465162666432</v>
      </c>
      <c r="X7" s="132">
        <v>13.692400332173492</v>
      </c>
      <c r="Y7" s="132">
        <v>10.356922186420734</v>
      </c>
      <c r="DA7" s="156" t="s">
        <v>305</v>
      </c>
    </row>
    <row r="8" spans="1:105" ht="12" customHeight="1" x14ac:dyDescent="0.25">
      <c r="A8" s="131" t="s">
        <v>73</v>
      </c>
      <c r="B8" s="132">
        <v>6.9931011848378124E-3</v>
      </c>
      <c r="C8" s="132">
        <v>8.640621447304592E-3</v>
      </c>
      <c r="D8" s="132">
        <v>1.487222853138714E-2</v>
      </c>
      <c r="E8" s="132">
        <v>2.5179487743684191E-2</v>
      </c>
      <c r="F8" s="132">
        <v>4.2237789484516855E-2</v>
      </c>
      <c r="G8" s="132">
        <v>6.8180123229465511E-2</v>
      </c>
      <c r="H8" s="132">
        <v>8.1869091191540275E-2</v>
      </c>
      <c r="I8" s="132">
        <v>9.5703881395383009E-2</v>
      </c>
      <c r="J8" s="132">
        <v>0.11768072372180358</v>
      </c>
      <c r="K8" s="132">
        <v>0.15160729276787085</v>
      </c>
      <c r="L8" s="132">
        <v>0.18463083546915396</v>
      </c>
      <c r="M8" s="132">
        <v>0.27821736414866044</v>
      </c>
      <c r="N8" s="132">
        <v>0.46652857156459987</v>
      </c>
      <c r="O8" s="132">
        <v>1.4176751719602574</v>
      </c>
      <c r="P8" s="132">
        <v>4.0879792891595121</v>
      </c>
      <c r="Q8" s="132">
        <v>9.6559008057342197</v>
      </c>
      <c r="R8" s="132">
        <v>9.8557435670692985</v>
      </c>
      <c r="S8" s="132">
        <v>10.114515635199247</v>
      </c>
      <c r="T8" s="132">
        <v>10.934328957998844</v>
      </c>
      <c r="U8" s="132">
        <v>11.631823095375726</v>
      </c>
      <c r="V8" s="132">
        <v>13.586281130763755</v>
      </c>
      <c r="W8" s="132">
        <v>14.83825771953982</v>
      </c>
      <c r="X8" s="132">
        <v>15.530330699649673</v>
      </c>
      <c r="Y8" s="132">
        <v>18.351648135062685</v>
      </c>
      <c r="DA8" s="156" t="s">
        <v>306</v>
      </c>
    </row>
    <row r="9" spans="1:105" ht="12" customHeight="1" x14ac:dyDescent="0.25">
      <c r="A9" s="131" t="s">
        <v>78</v>
      </c>
      <c r="B9" s="132">
        <v>1.4063280742009252</v>
      </c>
      <c r="C9" s="132">
        <v>2.0492967790575114</v>
      </c>
      <c r="D9" s="132">
        <v>3.7876299148218164</v>
      </c>
      <c r="E9" s="132">
        <v>7.4403862125544791</v>
      </c>
      <c r="F9" s="132">
        <v>13.393757624359434</v>
      </c>
      <c r="G9" s="132">
        <v>22.974557809196238</v>
      </c>
      <c r="H9" s="132">
        <v>28.397591909854345</v>
      </c>
      <c r="I9" s="132">
        <v>31.199946812326516</v>
      </c>
      <c r="J9" s="132">
        <v>39.27361444033982</v>
      </c>
      <c r="K9" s="132">
        <v>43.861244054846303</v>
      </c>
      <c r="L9" s="132">
        <v>37.167970883558326</v>
      </c>
      <c r="M9" s="132">
        <v>52.781274149205821</v>
      </c>
      <c r="N9" s="132">
        <v>38.191926779426289</v>
      </c>
      <c r="O9" s="132">
        <v>31.673977026673551</v>
      </c>
      <c r="P9" s="132">
        <v>30.938483962212214</v>
      </c>
      <c r="Q9" s="132">
        <v>48.169425399905961</v>
      </c>
      <c r="R9" s="132">
        <v>40.364290715745923</v>
      </c>
      <c r="S9" s="132">
        <v>41.816805048971723</v>
      </c>
      <c r="T9" s="132">
        <v>41.337559369766922</v>
      </c>
      <c r="U9" s="132">
        <v>50.970122931252959</v>
      </c>
      <c r="V9" s="132">
        <v>43.896387554771863</v>
      </c>
      <c r="W9" s="132">
        <v>44.809033962889167</v>
      </c>
      <c r="X9" s="132">
        <v>39.657518241681878</v>
      </c>
      <c r="Y9" s="132">
        <v>39.319221831741459</v>
      </c>
      <c r="DA9" s="156" t="s">
        <v>307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4.9940130913325707</v>
      </c>
      <c r="O10" s="132">
        <v>3.5015744544467746</v>
      </c>
      <c r="P10" s="132">
        <v>2.8621150887686642</v>
      </c>
      <c r="Q10" s="132">
        <v>8.7826777988348006</v>
      </c>
      <c r="R10" s="132">
        <v>5.6099902059631503</v>
      </c>
      <c r="S10" s="132">
        <v>4.1844825733655524</v>
      </c>
      <c r="T10" s="132">
        <v>6.368727527686544</v>
      </c>
      <c r="U10" s="132">
        <v>2.9371906380245822</v>
      </c>
      <c r="V10" s="132">
        <v>2.9786586115817868</v>
      </c>
      <c r="W10" s="132">
        <v>6.4351093935405705</v>
      </c>
      <c r="X10" s="132">
        <v>3.9367260645248003</v>
      </c>
      <c r="Y10" s="132">
        <v>1.9490775275940913</v>
      </c>
      <c r="DA10" s="156" t="s">
        <v>308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4.447603625788827</v>
      </c>
      <c r="G11" s="132">
        <v>4.1151522523418906</v>
      </c>
      <c r="H11" s="132">
        <v>4.1160644617498239</v>
      </c>
      <c r="I11" s="132">
        <v>3.9901230647757511</v>
      </c>
      <c r="J11" s="132">
        <v>3.9923568094717505</v>
      </c>
      <c r="K11" s="132">
        <v>5.1865574531175014</v>
      </c>
      <c r="L11" s="132">
        <v>5.2026459450991371</v>
      </c>
      <c r="M11" s="132">
        <v>5.2140252805972054</v>
      </c>
      <c r="N11" s="132">
        <v>5.2165053001262605</v>
      </c>
      <c r="O11" s="132">
        <v>5.0103519490068065</v>
      </c>
      <c r="P11" s="132">
        <v>5.6328486458659137</v>
      </c>
      <c r="Q11" s="132">
        <v>5.3391525163813132</v>
      </c>
      <c r="R11" s="132">
        <v>5.3426670961622893</v>
      </c>
      <c r="S11" s="132">
        <v>5.234079367647384</v>
      </c>
      <c r="T11" s="132">
        <v>5.2786295164661823</v>
      </c>
      <c r="U11" s="132">
        <v>7.0074179285803844</v>
      </c>
      <c r="V11" s="132">
        <v>2.3207566038136798</v>
      </c>
      <c r="W11" s="132">
        <v>2.2198717023119325</v>
      </c>
      <c r="X11" s="132">
        <v>5.7653026688415334</v>
      </c>
      <c r="Y11" s="132">
        <v>5.7853151889459706</v>
      </c>
      <c r="DA11" s="156" t="s">
        <v>309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310</v>
      </c>
    </row>
    <row r="13" spans="1:105" ht="12" customHeight="1" x14ac:dyDescent="0.25">
      <c r="A13" s="131" t="s">
        <v>77</v>
      </c>
      <c r="B13" s="132">
        <v>12.04433651236964</v>
      </c>
      <c r="C13" s="132">
        <v>15.18276852665451</v>
      </c>
      <c r="D13" s="132">
        <v>19.0551786757202</v>
      </c>
      <c r="E13" s="132">
        <v>24.440558858451773</v>
      </c>
      <c r="F13" s="132">
        <v>35.981355353694511</v>
      </c>
      <c r="G13" s="132">
        <v>40.368779362095303</v>
      </c>
      <c r="H13" s="132">
        <v>52.808931762589147</v>
      </c>
      <c r="I13" s="132">
        <v>71.64031573515814</v>
      </c>
      <c r="J13" s="132">
        <v>89.603185912273716</v>
      </c>
      <c r="K13" s="132">
        <v>110.80149966578347</v>
      </c>
      <c r="L13" s="132">
        <v>123.4877389121219</v>
      </c>
      <c r="M13" s="132">
        <v>137.21634544665011</v>
      </c>
      <c r="N13" s="132">
        <v>193.39945175446474</v>
      </c>
      <c r="O13" s="132">
        <v>215.98052289872868</v>
      </c>
      <c r="P13" s="132">
        <v>279.98255834723921</v>
      </c>
      <c r="Q13" s="132">
        <v>353.79035769042633</v>
      </c>
      <c r="R13" s="132">
        <v>356.28063646188991</v>
      </c>
      <c r="S13" s="132">
        <v>355.11823148987207</v>
      </c>
      <c r="T13" s="132">
        <v>386.38110446671567</v>
      </c>
      <c r="U13" s="132">
        <v>403.91140097672434</v>
      </c>
      <c r="V13" s="132">
        <v>441.44268475975554</v>
      </c>
      <c r="W13" s="132">
        <v>489.31678859438921</v>
      </c>
      <c r="X13" s="132">
        <v>506.40865166512026</v>
      </c>
      <c r="Y13" s="132">
        <v>554.22293552706265</v>
      </c>
      <c r="DA13" s="156" t="s">
        <v>311</v>
      </c>
    </row>
    <row r="14" spans="1:105" ht="12" customHeight="1" x14ac:dyDescent="0.25">
      <c r="A14" s="60" t="s">
        <v>76</v>
      </c>
      <c r="B14" s="65">
        <v>83.563483261805374</v>
      </c>
      <c r="C14" s="65">
        <v>95.066693234272236</v>
      </c>
      <c r="D14" s="65">
        <v>100.14993536876582</v>
      </c>
      <c r="E14" s="65">
        <v>119.54107666015524</v>
      </c>
      <c r="F14" s="65">
        <v>152.75926891243964</v>
      </c>
      <c r="G14" s="65">
        <v>149.87596124144756</v>
      </c>
      <c r="H14" s="65">
        <v>187.87304832954521</v>
      </c>
      <c r="I14" s="65">
        <v>212.45072009483113</v>
      </c>
      <c r="J14" s="65">
        <v>243.89018080405097</v>
      </c>
      <c r="K14" s="65">
        <v>244.8767573640576</v>
      </c>
      <c r="L14" s="65">
        <v>144.89639779050032</v>
      </c>
      <c r="M14" s="65">
        <v>84.661256760925042</v>
      </c>
      <c r="N14" s="65">
        <v>169.4036023481828</v>
      </c>
      <c r="O14" s="65">
        <v>88.578086348896491</v>
      </c>
      <c r="P14" s="65">
        <v>46.422517788773561</v>
      </c>
      <c r="Q14" s="65">
        <v>81.711273968634416</v>
      </c>
      <c r="R14" s="65">
        <v>150.89169732050496</v>
      </c>
      <c r="S14" s="65">
        <v>152.69443892511387</v>
      </c>
      <c r="T14" s="65">
        <v>87.906988767837618</v>
      </c>
      <c r="U14" s="65">
        <v>106.461568873449</v>
      </c>
      <c r="V14" s="65">
        <v>51.346463311029446</v>
      </c>
      <c r="W14" s="65">
        <v>71.349521910106205</v>
      </c>
      <c r="X14" s="65">
        <v>117.43604790353803</v>
      </c>
      <c r="Y14" s="65">
        <v>110.71391543510138</v>
      </c>
      <c r="DA14" s="109" t="s">
        <v>312</v>
      </c>
    </row>
    <row r="15" spans="1:105" ht="12" customHeight="1" x14ac:dyDescent="0.25">
      <c r="A15" s="133" t="s">
        <v>80</v>
      </c>
      <c r="B15" s="134">
        <v>1.6057315060192294</v>
      </c>
      <c r="C15" s="134">
        <v>2.1347553516634119</v>
      </c>
      <c r="D15" s="134">
        <v>2.201068788625129</v>
      </c>
      <c r="E15" s="134">
        <v>2.4085708163581865</v>
      </c>
      <c r="F15" s="134">
        <v>2.4309971344648909</v>
      </c>
      <c r="G15" s="134">
        <v>3.172041833347206</v>
      </c>
      <c r="H15" s="134">
        <v>3.3103249414552831</v>
      </c>
      <c r="I15" s="134">
        <v>3.0380718736367593</v>
      </c>
      <c r="J15" s="134">
        <v>3.0225320167041212</v>
      </c>
      <c r="K15" s="134">
        <v>2.3946494410125854</v>
      </c>
      <c r="L15" s="134">
        <v>1.9828700419125014</v>
      </c>
      <c r="M15" s="134">
        <v>2.0989859784916409</v>
      </c>
      <c r="N15" s="134">
        <v>1.0998772632152827</v>
      </c>
      <c r="O15" s="134">
        <v>1.3476093710036703</v>
      </c>
      <c r="P15" s="134">
        <v>0.91094348288488225</v>
      </c>
      <c r="Q15" s="134">
        <v>1.2945311218796378</v>
      </c>
      <c r="R15" s="134">
        <v>1.4960843101730219</v>
      </c>
      <c r="S15" s="134">
        <v>1.0888998878715892</v>
      </c>
      <c r="T15" s="134">
        <v>1.0917977266484884</v>
      </c>
      <c r="U15" s="134">
        <v>1.2292239235643381</v>
      </c>
      <c r="V15" s="134">
        <v>1.0689201851432362</v>
      </c>
      <c r="W15" s="134">
        <v>1.0667652695031271</v>
      </c>
      <c r="X15" s="134">
        <v>0.98138114532667109</v>
      </c>
      <c r="Y15" s="134">
        <v>0.97382456340085688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64.330814428556451</v>
      </c>
      <c r="C16" s="130">
        <f t="shared" si="6"/>
        <v>84.486965050401324</v>
      </c>
      <c r="D16" s="130">
        <f t="shared" si="6"/>
        <v>73.118599811636642</v>
      </c>
      <c r="E16" s="130">
        <f t="shared" si="6"/>
        <v>106.64668989458809</v>
      </c>
      <c r="F16" s="130">
        <f t="shared" si="6"/>
        <v>70.991426835041366</v>
      </c>
      <c r="G16" s="130">
        <f t="shared" si="6"/>
        <v>76.615054275178423</v>
      </c>
      <c r="H16" s="130">
        <f t="shared" si="6"/>
        <v>100.2979716350054</v>
      </c>
      <c r="I16" s="130">
        <f t="shared" si="6"/>
        <v>163.64783763016203</v>
      </c>
      <c r="J16" s="130">
        <f t="shared" si="6"/>
        <v>170.0921562125757</v>
      </c>
      <c r="K16" s="130">
        <f t="shared" si="6"/>
        <v>122.46911299368411</v>
      </c>
      <c r="L16" s="130">
        <f t="shared" si="6"/>
        <v>160.77527273059539</v>
      </c>
      <c r="M16" s="130">
        <f t="shared" si="6"/>
        <v>145.68565129443738</v>
      </c>
      <c r="N16" s="130">
        <f t="shared" si="6"/>
        <v>254.79761861788862</v>
      </c>
      <c r="O16" s="130">
        <f t="shared" si="6"/>
        <v>172.33945966521298</v>
      </c>
      <c r="P16" s="130">
        <f t="shared" si="6"/>
        <v>153.24637422891456</v>
      </c>
      <c r="Q16" s="130">
        <f t="shared" si="6"/>
        <v>209.12073280096214</v>
      </c>
      <c r="R16" s="130">
        <f t="shared" ref="R16:W16" si="7">SUM(R17:R18)</f>
        <v>238.94500245961146</v>
      </c>
      <c r="S16" s="130">
        <f t="shared" si="7"/>
        <v>254.4395800550989</v>
      </c>
      <c r="T16" s="130">
        <f t="shared" si="7"/>
        <v>230.00707943749913</v>
      </c>
      <c r="U16" s="130">
        <f t="shared" si="7"/>
        <v>305.42115365895688</v>
      </c>
      <c r="V16" s="130">
        <f t="shared" si="7"/>
        <v>267.65712912643266</v>
      </c>
      <c r="W16" s="130">
        <f t="shared" si="7"/>
        <v>362.83688768708976</v>
      </c>
      <c r="X16" s="130">
        <f t="shared" ref="X16:Y16" si="8">SUM(X17:X18)</f>
        <v>322.98126684756028</v>
      </c>
      <c r="Y16" s="130">
        <f t="shared" si="8"/>
        <v>338.38440632578522</v>
      </c>
      <c r="DA16" s="155" t="s">
        <v>314</v>
      </c>
    </row>
    <row r="17" spans="1:105" ht="12.95" customHeight="1" x14ac:dyDescent="0.25">
      <c r="A17" s="131" t="s">
        <v>73</v>
      </c>
      <c r="B17" s="132">
        <v>4.4929134494549473E-2</v>
      </c>
      <c r="C17" s="132">
        <v>5.8548563393982289E-2</v>
      </c>
      <c r="D17" s="132">
        <v>6.7599854711224164E-2</v>
      </c>
      <c r="E17" s="132">
        <v>8.6061194223279694E-2</v>
      </c>
      <c r="F17" s="132">
        <v>0.11807459277160814</v>
      </c>
      <c r="G17" s="132">
        <v>0.18804241822331452</v>
      </c>
      <c r="H17" s="132">
        <v>0.31667734553109189</v>
      </c>
      <c r="I17" s="132">
        <v>0.45340023597127077</v>
      </c>
      <c r="J17" s="132">
        <v>0.60831241415170401</v>
      </c>
      <c r="K17" s="132">
        <v>0.72869701352896865</v>
      </c>
      <c r="L17" s="132">
        <v>0.99782392031530209</v>
      </c>
      <c r="M17" s="132">
        <v>1.2641442480522318</v>
      </c>
      <c r="N17" s="132">
        <v>2.484972487605424</v>
      </c>
      <c r="O17" s="132">
        <v>2.6209339005842609</v>
      </c>
      <c r="P17" s="132">
        <v>3.2092125392401512</v>
      </c>
      <c r="Q17" s="132">
        <v>4.6810240089379773</v>
      </c>
      <c r="R17" s="132">
        <v>5.6575956554652489</v>
      </c>
      <c r="S17" s="132">
        <v>6.4446104119207686</v>
      </c>
      <c r="T17" s="132">
        <v>6.6016223413305957</v>
      </c>
      <c r="U17" s="132">
        <v>8.8493348781841874</v>
      </c>
      <c r="V17" s="132">
        <v>7.4987217499444645</v>
      </c>
      <c r="W17" s="132">
        <v>10.101361089778951</v>
      </c>
      <c r="X17" s="132">
        <v>9.4656206835844348</v>
      </c>
      <c r="Y17" s="132">
        <v>10.048023128668039</v>
      </c>
      <c r="DA17" s="156" t="s">
        <v>315</v>
      </c>
    </row>
    <row r="18" spans="1:105" ht="12" customHeight="1" x14ac:dyDescent="0.25">
      <c r="A18" s="131" t="s">
        <v>72</v>
      </c>
      <c r="B18" s="132">
        <v>64.285885294061899</v>
      </c>
      <c r="C18" s="132">
        <v>84.42841648700734</v>
      </c>
      <c r="D18" s="132">
        <v>73.050999956925423</v>
      </c>
      <c r="E18" s="132">
        <v>106.56062870036482</v>
      </c>
      <c r="F18" s="132">
        <v>70.87335224226976</v>
      </c>
      <c r="G18" s="132">
        <v>76.427011856955104</v>
      </c>
      <c r="H18" s="132">
        <v>99.981294289474306</v>
      </c>
      <c r="I18" s="132">
        <v>163.19443739419077</v>
      </c>
      <c r="J18" s="132">
        <v>169.483843798424</v>
      </c>
      <c r="K18" s="132">
        <v>121.74041598015513</v>
      </c>
      <c r="L18" s="132">
        <v>159.77744881028008</v>
      </c>
      <c r="M18" s="132">
        <v>144.42150704638516</v>
      </c>
      <c r="N18" s="132">
        <v>252.31264613028318</v>
      </c>
      <c r="O18" s="132">
        <v>169.71852576462874</v>
      </c>
      <c r="P18" s="132">
        <v>150.03716168967441</v>
      </c>
      <c r="Q18" s="132">
        <v>204.43970879202416</v>
      </c>
      <c r="R18" s="132">
        <v>233.2874068041462</v>
      </c>
      <c r="S18" s="132">
        <v>247.99496964317814</v>
      </c>
      <c r="T18" s="132">
        <v>223.40545709616853</v>
      </c>
      <c r="U18" s="132">
        <v>296.57181878077267</v>
      </c>
      <c r="V18" s="132">
        <v>260.15840737648819</v>
      </c>
      <c r="W18" s="132">
        <v>352.73552659731081</v>
      </c>
      <c r="X18" s="132">
        <v>313.51564616397582</v>
      </c>
      <c r="Y18" s="132">
        <v>328.33638319711719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131.17353647672687</v>
      </c>
      <c r="C19" s="130">
        <f t="shared" si="9"/>
        <v>142.93628604033643</v>
      </c>
      <c r="D19" s="130">
        <f t="shared" si="9"/>
        <v>154.95107323945413</v>
      </c>
      <c r="E19" s="130">
        <f t="shared" si="9"/>
        <v>163.32329390134888</v>
      </c>
      <c r="F19" s="130">
        <f t="shared" si="9"/>
        <v>173.09480799956947</v>
      </c>
      <c r="G19" s="130">
        <f t="shared" si="9"/>
        <v>188.15105895761849</v>
      </c>
      <c r="H19" s="130">
        <f t="shared" si="9"/>
        <v>193.66371757732477</v>
      </c>
      <c r="I19" s="130">
        <f t="shared" si="9"/>
        <v>195.9735991584493</v>
      </c>
      <c r="J19" s="130">
        <f t="shared" si="9"/>
        <v>202.17058102242154</v>
      </c>
      <c r="K19" s="130">
        <f t="shared" si="9"/>
        <v>206.6362380518031</v>
      </c>
      <c r="L19" s="130">
        <f t="shared" si="9"/>
        <v>210.38539957907329</v>
      </c>
      <c r="M19" s="130">
        <f t="shared" si="9"/>
        <v>212.1885170617883</v>
      </c>
      <c r="N19" s="130">
        <f t="shared" si="9"/>
        <v>212.46484931664651</v>
      </c>
      <c r="O19" s="130">
        <f t="shared" si="9"/>
        <v>215.56354900119254</v>
      </c>
      <c r="P19" s="130">
        <f t="shared" si="9"/>
        <v>222.10757079328081</v>
      </c>
      <c r="Q19" s="130">
        <f t="shared" si="9"/>
        <v>225.9540511306721</v>
      </c>
      <c r="R19" s="130">
        <f t="shared" ref="R19:W19" si="10">SUM(R20:R27)</f>
        <v>226.98343963759865</v>
      </c>
      <c r="S19" s="130">
        <f t="shared" si="10"/>
        <v>229.49791159577543</v>
      </c>
      <c r="T19" s="130">
        <f t="shared" si="10"/>
        <v>231.66874582534547</v>
      </c>
      <c r="U19" s="130">
        <f t="shared" si="10"/>
        <v>230.39913335368931</v>
      </c>
      <c r="V19" s="130">
        <f t="shared" si="10"/>
        <v>207.90785903707803</v>
      </c>
      <c r="W19" s="130">
        <f t="shared" si="10"/>
        <v>212.47797251882236</v>
      </c>
      <c r="X19" s="130">
        <f t="shared" ref="X19:Y19" si="11">SUM(X20:X27)</f>
        <v>226.9685025211941</v>
      </c>
      <c r="Y19" s="130">
        <f t="shared" si="11"/>
        <v>230.36706236034578</v>
      </c>
      <c r="DA19" s="155" t="s">
        <v>317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1.9375033511803803</v>
      </c>
      <c r="C21" s="132">
        <v>2.1754785824183007</v>
      </c>
      <c r="D21" s="132">
        <v>2.2980034180688169</v>
      </c>
      <c r="E21" s="132">
        <v>2.3278118504871421</v>
      </c>
      <c r="F21" s="132">
        <v>2.5587245422330667</v>
      </c>
      <c r="G21" s="132">
        <v>3.0315375459324154</v>
      </c>
      <c r="H21" s="132">
        <v>3.3791195626280652</v>
      </c>
      <c r="I21" s="132">
        <v>4.0774695091247404</v>
      </c>
      <c r="J21" s="132">
        <v>4.280895214440628</v>
      </c>
      <c r="K21" s="132">
        <v>4.3838744681772415</v>
      </c>
      <c r="L21" s="132">
        <v>4.5145840131449138</v>
      </c>
      <c r="M21" s="132">
        <v>4.5466588591207167</v>
      </c>
      <c r="N21" s="132">
        <v>4.9483799084862401</v>
      </c>
      <c r="O21" s="132">
        <v>5.0504522333723916</v>
      </c>
      <c r="P21" s="132">
        <v>5.1513368894173066</v>
      </c>
      <c r="Q21" s="132">
        <v>5.3814340724766323</v>
      </c>
      <c r="R21" s="132">
        <v>6.6319661047893677</v>
      </c>
      <c r="S21" s="132">
        <v>7.5358121175145012</v>
      </c>
      <c r="T21" s="132">
        <v>7.7411982452007573</v>
      </c>
      <c r="U21" s="132">
        <v>8.3403604234979074</v>
      </c>
      <c r="V21" s="132">
        <v>5.0054652842876957</v>
      </c>
      <c r="W21" s="132">
        <v>7.080959274255366</v>
      </c>
      <c r="X21" s="132">
        <v>9.4421483780392528</v>
      </c>
      <c r="Y21" s="132">
        <v>10.735933711807743</v>
      </c>
      <c r="DA21" s="156" t="s">
        <v>319</v>
      </c>
    </row>
    <row r="22" spans="1:105" ht="12" customHeight="1" x14ac:dyDescent="0.25">
      <c r="A22" s="131" t="s">
        <v>161</v>
      </c>
      <c r="B22" s="132">
        <v>4.6111201492655463</v>
      </c>
      <c r="C22" s="132">
        <v>5.3068872582072775</v>
      </c>
      <c r="D22" s="132">
        <v>5.7625944551126631</v>
      </c>
      <c r="E22" s="132">
        <v>6.0407447088140795</v>
      </c>
      <c r="F22" s="132">
        <v>6.4333007569736704</v>
      </c>
      <c r="G22" s="132">
        <v>7.0619775677950045</v>
      </c>
      <c r="H22" s="132">
        <v>7.3761860535956254</v>
      </c>
      <c r="I22" s="132">
        <v>7.618325392632884</v>
      </c>
      <c r="J22" s="132">
        <v>7.724965151350748</v>
      </c>
      <c r="K22" s="132">
        <v>7.6082047778085711</v>
      </c>
      <c r="L22" s="132">
        <v>7.6547033289007977</v>
      </c>
      <c r="M22" s="132">
        <v>7.7667639668783162</v>
      </c>
      <c r="N22" s="132">
        <v>7.8556509839201913</v>
      </c>
      <c r="O22" s="132">
        <v>8.2151470877931736</v>
      </c>
      <c r="P22" s="132">
        <v>8.6060620122241698</v>
      </c>
      <c r="Q22" s="132">
        <v>8.8982161482984861</v>
      </c>
      <c r="R22" s="132">
        <v>9.0239905817941271</v>
      </c>
      <c r="S22" s="132">
        <v>8.8771499663427935</v>
      </c>
      <c r="T22" s="132">
        <v>7.7175746990502443</v>
      </c>
      <c r="U22" s="132">
        <v>6.8564948897517137</v>
      </c>
      <c r="V22" s="132">
        <v>4.347762456250031</v>
      </c>
      <c r="W22" s="132">
        <v>3.4793717554111567</v>
      </c>
      <c r="X22" s="132">
        <v>4.9149759320384341</v>
      </c>
      <c r="Y22" s="132">
        <v>3.3848049967488842</v>
      </c>
      <c r="DA22" s="156" t="s">
        <v>320</v>
      </c>
    </row>
    <row r="23" spans="1:105" ht="12" customHeight="1" x14ac:dyDescent="0.25">
      <c r="A23" s="131" t="s">
        <v>149</v>
      </c>
      <c r="B23" s="132">
        <v>1.8050671167042511</v>
      </c>
      <c r="C23" s="132">
        <v>2.5347875421897825</v>
      </c>
      <c r="D23" s="132">
        <v>3.1060174705213011</v>
      </c>
      <c r="E23" s="132">
        <v>3.831916246036156</v>
      </c>
      <c r="F23" s="132">
        <v>4.2204405721029605</v>
      </c>
      <c r="G23" s="132">
        <v>7.4151410382544691</v>
      </c>
      <c r="H23" s="132">
        <v>8.9227871890981785</v>
      </c>
      <c r="I23" s="132">
        <v>10.852744412511784</v>
      </c>
      <c r="J23" s="132">
        <v>11.89159222713638</v>
      </c>
      <c r="K23" s="132">
        <v>13.201649818627796</v>
      </c>
      <c r="L23" s="132">
        <v>15.73767748697697</v>
      </c>
      <c r="M23" s="132">
        <v>16.536047668116645</v>
      </c>
      <c r="N23" s="132">
        <v>17.680238299111647</v>
      </c>
      <c r="O23" s="132">
        <v>18.301800362579801</v>
      </c>
      <c r="P23" s="132">
        <v>17.030954545869434</v>
      </c>
      <c r="Q23" s="132">
        <v>18.007275449998186</v>
      </c>
      <c r="R23" s="132">
        <v>16.874720603641606</v>
      </c>
      <c r="S23" s="132">
        <v>17.684675962125752</v>
      </c>
      <c r="T23" s="132">
        <v>18.332315409677321</v>
      </c>
      <c r="U23" s="132">
        <v>18.434777119790077</v>
      </c>
      <c r="V23" s="132">
        <v>17.278570312897692</v>
      </c>
      <c r="W23" s="132">
        <v>17.846910032914831</v>
      </c>
      <c r="X23" s="132">
        <v>8.1063768468069188</v>
      </c>
      <c r="Y23" s="132">
        <v>7.4020641375790488</v>
      </c>
      <c r="DA23" s="156" t="s">
        <v>321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322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323</v>
      </c>
    </row>
    <row r="26" spans="1:105" ht="12" customHeight="1" x14ac:dyDescent="0.25">
      <c r="A26" s="131" t="s">
        <v>24</v>
      </c>
      <c r="B26" s="65">
        <v>117.03979426886302</v>
      </c>
      <c r="C26" s="65">
        <v>127.04355226199228</v>
      </c>
      <c r="D26" s="65">
        <v>137.78944499807295</v>
      </c>
      <c r="E26" s="65">
        <v>144.96056830151451</v>
      </c>
      <c r="F26" s="65">
        <v>153.50512802679805</v>
      </c>
      <c r="G26" s="65">
        <v>164.6473899079582</v>
      </c>
      <c r="H26" s="65">
        <v>167.51288186572603</v>
      </c>
      <c r="I26" s="65">
        <v>166.40296182182391</v>
      </c>
      <c r="J26" s="65">
        <v>170.15240615950239</v>
      </c>
      <c r="K26" s="65">
        <v>172.53356659681975</v>
      </c>
      <c r="L26" s="65">
        <v>173.5455886623464</v>
      </c>
      <c r="M26" s="65">
        <v>174.40620047996842</v>
      </c>
      <c r="N26" s="65">
        <v>172.97610892994356</v>
      </c>
      <c r="O26" s="65">
        <v>174.87224562011272</v>
      </c>
      <c r="P26" s="65">
        <v>181.9564486441362</v>
      </c>
      <c r="Q26" s="65">
        <v>184.08939545130033</v>
      </c>
      <c r="R26" s="65">
        <v>184.68397472914484</v>
      </c>
      <c r="S26" s="65">
        <v>185.36871722992996</v>
      </c>
      <c r="T26" s="65">
        <v>187.63113984458997</v>
      </c>
      <c r="U26" s="65">
        <v>186.32992568419218</v>
      </c>
      <c r="V26" s="65">
        <v>170.5781246121895</v>
      </c>
      <c r="W26" s="65">
        <v>172.97872801686009</v>
      </c>
      <c r="X26" s="65">
        <v>192.839739111515</v>
      </c>
      <c r="Y26" s="65">
        <v>196.53600500002264</v>
      </c>
      <c r="DA26" s="109" t="s">
        <v>324</v>
      </c>
    </row>
    <row r="27" spans="1:105" ht="12" customHeight="1" x14ac:dyDescent="0.25">
      <c r="A27" s="144" t="s">
        <v>26</v>
      </c>
      <c r="B27" s="145">
        <v>5.7800515907136703</v>
      </c>
      <c r="C27" s="145">
        <v>5.8755803955288055</v>
      </c>
      <c r="D27" s="145">
        <v>5.9950128976784152</v>
      </c>
      <c r="E27" s="145">
        <v>6.1622527944969887</v>
      </c>
      <c r="F27" s="145">
        <v>6.3772141014617389</v>
      </c>
      <c r="G27" s="145">
        <v>5.9950128976784169</v>
      </c>
      <c r="H27" s="145">
        <v>6.4727429062768707</v>
      </c>
      <c r="I27" s="145">
        <v>7.0220980223559737</v>
      </c>
      <c r="J27" s="145">
        <v>8.1207222699914023</v>
      </c>
      <c r="K27" s="145">
        <v>8.9089423903697309</v>
      </c>
      <c r="L27" s="145">
        <v>8.9328460877042133</v>
      </c>
      <c r="M27" s="145">
        <v>8.9328460877042115</v>
      </c>
      <c r="N27" s="145">
        <v>9.0044711951848626</v>
      </c>
      <c r="O27" s="145">
        <v>9.1239036973344732</v>
      </c>
      <c r="P27" s="145">
        <v>9.3627687016337102</v>
      </c>
      <c r="Q27" s="145">
        <v>9.5777300085984542</v>
      </c>
      <c r="R27" s="145">
        <v>9.7687876182287194</v>
      </c>
      <c r="S27" s="145">
        <v>10.031556319862426</v>
      </c>
      <c r="T27" s="145">
        <v>10.246517626827174</v>
      </c>
      <c r="U27" s="145">
        <v>10.437575236457434</v>
      </c>
      <c r="V27" s="145">
        <v>10.697936371453132</v>
      </c>
      <c r="W27" s="145">
        <v>11.092003439380909</v>
      </c>
      <c r="X27" s="145">
        <v>11.665262252794504</v>
      </c>
      <c r="Y27" s="145">
        <v>12.308254514187462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175.63326710507579</v>
      </c>
      <c r="C29" s="130">
        <f t="shared" si="12"/>
        <v>187.50600850228508</v>
      </c>
      <c r="D29" s="130">
        <f t="shared" si="12"/>
        <v>201.32907694230386</v>
      </c>
      <c r="E29" s="130">
        <f t="shared" si="12"/>
        <v>206.66183387846485</v>
      </c>
      <c r="F29" s="130">
        <f t="shared" si="12"/>
        <v>220.04992451781243</v>
      </c>
      <c r="G29" s="130">
        <f t="shared" si="12"/>
        <v>229.46560514540064</v>
      </c>
      <c r="H29" s="130">
        <f t="shared" si="12"/>
        <v>233.8478397602681</v>
      </c>
      <c r="I29" s="130">
        <f t="shared" si="12"/>
        <v>234.65282059660248</v>
      </c>
      <c r="J29" s="130">
        <f t="shared" si="12"/>
        <v>236.98677944522387</v>
      </c>
      <c r="K29" s="130">
        <f t="shared" si="12"/>
        <v>243.37705126646745</v>
      </c>
      <c r="L29" s="130">
        <f t="shared" si="12"/>
        <v>246.01264704971095</v>
      </c>
      <c r="M29" s="130">
        <f t="shared" si="12"/>
        <v>248.05373445741876</v>
      </c>
      <c r="N29" s="130">
        <f t="shared" si="12"/>
        <v>247.31603264406624</v>
      </c>
      <c r="O29" s="130">
        <f t="shared" si="12"/>
        <v>252.04411007538914</v>
      </c>
      <c r="P29" s="130">
        <f t="shared" si="12"/>
        <v>254.19416436007359</v>
      </c>
      <c r="Q29" s="130">
        <f t="shared" si="12"/>
        <v>251.26022345433259</v>
      </c>
      <c r="R29" s="130">
        <f t="shared" ref="R29:W29" si="13">SUM(R30:R33)</f>
        <v>253.23225619106015</v>
      </c>
      <c r="S29" s="130">
        <f t="shared" si="13"/>
        <v>254.83690926227379</v>
      </c>
      <c r="T29" s="130">
        <f t="shared" si="13"/>
        <v>255.94189689766029</v>
      </c>
      <c r="U29" s="130">
        <f t="shared" si="13"/>
        <v>252.37930458263855</v>
      </c>
      <c r="V29" s="130">
        <f t="shared" si="13"/>
        <v>218.4934076970689</v>
      </c>
      <c r="W29" s="130">
        <f t="shared" si="13"/>
        <v>247.00841560226394</v>
      </c>
      <c r="X29" s="130">
        <f t="shared" ref="X29:Y29" si="14">SUM(X30:X33)</f>
        <v>247.19181375730591</v>
      </c>
      <c r="Y29" s="130">
        <f t="shared" si="14"/>
        <v>250.97870681897626</v>
      </c>
      <c r="DA29" s="155" t="s">
        <v>326</v>
      </c>
    </row>
    <row r="30" spans="1:105" ht="12" customHeight="1" x14ac:dyDescent="0.25">
      <c r="A30" s="131" t="s">
        <v>52</v>
      </c>
      <c r="B30" s="132">
        <v>11.414899947706557</v>
      </c>
      <c r="C30" s="132">
        <v>11.723870833092411</v>
      </c>
      <c r="D30" s="132">
        <v>7.0745286479944056</v>
      </c>
      <c r="E30" s="132">
        <v>8.7890219001323633</v>
      </c>
      <c r="F30" s="132">
        <v>24.593228851171755</v>
      </c>
      <c r="G30" s="132">
        <v>21.270301452688287</v>
      </c>
      <c r="H30" s="132">
        <v>20.368204202458092</v>
      </c>
      <c r="I30" s="132">
        <v>18.502472451745781</v>
      </c>
      <c r="J30" s="132">
        <v>17.762207877556261</v>
      </c>
      <c r="K30" s="132">
        <v>16.526017599495923</v>
      </c>
      <c r="L30" s="132">
        <v>17.551519155941495</v>
      </c>
      <c r="M30" s="132">
        <v>14.769438156122348</v>
      </c>
      <c r="N30" s="132">
        <v>47.617258286250127</v>
      </c>
      <c r="O30" s="132">
        <v>31.847217766531799</v>
      </c>
      <c r="P30" s="132">
        <v>16.054422925692553</v>
      </c>
      <c r="Q30" s="132">
        <v>18.794544983042737</v>
      </c>
      <c r="R30" s="132">
        <v>22.350814866685127</v>
      </c>
      <c r="S30" s="132">
        <v>25.122536408318169</v>
      </c>
      <c r="T30" s="132">
        <v>27.608852824156958</v>
      </c>
      <c r="U30" s="132">
        <v>31.761942394456288</v>
      </c>
      <c r="V30" s="132">
        <v>20.118200774560336</v>
      </c>
      <c r="W30" s="132">
        <v>30.643713829344531</v>
      </c>
      <c r="X30" s="132">
        <v>39.816061311642848</v>
      </c>
      <c r="Y30" s="132">
        <v>49.994732117363</v>
      </c>
      <c r="DA30" s="156" t="s">
        <v>327</v>
      </c>
    </row>
    <row r="31" spans="1:105" ht="12" customHeight="1" x14ac:dyDescent="0.25">
      <c r="A31" s="131" t="s">
        <v>149</v>
      </c>
      <c r="B31" s="132">
        <v>0.91964033898920672</v>
      </c>
      <c r="C31" s="132">
        <v>1.2650023905208274</v>
      </c>
      <c r="D31" s="132">
        <v>1.894664103688138</v>
      </c>
      <c r="E31" s="132">
        <v>2.9554434299664689</v>
      </c>
      <c r="F31" s="132">
        <v>4.2365990287759248</v>
      </c>
      <c r="G31" s="132">
        <v>6.3579102811542665</v>
      </c>
      <c r="H31" s="132">
        <v>7.3141826339276435</v>
      </c>
      <c r="I31" s="132">
        <v>8.4697088766298698</v>
      </c>
      <c r="J31" s="132">
        <v>9.9831914128775292</v>
      </c>
      <c r="K31" s="132">
        <v>12.523238036123482</v>
      </c>
      <c r="L31" s="132">
        <v>14.78396519607654</v>
      </c>
      <c r="M31" s="132">
        <v>16.747144141301007</v>
      </c>
      <c r="N31" s="132">
        <v>17.36285764928531</v>
      </c>
      <c r="O31" s="132">
        <v>17.592616289627848</v>
      </c>
      <c r="P31" s="132">
        <v>18.622265226327507</v>
      </c>
      <c r="Q31" s="132">
        <v>18.715015257854613</v>
      </c>
      <c r="R31" s="132">
        <v>18.108604484266703</v>
      </c>
      <c r="S31" s="132">
        <v>17.594947977859299</v>
      </c>
      <c r="T31" s="132">
        <v>17.391326473477051</v>
      </c>
      <c r="U31" s="132">
        <v>17.806588338242364</v>
      </c>
      <c r="V31" s="132">
        <v>16.868852230665411</v>
      </c>
      <c r="W31" s="132">
        <v>18.215474931434059</v>
      </c>
      <c r="X31" s="132">
        <v>13.786050324286892</v>
      </c>
      <c r="Y31" s="132">
        <v>12.521239813415608</v>
      </c>
      <c r="DA31" s="156" t="s">
        <v>328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329</v>
      </c>
    </row>
    <row r="33" spans="1:105" ht="12" customHeight="1" x14ac:dyDescent="0.25">
      <c r="A33" s="62" t="s">
        <v>24</v>
      </c>
      <c r="B33" s="68">
        <v>163.29872681838003</v>
      </c>
      <c r="C33" s="68">
        <v>174.51713527867184</v>
      </c>
      <c r="D33" s="68">
        <v>192.3598841906213</v>
      </c>
      <c r="E33" s="68">
        <v>194.91736854836603</v>
      </c>
      <c r="F33" s="68">
        <v>191.22009663786474</v>
      </c>
      <c r="G33" s="68">
        <v>201.83739341155808</v>
      </c>
      <c r="H33" s="68">
        <v>206.16545292388236</v>
      </c>
      <c r="I33" s="68">
        <v>207.68063926822683</v>
      </c>
      <c r="J33" s="68">
        <v>209.24138015479008</v>
      </c>
      <c r="K33" s="68">
        <v>214.32779563084804</v>
      </c>
      <c r="L33" s="68">
        <v>213.67716269769292</v>
      </c>
      <c r="M33" s="68">
        <v>216.5371521599954</v>
      </c>
      <c r="N33" s="68">
        <v>182.33591670853079</v>
      </c>
      <c r="O33" s="68">
        <v>202.6042760192295</v>
      </c>
      <c r="P33" s="68">
        <v>219.51747620805352</v>
      </c>
      <c r="Q33" s="68">
        <v>213.75066321343525</v>
      </c>
      <c r="R33" s="68">
        <v>212.77283684010831</v>
      </c>
      <c r="S33" s="68">
        <v>212.11942487609633</v>
      </c>
      <c r="T33" s="68">
        <v>210.94171760002627</v>
      </c>
      <c r="U33" s="68">
        <v>202.81077384993989</v>
      </c>
      <c r="V33" s="68">
        <v>181.50635469184317</v>
      </c>
      <c r="W33" s="68">
        <v>198.14922684148536</v>
      </c>
      <c r="X33" s="68">
        <v>193.58970212137618</v>
      </c>
      <c r="Y33" s="68">
        <v>188.46273488819764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0.5929896461093177</v>
      </c>
      <c r="C3" s="126">
        <f>IF(SER_hh_tes!C3=0,"",SER_hh_tes!C3/SER_hh_fec!C3)</f>
        <v>0.59568402783030427</v>
      </c>
      <c r="D3" s="126">
        <f>IF(SER_hh_tes!D3=0,"",SER_hh_tes!D3/SER_hh_fec!D3)</f>
        <v>0.59324310430374172</v>
      </c>
      <c r="E3" s="126">
        <f>IF(SER_hh_tes!E3=0,"",SER_hh_tes!E3/SER_hh_fec!E3)</f>
        <v>0.61255529945888487</v>
      </c>
      <c r="F3" s="126">
        <f>IF(SER_hh_tes!F3=0,"",SER_hh_tes!F3/SER_hh_fec!F3)</f>
        <v>0.59874039359264286</v>
      </c>
      <c r="G3" s="126">
        <f>IF(SER_hh_tes!G3=0,"",SER_hh_tes!G3/SER_hh_fec!G3)</f>
        <v>0.59284997225590985</v>
      </c>
      <c r="H3" s="126">
        <f>IF(SER_hh_tes!H3=0,"",SER_hh_tes!H3/SER_hh_fec!H3)</f>
        <v>0.61072324003653911</v>
      </c>
      <c r="I3" s="126">
        <f>IF(SER_hh_tes!I3=0,"",SER_hh_tes!I3/SER_hh_fec!I3)</f>
        <v>0.65640501790694883</v>
      </c>
      <c r="J3" s="126">
        <f>IF(SER_hh_tes!J3=0,"",SER_hh_tes!J3/SER_hh_fec!J3)</f>
        <v>0.67000997453724476</v>
      </c>
      <c r="K3" s="126">
        <f>IF(SER_hh_tes!K3=0,"",SER_hh_tes!K3/SER_hh_fec!K3)</f>
        <v>0.67588036327168843</v>
      </c>
      <c r="L3" s="126">
        <f>IF(SER_hh_tes!L3=0,"",SER_hh_tes!L3/SER_hh_fec!L3)</f>
        <v>0.72363345540674906</v>
      </c>
      <c r="M3" s="126">
        <f>IF(SER_hh_tes!M3=0,"",SER_hh_tes!M3/SER_hh_fec!M3)</f>
        <v>0.73432862970256152</v>
      </c>
      <c r="N3" s="126">
        <f>IF(SER_hh_tes!N3=0,"",SER_hh_tes!N3/SER_hh_fec!N3)</f>
        <v>0.83745252021051841</v>
      </c>
      <c r="O3" s="126">
        <f>IF(SER_hh_tes!O3=0,"",SER_hh_tes!O3/SER_hh_fec!O3)</f>
        <v>0.8272534061845086</v>
      </c>
      <c r="P3" s="126">
        <f>IF(SER_hh_tes!P3=0,"",SER_hh_tes!P3/SER_hh_fec!P3)</f>
        <v>0.89965056375779218</v>
      </c>
      <c r="Q3" s="126">
        <f>IF(SER_hh_tes!Q3=0,"",SER_hh_tes!Q3/SER_hh_fec!Q3)</f>
        <v>0.94575237233078646</v>
      </c>
      <c r="R3" s="126">
        <f>IF(SER_hh_tes!R3=0,"",SER_hh_tes!R3/SER_hh_fec!R3)</f>
        <v>0.93617064620177115</v>
      </c>
      <c r="S3" s="126">
        <f>IF(SER_hh_tes!S3=0,"",SER_hh_tes!S3/SER_hh_fec!S3)</f>
        <v>0.98111716846342478</v>
      </c>
      <c r="T3" s="126">
        <f>IF(SER_hh_tes!T3=0,"",SER_hh_tes!T3/SER_hh_fec!T3)</f>
        <v>1.0299343115190465</v>
      </c>
      <c r="U3" s="126">
        <f>IF(SER_hh_tes!U3=0,"",SER_hh_tes!U3/SER_hh_fec!U3)</f>
        <v>1.0897336616928768</v>
      </c>
      <c r="V3" s="126">
        <f>IF(SER_hh_tes!V3=0,"",SER_hh_tes!V3/SER_hh_fec!V3)</f>
        <v>1.199345147269999</v>
      </c>
      <c r="W3" s="126">
        <f>IF(SER_hh_tes!W3=0,"",SER_hh_tes!W3/SER_hh_fec!W3)</f>
        <v>1.2660718376619715</v>
      </c>
      <c r="X3" s="126">
        <f>IF(SER_hh_tes!X3=0,"",SER_hh_tes!X3/SER_hh_fec!X3)</f>
        <v>1.2466425781011961</v>
      </c>
      <c r="Y3" s="126">
        <f>IF(SER_hh_tes!Y3=0,"",SER_hh_tes!Y3/SER_hh_fec!Y3)</f>
        <v>1.305386035148661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0.47810737015701471</v>
      </c>
      <c r="C4" s="135">
        <f>IF(SER_hh_tes!C4=0,"",SER_hh_tes!C4/SER_hh_fec!C4)</f>
        <v>0.47597728710462794</v>
      </c>
      <c r="D4" s="135">
        <f>IF(SER_hh_tes!D4=0,"",SER_hh_tes!D4/SER_hh_fec!D4)</f>
        <v>0.48453980627306253</v>
      </c>
      <c r="E4" s="135">
        <f>IF(SER_hh_tes!E4=0,"",SER_hh_tes!E4/SER_hh_fec!E4)</f>
        <v>0.49607875363144371</v>
      </c>
      <c r="F4" s="135">
        <f>IF(SER_hh_tes!F4=0,"",SER_hh_tes!F4/SER_hh_fec!F4)</f>
        <v>0.5235188225284344</v>
      </c>
      <c r="G4" s="135">
        <f>IF(SER_hh_tes!G4=0,"",SER_hh_tes!G4/SER_hh_fec!G4)</f>
        <v>0.5144714307417082</v>
      </c>
      <c r="H4" s="135">
        <f>IF(SER_hh_tes!H4=0,"",SER_hh_tes!H4/SER_hh_fec!H4)</f>
        <v>0.53276433676884483</v>
      </c>
      <c r="I4" s="135">
        <f>IF(SER_hh_tes!I4=0,"",SER_hh_tes!I4/SER_hh_fec!I4)</f>
        <v>0.56192921809014484</v>
      </c>
      <c r="J4" s="135">
        <f>IF(SER_hh_tes!J4=0,"",SER_hh_tes!J4/SER_hh_fec!J4)</f>
        <v>0.58433185384663189</v>
      </c>
      <c r="K4" s="135">
        <f>IF(SER_hh_tes!K4=0,"",SER_hh_tes!K4/SER_hh_fec!K4)</f>
        <v>0.62925337022805405</v>
      </c>
      <c r="L4" s="135">
        <f>IF(SER_hh_tes!L4=0,"",SER_hh_tes!L4/SER_hh_fec!L4)</f>
        <v>0.67700387057657452</v>
      </c>
      <c r="M4" s="135">
        <f>IF(SER_hh_tes!M4=0,"",SER_hh_tes!M4/SER_hh_fec!M4)</f>
        <v>0.71376317749759177</v>
      </c>
      <c r="N4" s="135">
        <f>IF(SER_hh_tes!N4=0,"",SER_hh_tes!N4/SER_hh_fec!N4)</f>
        <v>0.84715393089899116</v>
      </c>
      <c r="O4" s="135">
        <f>IF(SER_hh_tes!O4=0,"",SER_hh_tes!O4/SER_hh_fec!O4)</f>
        <v>0.93102532059710663</v>
      </c>
      <c r="P4" s="135">
        <f>IF(SER_hh_tes!P4=0,"",SER_hh_tes!P4/SER_hh_fec!P4)</f>
        <v>1.242729473152798</v>
      </c>
      <c r="Q4" s="135">
        <f>IF(SER_hh_tes!Q4=0,"",SER_hh_tes!Q4/SER_hh_fec!Q4)</f>
        <v>1.167634299395605</v>
      </c>
      <c r="R4" s="135">
        <f>IF(SER_hh_tes!R4=0,"",SER_hh_tes!R4/SER_hh_fec!R4)</f>
        <v>1.0441833290299734</v>
      </c>
      <c r="S4" s="135">
        <f>IF(SER_hh_tes!S4=0,"",SER_hh_tes!S4/SER_hh_fec!S4)</f>
        <v>1.1327898742474394</v>
      </c>
      <c r="T4" s="135">
        <f>IF(SER_hh_tes!T4=0,"",SER_hh_tes!T4/SER_hh_fec!T4)</f>
        <v>1.3227763516477515</v>
      </c>
      <c r="U4" s="135">
        <f>IF(SER_hh_tes!U4=0,"",SER_hh_tes!U4/SER_hh_fec!U4)</f>
        <v>1.3138115218407005</v>
      </c>
      <c r="V4" s="135">
        <f>IF(SER_hh_tes!V4=0,"",SER_hh_tes!V4/SER_hh_fec!V4)</f>
        <v>1.6211651664283742</v>
      </c>
      <c r="W4" s="135">
        <f>IF(SER_hh_tes!W4=0,"",SER_hh_tes!W4/SER_hh_fec!W4)</f>
        <v>1.6471495483687861</v>
      </c>
      <c r="X4" s="135">
        <f>IF(SER_hh_tes!X4=0,"",SER_hh_tes!X4/SER_hh_fec!X4)</f>
        <v>1.6077576605433761</v>
      </c>
      <c r="Y4" s="135">
        <f>IF(SER_hh_tes!Y4=0,"",SER_hh_tes!Y4/SER_hh_fec!Y4)</f>
        <v>1.7421783897087491</v>
      </c>
      <c r="DA4" s="162" t="s">
        <v>240</v>
      </c>
    </row>
    <row r="5" spans="1:105" ht="12" customHeight="1" x14ac:dyDescent="0.25">
      <c r="A5" s="131" t="s">
        <v>29</v>
      </c>
      <c r="B5" s="136" t="str">
        <f>IF(SER_hh_tes!B5=0,"",SER_hh_tes!B5/SER_hh_fec!B5)</f>
        <v/>
      </c>
      <c r="C5" s="136" t="str">
        <f>IF(SER_hh_tes!C5=0,"",SER_hh_tes!C5/SER_hh_fec!C5)</f>
        <v/>
      </c>
      <c r="D5" s="136" t="str">
        <f>IF(SER_hh_tes!D5=0,"",SER_hh_tes!D5/SER_hh_fec!D5)</f>
        <v/>
      </c>
      <c r="E5" s="136" t="str">
        <f>IF(SER_hh_tes!E5=0,"",SER_hh_tes!E5/SER_hh_fec!E5)</f>
        <v/>
      </c>
      <c r="F5" s="136" t="str">
        <f>IF(SER_hh_tes!F5=0,"",SER_hh_tes!F5/SER_hh_fec!F5)</f>
        <v/>
      </c>
      <c r="G5" s="136" t="str">
        <f>IF(SER_hh_tes!G5=0,"",SER_hh_tes!G5/SER_hh_fec!G5)</f>
        <v/>
      </c>
      <c r="H5" s="136" t="str">
        <f>IF(SER_hh_tes!H5=0,"",SER_hh_tes!H5/SER_hh_fec!H5)</f>
        <v/>
      </c>
      <c r="I5" s="136" t="str">
        <f>IF(SER_hh_tes!I5=0,"",SER_hh_tes!I5/SER_hh_fec!I5)</f>
        <v/>
      </c>
      <c r="J5" s="136" t="str">
        <f>IF(SER_hh_tes!J5=0,"",SER_hh_tes!J5/SER_hh_fec!J5)</f>
        <v/>
      </c>
      <c r="K5" s="136" t="str">
        <f>IF(SER_hh_tes!K5=0,"",SER_hh_tes!K5/SER_hh_fec!K5)</f>
        <v/>
      </c>
      <c r="L5" s="136" t="str">
        <f>IF(SER_hh_tes!L5=0,"",SER_hh_tes!L5/SER_hh_fec!L5)</f>
        <v/>
      </c>
      <c r="M5" s="136" t="str">
        <f>IF(SER_hh_tes!M5=0,"",SER_hh_tes!M5/SER_hh_fec!M5)</f>
        <v/>
      </c>
      <c r="N5" s="136" t="str">
        <f>IF(SER_hh_tes!N5=0,"",SER_hh_tes!N5/SER_hh_fec!N5)</f>
        <v/>
      </c>
      <c r="O5" s="136" t="str">
        <f>IF(SER_hh_tes!O5=0,"",SER_hh_tes!O5/SER_hh_fec!O5)</f>
        <v/>
      </c>
      <c r="P5" s="136" t="str">
        <f>IF(SER_hh_tes!P5=0,"",SER_hh_tes!P5/SER_hh_fec!P5)</f>
        <v/>
      </c>
      <c r="Q5" s="136" t="str">
        <f>IF(SER_hh_tes!Q5=0,"",SER_hh_tes!Q5/SER_hh_fec!Q5)</f>
        <v/>
      </c>
      <c r="R5" s="136" t="str">
        <f>IF(SER_hh_tes!R5=0,"",SER_hh_tes!R5/SER_hh_fec!R5)</f>
        <v/>
      </c>
      <c r="S5" s="136" t="str">
        <f>IF(SER_hh_tes!S5=0,"",SER_hh_tes!S5/SER_hh_fec!S5)</f>
        <v/>
      </c>
      <c r="T5" s="136" t="str">
        <f>IF(SER_hh_tes!T5=0,"",SER_hh_tes!T5/SER_hh_fec!T5)</f>
        <v/>
      </c>
      <c r="U5" s="136" t="str">
        <f>IF(SER_hh_tes!U5=0,"",SER_hh_tes!U5/SER_hh_fec!U5)</f>
        <v/>
      </c>
      <c r="V5" s="136" t="str">
        <f>IF(SER_hh_tes!V5=0,"",SER_hh_tes!V5/SER_hh_fec!V5)</f>
        <v/>
      </c>
      <c r="W5" s="136" t="str">
        <f>IF(SER_hh_tes!W5=0,"",SER_hh_tes!W5/SER_hh_fec!W5)</f>
        <v/>
      </c>
      <c r="X5" s="136">
        <f>IF(SER_hh_tes!X5=0,"",SER_hh_tes!X5/SER_hh_fec!X5)</f>
        <v>0.76365734522108475</v>
      </c>
      <c r="Y5" s="136">
        <f>IF(SER_hh_tes!Y5=0,"",SER_hh_tes!Y5/SER_hh_fec!Y5)</f>
        <v>0.76642228510774102</v>
      </c>
      <c r="DA5" s="163" t="s">
        <v>332</v>
      </c>
    </row>
    <row r="6" spans="1:105" ht="12" customHeight="1" x14ac:dyDescent="0.25">
      <c r="A6" s="131" t="s">
        <v>52</v>
      </c>
      <c r="B6" s="136" t="str">
        <f>IF(SER_hh_tes!B6=0,"",SER_hh_tes!B6/SER_hh_fec!B6)</f>
        <v/>
      </c>
      <c r="C6" s="136" t="str">
        <f>IF(SER_hh_tes!C6=0,"",SER_hh_tes!C6/SER_hh_fec!C6)</f>
        <v/>
      </c>
      <c r="D6" s="136" t="str">
        <f>IF(SER_hh_tes!D6=0,"",SER_hh_tes!D6/SER_hh_fec!D6)</f>
        <v/>
      </c>
      <c r="E6" s="136" t="str">
        <f>IF(SER_hh_tes!E6=0,"",SER_hh_tes!E6/SER_hh_fec!E6)</f>
        <v/>
      </c>
      <c r="F6" s="136" t="str">
        <f>IF(SER_hh_tes!F6=0,"",SER_hh_tes!F6/SER_hh_fec!F6)</f>
        <v/>
      </c>
      <c r="G6" s="136" t="str">
        <f>IF(SER_hh_tes!G6=0,"",SER_hh_tes!G6/SER_hh_fec!G6)</f>
        <v/>
      </c>
      <c r="H6" s="136" t="str">
        <f>IF(SER_hh_tes!H6=0,"",SER_hh_tes!H6/SER_hh_fec!H6)</f>
        <v/>
      </c>
      <c r="I6" s="136" t="str">
        <f>IF(SER_hh_tes!I6=0,"",SER_hh_tes!I6/SER_hh_fec!I6)</f>
        <v/>
      </c>
      <c r="J6" s="136" t="str">
        <f>IF(SER_hh_tes!J6=0,"",SER_hh_tes!J6/SER_hh_fec!J6)</f>
        <v/>
      </c>
      <c r="K6" s="136" t="str">
        <f>IF(SER_hh_tes!K6=0,"",SER_hh_tes!K6/SER_hh_fec!K6)</f>
        <v/>
      </c>
      <c r="L6" s="136" t="str">
        <f>IF(SER_hh_tes!L6=0,"",SER_hh_tes!L6/SER_hh_fec!L6)</f>
        <v/>
      </c>
      <c r="M6" s="136" t="str">
        <f>IF(SER_hh_tes!M6=0,"",SER_hh_tes!M6/SER_hh_fec!M6)</f>
        <v/>
      </c>
      <c r="N6" s="136" t="str">
        <f>IF(SER_hh_tes!N6=0,"",SER_hh_tes!N6/SER_hh_fec!N6)</f>
        <v/>
      </c>
      <c r="O6" s="136" t="str">
        <f>IF(SER_hh_tes!O6=0,"",SER_hh_tes!O6/SER_hh_fec!O6)</f>
        <v/>
      </c>
      <c r="P6" s="136" t="str">
        <f>IF(SER_hh_tes!P6=0,"",SER_hh_tes!P6/SER_hh_fec!P6)</f>
        <v/>
      </c>
      <c r="Q6" s="136" t="str">
        <f>IF(SER_hh_tes!Q6=0,"",SER_hh_tes!Q6/SER_hh_fec!Q6)</f>
        <v/>
      </c>
      <c r="R6" s="136" t="str">
        <f>IF(SER_hh_tes!R6=0,"",SER_hh_tes!R6/SER_hh_fec!R6)</f>
        <v/>
      </c>
      <c r="S6" s="136" t="str">
        <f>IF(SER_hh_tes!S6=0,"",SER_hh_tes!S6/SER_hh_fec!S6)</f>
        <v/>
      </c>
      <c r="T6" s="136" t="str">
        <f>IF(SER_hh_tes!T6=0,"",SER_hh_tes!T6/SER_hh_fec!T6)</f>
        <v/>
      </c>
      <c r="U6" s="136" t="str">
        <f>IF(SER_hh_tes!U6=0,"",SER_hh_tes!U6/SER_hh_fec!U6)</f>
        <v/>
      </c>
      <c r="V6" s="136" t="str">
        <f>IF(SER_hh_tes!V6=0,"",SER_hh_tes!V6/SER_hh_fec!V6)</f>
        <v/>
      </c>
      <c r="W6" s="136" t="str">
        <f>IF(SER_hh_tes!W6=0,"",SER_hh_tes!W6/SER_hh_fec!W6)</f>
        <v/>
      </c>
      <c r="X6" s="136" t="str">
        <f>IF(SER_hh_tes!X6=0,"",SER_hh_tes!X6/SER_hh_fec!X6)</f>
        <v/>
      </c>
      <c r="Y6" s="136" t="str">
        <f>IF(SER_hh_tes!Y6=0,"",SER_hh_tes!Y6/SER_hh_fec!Y6)</f>
        <v/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0.37551794696990065</v>
      </c>
      <c r="C7" s="136">
        <f>IF(SER_hh_tes!C7=0,"",SER_hh_tes!C7/SER_hh_fec!C7)</f>
        <v>0.38175214875568586</v>
      </c>
      <c r="D7" s="136">
        <f>IF(SER_hh_tes!D7=0,"",SER_hh_tes!D7/SER_hh_fec!D7)</f>
        <v>0.38452523373254666</v>
      </c>
      <c r="E7" s="136">
        <f>IF(SER_hh_tes!E7=0,"",SER_hh_tes!E7/SER_hh_fec!E7)</f>
        <v>0.38806433564020987</v>
      </c>
      <c r="F7" s="136">
        <f>IF(SER_hh_tes!F7=0,"",SER_hh_tes!F7/SER_hh_fec!F7)</f>
        <v>0.38981412183635183</v>
      </c>
      <c r="G7" s="136">
        <f>IF(SER_hh_tes!G7=0,"",SER_hh_tes!G7/SER_hh_fec!G7)</f>
        <v>0.3940799725536952</v>
      </c>
      <c r="H7" s="136">
        <f>IF(SER_hh_tes!H7=0,"",SER_hh_tes!H7/SER_hh_fec!H7)</f>
        <v>0.39671112257074237</v>
      </c>
      <c r="I7" s="136">
        <f>IF(SER_hh_tes!I7=0,"",SER_hh_tes!I7/SER_hh_fec!I7)</f>
        <v>0.39856482758743295</v>
      </c>
      <c r="J7" s="136">
        <f>IF(SER_hh_tes!J7=0,"",SER_hh_tes!J7/SER_hh_fec!J7)</f>
        <v>0.40070029646485189</v>
      </c>
      <c r="K7" s="136">
        <f>IF(SER_hh_tes!K7=0,"",SER_hh_tes!K7/SER_hh_fec!K7)</f>
        <v>0.40293613771909592</v>
      </c>
      <c r="L7" s="136">
        <f>IF(SER_hh_tes!L7=0,"",SER_hh_tes!L7/SER_hh_fec!L7)</f>
        <v>0.40561355737004778</v>
      </c>
      <c r="M7" s="136">
        <f>IF(SER_hh_tes!M7=0,"",SER_hh_tes!M7/SER_hh_fec!M7)</f>
        <v>0.41066178619261856</v>
      </c>
      <c r="N7" s="136">
        <f>IF(SER_hh_tes!N7=0,"",SER_hh_tes!N7/SER_hh_fec!N7)</f>
        <v>0.41831641776502959</v>
      </c>
      <c r="O7" s="136">
        <f>IF(SER_hh_tes!O7=0,"",SER_hh_tes!O7/SER_hh_fec!O7)</f>
        <v>0.42768873680216613</v>
      </c>
      <c r="P7" s="136">
        <f>IF(SER_hh_tes!P7=0,"",SER_hh_tes!P7/SER_hh_fec!P7)</f>
        <v>0.42813903634459693</v>
      </c>
      <c r="Q7" s="136">
        <f>IF(SER_hh_tes!Q7=0,"",SER_hh_tes!Q7/SER_hh_fec!Q7)</f>
        <v>0.42832995582917471</v>
      </c>
      <c r="R7" s="136">
        <f>IF(SER_hh_tes!R7=0,"",SER_hh_tes!R7/SER_hh_fec!R7)</f>
        <v>0.43973514822469129</v>
      </c>
      <c r="S7" s="136">
        <f>IF(SER_hh_tes!S7=0,"",SER_hh_tes!S7/SER_hh_fec!S7)</f>
        <v>0.46348953200372789</v>
      </c>
      <c r="T7" s="136">
        <f>IF(SER_hh_tes!T7=0,"",SER_hh_tes!T7/SER_hh_fec!T7)</f>
        <v>0.48676225116904942</v>
      </c>
      <c r="U7" s="136">
        <f>IF(SER_hh_tes!U7=0,"",SER_hh_tes!U7/SER_hh_fec!U7)</f>
        <v>0.51284761901652554</v>
      </c>
      <c r="V7" s="136">
        <f>IF(SER_hh_tes!V7=0,"",SER_hh_tes!V7/SER_hh_fec!V7)</f>
        <v>0.54035444395570287</v>
      </c>
      <c r="W7" s="136">
        <f>IF(SER_hh_tes!W7=0,"",SER_hh_tes!W7/SER_hh_fec!W7)</f>
        <v>0.59117478540056767</v>
      </c>
      <c r="X7" s="136">
        <f>IF(SER_hh_tes!X7=0,"",SER_hh_tes!X7/SER_hh_fec!X7)</f>
        <v>0.60237863752343279</v>
      </c>
      <c r="Y7" s="136">
        <f>IF(SER_hh_tes!Y7=0,"",SER_hh_tes!Y7/SER_hh_fec!Y7)</f>
        <v>0.60237863752343312</v>
      </c>
      <c r="DA7" s="163" t="s">
        <v>334</v>
      </c>
    </row>
    <row r="8" spans="1:105" ht="12" customHeight="1" x14ac:dyDescent="0.25">
      <c r="A8" s="131" t="s">
        <v>73</v>
      </c>
      <c r="B8" s="136">
        <f>IF(SER_hh_tes!B8=0,"",SER_hh_tes!B8/SER_hh_fec!B8)</f>
        <v>1.0120204032567053</v>
      </c>
      <c r="C8" s="136">
        <f>IF(SER_hh_tes!C8=0,"",SER_hh_tes!C8/SER_hh_fec!C8)</f>
        <v>1.0581222558315446</v>
      </c>
      <c r="D8" s="136">
        <f>IF(SER_hh_tes!D8=0,"",SER_hh_tes!D8/SER_hh_fec!D8)</f>
        <v>1.1595913776814815</v>
      </c>
      <c r="E8" s="136">
        <f>IF(SER_hh_tes!E8=0,"",SER_hh_tes!E8/SER_hh_fec!E8)</f>
        <v>1.2432586124435723</v>
      </c>
      <c r="F8" s="136">
        <f>IF(SER_hh_tes!F8=0,"",SER_hh_tes!F8/SER_hh_fec!F8)</f>
        <v>1.3157885235189661</v>
      </c>
      <c r="G8" s="136">
        <f>IF(SER_hh_tes!G8=0,"",SER_hh_tes!G8/SER_hh_fec!G8)</f>
        <v>1.3772015100565806</v>
      </c>
      <c r="H8" s="136">
        <f>IF(SER_hh_tes!H8=0,"",SER_hh_tes!H8/SER_hh_fec!H8)</f>
        <v>1.4212708412865822</v>
      </c>
      <c r="I8" s="136">
        <f>IF(SER_hh_tes!I8=0,"",SER_hh_tes!I8/SER_hh_fec!I8)</f>
        <v>1.468347471346013</v>
      </c>
      <c r="J8" s="136">
        <f>IF(SER_hh_tes!J8=0,"",SER_hh_tes!J8/SER_hh_fec!J8)</f>
        <v>1.5317374074517254</v>
      </c>
      <c r="K8" s="136">
        <f>IF(SER_hh_tes!K8=0,"",SER_hh_tes!K8/SER_hh_fec!K8)</f>
        <v>1.6290370396058718</v>
      </c>
      <c r="L8" s="136">
        <f>IF(SER_hh_tes!L8=0,"",SER_hh_tes!L8/SER_hh_fec!L8)</f>
        <v>1.7375723644707448</v>
      </c>
      <c r="M8" s="136">
        <f>IF(SER_hh_tes!M8=0,"",SER_hh_tes!M8/SER_hh_fec!M8)</f>
        <v>1.8939099170154989</v>
      </c>
      <c r="N8" s="136">
        <f>IF(SER_hh_tes!N8=0,"",SER_hh_tes!N8/SER_hh_fec!N8)</f>
        <v>2.0781481962460537</v>
      </c>
      <c r="O8" s="136">
        <f>IF(SER_hh_tes!O8=0,"",SER_hh_tes!O8/SER_hh_fec!O8)</f>
        <v>2.2502931137760238</v>
      </c>
      <c r="P8" s="136">
        <f>IF(SER_hh_tes!P8=0,"",SER_hh_tes!P8/SER_hh_fec!P8)</f>
        <v>2.3840770287917765</v>
      </c>
      <c r="Q8" s="136">
        <f>IF(SER_hh_tes!Q8=0,"",SER_hh_tes!Q8/SER_hh_fec!Q8)</f>
        <v>2.4717522651786701</v>
      </c>
      <c r="R8" s="136">
        <f>IF(SER_hh_tes!R8=0,"",SER_hh_tes!R8/SER_hh_fec!R8)</f>
        <v>2.5116600970652287</v>
      </c>
      <c r="S8" s="136">
        <f>IF(SER_hh_tes!S8=0,"",SER_hh_tes!S8/SER_hh_fec!S8)</f>
        <v>2.542970302230831</v>
      </c>
      <c r="T8" s="136">
        <f>IF(SER_hh_tes!T8=0,"",SER_hh_tes!T8/SER_hh_fec!T8)</f>
        <v>2.578062479511857</v>
      </c>
      <c r="U8" s="136">
        <f>IF(SER_hh_tes!U8=0,"",SER_hh_tes!U8/SER_hh_fec!U8)</f>
        <v>2.61218732501756</v>
      </c>
      <c r="V8" s="136">
        <f>IF(SER_hh_tes!V8=0,"",SER_hh_tes!V8/SER_hh_fec!V8)</f>
        <v>2.6531855952079892</v>
      </c>
      <c r="W8" s="136">
        <f>IF(SER_hh_tes!W8=0,"",SER_hh_tes!W8/SER_hh_fec!W8)</f>
        <v>2.6797613937701072</v>
      </c>
      <c r="X8" s="136">
        <f>IF(SER_hh_tes!X8=0,"",SER_hh_tes!X8/SER_hh_fec!X8)</f>
        <v>2.7034475567312528</v>
      </c>
      <c r="Y8" s="136">
        <f>IF(SER_hh_tes!Y8=0,"",SER_hh_tes!Y8/SER_hh_fec!Y8)</f>
        <v>2.7395003222182517</v>
      </c>
      <c r="DA8" s="163" t="s">
        <v>335</v>
      </c>
    </row>
    <row r="9" spans="1:105" ht="12" customHeight="1" x14ac:dyDescent="0.25">
      <c r="A9" s="131" t="s">
        <v>78</v>
      </c>
      <c r="B9" s="136">
        <f>IF(SER_hh_tes!B9=0,"",SER_hh_tes!B9/SER_hh_fec!B9)</f>
        <v>0.40589524754230494</v>
      </c>
      <c r="C9" s="136">
        <f>IF(SER_hh_tes!C9=0,"",SER_hh_tes!C9/SER_hh_fec!C9)</f>
        <v>0.41726056582342269</v>
      </c>
      <c r="D9" s="136">
        <f>IF(SER_hh_tes!D9=0,"",SER_hh_tes!D9/SER_hh_fec!D9)</f>
        <v>0.43340067689339823</v>
      </c>
      <c r="E9" s="136">
        <f>IF(SER_hh_tes!E9=0,"",SER_hh_tes!E9/SER_hh_fec!E9)</f>
        <v>0.44241055120381578</v>
      </c>
      <c r="F9" s="136">
        <f>IF(SER_hh_tes!F9=0,"",SER_hh_tes!F9/SER_hh_fec!F9)</f>
        <v>0.4482923539226718</v>
      </c>
      <c r="G9" s="136">
        <f>IF(SER_hh_tes!G9=0,"",SER_hh_tes!G9/SER_hh_fec!G9)</f>
        <v>0.45249097987780657</v>
      </c>
      <c r="H9" s="136">
        <f>IF(SER_hh_tes!H9=0,"",SER_hh_tes!H9/SER_hh_fec!H9)</f>
        <v>0.45522632564267146</v>
      </c>
      <c r="I9" s="136">
        <f>IF(SER_hh_tes!I9=0,"",SER_hh_tes!I9/SER_hh_fec!I9)</f>
        <v>0.45758386370044646</v>
      </c>
      <c r="J9" s="136">
        <f>IF(SER_hh_tes!J9=0,"",SER_hh_tes!J9/SER_hh_fec!J9)</f>
        <v>0.46012695636234258</v>
      </c>
      <c r="K9" s="136">
        <f>IF(SER_hh_tes!K9=0,"",SER_hh_tes!K9/SER_hh_fec!K9)</f>
        <v>0.46383562278124602</v>
      </c>
      <c r="L9" s="136">
        <f>IF(SER_hh_tes!L9=0,"",SER_hh_tes!L9/SER_hh_fec!L9)</f>
        <v>0.46685238414641839</v>
      </c>
      <c r="M9" s="136">
        <f>IF(SER_hh_tes!M9=0,"",SER_hh_tes!M9/SER_hh_fec!M9)</f>
        <v>0.46827672500641576</v>
      </c>
      <c r="N9" s="136">
        <f>IF(SER_hh_tes!N9=0,"",SER_hh_tes!N9/SER_hh_fec!N9)</f>
        <v>0.46895897051762464</v>
      </c>
      <c r="O9" s="136">
        <f>IF(SER_hh_tes!O9=0,"",SER_hh_tes!O9/SER_hh_fec!O9)</f>
        <v>0.46958961565666207</v>
      </c>
      <c r="P9" s="136">
        <f>IF(SER_hh_tes!P9=0,"",SER_hh_tes!P9/SER_hh_fec!P9)</f>
        <v>0.46980842867931383</v>
      </c>
      <c r="Q9" s="136">
        <f>IF(SER_hh_tes!Q9=0,"",SER_hh_tes!Q9/SER_hh_fec!Q9)</f>
        <v>0.4711664128068615</v>
      </c>
      <c r="R9" s="136">
        <f>IF(SER_hh_tes!R9=0,"",SER_hh_tes!R9/SER_hh_fec!R9)</f>
        <v>0.47229601152595602</v>
      </c>
      <c r="S9" s="136">
        <f>IF(SER_hh_tes!S9=0,"",SER_hh_tes!S9/SER_hh_fec!S9)</f>
        <v>0.48506288881028753</v>
      </c>
      <c r="T9" s="136">
        <f>IF(SER_hh_tes!T9=0,"",SER_hh_tes!T9/SER_hh_fec!T9)</f>
        <v>0.50396251232346545</v>
      </c>
      <c r="U9" s="136">
        <f>IF(SER_hh_tes!U9=0,"",SER_hh_tes!U9/SER_hh_fec!U9)</f>
        <v>0.52781074528795402</v>
      </c>
      <c r="V9" s="136">
        <f>IF(SER_hh_tes!V9=0,"",SER_hh_tes!V9/SER_hh_fec!V9)</f>
        <v>0.54593759941497144</v>
      </c>
      <c r="W9" s="136">
        <f>IF(SER_hh_tes!W9=0,"",SER_hh_tes!W9/SER_hh_fec!W9)</f>
        <v>0.56138175618761943</v>
      </c>
      <c r="X9" s="136">
        <f>IF(SER_hh_tes!X9=0,"",SER_hh_tes!X9/SER_hh_fec!X9)</f>
        <v>0.57410062975239862</v>
      </c>
      <c r="Y9" s="136">
        <f>IF(SER_hh_tes!Y9=0,"",SER_hh_tes!Y9/SER_hh_fec!Y9)</f>
        <v>0.58923182507870531</v>
      </c>
      <c r="DA9" s="163" t="s">
        <v>336</v>
      </c>
    </row>
    <row r="10" spans="1:105" ht="12" customHeight="1" x14ac:dyDescent="0.25">
      <c r="A10" s="131" t="s">
        <v>128</v>
      </c>
      <c r="B10" s="136" t="str">
        <f>IF(SER_hh_tes!B10=0,"",SER_hh_tes!B10/SER_hh_fec!B10)</f>
        <v/>
      </c>
      <c r="C10" s="136" t="str">
        <f>IF(SER_hh_tes!C10=0,"",SER_hh_tes!C10/SER_hh_fec!C10)</f>
        <v/>
      </c>
      <c r="D10" s="136" t="str">
        <f>IF(SER_hh_tes!D10=0,"",SER_hh_tes!D10/SER_hh_fec!D10)</f>
        <v/>
      </c>
      <c r="E10" s="136" t="str">
        <f>IF(SER_hh_tes!E10=0,"",SER_hh_tes!E10/SER_hh_fec!E10)</f>
        <v/>
      </c>
      <c r="F10" s="136" t="str">
        <f>IF(SER_hh_tes!F10=0,"",SER_hh_tes!F10/SER_hh_fec!F10)</f>
        <v/>
      </c>
      <c r="G10" s="136" t="str">
        <f>IF(SER_hh_tes!G10=0,"",SER_hh_tes!G10/SER_hh_fec!G10)</f>
        <v/>
      </c>
      <c r="H10" s="136" t="str">
        <f>IF(SER_hh_tes!H10=0,"",SER_hh_tes!H10/SER_hh_fec!H10)</f>
        <v/>
      </c>
      <c r="I10" s="136" t="str">
        <f>IF(SER_hh_tes!I10=0,"",SER_hh_tes!I10/SER_hh_fec!I10)</f>
        <v/>
      </c>
      <c r="J10" s="136" t="str">
        <f>IF(SER_hh_tes!J10=0,"",SER_hh_tes!J10/SER_hh_fec!J10)</f>
        <v/>
      </c>
      <c r="K10" s="136" t="str">
        <f>IF(SER_hh_tes!K10=0,"",SER_hh_tes!K10/SER_hh_fec!K10)</f>
        <v/>
      </c>
      <c r="L10" s="136" t="str">
        <f>IF(SER_hh_tes!L10=0,"",SER_hh_tes!L10/SER_hh_fec!L10)</f>
        <v/>
      </c>
      <c r="M10" s="136" t="str">
        <f>IF(SER_hh_tes!M10=0,"",SER_hh_tes!M10/SER_hh_fec!M10)</f>
        <v/>
      </c>
      <c r="N10" s="136">
        <f>IF(SER_hh_tes!N10=0,"",SER_hh_tes!N10/SER_hh_fec!N10)</f>
        <v>0.47956314663571231</v>
      </c>
      <c r="O10" s="136">
        <f>IF(SER_hh_tes!O10=0,"",SER_hh_tes!O10/SER_hh_fec!O10)</f>
        <v>0.48066984850706973</v>
      </c>
      <c r="P10" s="136">
        <f>IF(SER_hh_tes!P10=0,"",SER_hh_tes!P10/SER_hh_fec!P10)</f>
        <v>0.48124681542324477</v>
      </c>
      <c r="Q10" s="136">
        <f>IF(SER_hh_tes!Q10=0,"",SER_hh_tes!Q10/SER_hh_fec!Q10)</f>
        <v>0.48130044387692511</v>
      </c>
      <c r="R10" s="136">
        <f>IF(SER_hh_tes!R10=0,"",SER_hh_tes!R10/SER_hh_fec!R10)</f>
        <v>0.48130799149688286</v>
      </c>
      <c r="S10" s="136">
        <f>IF(SER_hh_tes!S10=0,"",SER_hh_tes!S10/SER_hh_fec!S10)</f>
        <v>0.48130799149688297</v>
      </c>
      <c r="T10" s="136">
        <f>IF(SER_hh_tes!T10=0,"",SER_hh_tes!T10/SER_hh_fec!T10)</f>
        <v>0.48130991264479461</v>
      </c>
      <c r="U10" s="136">
        <f>IF(SER_hh_tes!U10=0,"",SER_hh_tes!U10/SER_hh_fec!U10)</f>
        <v>0.48130991264479478</v>
      </c>
      <c r="V10" s="136">
        <f>IF(SER_hh_tes!V10=0,"",SER_hh_tes!V10/SER_hh_fec!V10)</f>
        <v>0.48130991264479478</v>
      </c>
      <c r="W10" s="136">
        <f>IF(SER_hh_tes!W10=0,"",SER_hh_tes!W10/SER_hh_fec!W10)</f>
        <v>0.48130991264479489</v>
      </c>
      <c r="X10" s="136">
        <f>IF(SER_hh_tes!X10=0,"",SER_hh_tes!X10/SER_hh_fec!X10)</f>
        <v>0.48130991264479472</v>
      </c>
      <c r="Y10" s="136">
        <f>IF(SER_hh_tes!Y10=0,"",SER_hh_tes!Y10/SER_hh_fec!Y10)</f>
        <v>0.48130991264479517</v>
      </c>
      <c r="DA10" s="163" t="s">
        <v>337</v>
      </c>
    </row>
    <row r="11" spans="1:105" ht="12" customHeight="1" x14ac:dyDescent="0.25">
      <c r="A11" s="131" t="s">
        <v>25</v>
      </c>
      <c r="B11" s="136" t="str">
        <f>IF(SER_hh_tes!B11=0,"",SER_hh_tes!B11/SER_hh_fec!B11)</f>
        <v/>
      </c>
      <c r="C11" s="136" t="str">
        <f>IF(SER_hh_tes!C11=0,"",SER_hh_tes!C11/SER_hh_fec!C11)</f>
        <v/>
      </c>
      <c r="D11" s="136" t="str">
        <f>IF(SER_hh_tes!D11=0,"",SER_hh_tes!D11/SER_hh_fec!D11)</f>
        <v/>
      </c>
      <c r="E11" s="136" t="str">
        <f>IF(SER_hh_tes!E11=0,"",SER_hh_tes!E11/SER_hh_fec!E11)</f>
        <v/>
      </c>
      <c r="F11" s="136">
        <f>IF(SER_hh_tes!F11=0,"",SER_hh_tes!F11/SER_hh_fec!F11)</f>
        <v>0.87835810028908701</v>
      </c>
      <c r="G11" s="136">
        <f>IF(SER_hh_tes!G11=0,"",SER_hh_tes!G11/SER_hh_fec!G11)</f>
        <v>0.87905408667137197</v>
      </c>
      <c r="H11" s="136">
        <f>IF(SER_hh_tes!H11=0,"",SER_hh_tes!H11/SER_hh_fec!H11)</f>
        <v>0.87924894736151771</v>
      </c>
      <c r="I11" s="136">
        <f>IF(SER_hh_tes!I11=0,"",SER_hh_tes!I11/SER_hh_fec!I11)</f>
        <v>0.87925141618367475</v>
      </c>
      <c r="J11" s="136">
        <f>IF(SER_hh_tes!J11=0,"",SER_hh_tes!J11/SER_hh_fec!J11)</f>
        <v>0.87974363738975436</v>
      </c>
      <c r="K11" s="136">
        <f>IF(SER_hh_tes!K11=0,"",SER_hh_tes!K11/SER_hh_fec!K11)</f>
        <v>0.88273108424562896</v>
      </c>
      <c r="L11" s="136">
        <f>IF(SER_hh_tes!L11=0,"",SER_hh_tes!L11/SER_hh_fec!L11)</f>
        <v>0.88546928045750861</v>
      </c>
      <c r="M11" s="136">
        <f>IF(SER_hh_tes!M11=0,"",SER_hh_tes!M11/SER_hh_fec!M11)</f>
        <v>0.88740599729772562</v>
      </c>
      <c r="N11" s="136">
        <f>IF(SER_hh_tes!N11=0,"",SER_hh_tes!N11/SER_hh_fec!N11)</f>
        <v>0.88782808658288692</v>
      </c>
      <c r="O11" s="136">
        <f>IF(SER_hh_tes!O11=0,"",SER_hh_tes!O11/SER_hh_fec!O11)</f>
        <v>0.8888643780424248</v>
      </c>
      <c r="P11" s="136">
        <f>IF(SER_hh_tes!P11=0,"",SER_hh_tes!P11/SER_hh_fec!P11)</f>
        <v>0.88994891730068382</v>
      </c>
      <c r="Q11" s="136">
        <f>IF(SER_hh_tes!Q11=0,"",SER_hh_tes!Q11/SER_hh_fec!Q11)</f>
        <v>0.89059900412372972</v>
      </c>
      <c r="R11" s="136">
        <f>IF(SER_hh_tes!R11=0,"",SER_hh_tes!R11/SER_hh_fec!R11)</f>
        <v>0.89118525470249588</v>
      </c>
      <c r="S11" s="136">
        <f>IF(SER_hh_tes!S11=0,"",SER_hh_tes!S11/SER_hh_fec!S11)</f>
        <v>0.89444491368489276</v>
      </c>
      <c r="T11" s="136">
        <f>IF(SER_hh_tes!T11=0,"",SER_hh_tes!T11/SER_hh_fec!T11)</f>
        <v>0.90205802980636118</v>
      </c>
      <c r="U11" s="136">
        <f>IF(SER_hh_tes!U11=0,"",SER_hh_tes!U11/SER_hh_fec!U11)</f>
        <v>0.91114295547370294</v>
      </c>
      <c r="V11" s="136">
        <f>IF(SER_hh_tes!V11=0,"",SER_hh_tes!V11/SER_hh_fec!V11)</f>
        <v>0.92537454322875579</v>
      </c>
      <c r="W11" s="136">
        <f>IF(SER_hh_tes!W11=0,"",SER_hh_tes!W11/SER_hh_fec!W11)</f>
        <v>0.92940844905636755</v>
      </c>
      <c r="X11" s="136">
        <f>IF(SER_hh_tes!X11=0,"",SER_hh_tes!X11/SER_hh_fec!X11)</f>
        <v>0.93198140273861674</v>
      </c>
      <c r="Y11" s="136">
        <f>IF(SER_hh_tes!Y11=0,"",SER_hh_tes!Y11/SER_hh_fec!Y11)</f>
        <v>0.93521649682310637</v>
      </c>
      <c r="DA11" s="163" t="s">
        <v>338</v>
      </c>
    </row>
    <row r="12" spans="1:105" ht="12" customHeight="1" x14ac:dyDescent="0.25">
      <c r="A12" s="131" t="s">
        <v>162</v>
      </c>
      <c r="B12" s="136" t="str">
        <f>IF(SER_hh_tes!B12=0,"",SER_hh_tes!B12/SER_hh_fec!B12)</f>
        <v/>
      </c>
      <c r="C12" s="136" t="str">
        <f>IF(SER_hh_tes!C12=0,"",SER_hh_tes!C12/SER_hh_fec!C12)</f>
        <v/>
      </c>
      <c r="D12" s="136" t="str">
        <f>IF(SER_hh_tes!D12=0,"",SER_hh_tes!D12/SER_hh_fec!D12)</f>
        <v/>
      </c>
      <c r="E12" s="136" t="str">
        <f>IF(SER_hh_tes!E12=0,"",SER_hh_tes!E12/SER_hh_fec!E12)</f>
        <v/>
      </c>
      <c r="F12" s="136" t="str">
        <f>IF(SER_hh_tes!F12=0,"",SER_hh_tes!F12/SER_hh_fec!F12)</f>
        <v/>
      </c>
      <c r="G12" s="136" t="str">
        <f>IF(SER_hh_tes!G12=0,"",SER_hh_tes!G12/SER_hh_fec!G12)</f>
        <v/>
      </c>
      <c r="H12" s="136" t="str">
        <f>IF(SER_hh_tes!H12=0,"",SER_hh_tes!H12/SER_hh_fec!H12)</f>
        <v/>
      </c>
      <c r="I12" s="136" t="str">
        <f>IF(SER_hh_tes!I12=0,"",SER_hh_tes!I12/SER_hh_fec!I12)</f>
        <v/>
      </c>
      <c r="J12" s="136" t="str">
        <f>IF(SER_hh_tes!J12=0,"",SER_hh_tes!J12/SER_hh_fec!J12)</f>
        <v/>
      </c>
      <c r="K12" s="136" t="str">
        <f>IF(SER_hh_tes!K12=0,"",SER_hh_tes!K12/SER_hh_fec!K12)</f>
        <v/>
      </c>
      <c r="L12" s="136" t="str">
        <f>IF(SER_hh_tes!L12=0,"",SER_hh_tes!L12/SER_hh_fec!L12)</f>
        <v/>
      </c>
      <c r="M12" s="136" t="str">
        <f>IF(SER_hh_tes!M12=0,"",SER_hh_tes!M12/SER_hh_fec!M12)</f>
        <v/>
      </c>
      <c r="N12" s="136" t="str">
        <f>IF(SER_hh_tes!N12=0,"",SER_hh_tes!N12/SER_hh_fec!N12)</f>
        <v/>
      </c>
      <c r="O12" s="136" t="str">
        <f>IF(SER_hh_tes!O12=0,"",SER_hh_tes!O12/SER_hh_fec!O12)</f>
        <v/>
      </c>
      <c r="P12" s="136" t="str">
        <f>IF(SER_hh_tes!P12=0,"",SER_hh_tes!P12/SER_hh_fec!P12)</f>
        <v/>
      </c>
      <c r="Q12" s="136" t="str">
        <f>IF(SER_hh_tes!Q12=0,"",SER_hh_tes!Q12/SER_hh_fec!Q12)</f>
        <v/>
      </c>
      <c r="R12" s="136" t="str">
        <f>IF(SER_hh_tes!R12=0,"",SER_hh_tes!R12/SER_hh_fec!R12)</f>
        <v/>
      </c>
      <c r="S12" s="136" t="str">
        <f>IF(SER_hh_tes!S12=0,"",SER_hh_tes!S12/SER_hh_fec!S12)</f>
        <v/>
      </c>
      <c r="T12" s="136" t="str">
        <f>IF(SER_hh_tes!T12=0,"",SER_hh_tes!T12/SER_hh_fec!T12)</f>
        <v/>
      </c>
      <c r="U12" s="136" t="str">
        <f>IF(SER_hh_tes!U12=0,"",SER_hh_tes!U12/SER_hh_fec!U12)</f>
        <v/>
      </c>
      <c r="V12" s="136" t="str">
        <f>IF(SER_hh_tes!V12=0,"",SER_hh_tes!V12/SER_hh_fec!V12)</f>
        <v/>
      </c>
      <c r="W12" s="136" t="str">
        <f>IF(SER_hh_tes!W12=0,"",SER_hh_tes!W12/SER_hh_fec!W12)</f>
        <v/>
      </c>
      <c r="X12" s="136" t="str">
        <f>IF(SER_hh_tes!X12=0,"",SER_hh_tes!X12/SER_hh_fec!X12)</f>
        <v/>
      </c>
      <c r="Y12" s="136" t="str">
        <f>IF(SER_hh_tes!Y12=0,"",SER_hh_tes!Y12/SER_hh_fec!Y12)</f>
        <v/>
      </c>
      <c r="DA12" s="163" t="s">
        <v>339</v>
      </c>
    </row>
    <row r="13" spans="1:105" ht="12" customHeight="1" x14ac:dyDescent="0.25">
      <c r="A13" s="131" t="s">
        <v>77</v>
      </c>
      <c r="B13" s="136">
        <f>IF(SER_hh_tes!B13=0,"",SER_hh_tes!B13/SER_hh_fec!B13)</f>
        <v>1.3203646518814458</v>
      </c>
      <c r="C13" s="136">
        <f>IF(SER_hh_tes!C13=0,"",SER_hh_tes!C13/SER_hh_fec!C13)</f>
        <v>1.3449871773651516</v>
      </c>
      <c r="D13" s="136">
        <f>IF(SER_hh_tes!D13=0,"",SER_hh_tes!D13/SER_hh_fec!D13)</f>
        <v>1.3978176662101724</v>
      </c>
      <c r="E13" s="136">
        <f>IF(SER_hh_tes!E13=0,"",SER_hh_tes!E13/SER_hh_fec!E13)</f>
        <v>1.4539038816283338</v>
      </c>
      <c r="F13" s="136">
        <f>IF(SER_hh_tes!F13=0,"",SER_hh_tes!F13/SER_hh_fec!F13)</f>
        <v>1.5193018289426901</v>
      </c>
      <c r="G13" s="136">
        <f>IF(SER_hh_tes!G13=0,"",SER_hh_tes!G13/SER_hh_fec!G13)</f>
        <v>1.5817093490404608</v>
      </c>
      <c r="H13" s="136">
        <f>IF(SER_hh_tes!H13=0,"",SER_hh_tes!H13/SER_hh_fec!H13)</f>
        <v>1.6589423758102009</v>
      </c>
      <c r="I13" s="136">
        <f>IF(SER_hh_tes!I13=0,"",SER_hh_tes!I13/SER_hh_fec!I13)</f>
        <v>1.7518371985082233</v>
      </c>
      <c r="J13" s="136">
        <f>IF(SER_hh_tes!J13=0,"",SER_hh_tes!J13/SER_hh_fec!J13)</f>
        <v>1.8538611240768172</v>
      </c>
      <c r="K13" s="136">
        <f>IF(SER_hh_tes!K13=0,"",SER_hh_tes!K13/SER_hh_fec!K13)</f>
        <v>1.9687494610602041</v>
      </c>
      <c r="L13" s="136">
        <f>IF(SER_hh_tes!L13=0,"",SER_hh_tes!L13/SER_hh_fec!L13)</f>
        <v>2.0843751593882147</v>
      </c>
      <c r="M13" s="136">
        <f>IF(SER_hh_tes!M13=0,"",SER_hh_tes!M13/SER_hh_fec!M13)</f>
        <v>2.1863845295204762</v>
      </c>
      <c r="N13" s="136">
        <f>IF(SER_hh_tes!N13=0,"",SER_hh_tes!N13/SER_hh_fec!N13)</f>
        <v>2.3126884011550066</v>
      </c>
      <c r="O13" s="136">
        <f>IF(SER_hh_tes!O13=0,"",SER_hh_tes!O13/SER_hh_fec!O13)</f>
        <v>2.4343426571778255</v>
      </c>
      <c r="P13" s="136">
        <f>IF(SER_hh_tes!P13=0,"",SER_hh_tes!P13/SER_hh_fec!P13)</f>
        <v>2.5318919896995697</v>
      </c>
      <c r="Q13" s="136">
        <f>IF(SER_hh_tes!Q13=0,"",SER_hh_tes!Q13/SER_hh_fec!Q13)</f>
        <v>2.5752348675075654</v>
      </c>
      <c r="R13" s="136">
        <f>IF(SER_hh_tes!R13=0,"",SER_hh_tes!R13/SER_hh_fec!R13)</f>
        <v>2.6042140351067906</v>
      </c>
      <c r="S13" s="136">
        <f>IF(SER_hh_tes!S13=0,"",SER_hh_tes!S13/SER_hh_fec!S13)</f>
        <v>2.6723437909234771</v>
      </c>
      <c r="T13" s="136">
        <f>IF(SER_hh_tes!T13=0,"",SER_hh_tes!T13/SER_hh_fec!T13)</f>
        <v>2.786627048320355</v>
      </c>
      <c r="U13" s="136">
        <f>IF(SER_hh_tes!U13=0,"",SER_hh_tes!U13/SER_hh_fec!U13)</f>
        <v>2.8939641637954052</v>
      </c>
      <c r="V13" s="136">
        <f>IF(SER_hh_tes!V13=0,"",SER_hh_tes!V13/SER_hh_fec!V13)</f>
        <v>3.011250017167836</v>
      </c>
      <c r="W13" s="136">
        <f>IF(SER_hh_tes!W13=0,"",SER_hh_tes!W13/SER_hh_fec!W13)</f>
        <v>3.0995324973077167</v>
      </c>
      <c r="X13" s="136">
        <f>IF(SER_hh_tes!X13=0,"",SER_hh_tes!X13/SER_hh_fec!X13)</f>
        <v>3.1975481394931302</v>
      </c>
      <c r="Y13" s="136">
        <f>IF(SER_hh_tes!Y13=0,"",SER_hh_tes!Y13/SER_hh_fec!Y13)</f>
        <v>3.3052777416316501</v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0.56840169637089499</v>
      </c>
      <c r="C14" s="137">
        <f>IF(SER_hh_tes!C14=0,"",SER_hh_tes!C14/SER_hh_fec!C14)</f>
        <v>0.57051831501706241</v>
      </c>
      <c r="D14" s="137">
        <f>IF(SER_hh_tes!D14=0,"",SER_hh_tes!D14/SER_hh_fec!D14)</f>
        <v>0.57455941073307648</v>
      </c>
      <c r="E14" s="137">
        <f>IF(SER_hh_tes!E14=0,"",SER_hh_tes!E14/SER_hh_fec!E14)</f>
        <v>0.57885167848887953</v>
      </c>
      <c r="F14" s="137">
        <f>IF(SER_hh_tes!F14=0,"",SER_hh_tes!F14/SER_hh_fec!F14)</f>
        <v>0.5838284772403366</v>
      </c>
      <c r="G14" s="137">
        <f>IF(SER_hh_tes!G14=0,"",SER_hh_tes!G14/SER_hh_fec!G14)</f>
        <v>0.58720888534591975</v>
      </c>
      <c r="H14" s="137">
        <f>IF(SER_hh_tes!H14=0,"",SER_hh_tes!H14/SER_hh_fec!H14)</f>
        <v>0.59305780553798892</v>
      </c>
      <c r="I14" s="137">
        <f>IF(SER_hh_tes!I14=0,"",SER_hh_tes!I14/SER_hh_fec!I14)</f>
        <v>0.59868982826026884</v>
      </c>
      <c r="J14" s="137">
        <f>IF(SER_hh_tes!J14=0,"",SER_hh_tes!J14/SER_hh_fec!J14)</f>
        <v>0.60356817190289025</v>
      </c>
      <c r="K14" s="137">
        <f>IF(SER_hh_tes!K14=0,"",SER_hh_tes!K14/SER_hh_fec!K14)</f>
        <v>0.60640681634292193</v>
      </c>
      <c r="L14" s="137">
        <f>IF(SER_hh_tes!L14=0,"",SER_hh_tes!L14/SER_hh_fec!L14)</f>
        <v>0.60909920332121525</v>
      </c>
      <c r="M14" s="137">
        <f>IF(SER_hh_tes!M14=0,"",SER_hh_tes!M14/SER_hh_fec!M14)</f>
        <v>0.61161069828122905</v>
      </c>
      <c r="N14" s="137">
        <f>IF(SER_hh_tes!N14=0,"",SER_hh_tes!N14/SER_hh_fec!N14)</f>
        <v>0.61519911274652861</v>
      </c>
      <c r="O14" s="137">
        <f>IF(SER_hh_tes!O14=0,"",SER_hh_tes!O14/SER_hh_fec!O14)</f>
        <v>0.61967234062107979</v>
      </c>
      <c r="P14" s="137">
        <f>IF(SER_hh_tes!P14=0,"",SER_hh_tes!P14/SER_hh_fec!P14)</f>
        <v>0.61971538869202258</v>
      </c>
      <c r="Q14" s="137">
        <f>IF(SER_hh_tes!Q14=0,"",SER_hh_tes!Q14/SER_hh_fec!Q14)</f>
        <v>0.61981646564600368</v>
      </c>
      <c r="R14" s="137">
        <f>IF(SER_hh_tes!R14=0,"",SER_hh_tes!R14/SER_hh_fec!R14)</f>
        <v>0.62874961467681945</v>
      </c>
      <c r="S14" s="137">
        <f>IF(SER_hh_tes!S14=0,"",SER_hh_tes!S14/SER_hh_fec!S14)</f>
        <v>0.63820335298696707</v>
      </c>
      <c r="T14" s="137">
        <f>IF(SER_hh_tes!T14=0,"",SER_hh_tes!T14/SER_hh_fec!T14)</f>
        <v>0.64147240249371296</v>
      </c>
      <c r="U14" s="137">
        <f>IF(SER_hh_tes!U14=0,"",SER_hh_tes!U14/SER_hh_fec!U14)</f>
        <v>0.64474045466279373</v>
      </c>
      <c r="V14" s="137">
        <f>IF(SER_hh_tes!V14=0,"",SER_hh_tes!V14/SER_hh_fec!V14)</f>
        <v>0.64878309848345073</v>
      </c>
      <c r="W14" s="137">
        <f>IF(SER_hh_tes!W14=0,"",SER_hh_tes!W14/SER_hh_fec!W14)</f>
        <v>0.67119630897648908</v>
      </c>
      <c r="X14" s="137">
        <f>IF(SER_hh_tes!X14=0,"",SER_hh_tes!X14/SER_hh_fec!X14)</f>
        <v>0.71350468694633673</v>
      </c>
      <c r="Y14" s="137">
        <f>IF(SER_hh_tes!Y14=0,"",SER_hh_tes!Y14/SER_hh_fec!Y14)</f>
        <v>0.74075891901951207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1.6804912603137578</v>
      </c>
      <c r="C16" s="135">
        <f>IF(SER_hh_tes!C16=0,"",SER_hh_tes!C16/SER_hh_fec!C16)</f>
        <v>1.7503616181717088</v>
      </c>
      <c r="D16" s="135">
        <f>IF(SER_hh_tes!D16=0,"",SER_hh_tes!D16/SER_hh_fec!D16)</f>
        <v>1.828505093522689</v>
      </c>
      <c r="E16" s="135">
        <f>IF(SER_hh_tes!E16=0,"",SER_hh_tes!E16/SER_hh_fec!E16)</f>
        <v>1.9235649101567165</v>
      </c>
      <c r="F16" s="135">
        <f>IF(SER_hh_tes!F16=0,"",SER_hh_tes!F16/SER_hh_fec!F16)</f>
        <v>2.018037687802273</v>
      </c>
      <c r="G16" s="135">
        <f>IF(SER_hh_tes!G16=0,"",SER_hh_tes!G16/SER_hh_fec!G16)</f>
        <v>2.1170353784164648</v>
      </c>
      <c r="H16" s="135">
        <f>IF(SER_hh_tes!H16=0,"",SER_hh_tes!H16/SER_hh_fec!H16)</f>
        <v>2.248269066472532</v>
      </c>
      <c r="I16" s="135">
        <f>IF(SER_hh_tes!I16=0,"",SER_hh_tes!I16/SER_hh_fec!I16)</f>
        <v>2.3946070199186211</v>
      </c>
      <c r="J16" s="135">
        <f>IF(SER_hh_tes!J16=0,"",SER_hh_tes!J16/SER_hh_fec!J16)</f>
        <v>2.5434044145191286</v>
      </c>
      <c r="K16" s="135">
        <f>IF(SER_hh_tes!K16=0,"",SER_hh_tes!K16/SER_hh_fec!K16)</f>
        <v>2.5860778588656372</v>
      </c>
      <c r="L16" s="135">
        <f>IF(SER_hh_tes!L16=0,"",SER_hh_tes!L16/SER_hh_fec!L16)</f>
        <v>2.6416115396056425</v>
      </c>
      <c r="M16" s="135">
        <f>IF(SER_hh_tes!M16=0,"",SER_hh_tes!M16/SER_hh_fec!M16)</f>
        <v>2.7302037806321495</v>
      </c>
      <c r="N16" s="135">
        <f>IF(SER_hh_tes!N16=0,"",SER_hh_tes!N16/SER_hh_fec!N16)</f>
        <v>2.8341842587736594</v>
      </c>
      <c r="O16" s="135">
        <f>IF(SER_hh_tes!O16=0,"",SER_hh_tes!O16/SER_hh_fec!O16)</f>
        <v>2.9330590129466918</v>
      </c>
      <c r="P16" s="135">
        <f>IF(SER_hh_tes!P16=0,"",SER_hh_tes!P16/SER_hh_fec!P16)</f>
        <v>3.0379246737537966</v>
      </c>
      <c r="Q16" s="135">
        <f>IF(SER_hh_tes!Q16=0,"",SER_hh_tes!Q16/SER_hh_fec!Q16)</f>
        <v>3.1527710635292703</v>
      </c>
      <c r="R16" s="135">
        <f>IF(SER_hh_tes!R16=0,"",SER_hh_tes!R16/SER_hh_fec!R16)</f>
        <v>3.2702423150644866</v>
      </c>
      <c r="S16" s="135">
        <f>IF(SER_hh_tes!S16=0,"",SER_hh_tes!S16/SER_hh_fec!S16)</f>
        <v>3.3772306052419188</v>
      </c>
      <c r="T16" s="135">
        <f>IF(SER_hh_tes!T16=0,"",SER_hh_tes!T16/SER_hh_fec!T16)</f>
        <v>3.4532752245407683</v>
      </c>
      <c r="U16" s="135">
        <f>IF(SER_hh_tes!U16=0,"",SER_hh_tes!U16/SER_hh_fec!U16)</f>
        <v>3.5249377975807255</v>
      </c>
      <c r="V16" s="135">
        <f>IF(SER_hh_tes!V16=0,"",SER_hh_tes!V16/SER_hh_fec!V16)</f>
        <v>3.5909878259652528</v>
      </c>
      <c r="W16" s="135">
        <f>IF(SER_hh_tes!W16=0,"",SER_hh_tes!W16/SER_hh_fec!W16)</f>
        <v>3.6560008963741599</v>
      </c>
      <c r="X16" s="135">
        <f>IF(SER_hh_tes!X16=0,"",SER_hh_tes!X16/SER_hh_fec!X16)</f>
        <v>3.7030332002952715</v>
      </c>
      <c r="Y16" s="135">
        <f>IF(SER_hh_tes!Y16=0,"",SER_hh_tes!Y16/SER_hh_fec!Y16)</f>
        <v>3.749100656137454</v>
      </c>
      <c r="DA16" s="162" t="s">
        <v>241</v>
      </c>
    </row>
    <row r="17" spans="1:105" ht="12.95" customHeight="1" x14ac:dyDescent="0.25">
      <c r="A17" s="131" t="s">
        <v>73</v>
      </c>
      <c r="B17" s="136">
        <f>IF(SER_hh_tes!B17=0,"",SER_hh_tes!B17/SER_hh_fec!B17)</f>
        <v>1.0508593434526174</v>
      </c>
      <c r="C17" s="136">
        <f>IF(SER_hh_tes!C17=0,"",SER_hh_tes!C17/SER_hh_fec!C17)</f>
        <v>1.0653287234765441</v>
      </c>
      <c r="D17" s="136">
        <f>IF(SER_hh_tes!D17=0,"",SER_hh_tes!D17/SER_hh_fec!D17)</f>
        <v>1.1009060026445145</v>
      </c>
      <c r="E17" s="136">
        <f>IF(SER_hh_tes!E17=0,"",SER_hh_tes!E17/SER_hh_fec!E17)</f>
        <v>1.1078939626439699</v>
      </c>
      <c r="F17" s="136">
        <f>IF(SER_hh_tes!F17=0,"",SER_hh_tes!F17/SER_hh_fec!F17)</f>
        <v>1.1601422017725791</v>
      </c>
      <c r="G17" s="136">
        <f>IF(SER_hh_tes!G17=0,"",SER_hh_tes!G17/SER_hh_fec!G17)</f>
        <v>1.182997576932608</v>
      </c>
      <c r="H17" s="136">
        <f>IF(SER_hh_tes!H17=0,"",SER_hh_tes!H17/SER_hh_fec!H17)</f>
        <v>1.2003919662331939</v>
      </c>
      <c r="I17" s="136">
        <f>IF(SER_hh_tes!I17=0,"",SER_hh_tes!I17/SER_hh_fec!I17)</f>
        <v>1.2042353773359296</v>
      </c>
      <c r="J17" s="136">
        <f>IF(SER_hh_tes!J17=0,"",SER_hh_tes!J17/SER_hh_fec!J17)</f>
        <v>1.2252320126476088</v>
      </c>
      <c r="K17" s="136">
        <f>IF(SER_hh_tes!K17=0,"",SER_hh_tes!K17/SER_hh_fec!K17)</f>
        <v>1.2417240365901503</v>
      </c>
      <c r="L17" s="136">
        <f>IF(SER_hh_tes!L17=0,"",SER_hh_tes!L17/SER_hh_fec!L17)</f>
        <v>1.2565957173814657</v>
      </c>
      <c r="M17" s="136">
        <f>IF(SER_hh_tes!M17=0,"",SER_hh_tes!M17/SER_hh_fec!M17)</f>
        <v>1.2768800513613874</v>
      </c>
      <c r="N17" s="136">
        <f>IF(SER_hh_tes!N17=0,"",SER_hh_tes!N17/SER_hh_fec!N17)</f>
        <v>1.295543449649152</v>
      </c>
      <c r="O17" s="136">
        <f>IF(SER_hh_tes!O17=0,"",SER_hh_tes!O17/SER_hh_fec!O17)</f>
        <v>1.3200346283564068</v>
      </c>
      <c r="P17" s="136">
        <f>IF(SER_hh_tes!P17=0,"",SER_hh_tes!P17/SER_hh_fec!P17)</f>
        <v>1.3427340741394058</v>
      </c>
      <c r="Q17" s="136">
        <f>IF(SER_hh_tes!Q17=0,"",SER_hh_tes!Q17/SER_hh_fec!Q17)</f>
        <v>1.3557666662621843</v>
      </c>
      <c r="R17" s="136">
        <f>IF(SER_hh_tes!R17=0,"",SER_hh_tes!R17/SER_hh_fec!R17)</f>
        <v>1.3669647694734728</v>
      </c>
      <c r="S17" s="136">
        <f>IF(SER_hh_tes!S17=0,"",SER_hh_tes!S17/SER_hh_fec!S17)</f>
        <v>1.3819611887890413</v>
      </c>
      <c r="T17" s="136">
        <f>IF(SER_hh_tes!T17=0,"",SER_hh_tes!T17/SER_hh_fec!T17)</f>
        <v>1.4054653709411393</v>
      </c>
      <c r="U17" s="136">
        <f>IF(SER_hh_tes!U17=0,"",SER_hh_tes!U17/SER_hh_fec!U17)</f>
        <v>1.421619371114615</v>
      </c>
      <c r="V17" s="136">
        <f>IF(SER_hh_tes!V17=0,"",SER_hh_tes!V17/SER_hh_fec!V17)</f>
        <v>1.437698325914758</v>
      </c>
      <c r="W17" s="136">
        <f>IF(SER_hh_tes!W17=0,"",SER_hh_tes!W17/SER_hh_fec!W17)</f>
        <v>1.4568784162414519</v>
      </c>
      <c r="X17" s="136">
        <f>IF(SER_hh_tes!X17=0,"",SER_hh_tes!X17/SER_hh_fec!X17)</f>
        <v>1.4770364661670194</v>
      </c>
      <c r="Y17" s="136">
        <f>IF(SER_hh_tes!Y17=0,"",SER_hh_tes!Y17/SER_hh_fec!Y17)</f>
        <v>1.5001968061922941</v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1.6811952604210283</v>
      </c>
      <c r="C18" s="136">
        <f>IF(SER_hh_tes!C18=0,"",SER_hh_tes!C18/SER_hh_fec!C18)</f>
        <v>1.7511424848197008</v>
      </c>
      <c r="D18" s="136">
        <f>IF(SER_hh_tes!D18=0,"",SER_hh_tes!D18/SER_hh_fec!D18)</f>
        <v>1.8296240762222349</v>
      </c>
      <c r="E18" s="136">
        <f>IF(SER_hh_tes!E18=0,"",SER_hh_tes!E18/SER_hh_fec!E18)</f>
        <v>1.9247093488903491</v>
      </c>
      <c r="F18" s="136">
        <f>IF(SER_hh_tes!F18=0,"",SER_hh_tes!F18/SER_hh_fec!F18)</f>
        <v>2.0205268963002196</v>
      </c>
      <c r="G18" s="136">
        <f>IF(SER_hh_tes!G18=0,"",SER_hh_tes!G18/SER_hh_fec!G18)</f>
        <v>2.1211559945083995</v>
      </c>
      <c r="H18" s="136">
        <f>IF(SER_hh_tes!H18=0,"",SER_hh_tes!H18/SER_hh_fec!H18)</f>
        <v>2.2545026280894707</v>
      </c>
      <c r="I18" s="136">
        <f>IF(SER_hh_tes!I18=0,"",SER_hh_tes!I18/SER_hh_fec!I18)</f>
        <v>2.401201433408485</v>
      </c>
      <c r="J18" s="136">
        <f>IF(SER_hh_tes!J18=0,"",SER_hh_tes!J18/SER_hh_fec!J18)</f>
        <v>2.5532637565771239</v>
      </c>
      <c r="K18" s="136">
        <f>IF(SER_hh_tes!K18=0,"",SER_hh_tes!K18/SER_hh_fec!K18)</f>
        <v>2.6029459467901312</v>
      </c>
      <c r="L18" s="136">
        <f>IF(SER_hh_tes!L18=0,"",SER_hh_tes!L18/SER_hh_fec!L18)</f>
        <v>2.6599206086413858</v>
      </c>
      <c r="M18" s="136">
        <f>IF(SER_hh_tes!M18=0,"",SER_hh_tes!M18/SER_hh_fec!M18)</f>
        <v>2.7576776942991108</v>
      </c>
      <c r="N18" s="136">
        <f>IF(SER_hh_tes!N18=0,"",SER_hh_tes!N18/SER_hh_fec!N18)</f>
        <v>2.8677275536287956</v>
      </c>
      <c r="O18" s="136">
        <f>IF(SER_hh_tes!O18=0,"",SER_hh_tes!O18/SER_hh_fec!O18)</f>
        <v>2.9894717114079516</v>
      </c>
      <c r="P18" s="136">
        <f>IF(SER_hh_tes!P18=0,"",SER_hh_tes!P18/SER_hh_fec!P18)</f>
        <v>3.1222375905937598</v>
      </c>
      <c r="Q18" s="136">
        <f>IF(SER_hh_tes!Q18=0,"",SER_hh_tes!Q18/SER_hh_fec!Q18)</f>
        <v>3.2514482244369671</v>
      </c>
      <c r="R18" s="136">
        <f>IF(SER_hh_tes!R18=0,"",SER_hh_tes!R18/SER_hh_fec!R18)</f>
        <v>3.3845257362662298</v>
      </c>
      <c r="S18" s="136">
        <f>IF(SER_hh_tes!S18=0,"",SER_hh_tes!S18/SER_hh_fec!S18)</f>
        <v>3.5088828804159822</v>
      </c>
      <c r="T18" s="136">
        <f>IF(SER_hh_tes!T18=0,"",SER_hh_tes!T18/SER_hh_fec!T18)</f>
        <v>3.6086464953693098</v>
      </c>
      <c r="U18" s="136">
        <f>IF(SER_hh_tes!U18=0,"",SER_hh_tes!U18/SER_hh_fec!U18)</f>
        <v>3.6877409654199074</v>
      </c>
      <c r="V18" s="136">
        <f>IF(SER_hh_tes!V18=0,"",SER_hh_tes!V18/SER_hh_fec!V18)</f>
        <v>3.7530058263434665</v>
      </c>
      <c r="W18" s="136">
        <f>IF(SER_hh_tes!W18=0,"",SER_hh_tes!W18/SER_hh_fec!W18)</f>
        <v>3.8211796791552421</v>
      </c>
      <c r="X18" s="136">
        <f>IF(SER_hh_tes!X18=0,"",SER_hh_tes!X18/SER_hh_fec!X18)</f>
        <v>3.8795578741200636</v>
      </c>
      <c r="Y18" s="136">
        <f>IF(SER_hh_tes!Y18=0,"",SER_hh_tes!Y18/SER_hh_fec!Y18)</f>
        <v>3.9293636113246553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0.53549830266367482</v>
      </c>
      <c r="C19" s="135">
        <f>IF(SER_hh_tes!C19=0,"",SER_hh_tes!C19/SER_hh_fec!C19)</f>
        <v>0.53613717939606043</v>
      </c>
      <c r="D19" s="135">
        <f>IF(SER_hh_tes!D19=0,"",SER_hh_tes!D19/SER_hh_fec!D19)</f>
        <v>0.53746860262613005</v>
      </c>
      <c r="E19" s="135">
        <f>IF(SER_hh_tes!E19=0,"",SER_hh_tes!E19/SER_hh_fec!E19)</f>
        <v>0.53940555738831153</v>
      </c>
      <c r="F19" s="135">
        <f>IF(SER_hh_tes!F19=0,"",SER_hh_tes!F19/SER_hh_fec!F19)</f>
        <v>0.5415056583855401</v>
      </c>
      <c r="G19" s="135">
        <f>IF(SER_hh_tes!G19=0,"",SER_hh_tes!G19/SER_hh_fec!G19)</f>
        <v>0.54137744153987921</v>
      </c>
      <c r="H19" s="135">
        <f>IF(SER_hh_tes!H19=0,"",SER_hh_tes!H19/SER_hh_fec!H19)</f>
        <v>0.54385087922104036</v>
      </c>
      <c r="I19" s="135">
        <f>IF(SER_hh_tes!I19=0,"",SER_hh_tes!I19/SER_hh_fec!I19)</f>
        <v>0.54608392296197616</v>
      </c>
      <c r="J19" s="135">
        <f>IF(SER_hh_tes!J19=0,"",SER_hh_tes!J19/SER_hh_fec!J19)</f>
        <v>0.54966975618863412</v>
      </c>
      <c r="K19" s="135">
        <f>IF(SER_hh_tes!K19=0,"",SER_hh_tes!K19/SER_hh_fec!K19)</f>
        <v>0.55294003110540335</v>
      </c>
      <c r="L19" s="135">
        <f>IF(SER_hh_tes!L19=0,"",SER_hh_tes!L19/SER_hh_fec!L19)</f>
        <v>0.5547065074211075</v>
      </c>
      <c r="M19" s="135">
        <f>IF(SER_hh_tes!M19=0,"",SER_hh_tes!M19/SER_hh_fec!M19)</f>
        <v>0.55799452004003791</v>
      </c>
      <c r="N19" s="135">
        <f>IF(SER_hh_tes!N19=0,"",SER_hh_tes!N19/SER_hh_fec!N19)</f>
        <v>0.56339918874152173</v>
      </c>
      <c r="O19" s="135">
        <f>IF(SER_hh_tes!O19=0,"",SER_hh_tes!O19/SER_hh_fec!O19)</f>
        <v>0.57009693066641243</v>
      </c>
      <c r="P19" s="135">
        <f>IF(SER_hh_tes!P19=0,"",SER_hh_tes!P19/SER_hh_fec!P19)</f>
        <v>0.57508600589211734</v>
      </c>
      <c r="Q19" s="135">
        <f>IF(SER_hh_tes!Q19=0,"",SER_hh_tes!Q19/SER_hh_fec!Q19)</f>
        <v>0.58206648581110554</v>
      </c>
      <c r="R19" s="135">
        <f>IF(SER_hh_tes!R19=0,"",SER_hh_tes!R19/SER_hh_fec!R19)</f>
        <v>0.59161626332865203</v>
      </c>
      <c r="S19" s="135">
        <f>IF(SER_hh_tes!S19=0,"",SER_hh_tes!S19/SER_hh_fec!S19)</f>
        <v>0.60512979245896859</v>
      </c>
      <c r="T19" s="135">
        <f>IF(SER_hh_tes!T19=0,"",SER_hh_tes!T19/SER_hh_fec!T19)</f>
        <v>0.62047887396737522</v>
      </c>
      <c r="U19" s="135">
        <f>IF(SER_hh_tes!U19=0,"",SER_hh_tes!U19/SER_hh_fec!U19)</f>
        <v>0.63686173649279421</v>
      </c>
      <c r="V19" s="135">
        <f>IF(SER_hh_tes!V19=0,"",SER_hh_tes!V19/SER_hh_fec!V19)</f>
        <v>0.65646446098265376</v>
      </c>
      <c r="W19" s="135">
        <f>IF(SER_hh_tes!W19=0,"",SER_hh_tes!W19/SER_hh_fec!W19)</f>
        <v>0.67283027331194245</v>
      </c>
      <c r="X19" s="135">
        <f>IF(SER_hh_tes!X19=0,"",SER_hh_tes!X19/SER_hh_fec!X19)</f>
        <v>0.69185900222939423</v>
      </c>
      <c r="Y19" s="135">
        <f>IF(SER_hh_tes!Y19=0,"",SER_hh_tes!Y19/SER_hh_fec!Y19)</f>
        <v>0.70910671577953932</v>
      </c>
      <c r="DA19" s="162" t="s">
        <v>242</v>
      </c>
    </row>
    <row r="20" spans="1:105" ht="12" customHeight="1" x14ac:dyDescent="0.25">
      <c r="A20" s="131" t="s">
        <v>29</v>
      </c>
      <c r="B20" s="136" t="str">
        <f>IF(SER_hh_tes!B20=0,"",SER_hh_tes!B20/SER_hh_fec!B20)</f>
        <v/>
      </c>
      <c r="C20" s="136" t="str">
        <f>IF(SER_hh_tes!C20=0,"",SER_hh_tes!C20/SER_hh_fec!C20)</f>
        <v/>
      </c>
      <c r="D20" s="136" t="str">
        <f>IF(SER_hh_tes!D20=0,"",SER_hh_tes!D20/SER_hh_fec!D20)</f>
        <v/>
      </c>
      <c r="E20" s="136" t="str">
        <f>IF(SER_hh_tes!E20=0,"",SER_hh_tes!E20/SER_hh_fec!E20)</f>
        <v/>
      </c>
      <c r="F20" s="136" t="str">
        <f>IF(SER_hh_tes!F20=0,"",SER_hh_tes!F20/SER_hh_fec!F20)</f>
        <v/>
      </c>
      <c r="G20" s="136" t="str">
        <f>IF(SER_hh_tes!G20=0,"",SER_hh_tes!G20/SER_hh_fec!G20)</f>
        <v/>
      </c>
      <c r="H20" s="136" t="str">
        <f>IF(SER_hh_tes!H20=0,"",SER_hh_tes!H20/SER_hh_fec!H20)</f>
        <v/>
      </c>
      <c r="I20" s="136" t="str">
        <f>IF(SER_hh_tes!I20=0,"",SER_hh_tes!I20/SER_hh_fec!I20)</f>
        <v/>
      </c>
      <c r="J20" s="136" t="str">
        <f>IF(SER_hh_tes!J20=0,"",SER_hh_tes!J20/SER_hh_fec!J20)</f>
        <v/>
      </c>
      <c r="K20" s="136" t="str">
        <f>IF(SER_hh_tes!K20=0,"",SER_hh_tes!K20/SER_hh_fec!K20)</f>
        <v/>
      </c>
      <c r="L20" s="136" t="str">
        <f>IF(SER_hh_tes!L20=0,"",SER_hh_tes!L20/SER_hh_fec!L20)</f>
        <v/>
      </c>
      <c r="M20" s="136" t="str">
        <f>IF(SER_hh_tes!M20=0,"",SER_hh_tes!M20/SER_hh_fec!M20)</f>
        <v/>
      </c>
      <c r="N20" s="136" t="str">
        <f>IF(SER_hh_tes!N20=0,"",SER_hh_tes!N20/SER_hh_fec!N20)</f>
        <v/>
      </c>
      <c r="O20" s="136" t="str">
        <f>IF(SER_hh_tes!O20=0,"",SER_hh_tes!O20/SER_hh_fec!O20)</f>
        <v/>
      </c>
      <c r="P20" s="136" t="str">
        <f>IF(SER_hh_tes!P20=0,"",SER_hh_tes!P20/SER_hh_fec!P20)</f>
        <v/>
      </c>
      <c r="Q20" s="136" t="str">
        <f>IF(SER_hh_tes!Q20=0,"",SER_hh_tes!Q20/SER_hh_fec!Q20)</f>
        <v/>
      </c>
      <c r="R20" s="136" t="str">
        <f>IF(SER_hh_tes!R20=0,"",SER_hh_tes!R20/SER_hh_fec!R20)</f>
        <v/>
      </c>
      <c r="S20" s="136" t="str">
        <f>IF(SER_hh_tes!S20=0,"",SER_hh_tes!S20/SER_hh_fec!S20)</f>
        <v/>
      </c>
      <c r="T20" s="136" t="str">
        <f>IF(SER_hh_tes!T20=0,"",SER_hh_tes!T20/SER_hh_fec!T20)</f>
        <v/>
      </c>
      <c r="U20" s="136" t="str">
        <f>IF(SER_hh_tes!U20=0,"",SER_hh_tes!U20/SER_hh_fec!U20)</f>
        <v/>
      </c>
      <c r="V20" s="136" t="str">
        <f>IF(SER_hh_tes!V20=0,"",SER_hh_tes!V20/SER_hh_fec!V20)</f>
        <v/>
      </c>
      <c r="W20" s="136" t="str">
        <f>IF(SER_hh_tes!W20=0,"",SER_hh_tes!W20/SER_hh_fec!W20)</f>
        <v/>
      </c>
      <c r="X20" s="136" t="str">
        <f>IF(SER_hh_tes!X20=0,"",SER_hh_tes!X20/SER_hh_fec!X20)</f>
        <v/>
      </c>
      <c r="Y20" s="136" t="str">
        <f>IF(SER_hh_tes!Y20=0,"",SER_hh_tes!Y20/SER_hh_fec!Y20)</f>
        <v/>
      </c>
      <c r="DA20" s="163" t="s">
        <v>345</v>
      </c>
    </row>
    <row r="21" spans="1:105" s="2" customFormat="1" ht="12" customHeight="1" x14ac:dyDescent="0.25">
      <c r="A21" s="131" t="s">
        <v>52</v>
      </c>
      <c r="B21" s="136">
        <f>IF(SER_hh_tes!B21=0,"",SER_hh_tes!B21/SER_hh_fec!B21)</f>
        <v>0.44562065581604088</v>
      </c>
      <c r="C21" s="136">
        <f>IF(SER_hh_tes!C21=0,"",SER_hh_tes!C21/SER_hh_fec!C21)</f>
        <v>0.44746429986351766</v>
      </c>
      <c r="D21" s="136">
        <f>IF(SER_hh_tes!D21=0,"",SER_hh_tes!D21/SER_hh_fec!D21)</f>
        <v>0.4492788148210824</v>
      </c>
      <c r="E21" s="136">
        <f>IF(SER_hh_tes!E21=0,"",SER_hh_tes!E21/SER_hh_fec!E21)</f>
        <v>0.45147396846205473</v>
      </c>
      <c r="F21" s="136">
        <f>IF(SER_hh_tes!F21=0,"",SER_hh_tes!F21/SER_hh_fec!F21)</f>
        <v>0.45427085381441951</v>
      </c>
      <c r="G21" s="136">
        <f>IF(SER_hh_tes!G21=0,"",SER_hh_tes!G21/SER_hh_fec!G21)</f>
        <v>0.4577425309217687</v>
      </c>
      <c r="H21" s="136">
        <f>IF(SER_hh_tes!H21=0,"",SER_hh_tes!H21/SER_hh_fec!H21)</f>
        <v>0.46133024949883267</v>
      </c>
      <c r="I21" s="136">
        <f>IF(SER_hh_tes!I21=0,"",SER_hh_tes!I21/SER_hh_fec!I21)</f>
        <v>0.46481731613953864</v>
      </c>
      <c r="J21" s="136">
        <f>IF(SER_hh_tes!J21=0,"",SER_hh_tes!J21/SER_hh_fec!J21)</f>
        <v>0.46750780274321735</v>
      </c>
      <c r="K21" s="136">
        <f>IF(SER_hh_tes!K21=0,"",SER_hh_tes!K21/SER_hh_fec!K21)</f>
        <v>0.46976817685807437</v>
      </c>
      <c r="L21" s="136">
        <f>IF(SER_hh_tes!L21=0,"",SER_hh_tes!L21/SER_hh_fec!L21)</f>
        <v>0.47204370591082268</v>
      </c>
      <c r="M21" s="136">
        <f>IF(SER_hh_tes!M21=0,"",SER_hh_tes!M21/SER_hh_fec!M21)</f>
        <v>0.47516386752150791</v>
      </c>
      <c r="N21" s="136">
        <f>IF(SER_hh_tes!N21=0,"",SER_hh_tes!N21/SER_hh_fec!N21)</f>
        <v>0.4804421633184775</v>
      </c>
      <c r="O21" s="136">
        <f>IF(SER_hh_tes!O21=0,"",SER_hh_tes!O21/SER_hh_fec!O21)</f>
        <v>0.48675644650950356</v>
      </c>
      <c r="P21" s="136">
        <f>IF(SER_hh_tes!P21=0,"",SER_hh_tes!P21/SER_hh_fec!P21)</f>
        <v>0.49305029197027034</v>
      </c>
      <c r="Q21" s="136">
        <f>IF(SER_hh_tes!Q21=0,"",SER_hh_tes!Q21/SER_hh_fec!Q21)</f>
        <v>0.50463239710328278</v>
      </c>
      <c r="R21" s="136">
        <f>IF(SER_hh_tes!R21=0,"",SER_hh_tes!R21/SER_hh_fec!R21)</f>
        <v>0.52211497724127642</v>
      </c>
      <c r="S21" s="136">
        <f>IF(SER_hh_tes!S21=0,"",SER_hh_tes!S21/SER_hh_fec!S21)</f>
        <v>0.54050863954905215</v>
      </c>
      <c r="T21" s="136">
        <f>IF(SER_hh_tes!T21=0,"",SER_hh_tes!T21/SER_hh_fec!T21)</f>
        <v>0.55357792132257866</v>
      </c>
      <c r="U21" s="136">
        <f>IF(SER_hh_tes!U21=0,"",SER_hh_tes!U21/SER_hh_fec!U21)</f>
        <v>0.56611283192712347</v>
      </c>
      <c r="V21" s="136">
        <f>IF(SER_hh_tes!V21=0,"",SER_hh_tes!V21/SER_hh_fec!V21)</f>
        <v>0.58497607374010163</v>
      </c>
      <c r="W21" s="136">
        <f>IF(SER_hh_tes!W21=0,"",SER_hh_tes!W21/SER_hh_fec!W21)</f>
        <v>0.60467234839957473</v>
      </c>
      <c r="X21" s="136">
        <f>IF(SER_hh_tes!X21=0,"",SER_hh_tes!X21/SER_hh_fec!X21)</f>
        <v>0.6209036680050205</v>
      </c>
      <c r="Y21" s="136">
        <f>IF(SER_hh_tes!Y21=0,"",SER_hh_tes!Y21/SER_hh_fec!Y21)</f>
        <v>0.63550901683873473</v>
      </c>
      <c r="DA21" s="163" t="s">
        <v>346</v>
      </c>
    </row>
    <row r="22" spans="1:105" ht="12" customHeight="1" x14ac:dyDescent="0.25">
      <c r="A22" s="131" t="s">
        <v>161</v>
      </c>
      <c r="B22" s="136">
        <f>IF(SER_hh_tes!B22=0,"",SER_hh_tes!B22/SER_hh_fec!B22)</f>
        <v>0.41994791772270657</v>
      </c>
      <c r="C22" s="136">
        <f>IF(SER_hh_tes!C22=0,"",SER_hh_tes!C22/SER_hh_fec!C22)</f>
        <v>0.42196563717688479</v>
      </c>
      <c r="D22" s="136">
        <f>IF(SER_hh_tes!D22=0,"",SER_hh_tes!D22/SER_hh_fec!D22)</f>
        <v>0.42404053781949985</v>
      </c>
      <c r="E22" s="136">
        <f>IF(SER_hh_tes!E22=0,"",SER_hh_tes!E22/SER_hh_fec!E22)</f>
        <v>0.42620488353786978</v>
      </c>
      <c r="F22" s="136">
        <f>IF(SER_hh_tes!F22=0,"",SER_hh_tes!F22/SER_hh_fec!F22)</f>
        <v>0.42846620216030407</v>
      </c>
      <c r="G22" s="136">
        <f>IF(SER_hh_tes!G22=0,"",SER_hh_tes!G22/SER_hh_fec!G22)</f>
        <v>0.43090858659884018</v>
      </c>
      <c r="H22" s="136">
        <f>IF(SER_hh_tes!H22=0,"",SER_hh_tes!H22/SER_hh_fec!H22)</f>
        <v>0.43350040562472675</v>
      </c>
      <c r="I22" s="136">
        <f>IF(SER_hh_tes!I22=0,"",SER_hh_tes!I22/SER_hh_fec!I22)</f>
        <v>0.43605601197940952</v>
      </c>
      <c r="J22" s="136">
        <f>IF(SER_hh_tes!J22=0,"",SER_hh_tes!J22/SER_hh_fec!J22)</f>
        <v>0.43839302899911436</v>
      </c>
      <c r="K22" s="136">
        <f>IF(SER_hh_tes!K22=0,"",SER_hh_tes!K22/SER_hh_fec!K22)</f>
        <v>0.44060136877169093</v>
      </c>
      <c r="L22" s="136">
        <f>IF(SER_hh_tes!L22=0,"",SER_hh_tes!L22/SER_hh_fec!L22)</f>
        <v>0.44317475739125994</v>
      </c>
      <c r="M22" s="136">
        <f>IF(SER_hh_tes!M22=0,"",SER_hh_tes!M22/SER_hh_fec!M22)</f>
        <v>0.44707724473860355</v>
      </c>
      <c r="N22" s="136">
        <f>IF(SER_hh_tes!N22=0,"",SER_hh_tes!N22/SER_hh_fec!N22)</f>
        <v>0.45348534474793756</v>
      </c>
      <c r="O22" s="136">
        <f>IF(SER_hh_tes!O22=0,"",SER_hh_tes!O22/SER_hh_fec!O22)</f>
        <v>0.46234804576764549</v>
      </c>
      <c r="P22" s="136">
        <f>IF(SER_hh_tes!P22=0,"",SER_hh_tes!P22/SER_hh_fec!P22)</f>
        <v>0.46882712670681786</v>
      </c>
      <c r="Q22" s="136">
        <f>IF(SER_hh_tes!Q22=0,"",SER_hh_tes!Q22/SER_hh_fec!Q22)</f>
        <v>0.47763016515417456</v>
      </c>
      <c r="R22" s="136">
        <f>IF(SER_hh_tes!R22=0,"",SER_hh_tes!R22/SER_hh_fec!R22)</f>
        <v>0.48725426652803799</v>
      </c>
      <c r="S22" s="136">
        <f>IF(SER_hh_tes!S22=0,"",SER_hh_tes!S22/SER_hh_fec!S22)</f>
        <v>0.49737354399811984</v>
      </c>
      <c r="T22" s="136">
        <f>IF(SER_hh_tes!T22=0,"",SER_hh_tes!T22/SER_hh_fec!T22)</f>
        <v>0.50279746786945401</v>
      </c>
      <c r="U22" s="136">
        <f>IF(SER_hh_tes!U22=0,"",SER_hh_tes!U22/SER_hh_fec!U22)</f>
        <v>0.50876800841367065</v>
      </c>
      <c r="V22" s="136">
        <f>IF(SER_hh_tes!V22=0,"",SER_hh_tes!V22/SER_hh_fec!V22)</f>
        <v>0.51450143392782144</v>
      </c>
      <c r="W22" s="136">
        <f>IF(SER_hh_tes!W22=0,"",SER_hh_tes!W22/SER_hh_fec!W22)</f>
        <v>0.5198377269668486</v>
      </c>
      <c r="X22" s="136">
        <f>IF(SER_hh_tes!X22=0,"",SER_hh_tes!X22/SER_hh_fec!X22)</f>
        <v>0.53056874178548441</v>
      </c>
      <c r="Y22" s="136">
        <f>IF(SER_hh_tes!Y22=0,"",SER_hh_tes!Y22/SER_hh_fec!Y22)</f>
        <v>0.54102142220872762</v>
      </c>
      <c r="DA22" s="163" t="s">
        <v>347</v>
      </c>
    </row>
    <row r="23" spans="1:105" ht="12" customHeight="1" x14ac:dyDescent="0.25">
      <c r="A23" s="131" t="s">
        <v>149</v>
      </c>
      <c r="B23" s="136">
        <f>IF(SER_hh_tes!B23=0,"",SER_hh_tes!B23/SER_hh_fec!B23)</f>
        <v>0.42938304029195284</v>
      </c>
      <c r="C23" s="136">
        <f>IF(SER_hh_tes!C23=0,"",SER_hh_tes!C23/SER_hh_fec!C23)</f>
        <v>0.43847369151706911</v>
      </c>
      <c r="D23" s="136">
        <f>IF(SER_hh_tes!D23=0,"",SER_hh_tes!D23/SER_hh_fec!D23)</f>
        <v>0.44783889938646965</v>
      </c>
      <c r="E23" s="136">
        <f>IF(SER_hh_tes!E23=0,"",SER_hh_tes!E23/SER_hh_fec!E23)</f>
        <v>0.45737975321720931</v>
      </c>
      <c r="F23" s="136">
        <f>IF(SER_hh_tes!F23=0,"",SER_hh_tes!F23/SER_hh_fec!F23)</f>
        <v>0.46636144456595358</v>
      </c>
      <c r="G23" s="136">
        <f>IF(SER_hh_tes!G23=0,"",SER_hh_tes!G23/SER_hh_fec!G23)</f>
        <v>0.47623923280279945</v>
      </c>
      <c r="H23" s="136">
        <f>IF(SER_hh_tes!H23=0,"",SER_hh_tes!H23/SER_hh_fec!H23)</f>
        <v>0.48347087286719548</v>
      </c>
      <c r="I23" s="136">
        <f>IF(SER_hh_tes!I23=0,"",SER_hh_tes!I23/SER_hh_fec!I23)</f>
        <v>0.48959579487492</v>
      </c>
      <c r="J23" s="136">
        <f>IF(SER_hh_tes!J23=0,"",SER_hh_tes!J23/SER_hh_fec!J23)</f>
        <v>0.49443050937695265</v>
      </c>
      <c r="K23" s="136">
        <f>IF(SER_hh_tes!K23=0,"",SER_hh_tes!K23/SER_hh_fec!K23)</f>
        <v>0.49897524719792485</v>
      </c>
      <c r="L23" s="136">
        <f>IF(SER_hh_tes!L23=0,"",SER_hh_tes!L23/SER_hh_fec!L23)</f>
        <v>0.50382420341100798</v>
      </c>
      <c r="M23" s="136">
        <f>IF(SER_hh_tes!M23=0,"",SER_hh_tes!M23/SER_hh_fec!M23)</f>
        <v>0.50857775172652964</v>
      </c>
      <c r="N23" s="136">
        <f>IF(SER_hh_tes!N23=0,"",SER_hh_tes!N23/SER_hh_fec!N23)</f>
        <v>0.51386087331346586</v>
      </c>
      <c r="O23" s="136">
        <f>IF(SER_hh_tes!O23=0,"",SER_hh_tes!O23/SER_hh_fec!O23)</f>
        <v>0.51875493321517041</v>
      </c>
      <c r="P23" s="136">
        <f>IF(SER_hh_tes!P23=0,"",SER_hh_tes!P23/SER_hh_fec!P23)</f>
        <v>0.52088381563114883</v>
      </c>
      <c r="Q23" s="136">
        <f>IF(SER_hh_tes!Q23=0,"",SER_hh_tes!Q23/SER_hh_fec!Q23)</f>
        <v>0.52659742398569642</v>
      </c>
      <c r="R23" s="136">
        <f>IF(SER_hh_tes!R23=0,"",SER_hh_tes!R23/SER_hh_fec!R23)</f>
        <v>0.53419972746012601</v>
      </c>
      <c r="S23" s="136">
        <f>IF(SER_hh_tes!S23=0,"",SER_hh_tes!S23/SER_hh_fec!S23)</f>
        <v>0.54862800590407623</v>
      </c>
      <c r="T23" s="136">
        <f>IF(SER_hh_tes!T23=0,"",SER_hh_tes!T23/SER_hh_fec!T23)</f>
        <v>0.56592083978955943</v>
      </c>
      <c r="U23" s="136">
        <f>IF(SER_hh_tes!U23=0,"",SER_hh_tes!U23/SER_hh_fec!U23)</f>
        <v>0.58564418419285069</v>
      </c>
      <c r="V23" s="136">
        <f>IF(SER_hh_tes!V23=0,"",SER_hh_tes!V23/SER_hh_fec!V23)</f>
        <v>0.60116058302421382</v>
      </c>
      <c r="W23" s="136">
        <f>IF(SER_hh_tes!W23=0,"",SER_hh_tes!W23/SER_hh_fec!W23)</f>
        <v>0.61219408092155392</v>
      </c>
      <c r="X23" s="136">
        <f>IF(SER_hh_tes!X23=0,"",SER_hh_tes!X23/SER_hh_fec!X23)</f>
        <v>0.62382198751239715</v>
      </c>
      <c r="Y23" s="136">
        <f>IF(SER_hh_tes!Y23=0,"",SER_hh_tes!Y23/SER_hh_fec!Y23)</f>
        <v>0.63011761781243125</v>
      </c>
      <c r="DA23" s="163" t="s">
        <v>348</v>
      </c>
    </row>
    <row r="24" spans="1:105" ht="12" customHeight="1" x14ac:dyDescent="0.25">
      <c r="A24" s="131" t="s">
        <v>128</v>
      </c>
      <c r="B24" s="136" t="str">
        <f>IF(SER_hh_tes!B24=0,"",SER_hh_tes!B24/SER_hh_fec!B24)</f>
        <v/>
      </c>
      <c r="C24" s="136" t="str">
        <f>IF(SER_hh_tes!C24=0,"",SER_hh_tes!C24/SER_hh_fec!C24)</f>
        <v/>
      </c>
      <c r="D24" s="136" t="str">
        <f>IF(SER_hh_tes!D24=0,"",SER_hh_tes!D24/SER_hh_fec!D24)</f>
        <v/>
      </c>
      <c r="E24" s="136" t="str">
        <f>IF(SER_hh_tes!E24=0,"",SER_hh_tes!E24/SER_hh_fec!E24)</f>
        <v/>
      </c>
      <c r="F24" s="136" t="str">
        <f>IF(SER_hh_tes!F24=0,"",SER_hh_tes!F24/SER_hh_fec!F24)</f>
        <v/>
      </c>
      <c r="G24" s="136" t="str">
        <f>IF(SER_hh_tes!G24=0,"",SER_hh_tes!G24/SER_hh_fec!G24)</f>
        <v/>
      </c>
      <c r="H24" s="136" t="str">
        <f>IF(SER_hh_tes!H24=0,"",SER_hh_tes!H24/SER_hh_fec!H24)</f>
        <v/>
      </c>
      <c r="I24" s="136" t="str">
        <f>IF(SER_hh_tes!I24=0,"",SER_hh_tes!I24/SER_hh_fec!I24)</f>
        <v/>
      </c>
      <c r="J24" s="136" t="str">
        <f>IF(SER_hh_tes!J24=0,"",SER_hh_tes!J24/SER_hh_fec!J24)</f>
        <v/>
      </c>
      <c r="K24" s="136" t="str">
        <f>IF(SER_hh_tes!K24=0,"",SER_hh_tes!K24/SER_hh_fec!K24)</f>
        <v/>
      </c>
      <c r="L24" s="136" t="str">
        <f>IF(SER_hh_tes!L24=0,"",SER_hh_tes!L24/SER_hh_fec!L24)</f>
        <v/>
      </c>
      <c r="M24" s="136" t="str">
        <f>IF(SER_hh_tes!M24=0,"",SER_hh_tes!M24/SER_hh_fec!M24)</f>
        <v/>
      </c>
      <c r="N24" s="136" t="str">
        <f>IF(SER_hh_tes!N24=0,"",SER_hh_tes!N24/SER_hh_fec!N24)</f>
        <v/>
      </c>
      <c r="O24" s="136" t="str">
        <f>IF(SER_hh_tes!O24=0,"",SER_hh_tes!O24/SER_hh_fec!O24)</f>
        <v/>
      </c>
      <c r="P24" s="136" t="str">
        <f>IF(SER_hh_tes!P24=0,"",SER_hh_tes!P24/SER_hh_fec!P24)</f>
        <v/>
      </c>
      <c r="Q24" s="136" t="str">
        <f>IF(SER_hh_tes!Q24=0,"",SER_hh_tes!Q24/SER_hh_fec!Q24)</f>
        <v/>
      </c>
      <c r="R24" s="136" t="str">
        <f>IF(SER_hh_tes!R24=0,"",SER_hh_tes!R24/SER_hh_fec!R24)</f>
        <v/>
      </c>
      <c r="S24" s="136" t="str">
        <f>IF(SER_hh_tes!S24=0,"",SER_hh_tes!S24/SER_hh_fec!S24)</f>
        <v/>
      </c>
      <c r="T24" s="136" t="str">
        <f>IF(SER_hh_tes!T24=0,"",SER_hh_tes!T24/SER_hh_fec!T24)</f>
        <v/>
      </c>
      <c r="U24" s="136" t="str">
        <f>IF(SER_hh_tes!U24=0,"",SER_hh_tes!U24/SER_hh_fec!U24)</f>
        <v/>
      </c>
      <c r="V24" s="136" t="str">
        <f>IF(SER_hh_tes!V24=0,"",SER_hh_tes!V24/SER_hh_fec!V24)</f>
        <v/>
      </c>
      <c r="W24" s="136" t="str">
        <f>IF(SER_hh_tes!W24=0,"",SER_hh_tes!W24/SER_hh_fec!W24)</f>
        <v/>
      </c>
      <c r="X24" s="136" t="str">
        <f>IF(SER_hh_tes!X24=0,"",SER_hh_tes!X24/SER_hh_fec!X24)</f>
        <v/>
      </c>
      <c r="Y24" s="136" t="str">
        <f>IF(SER_hh_tes!Y24=0,"",SER_hh_tes!Y24/SER_hh_fec!Y24)</f>
        <v/>
      </c>
      <c r="DA24" s="163" t="s">
        <v>349</v>
      </c>
    </row>
    <row r="25" spans="1:105" ht="12" customHeight="1" x14ac:dyDescent="0.25">
      <c r="A25" s="131" t="s">
        <v>162</v>
      </c>
      <c r="B25" s="136" t="str">
        <f>IF(SER_hh_tes!B25=0,"",SER_hh_tes!B25/SER_hh_fec!B25)</f>
        <v/>
      </c>
      <c r="C25" s="136" t="str">
        <f>IF(SER_hh_tes!C25=0,"",SER_hh_tes!C25/SER_hh_fec!C25)</f>
        <v/>
      </c>
      <c r="D25" s="136" t="str">
        <f>IF(SER_hh_tes!D25=0,"",SER_hh_tes!D25/SER_hh_fec!D25)</f>
        <v/>
      </c>
      <c r="E25" s="136" t="str">
        <f>IF(SER_hh_tes!E25=0,"",SER_hh_tes!E25/SER_hh_fec!E25)</f>
        <v/>
      </c>
      <c r="F25" s="136" t="str">
        <f>IF(SER_hh_tes!F25=0,"",SER_hh_tes!F25/SER_hh_fec!F25)</f>
        <v/>
      </c>
      <c r="G25" s="136" t="str">
        <f>IF(SER_hh_tes!G25=0,"",SER_hh_tes!G25/SER_hh_fec!G25)</f>
        <v/>
      </c>
      <c r="H25" s="136" t="str">
        <f>IF(SER_hh_tes!H25=0,"",SER_hh_tes!H25/SER_hh_fec!H25)</f>
        <v/>
      </c>
      <c r="I25" s="136" t="str">
        <f>IF(SER_hh_tes!I25=0,"",SER_hh_tes!I25/SER_hh_fec!I25)</f>
        <v/>
      </c>
      <c r="J25" s="136" t="str">
        <f>IF(SER_hh_tes!J25=0,"",SER_hh_tes!J25/SER_hh_fec!J25)</f>
        <v/>
      </c>
      <c r="K25" s="136" t="str">
        <f>IF(SER_hh_tes!K25=0,"",SER_hh_tes!K25/SER_hh_fec!K25)</f>
        <v/>
      </c>
      <c r="L25" s="136" t="str">
        <f>IF(SER_hh_tes!L25=0,"",SER_hh_tes!L25/SER_hh_fec!L25)</f>
        <v/>
      </c>
      <c r="M25" s="136" t="str">
        <f>IF(SER_hh_tes!M25=0,"",SER_hh_tes!M25/SER_hh_fec!M25)</f>
        <v/>
      </c>
      <c r="N25" s="136" t="str">
        <f>IF(SER_hh_tes!N25=0,"",SER_hh_tes!N25/SER_hh_fec!N25)</f>
        <v/>
      </c>
      <c r="O25" s="136" t="str">
        <f>IF(SER_hh_tes!O25=0,"",SER_hh_tes!O25/SER_hh_fec!O25)</f>
        <v/>
      </c>
      <c r="P25" s="136" t="str">
        <f>IF(SER_hh_tes!P25=0,"",SER_hh_tes!P25/SER_hh_fec!P25)</f>
        <v/>
      </c>
      <c r="Q25" s="136" t="str">
        <f>IF(SER_hh_tes!Q25=0,"",SER_hh_tes!Q25/SER_hh_fec!Q25)</f>
        <v/>
      </c>
      <c r="R25" s="136" t="str">
        <f>IF(SER_hh_tes!R25=0,"",SER_hh_tes!R25/SER_hh_fec!R25)</f>
        <v/>
      </c>
      <c r="S25" s="136" t="str">
        <f>IF(SER_hh_tes!S25=0,"",SER_hh_tes!S25/SER_hh_fec!S25)</f>
        <v/>
      </c>
      <c r="T25" s="136" t="str">
        <f>IF(SER_hh_tes!T25=0,"",SER_hh_tes!T25/SER_hh_fec!T25)</f>
        <v/>
      </c>
      <c r="U25" s="136" t="str">
        <f>IF(SER_hh_tes!U25=0,"",SER_hh_tes!U25/SER_hh_fec!U25)</f>
        <v/>
      </c>
      <c r="V25" s="136" t="str">
        <f>IF(SER_hh_tes!V25=0,"",SER_hh_tes!V25/SER_hh_fec!V25)</f>
        <v/>
      </c>
      <c r="W25" s="136" t="str">
        <f>IF(SER_hh_tes!W25=0,"",SER_hh_tes!W25/SER_hh_fec!W25)</f>
        <v/>
      </c>
      <c r="X25" s="136" t="str">
        <f>IF(SER_hh_tes!X25=0,"",SER_hh_tes!X25/SER_hh_fec!X25)</f>
        <v/>
      </c>
      <c r="Y25" s="136" t="str">
        <f>IF(SER_hh_tes!Y25=0,"",SER_hh_tes!Y25/SER_hh_fec!Y25)</f>
        <v/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0.53286128829497859</v>
      </c>
      <c r="C26" s="137">
        <f>IF(SER_hh_tes!C26=0,"",SER_hh_tes!C26/SER_hh_fec!C26)</f>
        <v>0.53489983831480759</v>
      </c>
      <c r="D26" s="137">
        <f>IF(SER_hh_tes!D26=0,"",SER_hh_tes!D26/SER_hh_fec!D26)</f>
        <v>0.53685023064382609</v>
      </c>
      <c r="E26" s="137">
        <f>IF(SER_hh_tes!E26=0,"",SER_hh_tes!E26/SER_hh_fec!E26)</f>
        <v>0.53905867914240457</v>
      </c>
      <c r="F26" s="137">
        <f>IF(SER_hh_tes!F26=0,"",SER_hh_tes!F26/SER_hh_fec!F26)</f>
        <v>0.54131076471895168</v>
      </c>
      <c r="G26" s="137">
        <f>IF(SER_hh_tes!G26=0,"",SER_hh_tes!G26/SER_hh_fec!G26)</f>
        <v>0.54345389192637139</v>
      </c>
      <c r="H26" s="137">
        <f>IF(SER_hh_tes!H26=0,"",SER_hh_tes!H26/SER_hh_fec!H26)</f>
        <v>0.5459495046246079</v>
      </c>
      <c r="I26" s="137">
        <f>IF(SER_hh_tes!I26=0,"",SER_hh_tes!I26/SER_hh_fec!I26)</f>
        <v>0.54839047266147389</v>
      </c>
      <c r="J26" s="137">
        <f>IF(SER_hh_tes!J26=0,"",SER_hh_tes!J26/SER_hh_fec!J26)</f>
        <v>0.55091539023230973</v>
      </c>
      <c r="K26" s="137">
        <f>IF(SER_hh_tes!K26=0,"",SER_hh_tes!K26/SER_hh_fec!K26)</f>
        <v>0.55345630074340912</v>
      </c>
      <c r="L26" s="137">
        <f>IF(SER_hh_tes!L26=0,"",SER_hh_tes!L26/SER_hh_fec!L26)</f>
        <v>0.55575896237066402</v>
      </c>
      <c r="M26" s="137">
        <f>IF(SER_hh_tes!M26=0,"",SER_hh_tes!M26/SER_hh_fec!M26)</f>
        <v>0.55920603046067996</v>
      </c>
      <c r="N26" s="137">
        <f>IF(SER_hh_tes!N26=0,"",SER_hh_tes!N26/SER_hh_fec!N26)</f>
        <v>0.56513578432556466</v>
      </c>
      <c r="O26" s="137">
        <f>IF(SER_hh_tes!O26=0,"",SER_hh_tes!O26/SER_hh_fec!O26)</f>
        <v>0.5722836648911106</v>
      </c>
      <c r="P26" s="137">
        <f>IF(SER_hh_tes!P26=0,"",SER_hh_tes!P26/SER_hh_fec!P26)</f>
        <v>0.57699335407455921</v>
      </c>
      <c r="Q26" s="137">
        <f>IF(SER_hh_tes!Q26=0,"",SER_hh_tes!Q26/SER_hh_fec!Q26)</f>
        <v>0.584177843809493</v>
      </c>
      <c r="R26" s="137">
        <f>IF(SER_hh_tes!R26=0,"",SER_hh_tes!R26/SER_hh_fec!R26)</f>
        <v>0.59367328113777751</v>
      </c>
      <c r="S26" s="137">
        <f>IF(SER_hh_tes!S26=0,"",SER_hh_tes!S26/SER_hh_fec!S26)</f>
        <v>0.60737203825790143</v>
      </c>
      <c r="T26" s="137">
        <f>IF(SER_hh_tes!T26=0,"",SER_hh_tes!T26/SER_hh_fec!T26)</f>
        <v>0.62253739728474045</v>
      </c>
      <c r="U26" s="137">
        <f>IF(SER_hh_tes!U26=0,"",SER_hh_tes!U26/SER_hh_fec!U26)</f>
        <v>0.63888653703809462</v>
      </c>
      <c r="V26" s="137">
        <f>IF(SER_hh_tes!V26=0,"",SER_hh_tes!V26/SER_hh_fec!V26)</f>
        <v>0.65541082176758858</v>
      </c>
      <c r="W26" s="137">
        <f>IF(SER_hh_tes!W26=0,"",SER_hh_tes!W26/SER_hh_fec!W26)</f>
        <v>0.67267816750517684</v>
      </c>
      <c r="X26" s="137">
        <f>IF(SER_hh_tes!X26=0,"",SER_hh_tes!X26/SER_hh_fec!X26)</f>
        <v>0.6913668574430899</v>
      </c>
      <c r="Y26" s="137">
        <f>IF(SER_hh_tes!Y26=0,"",SER_hh_tes!Y26/SER_hh_fec!Y26)</f>
        <v>0.70781890052833807</v>
      </c>
      <c r="DA26" s="164" t="s">
        <v>351</v>
      </c>
    </row>
    <row r="27" spans="1:105" ht="12" customHeight="1" x14ac:dyDescent="0.25">
      <c r="A27" s="144" t="s">
        <v>26</v>
      </c>
      <c r="B27" s="153">
        <f>IF(SER_hh_tes!B27=0,"",SER_hh_tes!B27/SER_hh_fec!B27)</f>
        <v>1</v>
      </c>
      <c r="C27" s="153">
        <f>IF(SER_hh_tes!C27=0,"",SER_hh_tes!C27/SER_hh_fec!C27)</f>
        <v>1</v>
      </c>
      <c r="D27" s="153">
        <f>IF(SER_hh_tes!D27=0,"",SER_hh_tes!D27/SER_hh_fec!D27)</f>
        <v>1</v>
      </c>
      <c r="E27" s="153">
        <f>IF(SER_hh_tes!E27=0,"",SER_hh_tes!E27/SER_hh_fec!E27)</f>
        <v>1</v>
      </c>
      <c r="F27" s="153">
        <f>IF(SER_hh_tes!F27=0,"",SER_hh_tes!F27/SER_hh_fec!F27)</f>
        <v>1</v>
      </c>
      <c r="G27" s="153">
        <f>IF(SER_hh_tes!G27=0,"",SER_hh_tes!G27/SER_hh_fec!G27)</f>
        <v>1</v>
      </c>
      <c r="H27" s="153">
        <f>IF(SER_hh_tes!H27=0,"",SER_hh_tes!H27/SER_hh_fec!H27)</f>
        <v>1</v>
      </c>
      <c r="I27" s="153">
        <f>IF(SER_hh_tes!I27=0,"",SER_hh_tes!I27/SER_hh_fec!I27)</f>
        <v>1</v>
      </c>
      <c r="J27" s="153">
        <f>IF(SER_hh_tes!J27=0,"",SER_hh_tes!J27/SER_hh_fec!J27)</f>
        <v>1</v>
      </c>
      <c r="K27" s="153">
        <f>IF(SER_hh_tes!K27=0,"",SER_hh_tes!K27/SER_hh_fec!K27)</f>
        <v>1</v>
      </c>
      <c r="L27" s="153">
        <f>IF(SER_hh_tes!L27=0,"",SER_hh_tes!L27/SER_hh_fec!L27)</f>
        <v>1</v>
      </c>
      <c r="M27" s="153">
        <f>IF(SER_hh_tes!M27=0,"",SER_hh_tes!M27/SER_hh_fec!M27)</f>
        <v>1</v>
      </c>
      <c r="N27" s="153">
        <f>IF(SER_hh_tes!N27=0,"",SER_hh_tes!N27/SER_hh_fec!N27)</f>
        <v>1</v>
      </c>
      <c r="O27" s="153">
        <f>IF(SER_hh_tes!O27=0,"",SER_hh_tes!O27/SER_hh_fec!O27)</f>
        <v>1</v>
      </c>
      <c r="P27" s="153">
        <f>IF(SER_hh_tes!P27=0,"",SER_hh_tes!P27/SER_hh_fec!P27)</f>
        <v>1</v>
      </c>
      <c r="Q27" s="153">
        <f>IF(SER_hh_tes!Q27=0,"",SER_hh_tes!Q27/SER_hh_fec!Q27)</f>
        <v>1</v>
      </c>
      <c r="R27" s="153">
        <f>IF(SER_hh_tes!R27=0,"",SER_hh_tes!R27/SER_hh_fec!R27)</f>
        <v>1</v>
      </c>
      <c r="S27" s="153">
        <f>IF(SER_hh_tes!S27=0,"",SER_hh_tes!S27/SER_hh_fec!S27)</f>
        <v>1</v>
      </c>
      <c r="T27" s="153">
        <f>IF(SER_hh_tes!T27=0,"",SER_hh_tes!T27/SER_hh_fec!T27)</f>
        <v>1</v>
      </c>
      <c r="U27" s="153">
        <f>IF(SER_hh_tes!U27=0,"",SER_hh_tes!U27/SER_hh_fec!U27)</f>
        <v>1</v>
      </c>
      <c r="V27" s="153">
        <f>IF(SER_hh_tes!V27=0,"",SER_hh_tes!V27/SER_hh_fec!V27)</f>
        <v>1</v>
      </c>
      <c r="W27" s="153">
        <f>IF(SER_hh_tes!W27=0,"",SER_hh_tes!W27/SER_hh_fec!W27)</f>
        <v>1</v>
      </c>
      <c r="X27" s="153">
        <f>IF(SER_hh_tes!X27=0,"",SER_hh_tes!X27/SER_hh_fec!X27)</f>
        <v>1</v>
      </c>
      <c r="Y27" s="153">
        <f>IF(SER_hh_tes!Y27=0,"",SER_hh_tes!Y27/SER_hh_fec!Y27)</f>
        <v>1</v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0.6487841877183993</v>
      </c>
      <c r="C29" s="135">
        <f>IF(SER_hh_tes!C29=0,"",SER_hh_tes!C29/SER_hh_fec!C29)</f>
        <v>0.65057779317174824</v>
      </c>
      <c r="D29" s="135">
        <f>IF(SER_hh_tes!D29=0,"",SER_hh_tes!D29/SER_hh_fec!D29)</f>
        <v>0.65739453117099167</v>
      </c>
      <c r="E29" s="135">
        <f>IF(SER_hh_tes!E29=0,"",SER_hh_tes!E29/SER_hh_fec!E29)</f>
        <v>0.65660616865068533</v>
      </c>
      <c r="F29" s="135">
        <f>IF(SER_hh_tes!F29=0,"",SER_hh_tes!F29/SER_hh_fec!F29)</f>
        <v>0.64317140257283467</v>
      </c>
      <c r="G29" s="135">
        <f>IF(SER_hh_tes!G29=0,"",SER_hh_tes!G29/SER_hh_fec!G29)</f>
        <v>0.64712476898153715</v>
      </c>
      <c r="H29" s="135">
        <f>IF(SER_hh_tes!H29=0,"",SER_hh_tes!H29/SER_hh_fec!H29)</f>
        <v>0.64958088140640891</v>
      </c>
      <c r="I29" s="135">
        <f>IF(SER_hh_tes!I29=0,"",SER_hh_tes!I29/SER_hh_fec!I29)</f>
        <v>0.65240695848905061</v>
      </c>
      <c r="J29" s="135">
        <f>IF(SER_hh_tes!J29=0,"",SER_hh_tes!J29/SER_hh_fec!J29)</f>
        <v>0.65416968552747978</v>
      </c>
      <c r="K29" s="135">
        <f>IF(SER_hh_tes!K29=0,"",SER_hh_tes!K29/SER_hh_fec!K29)</f>
        <v>0.65606989643098967</v>
      </c>
      <c r="L29" s="135">
        <f>IF(SER_hh_tes!L29=0,"",SER_hh_tes!L29/SER_hh_fec!L29)</f>
        <v>0.65516656142922081</v>
      </c>
      <c r="M29" s="135">
        <f>IF(SER_hh_tes!M29=0,"",SER_hh_tes!M29/SER_hh_fec!M29)</f>
        <v>0.65682750527423406</v>
      </c>
      <c r="N29" s="135">
        <f>IF(SER_hh_tes!N29=0,"",SER_hh_tes!N29/SER_hh_fec!N29)</f>
        <v>0.63052724297007579</v>
      </c>
      <c r="O29" s="135">
        <f>IF(SER_hh_tes!O29=0,"",SER_hh_tes!O29/SER_hh_fec!O29)</f>
        <v>0.64652969958916584</v>
      </c>
      <c r="P29" s="135">
        <f>IF(SER_hh_tes!P29=0,"",SER_hh_tes!P29/SER_hh_fec!P29)</f>
        <v>0.6630856392110841</v>
      </c>
      <c r="Q29" s="135">
        <f>IF(SER_hh_tes!Q29=0,"",SER_hh_tes!Q29/SER_hh_fec!Q29)</f>
        <v>0.66447636282164912</v>
      </c>
      <c r="R29" s="135">
        <f>IF(SER_hh_tes!R29=0,"",SER_hh_tes!R29/SER_hh_fec!R29)</f>
        <v>0.66728718254881436</v>
      </c>
      <c r="S29" s="135">
        <f>IF(SER_hh_tes!S29=0,"",SER_hh_tes!S29/SER_hh_fec!S29)</f>
        <v>0.67249047969515241</v>
      </c>
      <c r="T29" s="135">
        <f>IF(SER_hh_tes!T29=0,"",SER_hh_tes!T29/SER_hh_fec!T29)</f>
        <v>0.6790008103750137</v>
      </c>
      <c r="U29" s="135">
        <f>IF(SER_hh_tes!U29=0,"",SER_hh_tes!U29/SER_hh_fec!U29)</f>
        <v>0.68312621040451749</v>
      </c>
      <c r="V29" s="135">
        <f>IF(SER_hh_tes!V29=0,"",SER_hh_tes!V29/SER_hh_fec!V29)</f>
        <v>0.6999825079734</v>
      </c>
      <c r="W29" s="135">
        <f>IF(SER_hh_tes!W29=0,"",SER_hh_tes!W29/SER_hh_fec!W29)</f>
        <v>0.70109720755277549</v>
      </c>
      <c r="X29" s="135">
        <f>IF(SER_hh_tes!X29=0,"",SER_hh_tes!X29/SER_hh_fec!X29)</f>
        <v>0.70361202293217961</v>
      </c>
      <c r="Y29" s="135">
        <f>IF(SER_hh_tes!Y29=0,"",SER_hh_tes!Y29/SER_hh_fec!Y29)</f>
        <v>0.70291531752557335</v>
      </c>
      <c r="DA29" s="162" t="s">
        <v>243</v>
      </c>
    </row>
    <row r="30" spans="1:105" ht="12" customHeight="1" x14ac:dyDescent="0.25">
      <c r="A30" s="131" t="s">
        <v>52</v>
      </c>
      <c r="B30" s="136">
        <f>IF(SER_hh_tes!B30=0,"",SER_hh_tes!B30/SER_hh_fec!B30)</f>
        <v>0.50140381922330279</v>
      </c>
      <c r="C30" s="136">
        <f>IF(SER_hh_tes!C30=0,"",SER_hh_tes!C30/SER_hh_fec!C30)</f>
        <v>0.50141191541551433</v>
      </c>
      <c r="D30" s="136">
        <f>IF(SER_hh_tes!D30=0,"",SER_hh_tes!D30/SER_hh_fec!D30)</f>
        <v>0.50207015115319553</v>
      </c>
      <c r="E30" s="136">
        <f>IF(SER_hh_tes!E30=0,"",SER_hh_tes!E30/SER_hh_fec!E30)</f>
        <v>0.50399194586053475</v>
      </c>
      <c r="F30" s="136">
        <f>IF(SER_hh_tes!F30=0,"",SER_hh_tes!F30/SER_hh_fec!F30)</f>
        <v>0.5060855374518336</v>
      </c>
      <c r="G30" s="136">
        <f>IF(SER_hh_tes!G30=0,"",SER_hh_tes!G30/SER_hh_fec!G30)</f>
        <v>0.5069662875789227</v>
      </c>
      <c r="H30" s="136">
        <f>IF(SER_hh_tes!H30=0,"",SER_hh_tes!H30/SER_hh_fec!H30)</f>
        <v>0.50762680364819401</v>
      </c>
      <c r="I30" s="136">
        <f>IF(SER_hh_tes!I30=0,"",SER_hh_tes!I30/SER_hh_fec!I30)</f>
        <v>0.50806564507170549</v>
      </c>
      <c r="J30" s="136">
        <f>IF(SER_hh_tes!J30=0,"",SER_hh_tes!J30/SER_hh_fec!J30)</f>
        <v>0.50890074262548579</v>
      </c>
      <c r="K30" s="136">
        <f>IF(SER_hh_tes!K30=0,"",SER_hh_tes!K30/SER_hh_fec!K30)</f>
        <v>0.50977425636981244</v>
      </c>
      <c r="L30" s="136">
        <f>IF(SER_hh_tes!L30=0,"",SER_hh_tes!L30/SER_hh_fec!L30)</f>
        <v>0.51046009333217379</v>
      </c>
      <c r="M30" s="136">
        <f>IF(SER_hh_tes!M30=0,"",SER_hh_tes!M30/SER_hh_fec!M30)</f>
        <v>0.51130873830715984</v>
      </c>
      <c r="N30" s="136">
        <f>IF(SER_hh_tes!N30=0,"",SER_hh_tes!N30/SER_hh_fec!N30)</f>
        <v>0.51213843065412812</v>
      </c>
      <c r="O30" s="136">
        <f>IF(SER_hh_tes!O30=0,"",SER_hh_tes!O30/SER_hh_fec!O30)</f>
        <v>0.51252519395346385</v>
      </c>
      <c r="P30" s="136">
        <f>IF(SER_hh_tes!P30=0,"",SER_hh_tes!P30/SER_hh_fec!P30)</f>
        <v>0.51288141016574695</v>
      </c>
      <c r="Q30" s="136">
        <f>IF(SER_hh_tes!Q30=0,"",SER_hh_tes!Q30/SER_hh_fec!Q30)</f>
        <v>0.51379836354869779</v>
      </c>
      <c r="R30" s="136">
        <f>IF(SER_hh_tes!R30=0,"",SER_hh_tes!R30/SER_hh_fec!R30)</f>
        <v>0.51581393035955536</v>
      </c>
      <c r="S30" s="136">
        <f>IF(SER_hh_tes!S30=0,"",SER_hh_tes!S30/SER_hh_fec!S30)</f>
        <v>0.51773374300376496</v>
      </c>
      <c r="T30" s="136">
        <f>IF(SER_hh_tes!T30=0,"",SER_hh_tes!T30/SER_hh_fec!T30)</f>
        <v>0.52114933616262404</v>
      </c>
      <c r="U30" s="136">
        <f>IF(SER_hh_tes!U30=0,"",SER_hh_tes!U30/SER_hh_fec!U30)</f>
        <v>0.52507517988054087</v>
      </c>
      <c r="V30" s="136">
        <f>IF(SER_hh_tes!V30=0,"",SER_hh_tes!V30/SER_hh_fec!V30)</f>
        <v>0.52888592713016713</v>
      </c>
      <c r="W30" s="136">
        <f>IF(SER_hh_tes!W30=0,"",SER_hh_tes!W30/SER_hh_fec!W30)</f>
        <v>0.53599114687959259</v>
      </c>
      <c r="X30" s="136">
        <f>IF(SER_hh_tes!X30=0,"",SER_hh_tes!X30/SER_hh_fec!X30)</f>
        <v>0.54244403388365137</v>
      </c>
      <c r="Y30" s="136">
        <f>IF(SER_hh_tes!Y30=0,"",SER_hh_tes!Y30/SER_hh_fec!Y30)</f>
        <v>0.5470468364993728</v>
      </c>
      <c r="DA30" s="163" t="s">
        <v>353</v>
      </c>
    </row>
    <row r="31" spans="1:105" ht="12" customHeight="1" x14ac:dyDescent="0.25">
      <c r="A31" s="131" t="s">
        <v>149</v>
      </c>
      <c r="B31" s="136">
        <f>IF(SER_hh_tes!B31=0,"",SER_hh_tes!B31/SER_hh_fec!B31)</f>
        <v>0.50760466734701271</v>
      </c>
      <c r="C31" s="136">
        <f>IF(SER_hh_tes!C31=0,"",SER_hh_tes!C31/SER_hh_fec!C31)</f>
        <v>0.50929329699945014</v>
      </c>
      <c r="D31" s="136">
        <f>IF(SER_hh_tes!D31=0,"",SER_hh_tes!D31/SER_hh_fec!D31)</f>
        <v>0.51138584216903593</v>
      </c>
      <c r="E31" s="136">
        <f>IF(SER_hh_tes!E31=0,"",SER_hh_tes!E31/SER_hh_fec!E31)</f>
        <v>0.5127992249100628</v>
      </c>
      <c r="F31" s="136">
        <f>IF(SER_hh_tes!F31=0,"",SER_hh_tes!F31/SER_hh_fec!F31)</f>
        <v>0.51382456295308954</v>
      </c>
      <c r="G31" s="136">
        <f>IF(SER_hh_tes!G31=0,"",SER_hh_tes!G31/SER_hh_fec!G31)</f>
        <v>0.51465048980159633</v>
      </c>
      <c r="H31" s="136">
        <f>IF(SER_hh_tes!H31=0,"",SER_hh_tes!H31/SER_hh_fec!H31)</f>
        <v>0.51528530941248829</v>
      </c>
      <c r="I31" s="136">
        <f>IF(SER_hh_tes!I31=0,"",SER_hh_tes!I31/SER_hh_fec!I31)</f>
        <v>0.51589159184350319</v>
      </c>
      <c r="J31" s="136">
        <f>IF(SER_hh_tes!J31=0,"",SER_hh_tes!J31/SER_hh_fec!J31)</f>
        <v>0.51649131113608093</v>
      </c>
      <c r="K31" s="136">
        <f>IF(SER_hh_tes!K31=0,"",SER_hh_tes!K31/SER_hh_fec!K31)</f>
        <v>0.5171086735576893</v>
      </c>
      <c r="L31" s="136">
        <f>IF(SER_hh_tes!L31=0,"",SER_hh_tes!L31/SER_hh_fec!L31)</f>
        <v>0.51764415847170409</v>
      </c>
      <c r="M31" s="136">
        <f>IF(SER_hh_tes!M31=0,"",SER_hh_tes!M31/SER_hh_fec!M31)</f>
        <v>0.51807760580796902</v>
      </c>
      <c r="N31" s="136">
        <f>IF(SER_hh_tes!N31=0,"",SER_hh_tes!N31/SER_hh_fec!N31)</f>
        <v>0.51847749215515948</v>
      </c>
      <c r="O31" s="136">
        <f>IF(SER_hh_tes!O31=0,"",SER_hh_tes!O31/SER_hh_fec!O31)</f>
        <v>0.51889291735391763</v>
      </c>
      <c r="P31" s="136">
        <f>IF(SER_hh_tes!P31=0,"",SER_hh_tes!P31/SER_hh_fec!P31)</f>
        <v>0.51937661510983213</v>
      </c>
      <c r="Q31" s="136">
        <f>IF(SER_hh_tes!Q31=0,"",SER_hh_tes!Q31/SER_hh_fec!Q31)</f>
        <v>0.52001741274370838</v>
      </c>
      <c r="R31" s="136">
        <f>IF(SER_hh_tes!R31=0,"",SER_hh_tes!R31/SER_hh_fec!R31)</f>
        <v>0.52105721039550323</v>
      </c>
      <c r="S31" s="136">
        <f>IF(SER_hh_tes!S31=0,"",SER_hh_tes!S31/SER_hh_fec!S31)</f>
        <v>0.52282502058252567</v>
      </c>
      <c r="T31" s="136">
        <f>IF(SER_hh_tes!T31=0,"",SER_hh_tes!T31/SER_hh_fec!T31)</f>
        <v>0.52581773899170392</v>
      </c>
      <c r="U31" s="136">
        <f>IF(SER_hh_tes!U31=0,"",SER_hh_tes!U31/SER_hh_fec!U31)</f>
        <v>0.53022708714797218</v>
      </c>
      <c r="V31" s="136">
        <f>IF(SER_hh_tes!V31=0,"",SER_hh_tes!V31/SER_hh_fec!V31)</f>
        <v>0.53480161670816739</v>
      </c>
      <c r="W31" s="136">
        <f>IF(SER_hh_tes!W31=0,"",SER_hh_tes!W31/SER_hh_fec!W31)</f>
        <v>0.53800881053606531</v>
      </c>
      <c r="X31" s="136">
        <f>IF(SER_hh_tes!X31=0,"",SER_hh_tes!X31/SER_hh_fec!X31)</f>
        <v>0.5399004186539671</v>
      </c>
      <c r="Y31" s="136">
        <f>IF(SER_hh_tes!Y31=0,"",SER_hh_tes!Y31/SER_hh_fec!Y31)</f>
        <v>0.54181761466848688</v>
      </c>
      <c r="DA31" s="163" t="s">
        <v>354</v>
      </c>
    </row>
    <row r="32" spans="1:105" ht="12" customHeight="1" x14ac:dyDescent="0.25">
      <c r="A32" s="131" t="s">
        <v>128</v>
      </c>
      <c r="B32" s="136" t="str">
        <f>IF(SER_hh_tes!B32=0,"",SER_hh_tes!B32/SER_hh_fec!B32)</f>
        <v/>
      </c>
      <c r="C32" s="136" t="str">
        <f>IF(SER_hh_tes!C32=0,"",SER_hh_tes!C32/SER_hh_fec!C32)</f>
        <v/>
      </c>
      <c r="D32" s="136" t="str">
        <f>IF(SER_hh_tes!D32=0,"",SER_hh_tes!D32/SER_hh_fec!D32)</f>
        <v/>
      </c>
      <c r="E32" s="136" t="str">
        <f>IF(SER_hh_tes!E32=0,"",SER_hh_tes!E32/SER_hh_fec!E32)</f>
        <v/>
      </c>
      <c r="F32" s="136" t="str">
        <f>IF(SER_hh_tes!F32=0,"",SER_hh_tes!F32/SER_hh_fec!F32)</f>
        <v/>
      </c>
      <c r="G32" s="136" t="str">
        <f>IF(SER_hh_tes!G32=0,"",SER_hh_tes!G32/SER_hh_fec!G32)</f>
        <v/>
      </c>
      <c r="H32" s="136" t="str">
        <f>IF(SER_hh_tes!H32=0,"",SER_hh_tes!H32/SER_hh_fec!H32)</f>
        <v/>
      </c>
      <c r="I32" s="136" t="str">
        <f>IF(SER_hh_tes!I32=0,"",SER_hh_tes!I32/SER_hh_fec!I32)</f>
        <v/>
      </c>
      <c r="J32" s="136" t="str">
        <f>IF(SER_hh_tes!J32=0,"",SER_hh_tes!J32/SER_hh_fec!J32)</f>
        <v/>
      </c>
      <c r="K32" s="136" t="str">
        <f>IF(SER_hh_tes!K32=0,"",SER_hh_tes!K32/SER_hh_fec!K32)</f>
        <v/>
      </c>
      <c r="L32" s="136" t="str">
        <f>IF(SER_hh_tes!L32=0,"",SER_hh_tes!L32/SER_hh_fec!L32)</f>
        <v/>
      </c>
      <c r="M32" s="136" t="str">
        <f>IF(SER_hh_tes!M32=0,"",SER_hh_tes!M32/SER_hh_fec!M32)</f>
        <v/>
      </c>
      <c r="N32" s="136" t="str">
        <f>IF(SER_hh_tes!N32=0,"",SER_hh_tes!N32/SER_hh_fec!N32)</f>
        <v/>
      </c>
      <c r="O32" s="136" t="str">
        <f>IF(SER_hh_tes!O32=0,"",SER_hh_tes!O32/SER_hh_fec!O32)</f>
        <v/>
      </c>
      <c r="P32" s="136" t="str">
        <f>IF(SER_hh_tes!P32=0,"",SER_hh_tes!P32/SER_hh_fec!P32)</f>
        <v/>
      </c>
      <c r="Q32" s="136" t="str">
        <f>IF(SER_hh_tes!Q32=0,"",SER_hh_tes!Q32/SER_hh_fec!Q32)</f>
        <v/>
      </c>
      <c r="R32" s="136" t="str">
        <f>IF(SER_hh_tes!R32=0,"",SER_hh_tes!R32/SER_hh_fec!R32)</f>
        <v/>
      </c>
      <c r="S32" s="136" t="str">
        <f>IF(SER_hh_tes!S32=0,"",SER_hh_tes!S32/SER_hh_fec!S32)</f>
        <v/>
      </c>
      <c r="T32" s="136" t="str">
        <f>IF(SER_hh_tes!T32=0,"",SER_hh_tes!T32/SER_hh_fec!T32)</f>
        <v/>
      </c>
      <c r="U32" s="136" t="str">
        <f>IF(SER_hh_tes!U32=0,"",SER_hh_tes!U32/SER_hh_fec!U32)</f>
        <v/>
      </c>
      <c r="V32" s="136" t="str">
        <f>IF(SER_hh_tes!V32=0,"",SER_hh_tes!V32/SER_hh_fec!V32)</f>
        <v/>
      </c>
      <c r="W32" s="136" t="str">
        <f>IF(SER_hh_tes!W32=0,"",SER_hh_tes!W32/SER_hh_fec!W32)</f>
        <v/>
      </c>
      <c r="X32" s="136" t="str">
        <f>IF(SER_hh_tes!X32=0,"",SER_hh_tes!X32/SER_hh_fec!X32)</f>
        <v/>
      </c>
      <c r="Y32" s="136" t="str">
        <f>IF(SER_hh_tes!Y32=0,"",SER_hh_tes!Y32/SER_hh_fec!Y32)</f>
        <v/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0.66345516281802375</v>
      </c>
      <c r="C33" s="149">
        <f>IF(SER_hh_tes!C33=0,"",SER_hh_tes!C33/SER_hh_fec!C33)</f>
        <v>0.66520975895368206</v>
      </c>
      <c r="D33" s="149">
        <f>IF(SER_hh_tes!D33=0,"",SER_hh_tes!D33/SER_hh_fec!D33)</f>
        <v>0.66685724080568842</v>
      </c>
      <c r="E33" s="149">
        <f>IF(SER_hh_tes!E33=0,"",SER_hh_tes!E33/SER_hh_fec!E33)</f>
        <v>0.66857782955926315</v>
      </c>
      <c r="F33" s="149">
        <f>IF(SER_hh_tes!F33=0,"",SER_hh_tes!F33/SER_hh_fec!F33)</f>
        <v>0.67026003830904712</v>
      </c>
      <c r="G33" s="149">
        <f>IF(SER_hh_tes!G33=0,"",SER_hh_tes!G33/SER_hh_fec!G33)</f>
        <v>0.67215805803357875</v>
      </c>
      <c r="H33" s="149">
        <f>IF(SER_hh_tes!H33=0,"",SER_hh_tes!H33/SER_hh_fec!H33)</f>
        <v>0.67445030707925457</v>
      </c>
      <c r="I33" s="149">
        <f>IF(SER_hh_tes!I33=0,"",SER_hh_tes!I33/SER_hh_fec!I33)</f>
        <v>0.67684271746076663</v>
      </c>
      <c r="J33" s="149">
        <f>IF(SER_hh_tes!J33=0,"",SER_hh_tes!J33/SER_hh_fec!J33)</f>
        <v>0.67926877285537646</v>
      </c>
      <c r="K33" s="149">
        <f>IF(SER_hh_tes!K33=0,"",SER_hh_tes!K33/SER_hh_fec!K33)</f>
        <v>0.68186475193901575</v>
      </c>
      <c r="L33" s="149">
        <f>IF(SER_hh_tes!L33=0,"",SER_hh_tes!L33/SER_hh_fec!L33)</f>
        <v>0.68365201332447612</v>
      </c>
      <c r="M33" s="149">
        <f>IF(SER_hh_tes!M33=0,"",SER_hh_tes!M33/SER_hh_fec!M33)</f>
        <v>0.68428443236464331</v>
      </c>
      <c r="N33" s="149">
        <f>IF(SER_hh_tes!N33=0,"",SER_hh_tes!N33/SER_hh_fec!N33)</f>
        <v>0.68606299652500369</v>
      </c>
      <c r="O33" s="149">
        <f>IF(SER_hh_tes!O33=0,"",SER_hh_tes!O33/SER_hh_fec!O33)</f>
        <v>0.68960045858907637</v>
      </c>
      <c r="P33" s="149">
        <f>IF(SER_hh_tes!P33=0,"",SER_hh_tes!P33/SER_hh_fec!P33)</f>
        <v>0.69425156002228849</v>
      </c>
      <c r="Q33" s="149">
        <f>IF(SER_hh_tes!Q33=0,"",SER_hh_tes!Q33/SER_hh_fec!Q33)</f>
        <v>0.69952863112379371</v>
      </c>
      <c r="R33" s="149">
        <f>IF(SER_hh_tes!R33=0,"",SER_hh_tes!R33/SER_hh_fec!R33)</f>
        <v>0.70592395803729557</v>
      </c>
      <c r="S33" s="149">
        <f>IF(SER_hh_tes!S33=0,"",SER_hh_tes!S33/SER_hh_fec!S33)</f>
        <v>0.71476671273119796</v>
      </c>
      <c r="T33" s="149">
        <f>IF(SER_hh_tes!T33=0,"",SER_hh_tes!T33/SER_hh_fec!T33)</f>
        <v>0.72516637032769427</v>
      </c>
      <c r="U33" s="149">
        <f>IF(SER_hh_tes!U33=0,"",SER_hh_tes!U33/SER_hh_fec!U33)</f>
        <v>0.73649122009902479</v>
      </c>
      <c r="V33" s="149">
        <f>IF(SER_hh_tes!V33=0,"",SER_hh_tes!V33/SER_hh_fec!V33)</f>
        <v>0.74829420374604183</v>
      </c>
      <c r="W33" s="149">
        <f>IF(SER_hh_tes!W33=0,"",SER_hh_tes!W33/SER_hh_fec!W33)</f>
        <v>0.75835658609937795</v>
      </c>
      <c r="X33" s="149">
        <f>IF(SER_hh_tes!X33=0,"",SER_hh_tes!X33/SER_hh_fec!X33)</f>
        <v>0.76704827699362987</v>
      </c>
      <c r="Y33" s="149">
        <f>IF(SER_hh_tes!Y33=0,"",SER_hh_tes!Y33/SER_hh_fec!Y33)</f>
        <v>0.77699271814154702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779.29659792000018</v>
      </c>
      <c r="C3" s="125">
        <f t="shared" si="0"/>
        <v>1013.57601336</v>
      </c>
      <c r="D3" s="125">
        <f t="shared" si="0"/>
        <v>1032.3528372000001</v>
      </c>
      <c r="E3" s="125">
        <f t="shared" si="0"/>
        <v>1133.7215734799997</v>
      </c>
      <c r="F3" s="125">
        <f t="shared" si="0"/>
        <v>1225.4703195600009</v>
      </c>
      <c r="G3" s="125">
        <f t="shared" si="0"/>
        <v>1539.77010696</v>
      </c>
      <c r="H3" s="125">
        <f t="shared" si="0"/>
        <v>1608.5975677199995</v>
      </c>
      <c r="I3" s="125">
        <f t="shared" si="0"/>
        <v>1514.45999196</v>
      </c>
      <c r="J3" s="125">
        <f t="shared" si="0"/>
        <v>1510.5340832400002</v>
      </c>
      <c r="K3" s="125">
        <f t="shared" si="0"/>
        <v>1232.3899731599995</v>
      </c>
      <c r="L3" s="125">
        <f t="shared" si="0"/>
        <v>1095.8963194799996</v>
      </c>
      <c r="M3" s="125">
        <f t="shared" si="0"/>
        <v>1078.9436304000001</v>
      </c>
      <c r="N3" s="125">
        <f t="shared" si="0"/>
        <v>803.50164252000013</v>
      </c>
      <c r="O3" s="125">
        <f t="shared" si="0"/>
        <v>858.27907908000009</v>
      </c>
      <c r="P3" s="125">
        <f t="shared" si="0"/>
        <v>614.63318940000022</v>
      </c>
      <c r="Q3" s="125">
        <f t="shared" si="0"/>
        <v>732.89761559999999</v>
      </c>
      <c r="R3" s="125">
        <f t="shared" ref="R3:W3" si="1">SUM(R4,R16,R19,R29)</f>
        <v>867.15783971999974</v>
      </c>
      <c r="S3" s="125">
        <f t="shared" si="1"/>
        <v>708.21801611999979</v>
      </c>
      <c r="T3" s="125">
        <f t="shared" si="1"/>
        <v>680.73654059999978</v>
      </c>
      <c r="U3" s="125">
        <f t="shared" si="1"/>
        <v>714.92015628000013</v>
      </c>
      <c r="V3" s="125">
        <f t="shared" si="1"/>
        <v>570.46517748000008</v>
      </c>
      <c r="W3" s="125">
        <f t="shared" si="1"/>
        <v>611.52233399999989</v>
      </c>
      <c r="X3" s="125">
        <f t="shared" ref="X3:Y3" si="2">SUM(X4,X16,X19,X29)</f>
        <v>606.03220538354321</v>
      </c>
      <c r="Y3" s="125">
        <f t="shared" si="2"/>
        <v>656.73227303259546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660.67524620936092</v>
      </c>
      <c r="C4" s="130">
        <f t="shared" si="3"/>
        <v>881.8606460831511</v>
      </c>
      <c r="D4" s="130">
        <f t="shared" si="3"/>
        <v>915.88098500242893</v>
      </c>
      <c r="E4" s="130">
        <f t="shared" si="3"/>
        <v>1000.2079387223387</v>
      </c>
      <c r="F4" s="130">
        <f t="shared" si="3"/>
        <v>997.89881360657466</v>
      </c>
      <c r="G4" s="130">
        <f t="shared" si="3"/>
        <v>1298.746734574629</v>
      </c>
      <c r="H4" s="130">
        <f t="shared" si="3"/>
        <v>1357.652195962901</v>
      </c>
      <c r="I4" s="130">
        <f t="shared" si="3"/>
        <v>1251.0946313997586</v>
      </c>
      <c r="J4" s="130">
        <f t="shared" si="3"/>
        <v>1236.6611056166282</v>
      </c>
      <c r="K4" s="130">
        <f t="shared" si="3"/>
        <v>948.88548625752128</v>
      </c>
      <c r="L4" s="130">
        <f t="shared" si="3"/>
        <v>785.27197779019161</v>
      </c>
      <c r="M4" s="130">
        <f t="shared" si="3"/>
        <v>780.86404293385976</v>
      </c>
      <c r="N4" s="130">
        <f t="shared" si="3"/>
        <v>333.58641699469348</v>
      </c>
      <c r="O4" s="130">
        <f t="shared" si="3"/>
        <v>464.89072486434577</v>
      </c>
      <c r="P4" s="130">
        <f t="shared" si="3"/>
        <v>296.40957897783915</v>
      </c>
      <c r="Q4" s="130">
        <f t="shared" si="3"/>
        <v>393.26127318509623</v>
      </c>
      <c r="R4" s="130">
        <f t="shared" ref="R4:W4" si="4">SUM(R5:R15)</f>
        <v>509.85262817706518</v>
      </c>
      <c r="S4" s="130">
        <f t="shared" si="4"/>
        <v>332.374869890323</v>
      </c>
      <c r="T4" s="130">
        <f t="shared" si="4"/>
        <v>306.59297483847604</v>
      </c>
      <c r="U4" s="130">
        <f t="shared" si="4"/>
        <v>327.39604465416465</v>
      </c>
      <c r="V4" s="130">
        <f t="shared" si="4"/>
        <v>282.50411867919473</v>
      </c>
      <c r="W4" s="130">
        <f t="shared" si="4"/>
        <v>258.76697828614107</v>
      </c>
      <c r="X4" s="130">
        <f t="shared" ref="X4:Y4" si="5">SUM(X5:X15)</f>
        <v>247.32146039136134</v>
      </c>
      <c r="Y4" s="130">
        <f t="shared" si="5"/>
        <v>263.2384292646019</v>
      </c>
      <c r="DA4" s="155" t="s">
        <v>234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17.127499583543191</v>
      </c>
      <c r="Y5" s="132">
        <v>54.302000752595369</v>
      </c>
      <c r="DA5" s="156" t="s">
        <v>358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359</v>
      </c>
    </row>
    <row r="7" spans="1:105" ht="12" customHeight="1" x14ac:dyDescent="0.25">
      <c r="A7" s="131" t="s">
        <v>161</v>
      </c>
      <c r="B7" s="132">
        <v>653.31801544429936</v>
      </c>
      <c r="C7" s="132">
        <v>871.2230032099319</v>
      </c>
      <c r="D7" s="132">
        <v>896.68686624861266</v>
      </c>
      <c r="E7" s="132">
        <v>964.97768335649778</v>
      </c>
      <c r="F7" s="132">
        <v>933.28747611018628</v>
      </c>
      <c r="G7" s="132">
        <v>1187.0704204024428</v>
      </c>
      <c r="H7" s="132">
        <v>1219.8492846383281</v>
      </c>
      <c r="I7" s="132">
        <v>1094.1480653803112</v>
      </c>
      <c r="J7" s="132">
        <v>1036.7802389975702</v>
      </c>
      <c r="K7" s="132">
        <v>728.23409866077066</v>
      </c>
      <c r="L7" s="132">
        <v>599.84231996838878</v>
      </c>
      <c r="M7" s="132">
        <v>536.39915356353049</v>
      </c>
      <c r="N7" s="132">
        <v>158.86188946125426</v>
      </c>
      <c r="O7" s="132">
        <v>321.74227127736549</v>
      </c>
      <c r="P7" s="132">
        <v>152.83983618402542</v>
      </c>
      <c r="Q7" s="132">
        <v>163.43335854840154</v>
      </c>
      <c r="R7" s="132">
        <v>315.45685736431278</v>
      </c>
      <c r="S7" s="132">
        <v>133.76855532338377</v>
      </c>
      <c r="T7" s="132">
        <v>120.13871182737931</v>
      </c>
      <c r="U7" s="132">
        <v>116.77445909404442</v>
      </c>
      <c r="V7" s="132">
        <v>100.278725083295</v>
      </c>
      <c r="W7" s="132">
        <v>74.5212769467649</v>
      </c>
      <c r="X7" s="132">
        <v>70.621526915130545</v>
      </c>
      <c r="Y7" s="132">
        <v>53.547655615225537</v>
      </c>
      <c r="DA7" s="156" t="s">
        <v>360</v>
      </c>
    </row>
    <row r="8" spans="1:105" ht="12" customHeight="1" x14ac:dyDescent="0.25">
      <c r="A8" s="131" t="s">
        <v>73</v>
      </c>
      <c r="B8" s="132">
        <v>1.4643906803718854E-2</v>
      </c>
      <c r="C8" s="132">
        <v>1.7657756471216153E-2</v>
      </c>
      <c r="D8" s="132">
        <v>2.8127064926758306E-2</v>
      </c>
      <c r="E8" s="132">
        <v>4.237488367595766E-2</v>
      </c>
      <c r="F8" s="132">
        <v>6.9345191278108648E-2</v>
      </c>
      <c r="G8" s="132">
        <v>0.10878296194077972</v>
      </c>
      <c r="H8" s="132">
        <v>0.12712955591396374</v>
      </c>
      <c r="I8" s="132">
        <v>0.14988370790077868</v>
      </c>
      <c r="J8" s="132">
        <v>0.17975389159841118</v>
      </c>
      <c r="K8" s="132">
        <v>0.21694604590759364</v>
      </c>
      <c r="L8" s="132">
        <v>0.24715648436861615</v>
      </c>
      <c r="M8" s="132">
        <v>0.31819874168400086</v>
      </c>
      <c r="N8" s="132">
        <v>0.48031193699033448</v>
      </c>
      <c r="O8" s="132">
        <v>1.3246545758710864</v>
      </c>
      <c r="P8" s="132">
        <v>3.6434229614341116</v>
      </c>
      <c r="Q8" s="132">
        <v>8.45878095197404</v>
      </c>
      <c r="R8" s="132">
        <v>8.5336789994090179</v>
      </c>
      <c r="S8" s="132">
        <v>8.7590180157384268</v>
      </c>
      <c r="T8" s="132">
        <v>9.1670482039736179</v>
      </c>
      <c r="U8" s="132">
        <v>9.2839129797285356</v>
      </c>
      <c r="V8" s="132">
        <v>10.910444676144186</v>
      </c>
      <c r="W8" s="132">
        <v>11.952213963688273</v>
      </c>
      <c r="X8" s="132">
        <v>12.251511559241258</v>
      </c>
      <c r="Y8" s="132">
        <v>14.176156499629249</v>
      </c>
      <c r="DA8" s="156" t="s">
        <v>361</v>
      </c>
    </row>
    <row r="9" spans="1:105" ht="12" customHeight="1" x14ac:dyDescent="0.25">
      <c r="A9" s="131" t="s">
        <v>78</v>
      </c>
      <c r="B9" s="132">
        <v>7.3425868582578957</v>
      </c>
      <c r="C9" s="132">
        <v>10.61998511674796</v>
      </c>
      <c r="D9" s="132">
        <v>19.16599168888952</v>
      </c>
      <c r="E9" s="132">
        <v>35.187880482164928</v>
      </c>
      <c r="F9" s="132">
        <v>64.54199230511027</v>
      </c>
      <c r="G9" s="132">
        <v>111.56753121024543</v>
      </c>
      <c r="H9" s="132">
        <v>137.67578176865899</v>
      </c>
      <c r="I9" s="132">
        <v>156.79668231154659</v>
      </c>
      <c r="J9" s="132">
        <v>199.7011127274595</v>
      </c>
      <c r="K9" s="132">
        <v>220.43444155084308</v>
      </c>
      <c r="L9" s="132">
        <v>185.18250133743422</v>
      </c>
      <c r="M9" s="132">
        <v>244.14669062864522</v>
      </c>
      <c r="N9" s="132">
        <v>174.24421559644887</v>
      </c>
      <c r="O9" s="132">
        <v>141.8237990111092</v>
      </c>
      <c r="P9" s="132">
        <v>139.92631983237959</v>
      </c>
      <c r="Q9" s="132">
        <v>221.36913368472068</v>
      </c>
      <c r="R9" s="132">
        <v>185.8620918133434</v>
      </c>
      <c r="S9" s="132">
        <v>189.8472965512008</v>
      </c>
      <c r="T9" s="132">
        <v>177.28721480712309</v>
      </c>
      <c r="U9" s="132">
        <v>201.33767258039171</v>
      </c>
      <c r="V9" s="132">
        <v>171.31494891975555</v>
      </c>
      <c r="W9" s="132">
        <v>172.2934873756879</v>
      </c>
      <c r="X9" s="132">
        <v>147.32092233344633</v>
      </c>
      <c r="Y9" s="132">
        <v>141.21261639715175</v>
      </c>
      <c r="DA9" s="156" t="s">
        <v>362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9.0606608575786854E-2</v>
      </c>
      <c r="C16" s="130">
        <f t="shared" si="6"/>
        <v>0.11883900306980165</v>
      </c>
      <c r="D16" s="130">
        <f t="shared" si="6"/>
        <v>0.13466317991934945</v>
      </c>
      <c r="E16" s="130">
        <f t="shared" si="6"/>
        <v>0.16252952924563499</v>
      </c>
      <c r="F16" s="130">
        <f t="shared" si="6"/>
        <v>0.21986013712133678</v>
      </c>
      <c r="G16" s="130">
        <f t="shared" si="6"/>
        <v>0.34927906876802339</v>
      </c>
      <c r="H16" s="130">
        <f t="shared" si="6"/>
        <v>0.58223367769912004</v>
      </c>
      <c r="I16" s="130">
        <f t="shared" si="6"/>
        <v>0.8658129490547386</v>
      </c>
      <c r="J16" s="130">
        <f t="shared" si="6"/>
        <v>1.1616241530016567</v>
      </c>
      <c r="K16" s="130">
        <f t="shared" si="6"/>
        <v>1.3679949903103561</v>
      </c>
      <c r="L16" s="130">
        <f t="shared" si="6"/>
        <v>1.8470089945506223</v>
      </c>
      <c r="M16" s="130">
        <f t="shared" si="6"/>
        <v>2.1444704941687736</v>
      </c>
      <c r="N16" s="130">
        <f t="shared" si="6"/>
        <v>4.1038478440105974</v>
      </c>
      <c r="O16" s="130">
        <f t="shared" si="6"/>
        <v>4.1748006824617141</v>
      </c>
      <c r="P16" s="130">
        <f t="shared" si="6"/>
        <v>5.078432188473097</v>
      </c>
      <c r="Q16" s="130">
        <f t="shared" si="6"/>
        <v>7.4761127169607189</v>
      </c>
      <c r="R16" s="130">
        <f t="shared" ref="R16:W16" si="7">SUM(R17:R18)</f>
        <v>9.0008258105966501</v>
      </c>
      <c r="S16" s="130">
        <f t="shared" si="7"/>
        <v>10.269574269889674</v>
      </c>
      <c r="T16" s="130">
        <f t="shared" si="7"/>
        <v>10.152227573363025</v>
      </c>
      <c r="U16" s="130">
        <f t="shared" si="7"/>
        <v>12.978212709403376</v>
      </c>
      <c r="V16" s="130">
        <f t="shared" si="7"/>
        <v>11.112939681551303</v>
      </c>
      <c r="W16" s="130">
        <f t="shared" si="7"/>
        <v>14.966428045456567</v>
      </c>
      <c r="X16" s="130">
        <f t="shared" ref="X16:Y16" si="8">SUM(X17:X18)</f>
        <v>13.667365198088641</v>
      </c>
      <c r="Y16" s="130">
        <f t="shared" si="8"/>
        <v>14.173828405042128</v>
      </c>
      <c r="DA16" s="155" t="s">
        <v>235</v>
      </c>
    </row>
    <row r="17" spans="1:105" ht="12.95" customHeight="1" x14ac:dyDescent="0.25">
      <c r="A17" s="131" t="s">
        <v>73</v>
      </c>
      <c r="B17" s="132">
        <v>9.0606608575786854E-2</v>
      </c>
      <c r="C17" s="132">
        <v>0.11883900306980165</v>
      </c>
      <c r="D17" s="132">
        <v>0.13466317991934945</v>
      </c>
      <c r="E17" s="132">
        <v>0.16252952924563499</v>
      </c>
      <c r="F17" s="132">
        <v>0.21986013712133678</v>
      </c>
      <c r="G17" s="132">
        <v>0.34927906876802339</v>
      </c>
      <c r="H17" s="132">
        <v>0.58223367769912004</v>
      </c>
      <c r="I17" s="132">
        <v>0.8658129490547386</v>
      </c>
      <c r="J17" s="132">
        <v>1.1616241530016567</v>
      </c>
      <c r="K17" s="132">
        <v>1.3679949903103561</v>
      </c>
      <c r="L17" s="132">
        <v>1.8470089945506223</v>
      </c>
      <c r="M17" s="132">
        <v>2.1444704941687736</v>
      </c>
      <c r="N17" s="132">
        <v>4.1038478440105974</v>
      </c>
      <c r="O17" s="132">
        <v>4.1748006824617141</v>
      </c>
      <c r="P17" s="132">
        <v>5.078432188473097</v>
      </c>
      <c r="Q17" s="132">
        <v>7.4761127169607189</v>
      </c>
      <c r="R17" s="132">
        <v>9.0008258105966501</v>
      </c>
      <c r="S17" s="132">
        <v>10.269574269889674</v>
      </c>
      <c r="T17" s="132">
        <v>10.152227573363025</v>
      </c>
      <c r="U17" s="132">
        <v>12.978212709403376</v>
      </c>
      <c r="V17" s="132">
        <v>11.112939681551303</v>
      </c>
      <c r="W17" s="132">
        <v>14.966428045456567</v>
      </c>
      <c r="X17" s="132">
        <v>13.667365198088641</v>
      </c>
      <c r="Y17" s="132">
        <v>14.173828405042128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54.546779196159953</v>
      </c>
      <c r="C19" s="130">
        <f t="shared" si="9"/>
        <v>64.454122877183465</v>
      </c>
      <c r="D19" s="130">
        <f t="shared" si="9"/>
        <v>70.986081426847164</v>
      </c>
      <c r="E19" s="130">
        <f t="shared" si="9"/>
        <v>75.22136938672223</v>
      </c>
      <c r="F19" s="130">
        <f t="shared" si="9"/>
        <v>81.158288959003755</v>
      </c>
      <c r="G19" s="130">
        <f t="shared" si="9"/>
        <v>102.68584080604676</v>
      </c>
      <c r="H19" s="130">
        <f t="shared" si="9"/>
        <v>113.03255400331214</v>
      </c>
      <c r="I19" s="130">
        <f t="shared" si="9"/>
        <v>128.53519262105334</v>
      </c>
      <c r="J19" s="130">
        <f t="shared" si="9"/>
        <v>135.27845436939998</v>
      </c>
      <c r="K19" s="130">
        <f t="shared" si="9"/>
        <v>140.03716619021415</v>
      </c>
      <c r="L19" s="130">
        <f t="shared" si="9"/>
        <v>151.50905192537704</v>
      </c>
      <c r="M19" s="130">
        <f t="shared" si="9"/>
        <v>149.60362811257818</v>
      </c>
      <c r="N19" s="130">
        <f t="shared" si="9"/>
        <v>148.52784941216839</v>
      </c>
      <c r="O19" s="130">
        <f t="shared" si="9"/>
        <v>153.76515407946769</v>
      </c>
      <c r="P19" s="130">
        <f t="shared" si="9"/>
        <v>154.26294046182755</v>
      </c>
      <c r="Q19" s="130">
        <f t="shared" si="9"/>
        <v>157.59385441602038</v>
      </c>
      <c r="R19" s="130">
        <f t="shared" ref="R19:W19" si="10">SUM(R20:R27)</f>
        <v>158.2489850632802</v>
      </c>
      <c r="S19" s="130">
        <f t="shared" si="10"/>
        <v>163.26821245483126</v>
      </c>
      <c r="T19" s="130">
        <f t="shared" si="10"/>
        <v>152.54613096508587</v>
      </c>
      <c r="U19" s="130">
        <f t="shared" si="10"/>
        <v>144.72093833519972</v>
      </c>
      <c r="V19" s="130">
        <f t="shared" si="10"/>
        <v>109.14933858358643</v>
      </c>
      <c r="W19" s="130">
        <f t="shared" si="10"/>
        <v>113.66537162973421</v>
      </c>
      <c r="X19" s="130">
        <f t="shared" ref="X19:Y19" si="11">SUM(X20:X27)</f>
        <v>96.669878680649333</v>
      </c>
      <c r="Y19" s="130">
        <f t="shared" si="11"/>
        <v>88.974335752171243</v>
      </c>
      <c r="DA19" s="155" t="s">
        <v>236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11.486526626581339</v>
      </c>
      <c r="C21" s="132">
        <v>12.844227672842981</v>
      </c>
      <c r="D21" s="132">
        <v>13.51282973561503</v>
      </c>
      <c r="E21" s="132">
        <v>13.621556469014497</v>
      </c>
      <c r="F21" s="132">
        <v>14.880592925141647</v>
      </c>
      <c r="G21" s="132">
        <v>17.496583735784188</v>
      </c>
      <c r="H21" s="132">
        <v>19.350990558095727</v>
      </c>
      <c r="I21" s="132">
        <v>23.17501362366022</v>
      </c>
      <c r="J21" s="132">
        <v>24.191194240029215</v>
      </c>
      <c r="K21" s="132">
        <v>24.653926168017144</v>
      </c>
      <c r="L21" s="132">
        <v>25.266617326166774</v>
      </c>
      <c r="M21" s="132">
        <v>25.279037608912127</v>
      </c>
      <c r="N21" s="132">
        <v>27.21031038832993</v>
      </c>
      <c r="O21" s="132">
        <v>27.411331432424703</v>
      </c>
      <c r="P21" s="132">
        <v>27.601984484647684</v>
      </c>
      <c r="Q21" s="132">
        <v>28.173089202775273</v>
      </c>
      <c r="R21" s="132">
        <v>33.557354917126183</v>
      </c>
      <c r="S21" s="132">
        <v>36.833161453547838</v>
      </c>
      <c r="T21" s="132">
        <v>36.943752294430574</v>
      </c>
      <c r="U21" s="132">
        <v>38.921842822936135</v>
      </c>
      <c r="V21" s="132">
        <v>22.605698196211264</v>
      </c>
      <c r="W21" s="132">
        <v>30.937382190797077</v>
      </c>
      <c r="X21" s="132">
        <v>40.175211348578422</v>
      </c>
      <c r="Y21" s="132">
        <v>44.630286954933673</v>
      </c>
      <c r="DA21" s="156" t="s">
        <v>372</v>
      </c>
    </row>
    <row r="22" spans="1:105" ht="12" customHeight="1" x14ac:dyDescent="0.25">
      <c r="A22" s="131" t="s">
        <v>161</v>
      </c>
      <c r="B22" s="132">
        <v>34.151336235700924</v>
      </c>
      <c r="C22" s="132">
        <v>39.109480630068227</v>
      </c>
      <c r="D22" s="132">
        <v>42.263034231387486</v>
      </c>
      <c r="E22" s="132">
        <v>44.070609643502081</v>
      </c>
      <c r="F22" s="132">
        <v>46.72816184981447</v>
      </c>
      <c r="G22" s="132">
        <v>50.975967437557109</v>
      </c>
      <c r="H22" s="132">
        <v>52.949761161671248</v>
      </c>
      <c r="I22" s="132">
        <v>54.385369339689056</v>
      </c>
      <c r="J22" s="132">
        <v>54.81530088242971</v>
      </c>
      <c r="K22" s="132">
        <v>53.707863139229197</v>
      </c>
      <c r="L22" s="132">
        <v>53.58630003161089</v>
      </c>
      <c r="M22" s="132">
        <v>53.896177516469514</v>
      </c>
      <c r="N22" s="132">
        <v>47.702895738745703</v>
      </c>
      <c r="O22" s="132">
        <v>52.172157842634434</v>
      </c>
      <c r="P22" s="132">
        <v>57.187434415974515</v>
      </c>
      <c r="Q22" s="132">
        <v>55.376879571598423</v>
      </c>
      <c r="R22" s="132">
        <v>55.994166635687044</v>
      </c>
      <c r="S22" s="132">
        <v>55.449370316616303</v>
      </c>
      <c r="T22" s="132">
        <v>45.587159652620613</v>
      </c>
      <c r="U22" s="132">
        <v>40.170721145955639</v>
      </c>
      <c r="V22" s="132">
        <v>25.304823316704933</v>
      </c>
      <c r="W22" s="132">
        <v>19.80121317323508</v>
      </c>
      <c r="X22" s="132">
        <v>28.781061804869406</v>
      </c>
      <c r="Y22" s="132">
        <v>19.484914384774441</v>
      </c>
      <c r="DA22" s="156" t="s">
        <v>373</v>
      </c>
    </row>
    <row r="23" spans="1:105" ht="12" customHeight="1" x14ac:dyDescent="0.25">
      <c r="A23" s="131" t="s">
        <v>149</v>
      </c>
      <c r="B23" s="132">
        <v>8.9089163338776913</v>
      </c>
      <c r="C23" s="132">
        <v>12.500414574272252</v>
      </c>
      <c r="D23" s="132">
        <v>15.210217459844642</v>
      </c>
      <c r="E23" s="132">
        <v>17.529203274205653</v>
      </c>
      <c r="F23" s="132">
        <v>19.549534184047644</v>
      </c>
      <c r="G23" s="132">
        <v>34.213289632705454</v>
      </c>
      <c r="H23" s="132">
        <v>40.731802283545164</v>
      </c>
      <c r="I23" s="132">
        <v>50.974809657704071</v>
      </c>
      <c r="J23" s="132">
        <v>56.271959246941037</v>
      </c>
      <c r="K23" s="132">
        <v>61.675376882967811</v>
      </c>
      <c r="L23" s="132">
        <v>72.656134567599381</v>
      </c>
      <c r="M23" s="132">
        <v>70.428412987196538</v>
      </c>
      <c r="N23" s="132">
        <v>73.614643285092782</v>
      </c>
      <c r="O23" s="132">
        <v>74.181664804408555</v>
      </c>
      <c r="P23" s="132">
        <v>69.473521561205345</v>
      </c>
      <c r="Q23" s="132">
        <v>74.043885641646682</v>
      </c>
      <c r="R23" s="132">
        <v>68.69746351046696</v>
      </c>
      <c r="S23" s="132">
        <v>70.985680684667102</v>
      </c>
      <c r="T23" s="132">
        <v>70.015219018034671</v>
      </c>
      <c r="U23" s="132">
        <v>65.628374366307952</v>
      </c>
      <c r="V23" s="132">
        <v>61.23881707067023</v>
      </c>
      <c r="W23" s="132">
        <v>62.926776265702053</v>
      </c>
      <c r="X23" s="132">
        <v>27.713605527201501</v>
      </c>
      <c r="Y23" s="132">
        <v>24.859134412463128</v>
      </c>
      <c r="DA23" s="156" t="s">
        <v>374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63.983965905903588</v>
      </c>
      <c r="C29" s="130">
        <f t="shared" si="12"/>
        <v>67.142405396595805</v>
      </c>
      <c r="D29" s="130">
        <f t="shared" si="12"/>
        <v>45.351107590804695</v>
      </c>
      <c r="E29" s="130">
        <f t="shared" si="12"/>
        <v>58.129735841693304</v>
      </c>
      <c r="F29" s="130">
        <f t="shared" si="12"/>
        <v>146.19335685730101</v>
      </c>
      <c r="G29" s="130">
        <f t="shared" si="12"/>
        <v>137.98825251055607</v>
      </c>
      <c r="H29" s="130">
        <f t="shared" si="12"/>
        <v>137.33058407608712</v>
      </c>
      <c r="I29" s="130">
        <f t="shared" si="12"/>
        <v>133.96435499013342</v>
      </c>
      <c r="J29" s="130">
        <f t="shared" si="12"/>
        <v>137.4328991009703</v>
      </c>
      <c r="K29" s="130">
        <f t="shared" si="12"/>
        <v>142.09932572195396</v>
      </c>
      <c r="L29" s="130">
        <f t="shared" si="12"/>
        <v>157.26828076988048</v>
      </c>
      <c r="M29" s="130">
        <f t="shared" si="12"/>
        <v>146.3314888593934</v>
      </c>
      <c r="N29" s="130">
        <f t="shared" si="12"/>
        <v>317.28352826912766</v>
      </c>
      <c r="O29" s="130">
        <f t="shared" si="12"/>
        <v>235.44839945372493</v>
      </c>
      <c r="P29" s="130">
        <f t="shared" si="12"/>
        <v>158.88223777186039</v>
      </c>
      <c r="Q29" s="130">
        <f t="shared" si="12"/>
        <v>174.56637528192266</v>
      </c>
      <c r="R29" s="130">
        <f t="shared" ref="R29:W29" si="13">SUM(R30:R33)</f>
        <v>190.05540066905769</v>
      </c>
      <c r="S29" s="130">
        <f t="shared" si="13"/>
        <v>202.30535950495582</v>
      </c>
      <c r="T29" s="130">
        <f t="shared" si="13"/>
        <v>211.44520722307487</v>
      </c>
      <c r="U29" s="130">
        <f t="shared" si="13"/>
        <v>229.82496058123235</v>
      </c>
      <c r="V29" s="130">
        <f t="shared" si="13"/>
        <v>167.69878053566759</v>
      </c>
      <c r="W29" s="130">
        <f t="shared" si="13"/>
        <v>224.12355603866806</v>
      </c>
      <c r="X29" s="130">
        <f t="shared" ref="X29:Y29" si="14">SUM(X30:X33)</f>
        <v>248.37350111344392</v>
      </c>
      <c r="Y29" s="130">
        <f t="shared" si="14"/>
        <v>290.34567961078011</v>
      </c>
      <c r="DA29" s="155" t="s">
        <v>237</v>
      </c>
    </row>
    <row r="30" spans="1:105" ht="12" customHeight="1" x14ac:dyDescent="0.25">
      <c r="A30" s="131" t="s">
        <v>52</v>
      </c>
      <c r="B30" s="132">
        <v>60.144517653418681</v>
      </c>
      <c r="C30" s="132">
        <v>61.771471847157024</v>
      </c>
      <c r="D30" s="132">
        <v>37.225855024384963</v>
      </c>
      <c r="E30" s="132">
        <v>46.071094010985497</v>
      </c>
      <c r="F30" s="132">
        <v>128.38172279485835</v>
      </c>
      <c r="G30" s="132">
        <v>110.84245578421582</v>
      </c>
      <c r="H30" s="132">
        <v>106.00339372190432</v>
      </c>
      <c r="I30" s="132">
        <v>96.210287336339761</v>
      </c>
      <c r="J30" s="132">
        <v>92.209451479970852</v>
      </c>
      <c r="K30" s="132">
        <v>85.644974791982833</v>
      </c>
      <c r="L30" s="132">
        <v>90.83735743383312</v>
      </c>
      <c r="M30" s="132">
        <v>76.311911911087904</v>
      </c>
      <c r="N30" s="132">
        <v>245.63406437167021</v>
      </c>
      <c r="O30" s="132">
        <v>164.16019284757536</v>
      </c>
      <c r="P30" s="132">
        <v>82.696916475352396</v>
      </c>
      <c r="Q30" s="132">
        <v>96.638609837224635</v>
      </c>
      <c r="R30" s="132">
        <v>114.47532080287387</v>
      </c>
      <c r="S30" s="132">
        <v>128.19426250645211</v>
      </c>
      <c r="T30" s="132">
        <v>139.95800634556937</v>
      </c>
      <c r="U30" s="132">
        <v>159.80749305706399</v>
      </c>
      <c r="V30" s="132">
        <v>100.49366876378878</v>
      </c>
      <c r="W30" s="132">
        <v>151.04117528920301</v>
      </c>
      <c r="X30" s="132">
        <v>193.91657605142152</v>
      </c>
      <c r="Y30" s="132">
        <v>241.4411602850663</v>
      </c>
      <c r="DA30" s="156" t="s">
        <v>379</v>
      </c>
    </row>
    <row r="31" spans="1:105" ht="12" customHeight="1" x14ac:dyDescent="0.25">
      <c r="A31" s="131" t="s">
        <v>149</v>
      </c>
      <c r="B31" s="132">
        <v>3.8394482524849081</v>
      </c>
      <c r="C31" s="132">
        <v>5.3709335494387753</v>
      </c>
      <c r="D31" s="132">
        <v>8.1252525664197321</v>
      </c>
      <c r="E31" s="132">
        <v>12.058641830707806</v>
      </c>
      <c r="F31" s="132">
        <v>17.81163406244265</v>
      </c>
      <c r="G31" s="132">
        <v>27.145796726340251</v>
      </c>
      <c r="H31" s="132">
        <v>31.327190354182804</v>
      </c>
      <c r="I31" s="132">
        <v>37.754067653793662</v>
      </c>
      <c r="J31" s="132">
        <v>45.223447620999451</v>
      </c>
      <c r="K31" s="132">
        <v>56.454350929971142</v>
      </c>
      <c r="L31" s="132">
        <v>66.430923336047357</v>
      </c>
      <c r="M31" s="132">
        <v>70.019576948305513</v>
      </c>
      <c r="N31" s="132">
        <v>71.649463897457451</v>
      </c>
      <c r="O31" s="132">
        <v>71.288206606149572</v>
      </c>
      <c r="P31" s="132">
        <v>76.185321296508008</v>
      </c>
      <c r="Q31" s="132">
        <v>77.927765444698025</v>
      </c>
      <c r="R31" s="132">
        <v>75.580079866183809</v>
      </c>
      <c r="S31" s="132">
        <v>74.111096998503712</v>
      </c>
      <c r="T31" s="132">
        <v>71.487200877505501</v>
      </c>
      <c r="U31" s="132">
        <v>70.017467524168353</v>
      </c>
      <c r="V31" s="132">
        <v>67.205111771878819</v>
      </c>
      <c r="W31" s="132">
        <v>73.082380749465045</v>
      </c>
      <c r="X31" s="132">
        <v>54.456925062022421</v>
      </c>
      <c r="Y31" s="132">
        <v>48.904519325713814</v>
      </c>
      <c r="DA31" s="156" t="s">
        <v>380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130710.43380787122</v>
      </c>
      <c r="C3" s="125">
        <f>IF(SER_hh_fec!C3=0,0,11630*1000*SER_hh_fec!C3/SER_hh_num!C3)</f>
        <v>144432.6018960535</v>
      </c>
      <c r="D3" s="125">
        <f>IF(SER_hh_fec!D3=0,0,11630*1000*SER_hh_fec!D3/SER_hh_num!D3)</f>
        <v>146663.46490261264</v>
      </c>
      <c r="E3" s="125">
        <f>IF(SER_hh_fec!E3=0,0,11630*1000*SER_hh_fec!E3/SER_hh_num!E3)</f>
        <v>153546.25775019862</v>
      </c>
      <c r="F3" s="125">
        <f>IF(SER_hh_fec!F3=0,0,11630*1000*SER_hh_fec!F3/SER_hh_num!F3)</f>
        <v>158669.08131780478</v>
      </c>
      <c r="G3" s="125">
        <f>IF(SER_hh_fec!G3=0,0,11630*1000*SER_hh_fec!G3/SER_hh_num!G3)</f>
        <v>170563.85731870047</v>
      </c>
      <c r="H3" s="125">
        <f>IF(SER_hh_fec!H3=0,0,11630*1000*SER_hh_fec!H3/SER_hh_num!H3)</f>
        <v>176220.39966789915</v>
      </c>
      <c r="I3" s="125">
        <f>IF(SER_hh_fec!I3=0,0,11630*1000*SER_hh_fec!I3/SER_hh_num!I3)</f>
        <v>175179.83908382716</v>
      </c>
      <c r="J3" s="125">
        <f>IF(SER_hh_fec!J3=0,0,11630*1000*SER_hh_fec!J3/SER_hh_num!J3)</f>
        <v>179009.73984846691</v>
      </c>
      <c r="K3" s="125">
        <f>IF(SER_hh_fec!K3=0,0,11630*1000*SER_hh_fec!K3/SER_hh_num!K3)</f>
        <v>169932.90224114023</v>
      </c>
      <c r="L3" s="125">
        <f>IF(SER_hh_fec!L3=0,0,11630*1000*SER_hh_fec!L3/SER_hh_num!L3)</f>
        <v>154175.34732461465</v>
      </c>
      <c r="M3" s="125">
        <f>IF(SER_hh_fec!M3=0,0,11630*1000*SER_hh_fec!M3/SER_hh_num!M3)</f>
        <v>147949.91722585785</v>
      </c>
      <c r="N3" s="125">
        <f>IF(SER_hh_fec!N3=0,0,11630*1000*SER_hh_fec!N3/SER_hh_num!N3)</f>
        <v>155493.9317849658</v>
      </c>
      <c r="O3" s="125">
        <f>IF(SER_hh_fec!O3=0,0,11630*1000*SER_hh_fec!O3/SER_hh_num!O3)</f>
        <v>141633.67650519204</v>
      </c>
      <c r="P3" s="125">
        <f>IF(SER_hh_fec!P3=0,0,11630*1000*SER_hh_fec!P3/SER_hh_num!P3)</f>
        <v>128452.32543688794</v>
      </c>
      <c r="Q3" s="125">
        <f>IF(SER_hh_fec!Q3=0,0,11630*1000*SER_hh_fec!Q3/SER_hh_num!Q3)</f>
        <v>145333.81388624685</v>
      </c>
      <c r="R3" s="125">
        <f>IF(SER_hh_fec!R3=0,0,11630*1000*SER_hh_fec!R3/SER_hh_num!R3)</f>
        <v>160763.97134489397</v>
      </c>
      <c r="S3" s="125">
        <f>IF(SER_hh_fec!S3=0,0,11630*1000*SER_hh_fec!S3/SER_hh_num!S3)</f>
        <v>151707.17003924309</v>
      </c>
      <c r="T3" s="125">
        <f>IF(SER_hh_fec!T3=0,0,11630*1000*SER_hh_fec!T3/SER_hh_num!T3)</f>
        <v>137859.77750701801</v>
      </c>
      <c r="U3" s="125">
        <f>IF(SER_hh_fec!U3=0,0,11630*1000*SER_hh_fec!U3/SER_hh_num!U3)</f>
        <v>140988.23401349023</v>
      </c>
      <c r="V3" s="125">
        <f>IF(SER_hh_fec!V3=0,0,11630*1000*SER_hh_fec!V3/SER_hh_num!V3)</f>
        <v>115842.05106908141</v>
      </c>
      <c r="W3" s="125">
        <f>IF(SER_hh_fec!W3=0,0,11630*1000*SER_hh_fec!W3/SER_hh_num!W3)</f>
        <v>126013.26102085612</v>
      </c>
      <c r="X3" s="125">
        <f>IF(SER_hh_fec!X3=0,0,11630*1000*SER_hh_fec!X3/SER_hh_num!X3)</f>
        <v>130317.4095762574</v>
      </c>
      <c r="Y3" s="125">
        <f>IF(SER_hh_fec!Y3=0,0,11630*1000*SER_hh_fec!Y3/SER_hh_num!Y3)</f>
        <v>129454.86322896884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52450.97835201706</v>
      </c>
      <c r="C4" s="130">
        <f>IF(SER_hh_fec!C4=0,0,11630*1000*SER_hh_fec!C4/SER_hh_num!C4)</f>
        <v>62890.353974745711</v>
      </c>
      <c r="D4" s="130">
        <f>IF(SER_hh_fec!D4=0,0,11630*1000*SER_hh_fec!D4/SER_hh_num!D4)</f>
        <v>63701.419553698142</v>
      </c>
      <c r="E4" s="130">
        <f>IF(SER_hh_fec!E4=0,0,11630*1000*SER_hh_fec!E4/SER_hh_num!E4)</f>
        <v>69254.42211999392</v>
      </c>
      <c r="F4" s="130">
        <f>IF(SER_hh_fec!F4=0,0,11630*1000*SER_hh_fec!F4/SER_hh_num!F4)</f>
        <v>74864.95498185305</v>
      </c>
      <c r="G4" s="130">
        <f>IF(SER_hh_fec!G4=0,0,11630*1000*SER_hh_fec!G4/SER_hh_num!G4)</f>
        <v>84273.781006864665</v>
      </c>
      <c r="H4" s="130">
        <f>IF(SER_hh_fec!H4=0,0,11630*1000*SER_hh_fec!H4/SER_hh_num!H4)</f>
        <v>90932.339000194872</v>
      </c>
      <c r="I4" s="130">
        <f>IF(SER_hh_fec!I4=0,0,11630*1000*SER_hh_fec!I4/SER_hh_num!I4)</f>
        <v>89558.542399345737</v>
      </c>
      <c r="J4" s="130">
        <f>IF(SER_hh_fec!J4=0,0,11630*1000*SER_hh_fec!J4/SER_hh_num!J4)</f>
        <v>93871.093374420292</v>
      </c>
      <c r="K4" s="130">
        <f>IF(SER_hh_fec!K4=0,0,11630*1000*SER_hh_fec!K4/SER_hh_num!K4)</f>
        <v>85240.963287005361</v>
      </c>
      <c r="L4" s="130">
        <f>IF(SER_hh_fec!L4=0,0,11630*1000*SER_hh_fec!L4/SER_hh_num!L4)</f>
        <v>63946.869651796405</v>
      </c>
      <c r="M4" s="130">
        <f>IF(SER_hh_fec!M4=0,0,11630*1000*SER_hh_fec!M4/SER_hh_num!M4)</f>
        <v>56057.775772080335</v>
      </c>
      <c r="N4" s="130">
        <f>IF(SER_hh_fec!N4=0,0,11630*1000*SER_hh_fec!N4/SER_hh_num!N4)</f>
        <v>58323.035207498302</v>
      </c>
      <c r="O4" s="130">
        <f>IF(SER_hh_fec!O4=0,0,11630*1000*SER_hh_fec!O4/SER_hh_num!O4)</f>
        <v>47984.021909756862</v>
      </c>
      <c r="P4" s="130">
        <f>IF(SER_hh_fec!P4=0,0,11630*1000*SER_hh_fec!P4/SER_hh_num!P4)</f>
        <v>35674.552534608563</v>
      </c>
      <c r="Q4" s="130">
        <f>IF(SER_hh_fec!Q4=0,0,11630*1000*SER_hh_fec!Q4/SER_hh_num!Q4)</f>
        <v>51418.249314478511</v>
      </c>
      <c r="R4" s="130">
        <f>IF(SER_hh_fec!R4=0,0,11630*1000*SER_hh_fec!R4/SER_hh_num!R4)</f>
        <v>66482.683079707247</v>
      </c>
      <c r="S4" s="130">
        <f>IF(SER_hh_fec!S4=0,0,11630*1000*SER_hh_fec!S4/SER_hh_num!S4)</f>
        <v>58353.047126459751</v>
      </c>
      <c r="T4" s="130">
        <f>IF(SER_hh_fec!T4=0,0,11630*1000*SER_hh_fec!T4/SER_hh_num!T4)</f>
        <v>47000.974192750517</v>
      </c>
      <c r="U4" s="130">
        <f>IF(SER_hh_fec!U4=0,0,11630*1000*SER_hh_fec!U4/SER_hh_num!U4)</f>
        <v>50746.175376596257</v>
      </c>
      <c r="V4" s="130">
        <f>IF(SER_hh_fec!V4=0,0,11630*1000*SER_hh_fec!V4/SER_hh_num!V4)</f>
        <v>38820.403000568644</v>
      </c>
      <c r="W4" s="130">
        <f>IF(SER_hh_fec!W4=0,0,11630*1000*SER_hh_fec!W4/SER_hh_num!W4)</f>
        <v>42574.333376060931</v>
      </c>
      <c r="X4" s="130">
        <f>IF(SER_hh_fec!X4=0,0,11630*1000*SER_hh_fec!X4/SER_hh_num!X4)</f>
        <v>47453.002891936725</v>
      </c>
      <c r="Y4" s="130">
        <f>IF(SER_hh_fec!Y4=0,0,11630*1000*SER_hh_fec!Y4/SER_hh_num!Y4)</f>
        <v>46373.964334977303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0</v>
      </c>
      <c r="C5" s="132">
        <f>IF(SER_hh_fec!C5=0,0,11630*1000*SER_hh_fec!C5/SER_hh_num!C5)</f>
        <v>0</v>
      </c>
      <c r="D5" s="132">
        <f>IF(SER_hh_fec!D5=0,0,11630*1000*SER_hh_fec!D5/SER_hh_num!D5)</f>
        <v>0</v>
      </c>
      <c r="E5" s="132">
        <f>IF(SER_hh_fec!E5=0,0,11630*1000*SER_hh_fec!E5/SER_hh_num!E5)</f>
        <v>0</v>
      </c>
      <c r="F5" s="132">
        <f>IF(SER_hh_fec!F5=0,0,11630*1000*SER_hh_fec!F5/SER_hh_num!F5)</f>
        <v>0</v>
      </c>
      <c r="G5" s="132">
        <f>IF(SER_hh_fec!G5=0,0,11630*1000*SER_hh_fec!G5/SER_hh_num!G5)</f>
        <v>0</v>
      </c>
      <c r="H5" s="132">
        <f>IF(SER_hh_fec!H5=0,0,11630*1000*SER_hh_fec!H5/SER_hh_num!H5)</f>
        <v>0</v>
      </c>
      <c r="I5" s="132">
        <f>IF(SER_hh_fec!I5=0,0,11630*1000*SER_hh_fec!I5/SER_hh_num!I5)</f>
        <v>0</v>
      </c>
      <c r="J5" s="132">
        <f>IF(SER_hh_fec!J5=0,0,11630*1000*SER_hh_fec!J5/SER_hh_num!J5)</f>
        <v>0</v>
      </c>
      <c r="K5" s="132">
        <f>IF(SER_hh_fec!K5=0,0,11630*1000*SER_hh_fec!K5/SER_hh_num!K5)</f>
        <v>0</v>
      </c>
      <c r="L5" s="132">
        <f>IF(SER_hh_fec!L5=0,0,11630*1000*SER_hh_fec!L5/SER_hh_num!L5)</f>
        <v>0</v>
      </c>
      <c r="M5" s="132">
        <f>IF(SER_hh_fec!M5=0,0,11630*1000*SER_hh_fec!M5/SER_hh_num!M5)</f>
        <v>0</v>
      </c>
      <c r="N5" s="132">
        <f>IF(SER_hh_fec!N5=0,0,11630*1000*SER_hh_fec!N5/SER_hh_num!N5)</f>
        <v>0</v>
      </c>
      <c r="O5" s="132">
        <f>IF(SER_hh_fec!O5=0,0,11630*1000*SER_hh_fec!O5/SER_hh_num!O5)</f>
        <v>0</v>
      </c>
      <c r="P5" s="132">
        <f>IF(SER_hh_fec!P5=0,0,11630*1000*SER_hh_fec!P5/SER_hh_num!P5)</f>
        <v>0</v>
      </c>
      <c r="Q5" s="132">
        <f>IF(SER_hh_fec!Q5=0,0,11630*1000*SER_hh_fec!Q5/SER_hh_num!Q5)</f>
        <v>0</v>
      </c>
      <c r="R5" s="132">
        <f>IF(SER_hh_fec!R5=0,0,11630*1000*SER_hh_fec!R5/SER_hh_num!R5)</f>
        <v>0</v>
      </c>
      <c r="S5" s="132">
        <f>IF(SER_hh_fec!S5=0,0,11630*1000*SER_hh_fec!S5/SER_hh_num!S5)</f>
        <v>0</v>
      </c>
      <c r="T5" s="132">
        <f>IF(SER_hh_fec!T5=0,0,11630*1000*SER_hh_fec!T5/SER_hh_num!T5)</f>
        <v>0</v>
      </c>
      <c r="U5" s="132">
        <f>IF(SER_hh_fec!U5=0,0,11630*1000*SER_hh_fec!U5/SER_hh_num!U5)</f>
        <v>0</v>
      </c>
      <c r="V5" s="132">
        <f>IF(SER_hh_fec!V5=0,0,11630*1000*SER_hh_fec!V5/SER_hh_num!V5)</f>
        <v>0</v>
      </c>
      <c r="W5" s="132">
        <f>IF(SER_hh_fec!W5=0,0,11630*1000*SER_hh_fec!W5/SER_hh_num!W5)</f>
        <v>0</v>
      </c>
      <c r="X5" s="132">
        <f>IF(SER_hh_fec!X5=0,0,11630*1000*SER_hh_fec!X5/SER_hh_num!X5)</f>
        <v>70253.507678278838</v>
      </c>
      <c r="Y5" s="132">
        <f>IF(SER_hh_fec!Y5=0,0,11630*1000*SER_hh_fec!Y5/SER_hh_num!Y5)</f>
        <v>137944.38983855117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0</v>
      </c>
      <c r="C6" s="132">
        <f>IF(SER_hh_fec!C6=0,0,11630*1000*SER_hh_fec!C6/SER_hh_num!C6)</f>
        <v>0</v>
      </c>
      <c r="D6" s="132">
        <f>IF(SER_hh_fec!D6=0,0,11630*1000*SER_hh_fec!D6/SER_hh_num!D6)</f>
        <v>0</v>
      </c>
      <c r="E6" s="132">
        <f>IF(SER_hh_fec!E6=0,0,11630*1000*SER_hh_fec!E6/SER_hh_num!E6)</f>
        <v>0</v>
      </c>
      <c r="F6" s="132">
        <f>IF(SER_hh_fec!F6=0,0,11630*1000*SER_hh_fec!F6/SER_hh_num!F6)</f>
        <v>0</v>
      </c>
      <c r="G6" s="132">
        <f>IF(SER_hh_fec!G6=0,0,11630*1000*SER_hh_fec!G6/SER_hh_num!G6)</f>
        <v>0</v>
      </c>
      <c r="H6" s="132">
        <f>IF(SER_hh_fec!H6=0,0,11630*1000*SER_hh_fec!H6/SER_hh_num!H6)</f>
        <v>0</v>
      </c>
      <c r="I6" s="132">
        <f>IF(SER_hh_fec!I6=0,0,11630*1000*SER_hh_fec!I6/SER_hh_num!I6)</f>
        <v>0</v>
      </c>
      <c r="J6" s="132">
        <f>IF(SER_hh_fec!J6=0,0,11630*1000*SER_hh_fec!J6/SER_hh_num!J6)</f>
        <v>0</v>
      </c>
      <c r="K6" s="132">
        <f>IF(SER_hh_fec!K6=0,0,11630*1000*SER_hh_fec!K6/SER_hh_num!K6)</f>
        <v>0</v>
      </c>
      <c r="L6" s="132">
        <f>IF(SER_hh_fec!L6=0,0,11630*1000*SER_hh_fec!L6/SER_hh_num!L6)</f>
        <v>0</v>
      </c>
      <c r="M6" s="132">
        <f>IF(SER_hh_fec!M6=0,0,11630*1000*SER_hh_fec!M6/SER_hh_num!M6)</f>
        <v>0</v>
      </c>
      <c r="N6" s="132">
        <f>IF(SER_hh_fec!N6=0,0,11630*1000*SER_hh_fec!N6/SER_hh_num!N6)</f>
        <v>0</v>
      </c>
      <c r="O6" s="132">
        <f>IF(SER_hh_fec!O6=0,0,11630*1000*SER_hh_fec!O6/SER_hh_num!O6)</f>
        <v>0</v>
      </c>
      <c r="P6" s="132">
        <f>IF(SER_hh_fec!P6=0,0,11630*1000*SER_hh_fec!P6/SER_hh_num!P6)</f>
        <v>0</v>
      </c>
      <c r="Q6" s="132">
        <f>IF(SER_hh_fec!Q6=0,0,11630*1000*SER_hh_fec!Q6/SER_hh_num!Q6)</f>
        <v>0</v>
      </c>
      <c r="R6" s="132">
        <f>IF(SER_hh_fec!R6=0,0,11630*1000*SER_hh_fec!R6/SER_hh_num!R6)</f>
        <v>0</v>
      </c>
      <c r="S6" s="132">
        <f>IF(SER_hh_fec!S6=0,0,11630*1000*SER_hh_fec!S6/SER_hh_num!S6)</f>
        <v>0</v>
      </c>
      <c r="T6" s="132">
        <f>IF(SER_hh_fec!T6=0,0,11630*1000*SER_hh_fec!T6/SER_hh_num!T6)</f>
        <v>0</v>
      </c>
      <c r="U6" s="132">
        <f>IF(SER_hh_fec!U6=0,0,11630*1000*SER_hh_fec!U6/SER_hh_num!U6)</f>
        <v>0</v>
      </c>
      <c r="V6" s="132">
        <f>IF(SER_hh_fec!V6=0,0,11630*1000*SER_hh_fec!V6/SER_hh_num!V6)</f>
        <v>0</v>
      </c>
      <c r="W6" s="132">
        <f>IF(SER_hh_fec!W6=0,0,11630*1000*SER_hh_fec!W6/SER_hh_num!W6)</f>
        <v>0</v>
      </c>
      <c r="X6" s="132">
        <f>IF(SER_hh_fec!X6=0,0,11630*1000*SER_hh_fec!X6/SER_hh_num!X6)</f>
        <v>0</v>
      </c>
      <c r="Y6" s="132">
        <f>IF(SER_hh_fec!Y6=0,0,11630*1000*SER_hh_fec!Y6/SER_hh_num!Y6)</f>
        <v>0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64685.29240965932</v>
      </c>
      <c r="C7" s="132">
        <f>IF(SER_hh_fec!C7=0,0,11630*1000*SER_hh_fec!C7/SER_hh_num!C7)</f>
        <v>78807.193272787452</v>
      </c>
      <c r="D7" s="132">
        <f>IF(SER_hh_fec!D7=0,0,11630*1000*SER_hh_fec!D7/SER_hh_num!D7)</f>
        <v>81983.261609299589</v>
      </c>
      <c r="E7" s="132">
        <f>IF(SER_hh_fec!E7=0,0,11630*1000*SER_hh_fec!E7/SER_hh_num!E7)</f>
        <v>88160.767375554802</v>
      </c>
      <c r="F7" s="132">
        <f>IF(SER_hh_fec!F7=0,0,11630*1000*SER_hh_fec!F7/SER_hh_num!F7)</f>
        <v>90091.98277918066</v>
      </c>
      <c r="G7" s="132">
        <f>IF(SER_hh_fec!G7=0,0,11630*1000*SER_hh_fec!G7/SER_hh_num!G7)</f>
        <v>115150.92748005161</v>
      </c>
      <c r="H7" s="132">
        <f>IF(SER_hh_fec!H7=0,0,11630*1000*SER_hh_fec!H7/SER_hh_num!H7)</f>
        <v>125183.00732079263</v>
      </c>
      <c r="I7" s="132">
        <f>IF(SER_hh_fec!I7=0,0,11630*1000*SER_hh_fec!I7/SER_hh_num!I7)</f>
        <v>124902.52176391757</v>
      </c>
      <c r="J7" s="132">
        <f>IF(SER_hh_fec!J7=0,0,11630*1000*SER_hh_fec!J7/SER_hh_num!J7)</f>
        <v>137372.91605133499</v>
      </c>
      <c r="K7" s="132">
        <f>IF(SER_hh_fec!K7=0,0,11630*1000*SER_hh_fec!K7/SER_hh_num!K7)</f>
        <v>114594.55541727289</v>
      </c>
      <c r="L7" s="132">
        <f>IF(SER_hh_fec!L7=0,0,11630*1000*SER_hh_fec!L7/SER_hh_num!L7)</f>
        <v>110300.38780142505</v>
      </c>
      <c r="M7" s="132">
        <f>IF(SER_hh_fec!M7=0,0,11630*1000*SER_hh_fec!M7/SER_hh_num!M7)</f>
        <v>110761.75138546771</v>
      </c>
      <c r="N7" s="132">
        <f>IF(SER_hh_fec!N7=0,0,11630*1000*SER_hh_fec!N7/SER_hh_num!N7)</f>
        <v>57396.366741344726</v>
      </c>
      <c r="O7" s="132">
        <f>IF(SER_hh_fec!O7=0,0,11630*1000*SER_hh_fec!O7/SER_hh_num!O7)</f>
        <v>130073.8086391947</v>
      </c>
      <c r="P7" s="132">
        <f>IF(SER_hh_fec!P7=0,0,11630*1000*SER_hh_fec!P7/SER_hh_num!P7)</f>
        <v>80864.19791396572</v>
      </c>
      <c r="Q7" s="132">
        <f>IF(SER_hh_fec!Q7=0,0,11630*1000*SER_hh_fec!Q7/SER_hh_num!Q7)</f>
        <v>100965.71274945572</v>
      </c>
      <c r="R7" s="132">
        <f>IF(SER_hh_fec!R7=0,0,11630*1000*SER_hh_fec!R7/SER_hh_num!R7)</f>
        <v>209250.20325050937</v>
      </c>
      <c r="S7" s="132">
        <f>IF(SER_hh_fec!S7=0,0,11630*1000*SER_hh_fec!S7/SER_hh_num!S7)</f>
        <v>109885.28481784038</v>
      </c>
      <c r="T7" s="132">
        <f>IF(SER_hh_fec!T7=0,0,11630*1000*SER_hh_fec!T7/SER_hh_num!T7)</f>
        <v>116355.80609989955</v>
      </c>
      <c r="U7" s="132">
        <f>IF(SER_hh_fec!U7=0,0,11630*1000*SER_hh_fec!U7/SER_hh_num!U7)</f>
        <v>135614.13803642991</v>
      </c>
      <c r="V7" s="132">
        <f>IF(SER_hh_fec!V7=0,0,11630*1000*SER_hh_fec!V7/SER_hh_num!V7)</f>
        <v>136225.33328884662</v>
      </c>
      <c r="W7" s="132">
        <f>IF(SER_hh_fec!W7=0,0,11630*1000*SER_hh_fec!W7/SER_hh_num!W7)</f>
        <v>87071.322729698004</v>
      </c>
      <c r="X7" s="132">
        <f>IF(SER_hh_fec!X7=0,0,11630*1000*SER_hh_fec!X7/SER_hh_num!X7)</f>
        <v>127952.64484638898</v>
      </c>
      <c r="Y7" s="132">
        <f>IF(SER_hh_fec!Y7=0,0,11630*1000*SER_hh_fec!Y7/SER_hh_num!Y7)</f>
        <v>116491.62291093478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24371.750295870843</v>
      </c>
      <c r="C8" s="132">
        <f>IF(SER_hh_fec!C8=0,0,11630*1000*SER_hh_fec!C8/SER_hh_num!C8)</f>
        <v>24293.899445586674</v>
      </c>
      <c r="D8" s="132">
        <f>IF(SER_hh_fec!D8=0,0,11630*1000*SER_hh_fec!D8/SER_hh_num!D8)</f>
        <v>23962.174385068021</v>
      </c>
      <c r="E8" s="132">
        <f>IF(SER_hh_fec!E8=0,0,11630*1000*SER_hh_fec!E8/SER_hh_num!E8)</f>
        <v>25479.028496626361</v>
      </c>
      <c r="F8" s="132">
        <f>IF(SER_hh_fec!F8=0,0,11630*1000*SER_hh_fec!F8/SER_hh_num!F8)</f>
        <v>28804.366490481309</v>
      </c>
      <c r="G8" s="132">
        <f>IF(SER_hh_fec!G8=0,0,11630*1000*SER_hh_fec!G8/SER_hh_num!G8)</f>
        <v>34082.267423529731</v>
      </c>
      <c r="H8" s="132">
        <f>IF(SER_hh_fec!H8=0,0,11630*1000*SER_hh_fec!H8/SER_hh_num!H8)</f>
        <v>33870.215260645615</v>
      </c>
      <c r="I8" s="132">
        <f>IF(SER_hh_fec!I8=0,0,11630*1000*SER_hh_fec!I8/SER_hh_num!I8)</f>
        <v>32979.640178094814</v>
      </c>
      <c r="J8" s="132">
        <f>IF(SER_hh_fec!J8=0,0,11630*1000*SER_hh_fec!J8/SER_hh_num!J8)</f>
        <v>31883.317444283472</v>
      </c>
      <c r="K8" s="132">
        <f>IF(SER_hh_fec!K8=0,0,11630*1000*SER_hh_fec!K8/SER_hh_num!K8)</f>
        <v>28097.661043425724</v>
      </c>
      <c r="L8" s="132">
        <f>IF(SER_hh_fec!L8=0,0,11630*1000*SER_hh_fec!L8/SER_hh_num!L8)</f>
        <v>21949.692639464007</v>
      </c>
      <c r="M8" s="132">
        <f>IF(SER_hh_fec!M8=0,0,11630*1000*SER_hh_fec!M8/SER_hh_num!M8)</f>
        <v>16293.141152150236</v>
      </c>
      <c r="N8" s="132">
        <f>IF(SER_hh_fec!N8=0,0,11630*1000*SER_hh_fec!N8/SER_hh_num!N8)</f>
        <v>10564.98773304721</v>
      </c>
      <c r="O8" s="132">
        <f>IF(SER_hh_fec!O8=0,0,11630*1000*SER_hh_fec!O8/SER_hh_num!O8)</f>
        <v>12598.534007623502</v>
      </c>
      <c r="P8" s="132">
        <f>IF(SER_hh_fec!P8=0,0,11630*1000*SER_hh_fec!P8/SER_hh_num!P8)</f>
        <v>18862.349945488815</v>
      </c>
      <c r="Q8" s="132">
        <f>IF(SER_hh_fec!Q8=0,0,11630*1000*SER_hh_fec!Q8/SER_hh_num!Q8)</f>
        <v>30011.23888230915</v>
      </c>
      <c r="R8" s="132">
        <f>IF(SER_hh_fec!R8=0,0,11630*1000*SER_hh_fec!R8/SER_hh_num!R8)</f>
        <v>26701.954667227794</v>
      </c>
      <c r="S8" s="132">
        <f>IF(SER_hh_fec!S8=0,0,11630*1000*SER_hh_fec!S8/SER_hh_num!S8)</f>
        <v>25025.053824137187</v>
      </c>
      <c r="T8" s="132">
        <f>IF(SER_hh_fec!T8=0,0,11630*1000*SER_hh_fec!T8/SER_hh_num!T8)</f>
        <v>24613.594924408568</v>
      </c>
      <c r="U8" s="132">
        <f>IF(SER_hh_fec!U8=0,0,11630*1000*SER_hh_fec!U8/SER_hh_num!U8)</f>
        <v>24026.576598679159</v>
      </c>
      <c r="V8" s="132">
        <f>IF(SER_hh_fec!V8=0,0,11630*1000*SER_hh_fec!V8/SER_hh_num!V8)</f>
        <v>25311.591947732955</v>
      </c>
      <c r="W8" s="132">
        <f>IF(SER_hh_fec!W8=0,0,11630*1000*SER_hh_fec!W8/SER_hh_num!W8)</f>
        <v>26428.488174215243</v>
      </c>
      <c r="X8" s="132">
        <f>IF(SER_hh_fec!X8=0,0,11630*1000*SER_hh_fec!X8/SER_hh_num!X8)</f>
        <v>27058.620567457176</v>
      </c>
      <c r="Y8" s="132">
        <f>IF(SER_hh_fec!Y8=0,0,11630*1000*SER_hh_fec!Y8/SER_hh_num!Y8)</f>
        <v>30428.249879469065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56428.194348588848</v>
      </c>
      <c r="C9" s="132">
        <f>IF(SER_hh_fec!C9=0,0,11630*1000*SER_hh_fec!C9/SER_hh_num!C9)</f>
        <v>61034.645152435391</v>
      </c>
      <c r="D9" s="132">
        <f>IF(SER_hh_fec!D9=0,0,11630*1000*SER_hh_fec!D9/SER_hh_num!D9)</f>
        <v>58794.05319547165</v>
      </c>
      <c r="E9" s="132">
        <f>IF(SER_hh_fec!E9=0,0,11630*1000*SER_hh_fec!E9/SER_hh_num!E9)</f>
        <v>68976.878751336713</v>
      </c>
      <c r="F9" s="132">
        <f>IF(SER_hh_fec!F9=0,0,11630*1000*SER_hh_fec!F9/SER_hh_num!F9)</f>
        <v>82208.31021037334</v>
      </c>
      <c r="G9" s="132">
        <f>IF(SER_hh_fec!G9=0,0,11630*1000*SER_hh_fec!G9/SER_hh_num!G9)</f>
        <v>103637.64554748853</v>
      </c>
      <c r="H9" s="132">
        <f>IF(SER_hh_fec!H9=0,0,11630*1000*SER_hh_fec!H9/SER_hh_num!H9)</f>
        <v>107479.25188554468</v>
      </c>
      <c r="I9" s="132">
        <f>IF(SER_hh_fec!I9=0,0,11630*1000*SER_hh_fec!I9/SER_hh_num!I9)</f>
        <v>104176.04676284961</v>
      </c>
      <c r="J9" s="132">
        <f>IF(SER_hh_fec!J9=0,0,11630*1000*SER_hh_fec!J9/SER_hh_num!J9)</f>
        <v>116781.82425675241</v>
      </c>
      <c r="K9" s="132">
        <f>IF(SER_hh_fec!K9=0,0,11630*1000*SER_hh_fec!K9/SER_hh_num!K9)</f>
        <v>111219.94742907952</v>
      </c>
      <c r="L9" s="132">
        <f>IF(SER_hh_fec!L9=0,0,11630*1000*SER_hh_fec!L9/SER_hh_num!L9)</f>
        <v>85124.338479259139</v>
      </c>
      <c r="M9" s="132">
        <f>IF(SER_hh_fec!M9=0,0,11630*1000*SER_hh_fec!M9/SER_hh_num!M9)</f>
        <v>120222.52664102188</v>
      </c>
      <c r="N9" s="132">
        <f>IF(SER_hh_fec!N9=0,0,11630*1000*SER_hh_fec!N9/SER_hh_num!N9)</f>
        <v>92028.099110084353</v>
      </c>
      <c r="O9" s="132">
        <f>IF(SER_hh_fec!O9=0,0,11630*1000*SER_hh_fec!O9/SER_hh_num!O9)</f>
        <v>84004.609501761675</v>
      </c>
      <c r="P9" s="132">
        <f>IF(SER_hh_fec!P9=0,0,11630*1000*SER_hh_fec!P9/SER_hh_num!P9)</f>
        <v>90388.560940607218</v>
      </c>
      <c r="Q9" s="132">
        <f>IF(SER_hh_fec!Q9=0,0,11630*1000*SER_hh_fec!Q9/SER_hh_num!Q9)</f>
        <v>141504.08282622954</v>
      </c>
      <c r="R9" s="132">
        <f>IF(SER_hh_fec!R9=0,0,11630*1000*SER_hh_fec!R9/SER_hh_num!R9)</f>
        <v>128243.91904268833</v>
      </c>
      <c r="S9" s="132">
        <f>IF(SER_hh_fec!S9=0,0,11630*1000*SER_hh_fec!S9/SER_hh_num!S9)</f>
        <v>128753.87466847357</v>
      </c>
      <c r="T9" s="132">
        <f>IF(SER_hh_fec!T9=0,0,11630*1000*SER_hh_fec!T9/SER_hh_num!T9)</f>
        <v>119914.77505140813</v>
      </c>
      <c r="U9" s="132">
        <f>IF(SER_hh_fec!U9=0,0,11630*1000*SER_hh_fec!U9/SER_hh_num!U9)</f>
        <v>134745.64419939267</v>
      </c>
      <c r="V9" s="132">
        <f>IF(SER_hh_fec!V9=0,0,11630*1000*SER_hh_fec!V9/SER_hh_num!V9)</f>
        <v>116707.19030502188</v>
      </c>
      <c r="W9" s="132">
        <f>IF(SER_hh_fec!W9=0,0,11630*1000*SER_hh_fec!W9/SER_hh_num!W9)</f>
        <v>125880.62818731567</v>
      </c>
      <c r="X9" s="132">
        <f>IF(SER_hh_fec!X9=0,0,11630*1000*SER_hh_fec!X9/SER_hh_num!X9)</f>
        <v>125615.65908209431</v>
      </c>
      <c r="Y9" s="132">
        <f>IF(SER_hh_fec!Y9=0,0,11630*1000*SER_hh_fec!Y9/SER_hh_num!Y9)</f>
        <v>131974.08188033733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0</v>
      </c>
      <c r="C10" s="132">
        <f>IF(SER_hh_fec!C10=0,0,11630*1000*SER_hh_fec!C10/SER_hh_num!C10)</f>
        <v>0</v>
      </c>
      <c r="D10" s="132">
        <f>IF(SER_hh_fec!D10=0,0,11630*1000*SER_hh_fec!D10/SER_hh_num!D10)</f>
        <v>0</v>
      </c>
      <c r="E10" s="132">
        <f>IF(SER_hh_fec!E10=0,0,11630*1000*SER_hh_fec!E10/SER_hh_num!E10)</f>
        <v>0</v>
      </c>
      <c r="F10" s="132">
        <f>IF(SER_hh_fec!F10=0,0,11630*1000*SER_hh_fec!F10/SER_hh_num!F10)</f>
        <v>0</v>
      </c>
      <c r="G10" s="132">
        <f>IF(SER_hh_fec!G10=0,0,11630*1000*SER_hh_fec!G10/SER_hh_num!G10)</f>
        <v>0</v>
      </c>
      <c r="H10" s="132">
        <f>IF(SER_hh_fec!H10=0,0,11630*1000*SER_hh_fec!H10/SER_hh_num!H10)</f>
        <v>0</v>
      </c>
      <c r="I10" s="132">
        <f>IF(SER_hh_fec!I10=0,0,11630*1000*SER_hh_fec!I10/SER_hh_num!I10)</f>
        <v>0</v>
      </c>
      <c r="J10" s="132">
        <f>IF(SER_hh_fec!J10=0,0,11630*1000*SER_hh_fec!J10/SER_hh_num!J10)</f>
        <v>0</v>
      </c>
      <c r="K10" s="132">
        <f>IF(SER_hh_fec!K10=0,0,11630*1000*SER_hh_fec!K10/SER_hh_num!K10)</f>
        <v>0</v>
      </c>
      <c r="L10" s="132">
        <f>IF(SER_hh_fec!L10=0,0,11630*1000*SER_hh_fec!L10/SER_hh_num!L10)</f>
        <v>0</v>
      </c>
      <c r="M10" s="132">
        <f>IF(SER_hh_fec!M10=0,0,11630*1000*SER_hh_fec!M10/SER_hh_num!M10)</f>
        <v>0</v>
      </c>
      <c r="N10" s="132">
        <f>IF(SER_hh_fec!N10=0,0,11630*1000*SER_hh_fec!N10/SER_hh_num!N10)</f>
        <v>165088.1296691591</v>
      </c>
      <c r="O10" s="132">
        <f>IF(SER_hh_fec!O10=0,0,11630*1000*SER_hh_fec!O10/SER_hh_num!O10)</f>
        <v>91337.033370316291</v>
      </c>
      <c r="P10" s="132">
        <f>IF(SER_hh_fec!P10=0,0,11630*1000*SER_hh_fec!P10/SER_hh_num!P10)</f>
        <v>69663.272734626589</v>
      </c>
      <c r="Q10" s="132">
        <f>IF(SER_hh_fec!Q10=0,0,11630*1000*SER_hh_fec!Q10/SER_hh_num!Q10)</f>
        <v>213712.12911760056</v>
      </c>
      <c r="R10" s="132">
        <f>IF(SER_hh_fec!R10=0,0,11630*1000*SER_hh_fec!R10/SER_hh_num!R10)</f>
        <v>140299.68910395613</v>
      </c>
      <c r="S10" s="132">
        <f>IF(SER_hh_fec!S10=0,0,11630*1000*SER_hh_fec!S10/SER_hh_num!S10)</f>
        <v>106471.37717637648</v>
      </c>
      <c r="T10" s="132">
        <f>IF(SER_hh_fec!T10=0,0,11630*1000*SER_hh_fec!T10/SER_hh_num!T10)</f>
        <v>174422.58550885125</v>
      </c>
      <c r="U10" s="132">
        <f>IF(SER_hh_fec!U10=0,0,11630*1000*SER_hh_fec!U10/SER_hh_num!U10)</f>
        <v>84541.663661598446</v>
      </c>
      <c r="V10" s="132">
        <f>IF(SER_hh_fec!V10=0,0,11630*1000*SER_hh_fec!V10/SER_hh_num!V10)</f>
        <v>87674.010281915529</v>
      </c>
      <c r="W10" s="132">
        <f>IF(SER_hh_fec!W10=0,0,11630*1000*SER_hh_fec!W10/SER_hh_num!W10)</f>
        <v>209520.07676360037</v>
      </c>
      <c r="X10" s="132">
        <f>IF(SER_hh_fec!X10=0,0,11630*1000*SER_hh_fec!X10/SER_hh_num!X10)</f>
        <v>148154.66423904349</v>
      </c>
      <c r="Y10" s="132">
        <f>IF(SER_hh_fec!Y10=0,0,11630*1000*SER_hh_fec!Y10/SER_hh_num!Y10)</f>
        <v>120710.32137318628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0</v>
      </c>
      <c r="C11" s="132">
        <f>IF(SER_hh_fec!C11=0,0,11630*1000*SER_hh_fec!C11/SER_hh_num!C11)</f>
        <v>0</v>
      </c>
      <c r="D11" s="132">
        <f>IF(SER_hh_fec!D11=0,0,11630*1000*SER_hh_fec!D11/SER_hh_num!D11)</f>
        <v>0</v>
      </c>
      <c r="E11" s="132">
        <f>IF(SER_hh_fec!E11=0,0,11630*1000*SER_hh_fec!E11/SER_hh_num!E11)</f>
        <v>0</v>
      </c>
      <c r="F11" s="132">
        <f>IF(SER_hh_fec!F11=0,0,11630*1000*SER_hh_fec!F11/SER_hh_num!F11)</f>
        <v>69169.379329977281</v>
      </c>
      <c r="G11" s="132">
        <f>IF(SER_hh_fec!G11=0,0,11630*1000*SER_hh_fec!G11/SER_hh_num!G11)</f>
        <v>54452.385409217532</v>
      </c>
      <c r="H11" s="132">
        <f>IF(SER_hh_fec!H11=0,0,11630*1000*SER_hh_fec!H11/SER_hh_num!H11)</f>
        <v>53291.567375995226</v>
      </c>
      <c r="I11" s="132">
        <f>IF(SER_hh_fec!I11=0,0,11630*1000*SER_hh_fec!I11/SER_hh_num!I11)</f>
        <v>54815.405510042285</v>
      </c>
      <c r="J11" s="132">
        <f>IF(SER_hh_fec!J11=0,0,11630*1000*SER_hh_fec!J11/SER_hh_num!J11)</f>
        <v>53268.876477431964</v>
      </c>
      <c r="K11" s="132">
        <f>IF(SER_hh_fec!K11=0,0,11630*1000*SER_hh_fec!K11/SER_hh_num!K11)</f>
        <v>59559.602505238123</v>
      </c>
      <c r="L11" s="132">
        <f>IF(SER_hh_fec!L11=0,0,11630*1000*SER_hh_fec!L11/SER_hh_num!L11)</f>
        <v>52564.189180186935</v>
      </c>
      <c r="M11" s="132">
        <f>IF(SER_hh_fec!M11=0,0,11630*1000*SER_hh_fec!M11/SER_hh_num!M11)</f>
        <v>49517.799889822527</v>
      </c>
      <c r="N11" s="132">
        <f>IF(SER_hh_fec!N11=0,0,11630*1000*SER_hh_fec!N11/SER_hh_num!N11)</f>
        <v>50683.398940735227</v>
      </c>
      <c r="O11" s="132">
        <f>IF(SER_hh_fec!O11=0,0,11630*1000*SER_hh_fec!O11/SER_hh_num!O11)</f>
        <v>49541.795286836888</v>
      </c>
      <c r="P11" s="132">
        <f>IF(SER_hh_fec!P11=0,0,11630*1000*SER_hh_fec!P11/SER_hh_num!P11)</f>
        <v>57676.751585428421</v>
      </c>
      <c r="Q11" s="132">
        <f>IF(SER_hh_fec!Q11=0,0,11630*1000*SER_hh_fec!Q11/SER_hh_num!Q11)</f>
        <v>62515.456399130162</v>
      </c>
      <c r="R11" s="132">
        <f>IF(SER_hh_fec!R11=0,0,11630*1000*SER_hh_fec!R11/SER_hh_num!R11)</f>
        <v>69751.616026977747</v>
      </c>
      <c r="S11" s="132">
        <f>IF(SER_hh_fec!S11=0,0,11630*1000*SER_hh_fec!S11/SER_hh_num!S11)</f>
        <v>69843.780465687159</v>
      </c>
      <c r="T11" s="132">
        <f>IF(SER_hh_fec!T11=0,0,11630*1000*SER_hh_fec!T11/SER_hh_num!T11)</f>
        <v>70904.071834395683</v>
      </c>
      <c r="U11" s="132">
        <f>IF(SER_hh_fec!U11=0,0,11630*1000*SER_hh_fec!U11/SER_hh_num!U11)</f>
        <v>98866.020632227403</v>
      </c>
      <c r="V11" s="132">
        <f>IF(SER_hh_fec!V11=0,0,11630*1000*SER_hh_fec!V11/SER_hh_num!V11)</f>
        <v>33183.177024489203</v>
      </c>
      <c r="W11" s="132">
        <f>IF(SER_hh_fec!W11=0,0,11630*1000*SER_hh_fec!W11/SER_hh_num!W11)</f>
        <v>32048.007367921553</v>
      </c>
      <c r="X11" s="132">
        <f>IF(SER_hh_fec!X11=0,0,11630*1000*SER_hh_fec!X11/SER_hh_num!X11)</f>
        <v>84381.722681768631</v>
      </c>
      <c r="Y11" s="132">
        <f>IF(SER_hh_fec!Y11=0,0,11630*1000*SER_hh_fec!Y11/SER_hh_num!Y11)</f>
        <v>84488.987784510929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0</v>
      </c>
      <c r="C12" s="132">
        <f>IF(SER_hh_fec!C12=0,0,11630*1000*SER_hh_fec!C12/SER_hh_num!C12)</f>
        <v>0</v>
      </c>
      <c r="D12" s="132">
        <f>IF(SER_hh_fec!D12=0,0,11630*1000*SER_hh_fec!D12/SER_hh_num!D12)</f>
        <v>0</v>
      </c>
      <c r="E12" s="132">
        <f>IF(SER_hh_fec!E12=0,0,11630*1000*SER_hh_fec!E12/SER_hh_num!E12)</f>
        <v>0</v>
      </c>
      <c r="F12" s="132">
        <f>IF(SER_hh_fec!F12=0,0,11630*1000*SER_hh_fec!F12/SER_hh_num!F12)</f>
        <v>0</v>
      </c>
      <c r="G12" s="132">
        <f>IF(SER_hh_fec!G12=0,0,11630*1000*SER_hh_fec!G12/SER_hh_num!G12)</f>
        <v>0</v>
      </c>
      <c r="H12" s="132">
        <f>IF(SER_hh_fec!H12=0,0,11630*1000*SER_hh_fec!H12/SER_hh_num!H12)</f>
        <v>0</v>
      </c>
      <c r="I12" s="132">
        <f>IF(SER_hh_fec!I12=0,0,11630*1000*SER_hh_fec!I12/SER_hh_num!I12)</f>
        <v>0</v>
      </c>
      <c r="J12" s="132">
        <f>IF(SER_hh_fec!J12=0,0,11630*1000*SER_hh_fec!J12/SER_hh_num!J12)</f>
        <v>0</v>
      </c>
      <c r="K12" s="132">
        <f>IF(SER_hh_fec!K12=0,0,11630*1000*SER_hh_fec!K12/SER_hh_num!K12)</f>
        <v>0</v>
      </c>
      <c r="L12" s="132">
        <f>IF(SER_hh_fec!L12=0,0,11630*1000*SER_hh_fec!L12/SER_hh_num!L12)</f>
        <v>0</v>
      </c>
      <c r="M12" s="132">
        <f>IF(SER_hh_fec!M12=0,0,11630*1000*SER_hh_fec!M12/SER_hh_num!M12)</f>
        <v>0</v>
      </c>
      <c r="N12" s="132">
        <f>IF(SER_hh_fec!N12=0,0,11630*1000*SER_hh_fec!N12/SER_hh_num!N12)</f>
        <v>0</v>
      </c>
      <c r="O12" s="132">
        <f>IF(SER_hh_fec!O12=0,0,11630*1000*SER_hh_fec!O12/SER_hh_num!O12)</f>
        <v>0</v>
      </c>
      <c r="P12" s="132">
        <f>IF(SER_hh_fec!P12=0,0,11630*1000*SER_hh_fec!P12/SER_hh_num!P12)</f>
        <v>0</v>
      </c>
      <c r="Q12" s="132">
        <f>IF(SER_hh_fec!Q12=0,0,11630*1000*SER_hh_fec!Q12/SER_hh_num!Q12)</f>
        <v>0</v>
      </c>
      <c r="R12" s="132">
        <f>IF(SER_hh_fec!R12=0,0,11630*1000*SER_hh_fec!R12/SER_hh_num!R12)</f>
        <v>0</v>
      </c>
      <c r="S12" s="132">
        <f>IF(SER_hh_fec!S12=0,0,11630*1000*SER_hh_fec!S12/SER_hh_num!S12)</f>
        <v>0</v>
      </c>
      <c r="T12" s="132">
        <f>IF(SER_hh_fec!T12=0,0,11630*1000*SER_hh_fec!T12/SER_hh_num!T12)</f>
        <v>0</v>
      </c>
      <c r="U12" s="132">
        <f>IF(SER_hh_fec!U12=0,0,11630*1000*SER_hh_fec!U12/SER_hh_num!U12)</f>
        <v>0</v>
      </c>
      <c r="V12" s="132">
        <f>IF(SER_hh_fec!V12=0,0,11630*1000*SER_hh_fec!V12/SER_hh_num!V12)</f>
        <v>0</v>
      </c>
      <c r="W12" s="132">
        <f>IF(SER_hh_fec!W12=0,0,11630*1000*SER_hh_fec!W12/SER_hh_num!W12)</f>
        <v>0</v>
      </c>
      <c r="X12" s="132">
        <f>IF(SER_hh_fec!X12=0,0,11630*1000*SER_hh_fec!X12/SER_hh_num!X12)</f>
        <v>0</v>
      </c>
      <c r="Y12" s="132">
        <f>IF(SER_hh_fec!Y12=0,0,11630*1000*SER_hh_fec!Y12/SER_hh_num!Y12)</f>
        <v>0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18644.407127517825</v>
      </c>
      <c r="C13" s="132">
        <f>IF(SER_hh_fec!C13=0,0,11630*1000*SER_hh_fec!C13/SER_hh_num!C13)</f>
        <v>21379.080997266625</v>
      </c>
      <c r="D13" s="132">
        <f>IF(SER_hh_fec!D13=0,0,11630*1000*SER_hh_fec!D13/SER_hh_num!D13)</f>
        <v>21621.223130886996</v>
      </c>
      <c r="E13" s="132">
        <f>IF(SER_hh_fec!E13=0,0,11630*1000*SER_hh_fec!E13/SER_hh_num!E13)</f>
        <v>22856.550590122384</v>
      </c>
      <c r="F13" s="132">
        <f>IF(SER_hh_fec!F13=0,0,11630*1000*SER_hh_fec!F13/SER_hh_num!F13)</f>
        <v>27332.839606950518</v>
      </c>
      <c r="G13" s="132">
        <f>IF(SER_hh_fec!G13=0,0,11630*1000*SER_hh_fec!G13/SER_hh_num!G13)</f>
        <v>25843.911046517926</v>
      </c>
      <c r="H13" s="132">
        <f>IF(SER_hh_fec!H13=0,0,11630*1000*SER_hh_fec!H13/SER_hh_num!H13)</f>
        <v>27392.252094842555</v>
      </c>
      <c r="I13" s="132">
        <f>IF(SER_hh_fec!I13=0,0,11630*1000*SER_hh_fec!I13/SER_hh_num!I13)</f>
        <v>28924.760178371507</v>
      </c>
      <c r="J13" s="132">
        <f>IF(SER_hh_fec!J13=0,0,11630*1000*SER_hh_fec!J13/SER_hh_num!J13)</f>
        <v>27689.903483443886</v>
      </c>
      <c r="K13" s="132">
        <f>IF(SER_hh_fec!K13=0,0,11630*1000*SER_hh_fec!K13/SER_hh_num!K13)</f>
        <v>25480.262309062833</v>
      </c>
      <c r="L13" s="132">
        <f>IF(SER_hh_fec!L13=0,0,11630*1000*SER_hh_fec!L13/SER_hh_num!L13)</f>
        <v>21198.325172278594</v>
      </c>
      <c r="M13" s="132">
        <f>IF(SER_hh_fec!M13=0,0,11630*1000*SER_hh_fec!M13/SER_hh_num!M13)</f>
        <v>18755.522037324394</v>
      </c>
      <c r="N13" s="132">
        <f>IF(SER_hh_fec!N13=0,0,11630*1000*SER_hh_fec!N13/SER_hh_num!N13)</f>
        <v>20288.600790267901</v>
      </c>
      <c r="O13" s="132">
        <f>IF(SER_hh_fec!O13=0,0,11630*1000*SER_hh_fec!O13/SER_hh_num!O13)</f>
        <v>18095.783170314211</v>
      </c>
      <c r="P13" s="132">
        <f>IF(SER_hh_fec!P13=0,0,11630*1000*SER_hh_fec!P13/SER_hh_num!P13)</f>
        <v>19855.510763221449</v>
      </c>
      <c r="Q13" s="132">
        <f>IF(SER_hh_fec!Q13=0,0,11630*1000*SER_hh_fec!Q13/SER_hh_num!Q13)</f>
        <v>24230.958540758937</v>
      </c>
      <c r="R13" s="132">
        <f>IF(SER_hh_fec!R13=0,0,11630*1000*SER_hh_fec!R13/SER_hh_num!R13)</f>
        <v>24700.422879560083</v>
      </c>
      <c r="S13" s="132">
        <f>IF(SER_hh_fec!S13=0,0,11630*1000*SER_hh_fec!S13/SER_hh_num!S13)</f>
        <v>23705.482849840504</v>
      </c>
      <c r="T13" s="132">
        <f>IF(SER_hh_fec!T13=0,0,11630*1000*SER_hh_fec!T13/SER_hh_num!T13)</f>
        <v>23175.759392650154</v>
      </c>
      <c r="U13" s="132">
        <f>IF(SER_hh_fec!U13=0,0,11630*1000*SER_hh_fec!U13/SER_hh_num!U13)</f>
        <v>22137.382104758904</v>
      </c>
      <c r="V13" s="132">
        <f>IF(SER_hh_fec!V13=0,0,11630*1000*SER_hh_fec!V13/SER_hh_num!V13)</f>
        <v>21865.470332223453</v>
      </c>
      <c r="W13" s="132">
        <f>IF(SER_hh_fec!W13=0,0,11630*1000*SER_hh_fec!W13/SER_hh_num!W13)</f>
        <v>23385.474032753948</v>
      </c>
      <c r="X13" s="132">
        <f>IF(SER_hh_fec!X13=0,0,11630*1000*SER_hh_fec!X13/SER_hh_num!X13)</f>
        <v>23355.24541093325</v>
      </c>
      <c r="Y13" s="132">
        <f>IF(SER_hh_fec!Y13=0,0,11630*1000*SER_hh_fec!Y13/SER_hh_num!Y13)</f>
        <v>24657.814133521617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44820.06990409323</v>
      </c>
      <c r="C14" s="65">
        <f>IF(SER_hh_fec!C14=0,0,11630*1000*SER_hh_fec!C14/SER_hh_num!C14)</f>
        <v>51554.568701430784</v>
      </c>
      <c r="D14" s="65">
        <f>IF(SER_hh_fec!D14=0,0,11630*1000*SER_hh_fec!D14/SER_hh_num!D14)</f>
        <v>52002.121594111559</v>
      </c>
      <c r="E14" s="65">
        <f>IF(SER_hh_fec!E14=0,0,11630*1000*SER_hh_fec!E14/SER_hh_num!E14)</f>
        <v>59283.033419606661</v>
      </c>
      <c r="F14" s="65">
        <f>IF(SER_hh_fec!F14=0,0,11630*1000*SER_hh_fec!F14/SER_hh_num!F14)</f>
        <v>71028.566399177216</v>
      </c>
      <c r="G14" s="65">
        <f>IF(SER_hh_fec!G14=0,0,11630*1000*SER_hh_fec!G14/SER_hh_num!G14)</f>
        <v>69410.738284839186</v>
      </c>
      <c r="H14" s="65">
        <f>IF(SER_hh_fec!H14=0,0,11630*1000*SER_hh_fec!H14/SER_hh_num!H14)</f>
        <v>80081.782218492139</v>
      </c>
      <c r="I14" s="65">
        <f>IF(SER_hh_fec!I14=0,0,11630*1000*SER_hh_fec!I14/SER_hh_num!I14)</f>
        <v>84028.555282913221</v>
      </c>
      <c r="J14" s="65">
        <f>IF(SER_hh_fec!J14=0,0,11630*1000*SER_hh_fec!J14/SER_hh_num!J14)</f>
        <v>92456.97512600827</v>
      </c>
      <c r="K14" s="65">
        <f>IF(SER_hh_fec!K14=0,0,11630*1000*SER_hh_fec!K14/SER_hh_num!K14)</f>
        <v>97359.408739762614</v>
      </c>
      <c r="L14" s="65">
        <f>IF(SER_hh_fec!L14=0,0,11630*1000*SER_hh_fec!L14/SER_hh_num!L14)</f>
        <v>69151.741971998694</v>
      </c>
      <c r="M14" s="65">
        <f>IF(SER_hh_fec!M14=0,0,11630*1000*SER_hh_fec!M14/SER_hh_num!M14)</f>
        <v>48462.823772340766</v>
      </c>
      <c r="N14" s="65">
        <f>IF(SER_hh_fec!N14=0,0,11630*1000*SER_hh_fec!N14/SER_hh_num!N14)</f>
        <v>104677.79925015998</v>
      </c>
      <c r="O14" s="65">
        <f>IF(SER_hh_fec!O14=0,0,11630*1000*SER_hh_fec!O14/SER_hh_num!O14)</f>
        <v>70210.107186963229</v>
      </c>
      <c r="P14" s="65">
        <f>IF(SER_hh_fec!P14=0,0,11630*1000*SER_hh_fec!P14/SER_hh_num!P14)</f>
        <v>45459.760705151421</v>
      </c>
      <c r="Q14" s="65">
        <f>IF(SER_hh_fec!Q14=0,0,11630*1000*SER_hh_fec!Q14/SER_hh_num!Q14)</f>
        <v>81487.334708392751</v>
      </c>
      <c r="R14" s="65">
        <f>IF(SER_hh_fec!R14=0,0,11630*1000*SER_hh_fec!R14/SER_hh_num!R14)</f>
        <v>129740.99960001103</v>
      </c>
      <c r="S14" s="65">
        <f>IF(SER_hh_fec!S14=0,0,11630*1000*SER_hh_fec!S14/SER_hh_num!S14)</f>
        <v>123501.63510717869</v>
      </c>
      <c r="T14" s="65">
        <f>IF(SER_hh_fec!T14=0,0,11630*1000*SER_hh_fec!T14/SER_hh_num!T14)</f>
        <v>83262.181606166821</v>
      </c>
      <c r="U14" s="65">
        <f>IF(SER_hh_fec!U14=0,0,11630*1000*SER_hh_fec!U14/SER_hh_num!U14)</f>
        <v>116494.65494194988</v>
      </c>
      <c r="V14" s="65">
        <f>IF(SER_hh_fec!V14=0,0,11630*1000*SER_hh_fec!V14/SER_hh_num!V14)</f>
        <v>69148.989748386521</v>
      </c>
      <c r="W14" s="65">
        <f>IF(SER_hh_fec!W14=0,0,11630*1000*SER_hh_fec!W14/SER_hh_num!W14)</f>
        <v>90491.065341717142</v>
      </c>
      <c r="X14" s="65">
        <f>IF(SER_hh_fec!X14=0,0,11630*1000*SER_hh_fec!X14/SER_hh_num!X14)</f>
        <v>121278.57559317994</v>
      </c>
      <c r="Y14" s="65">
        <f>IF(SER_hh_fec!Y14=0,0,11630*1000*SER_hh_fec!Y14/SER_hh_num!Y14)</f>
        <v>104762.02874005935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485.26413063816682</v>
      </c>
      <c r="C15" s="134">
        <f>IF(SER_hh_fec!C15=0,0,11630*1000*SER_hh_fec!C15/SER_hh_num!C15)</f>
        <v>587.14205068543708</v>
      </c>
      <c r="D15" s="134">
        <f>IF(SER_hh_fec!D15=0,0,11630*1000*SER_hh_fec!D15/SER_hh_num!D15)</f>
        <v>600.38040243160344</v>
      </c>
      <c r="E15" s="134">
        <f>IF(SER_hh_fec!E15=0,0,11630*1000*SER_hh_fec!E15/SER_hh_num!E15)</f>
        <v>639.76171808928041</v>
      </c>
      <c r="F15" s="134">
        <f>IF(SER_hh_fec!F15=0,0,11630*1000*SER_hh_fec!F15/SER_hh_num!F15)</f>
        <v>645.44293497791091</v>
      </c>
      <c r="G15" s="134">
        <f>IF(SER_hh_fec!G15=0,0,11630*1000*SER_hh_fec!G15/SER_hh_num!G15)</f>
        <v>815.1030638304178</v>
      </c>
      <c r="H15" s="134">
        <f>IF(SER_hh_fec!H15=0,0,11630*1000*SER_hh_fec!H15/SER_hh_num!H15)</f>
        <v>870.82836796673803</v>
      </c>
      <c r="I15" s="134">
        <f>IF(SER_hh_fec!I15=0,0,11630*1000*SER_hh_fec!I15/SER_hh_num!I15)</f>
        <v>854.98163121346067</v>
      </c>
      <c r="J15" s="134">
        <f>IF(SER_hh_fec!J15=0,0,11630*1000*SER_hh_fec!J15/SER_hh_num!J15)</f>
        <v>931.54918105050535</v>
      </c>
      <c r="K15" s="134">
        <f>IF(SER_hh_fec!K15=0,0,11630*1000*SER_hh_fec!K15/SER_hh_num!K15)</f>
        <v>799.45218711783571</v>
      </c>
      <c r="L15" s="134">
        <f>IF(SER_hh_fec!L15=0,0,11630*1000*SER_hh_fec!L15/SER_hh_num!L15)</f>
        <v>706.95669906639614</v>
      </c>
      <c r="M15" s="134">
        <f>IF(SER_hh_fec!M15=0,0,11630*1000*SER_hh_fec!M15/SER_hh_num!M15)</f>
        <v>799.24912060855638</v>
      </c>
      <c r="N15" s="134">
        <f>IF(SER_hh_fec!N15=0,0,11630*1000*SER_hh_fec!N15/SER_hh_num!N15)</f>
        <v>526.18133001714887</v>
      </c>
      <c r="O15" s="134">
        <f>IF(SER_hh_fec!O15=0,0,11630*1000*SER_hh_fec!O15/SER_hh_num!O15)</f>
        <v>713.43913412373911</v>
      </c>
      <c r="P15" s="134">
        <f>IF(SER_hh_fec!P15=0,0,11630*1000*SER_hh_fec!P15/SER_hh_num!P15)</f>
        <v>561.86936971910734</v>
      </c>
      <c r="Q15" s="134">
        <f>IF(SER_hh_fec!Q15=0,0,11630*1000*SER_hh_fec!Q15/SER_hh_num!Q15)</f>
        <v>820.10310233411622</v>
      </c>
      <c r="R15" s="134">
        <f>IF(SER_hh_fec!R15=0,0,11630*1000*SER_hh_fec!R15/SER_hh_num!R15)</f>
        <v>1010.1693603861106</v>
      </c>
      <c r="S15" s="134">
        <f>IF(SER_hh_fec!S15=0,0,11630*1000*SER_hh_fec!S15/SER_hh_num!S15)</f>
        <v>785.76556529998118</v>
      </c>
      <c r="T15" s="134">
        <f>IF(SER_hh_fec!T15=0,0,11630*1000*SER_hh_fec!T15/SER_hh_num!T15)</f>
        <v>801.38740708818159</v>
      </c>
      <c r="U15" s="134">
        <f>IF(SER_hh_fec!U15=0,0,11630*1000*SER_hh_fec!U15/SER_hh_num!U15)</f>
        <v>916.74264042462869</v>
      </c>
      <c r="V15" s="134">
        <f>IF(SER_hh_fec!V15=0,0,11630*1000*SER_hh_fec!V15/SER_hh_num!V15)</f>
        <v>832.97942513728708</v>
      </c>
      <c r="W15" s="134">
        <f>IF(SER_hh_fec!W15=0,0,11630*1000*SER_hh_fec!W15/SER_hh_num!W15)</f>
        <v>839.15317069672574</v>
      </c>
      <c r="X15" s="134">
        <f>IF(SER_hh_fec!X15=0,0,11630*1000*SER_hh_fec!X15/SER_hh_num!X15)</f>
        <v>881.75964541365022</v>
      </c>
      <c r="Y15" s="134">
        <f>IF(SER_hh_fec!Y15=0,0,11630*1000*SER_hh_fec!Y15/SER_hh_num!Y15)</f>
        <v>912.28436191533422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18671.516900866303</v>
      </c>
      <c r="C16" s="130">
        <f>IF(SER_hh_fec!C16=0,0,11630*1000*SER_hh_fec!C16/SER_hh_num!C16)</f>
        <v>22246.666764886129</v>
      </c>
      <c r="D16" s="130">
        <f>IF(SER_hh_fec!D16=0,0,11630*1000*SER_hh_fec!D16/SER_hh_num!D16)</f>
        <v>17410.787868486721</v>
      </c>
      <c r="E16" s="130">
        <f>IF(SER_hh_fec!E16=0,0,11630*1000*SER_hh_fec!E16/SER_hh_num!E16)</f>
        <v>22308.315598298799</v>
      </c>
      <c r="F16" s="130">
        <f>IF(SER_hh_fec!F16=0,0,11630*1000*SER_hh_fec!F16/SER_hh_num!F16)</f>
        <v>13336.620099797028</v>
      </c>
      <c r="G16" s="130">
        <f>IF(SER_hh_fec!G16=0,0,11630*1000*SER_hh_fec!G16/SER_hh_num!G16)</f>
        <v>13156.459046882754</v>
      </c>
      <c r="H16" s="130">
        <f>IF(SER_hh_fec!H16=0,0,11630*1000*SER_hh_fec!H16/SER_hh_num!H16)</f>
        <v>14719.230612604391</v>
      </c>
      <c r="I16" s="130">
        <f>IF(SER_hh_fec!I16=0,0,11630*1000*SER_hh_fec!I16/SER_hh_num!I16)</f>
        <v>20451.051428569659</v>
      </c>
      <c r="J16" s="130">
        <f>IF(SER_hh_fec!J16=0,0,11630*1000*SER_hh_fec!J16/SER_hh_num!J16)</f>
        <v>18854.428100660996</v>
      </c>
      <c r="K16" s="130">
        <f>IF(SER_hh_fec!K16=0,0,11630*1000*SER_hh_fec!K16/SER_hh_num!K16)</f>
        <v>12714.518562822645</v>
      </c>
      <c r="L16" s="130">
        <f>IF(SER_hh_fec!L16=0,0,11630*1000*SER_hh_fec!L16/SER_hh_num!L16)</f>
        <v>16186.115626194587</v>
      </c>
      <c r="M16" s="130">
        <f>IF(SER_hh_fec!M16=0,0,11630*1000*SER_hh_fec!M16/SER_hh_num!M16)</f>
        <v>13699.872474989977</v>
      </c>
      <c r="N16" s="130">
        <f>IF(SER_hh_fec!N16=0,0,11630*1000*SER_hh_fec!N16/SER_hh_num!N16)</f>
        <v>21925.414480052848</v>
      </c>
      <c r="O16" s="130">
        <f>IF(SER_hh_fec!O16=0,0,11630*1000*SER_hh_fec!O16/SER_hh_num!O16)</f>
        <v>13499.942097393932</v>
      </c>
      <c r="P16" s="130">
        <f>IF(SER_hh_fec!P16=0,0,11630*1000*SER_hh_fec!P16/SER_hh_num!P16)</f>
        <v>10750.23730071046</v>
      </c>
      <c r="Q16" s="130">
        <f>IF(SER_hh_fec!Q16=0,0,11630*1000*SER_hh_fec!Q16/SER_hh_num!Q16)</f>
        <v>13338.796080293047</v>
      </c>
      <c r="R16" s="130">
        <f>IF(SER_hh_fec!R16=0,0,11630*1000*SER_hh_fec!R16/SER_hh_num!R16)</f>
        <v>14035.996606409057</v>
      </c>
      <c r="S16" s="130">
        <f>IF(SER_hh_fec!S16=0,0,11630*1000*SER_hh_fec!S16/SER_hh_num!S16)</f>
        <v>13676.907649102895</v>
      </c>
      <c r="T16" s="130">
        <f>IF(SER_hh_fec!T16=0,0,11630*1000*SER_hh_fec!T16/SER_hh_num!T16)</f>
        <v>11490.598509210608</v>
      </c>
      <c r="U16" s="130">
        <f>IF(SER_hh_fec!U16=0,0,11630*1000*SER_hh_fec!U16/SER_hh_num!U16)</f>
        <v>14282.132496236336</v>
      </c>
      <c r="V16" s="130">
        <f>IF(SER_hh_fec!V16=0,0,11630*1000*SER_hh_fec!V16/SER_hh_num!V16)</f>
        <v>12172.207879498819</v>
      </c>
      <c r="W16" s="130">
        <f>IF(SER_hh_fec!W16=0,0,11630*1000*SER_hh_fec!W16/SER_hh_num!W16)</f>
        <v>16043.523095728049</v>
      </c>
      <c r="X16" s="130">
        <f>IF(SER_hh_fec!X16=0,0,11630*1000*SER_hh_fec!X16/SER_hh_num!X16)</f>
        <v>14134.61532939133</v>
      </c>
      <c r="Y16" s="130">
        <f>IF(SER_hh_fec!Y16=0,0,11630*1000*SER_hh_fec!Y16/SER_hh_num!Y16)</f>
        <v>14538.138619915908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29858.725779242432</v>
      </c>
      <c r="C17" s="132">
        <f>IF(SER_hh_fec!C17=0,0,11630*1000*SER_hh_fec!C17/SER_hh_num!C17)</f>
        <v>36551.827411955026</v>
      </c>
      <c r="D17" s="132">
        <f>IF(SER_hh_fec!D17=0,0,11630*1000*SER_hh_fec!D17/SER_hh_num!D17)</f>
        <v>28917.740682036132</v>
      </c>
      <c r="E17" s="132">
        <f>IF(SER_hh_fec!E17=0,0,11630*1000*SER_hh_fec!E17/SER_hh_num!E17)</f>
        <v>38732.491137673293</v>
      </c>
      <c r="F17" s="132">
        <f>IF(SER_hh_fec!F17=0,0,11630*1000*SER_hh_fec!F17/SER_hh_num!F17)</f>
        <v>23198.709561784886</v>
      </c>
      <c r="G17" s="132">
        <f>IF(SER_hh_fec!G17=0,0,11630*1000*SER_hh_fec!G17/SER_hh_num!G17)</f>
        <v>23544.164248550107</v>
      </c>
      <c r="H17" s="132">
        <f>IF(SER_hh_fec!H17=0,0,11630*1000*SER_hh_fec!H17/SER_hh_num!H17)</f>
        <v>27568.320848096471</v>
      </c>
      <c r="I17" s="132">
        <f>IF(SER_hh_fec!I17=0,0,11630*1000*SER_hh_fec!I17/SER_hh_num!I17)</f>
        <v>40666.660552614223</v>
      </c>
      <c r="J17" s="132">
        <f>IF(SER_hh_fec!J17=0,0,11630*1000*SER_hh_fec!J17/SER_hh_num!J17)</f>
        <v>38212.720279347748</v>
      </c>
      <c r="K17" s="132">
        <f>IF(SER_hh_fec!K17=0,0,11630*1000*SER_hh_fec!K17/SER_hh_num!K17)</f>
        <v>32806.191641741549</v>
      </c>
      <c r="L17" s="132">
        <f>IF(SER_hh_fec!L17=0,0,11630*1000*SER_hh_fec!L17/SER_hh_num!L17)</f>
        <v>34182.73358288141</v>
      </c>
      <c r="M17" s="132">
        <f>IF(SER_hh_fec!M17=0,0,11630*1000*SER_hh_fec!M17/SER_hh_num!M17)</f>
        <v>29954.099086679442</v>
      </c>
      <c r="N17" s="132">
        <f>IF(SER_hh_fec!N17=0,0,11630*1000*SER_hh_fec!N17/SER_hh_num!N17)</f>
        <v>43349.892075550124</v>
      </c>
      <c r="O17" s="132">
        <f>IF(SER_hh_fec!O17=0,0,11630*1000*SER_hh_fec!O17/SER_hh_num!O17)</f>
        <v>29996.278873337662</v>
      </c>
      <c r="P17" s="132">
        <f>IF(SER_hh_fec!P17=0,0,11630*1000*SER_hh_fec!P17/SER_hh_num!P17)</f>
        <v>25410.785229016914</v>
      </c>
      <c r="Q17" s="132">
        <f>IF(SER_hh_fec!Q17=0,0,11630*1000*SER_hh_fec!Q17/SER_hh_num!Q17)</f>
        <v>31018.737468812949</v>
      </c>
      <c r="R17" s="132">
        <f>IF(SER_hh_fec!R17=0,0,11630*1000*SER_hh_fec!R17/SER_hh_num!R17)</f>
        <v>33578.853717340979</v>
      </c>
      <c r="S17" s="132">
        <f>IF(SER_hh_fec!S17=0,0,11630*1000*SER_hh_fec!S17/SER_hh_num!S17)</f>
        <v>33423.566069817425</v>
      </c>
      <c r="T17" s="132">
        <f>IF(SER_hh_fec!T17=0,0,11630*1000*SER_hh_fec!T17/SER_hh_num!T17)</f>
        <v>28232.783227041768</v>
      </c>
      <c r="U17" s="132">
        <f>IF(SER_hh_fec!U17=0,0,11630*1000*SER_hh_fec!U17/SER_hh_num!U17)</f>
        <v>35412.874708091571</v>
      </c>
      <c r="V17" s="132">
        <f>IF(SER_hh_fec!V17=0,0,11630*1000*SER_hh_fec!V17/SER_hh_num!V17)</f>
        <v>29093.971932302644</v>
      </c>
      <c r="W17" s="132">
        <f>IF(SER_hh_fec!W17=0,0,11630*1000*SER_hh_fec!W17/SER_hh_num!W17)</f>
        <v>38296.382617298943</v>
      </c>
      <c r="X17" s="132">
        <f>IF(SER_hh_fec!X17=0,0,11630*1000*SER_hh_fec!X17/SER_hh_num!X17)</f>
        <v>35436.464196185807</v>
      </c>
      <c r="Y17" s="132">
        <f>IF(SER_hh_fec!Y17=0,0,11630*1000*SER_hh_fec!Y17/SER_hh_num!Y17)</f>
        <v>36331.863134981199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18663.698207695696</v>
      </c>
      <c r="C18" s="132">
        <f>IF(SER_hh_fec!C18=0,0,11630*1000*SER_hh_fec!C18/SER_hh_num!C18)</f>
        <v>22236.746566926064</v>
      </c>
      <c r="D18" s="132">
        <f>IF(SER_hh_fec!D18=0,0,11630*1000*SER_hh_fec!D18/SER_hh_num!D18)</f>
        <v>17400.139577035221</v>
      </c>
      <c r="E18" s="132">
        <f>IF(SER_hh_fec!E18=0,0,11630*1000*SER_hh_fec!E18/SER_hh_num!E18)</f>
        <v>22295.050997870945</v>
      </c>
      <c r="F18" s="132">
        <f>IF(SER_hh_fec!F18=0,0,11630*1000*SER_hh_fec!F18/SER_hh_num!F18)</f>
        <v>13320.189916092428</v>
      </c>
      <c r="G18" s="132">
        <f>IF(SER_hh_fec!G18=0,0,11630*1000*SER_hh_fec!G18/SER_hh_num!G18)</f>
        <v>13130.90094695902</v>
      </c>
      <c r="H18" s="132">
        <f>IF(SER_hh_fec!H18=0,0,11630*1000*SER_hh_fec!H18/SER_hh_num!H18)</f>
        <v>14678.532841914564</v>
      </c>
      <c r="I18" s="132">
        <f>IF(SER_hh_fec!I18=0,0,11630*1000*SER_hh_fec!I18/SER_hh_num!I18)</f>
        <v>20394.886757190543</v>
      </c>
      <c r="J18" s="132">
        <f>IF(SER_hh_fec!J18=0,0,11630*1000*SER_hh_fec!J18/SER_hh_num!J18)</f>
        <v>18783.25666969693</v>
      </c>
      <c r="K18" s="132">
        <f>IF(SER_hh_fec!K18=0,0,11630*1000*SER_hh_fec!K18/SER_hh_num!K18)</f>
        <v>12617.559609119433</v>
      </c>
      <c r="L18" s="132">
        <f>IF(SER_hh_fec!L18=0,0,11630*1000*SER_hh_fec!L18/SER_hh_num!L18)</f>
        <v>16074.242403741782</v>
      </c>
      <c r="M18" s="132">
        <f>IF(SER_hh_fec!M18=0,0,11630*1000*SER_hh_fec!M18/SER_hh_num!M18)</f>
        <v>13560.764386443267</v>
      </c>
      <c r="N18" s="132">
        <f>IF(SER_hh_fec!N18=0,0,11630*1000*SER_hh_fec!N18/SER_hh_num!N18)</f>
        <v>21691.700712207385</v>
      </c>
      <c r="O18" s="132">
        <f>IF(SER_hh_fec!O18=0,0,11630*1000*SER_hh_fec!O18/SER_hh_num!O18)</f>
        <v>13245.192015715895</v>
      </c>
      <c r="P18" s="132">
        <f>IF(SER_hh_fec!P18=0,0,11630*1000*SER_hh_fec!P18/SER_hh_num!P18)</f>
        <v>10450.363118646443</v>
      </c>
      <c r="Q18" s="132">
        <f>IF(SER_hh_fec!Q18=0,0,11630*1000*SER_hh_fec!Q18/SER_hh_num!Q18)</f>
        <v>12933.981229819545</v>
      </c>
      <c r="R18" s="132">
        <f>IF(SER_hh_fec!R18=0,0,11630*1000*SER_hh_fec!R18/SER_hh_num!R18)</f>
        <v>13562.050819903268</v>
      </c>
      <c r="S18" s="132">
        <f>IF(SER_hh_fec!S18=0,0,11630*1000*SER_hh_fec!S18/SER_hh_num!S18)</f>
        <v>13163.754012814199</v>
      </c>
      <c r="T18" s="132">
        <f>IF(SER_hh_fec!T18=0,0,11630*1000*SER_hh_fec!T18/SER_hh_num!T18)</f>
        <v>10995.867619010478</v>
      </c>
      <c r="U18" s="132">
        <f>IF(SER_hh_fec!U18=0,0,11630*1000*SER_hh_fec!U18/SER_hh_num!U18)</f>
        <v>13651.617382549211</v>
      </c>
      <c r="V18" s="132">
        <f>IF(SER_hh_fec!V18=0,0,11630*1000*SER_hh_fec!V18/SER_hh_num!V18)</f>
        <v>11661.854400395441</v>
      </c>
      <c r="W18" s="132">
        <f>IF(SER_hh_fec!W18=0,0,11630*1000*SER_hh_fec!W18/SER_hh_num!W18)</f>
        <v>15372.588896817784</v>
      </c>
      <c r="X18" s="132">
        <f>IF(SER_hh_fec!X18=0,0,11630*1000*SER_hh_fec!X18/SER_hh_num!X18)</f>
        <v>13491.472878119775</v>
      </c>
      <c r="Y18" s="132">
        <f>IF(SER_hh_fec!Y18=0,0,11630*1000*SER_hh_fec!Y18/SER_hh_num!Y18)</f>
        <v>13871.188932956713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34606.339265875686</v>
      </c>
      <c r="C19" s="130">
        <f>IF(SER_hh_fec!C19=0,0,11630*1000*SER_hh_fec!C19/SER_hh_num!C19)</f>
        <v>36047.023613334386</v>
      </c>
      <c r="D19" s="130">
        <f>IF(SER_hh_fec!D19=0,0,11630*1000*SER_hh_fec!D19/SER_hh_num!D19)</f>
        <v>37693.15814353693</v>
      </c>
      <c r="E19" s="130">
        <f>IF(SER_hh_fec!E19=0,0,11630*1000*SER_hh_fec!E19/SER_hh_num!E19)</f>
        <v>37924.815750564223</v>
      </c>
      <c r="F19" s="130">
        <f>IF(SER_hh_fec!F19=0,0,11630*1000*SER_hh_fec!F19/SER_hh_num!F19)</f>
        <v>38435.719572583228</v>
      </c>
      <c r="G19" s="130">
        <f>IF(SER_hh_fec!G19=0,0,11630*1000*SER_hh_fec!G19/SER_hh_num!G19)</f>
        <v>40618.189983000084</v>
      </c>
      <c r="H19" s="130">
        <f>IF(SER_hh_fec!H19=0,0,11630*1000*SER_hh_fec!H19/SER_hh_num!H19)</f>
        <v>39924.514397594408</v>
      </c>
      <c r="I19" s="130">
        <f>IF(SER_hh_fec!I19=0,0,11630*1000*SER_hh_fec!I19/SER_hh_num!I19)</f>
        <v>39048.967239178375</v>
      </c>
      <c r="J19" s="130">
        <f>IF(SER_hh_fec!J19=0,0,11630*1000*SER_hh_fec!J19/SER_hh_num!J19)</f>
        <v>39292.661773738349</v>
      </c>
      <c r="K19" s="130">
        <f>IF(SER_hh_fec!K19=0,0,11630*1000*SER_hh_fec!K19/SER_hh_num!K19)</f>
        <v>39960.628750842523</v>
      </c>
      <c r="L19" s="130">
        <f>IF(SER_hh_fec!L19=0,0,11630*1000*SER_hh_fec!L19/SER_hh_num!L19)</f>
        <v>41956.723488630123</v>
      </c>
      <c r="M19" s="130">
        <f>IF(SER_hh_fec!M19=0,0,11630*1000*SER_hh_fec!M19/SER_hh_num!M19)</f>
        <v>43072.185773389458</v>
      </c>
      <c r="N19" s="130">
        <f>IF(SER_hh_fec!N19=0,0,11630*1000*SER_hh_fec!N19/SER_hh_num!N19)</f>
        <v>42646.86287024826</v>
      </c>
      <c r="O19" s="130">
        <f>IF(SER_hh_fec!O19=0,0,11630*1000*SER_hh_fec!O19/SER_hh_num!O19)</f>
        <v>42832.776015652387</v>
      </c>
      <c r="P19" s="130">
        <f>IF(SER_hh_fec!P19=0,0,11630*1000*SER_hh_fec!P19/SER_hh_num!P19)</f>
        <v>43697.315882208859</v>
      </c>
      <c r="Q19" s="130">
        <f>IF(SER_hh_fec!Q19=0,0,11630*1000*SER_hh_fec!Q19/SER_hh_num!Q19)</f>
        <v>43784.477053126669</v>
      </c>
      <c r="R19" s="130">
        <f>IF(SER_hh_fec!R19=0,0,11630*1000*SER_hh_fec!R19/SER_hh_num!R19)</f>
        <v>43256.833712781845</v>
      </c>
      <c r="S19" s="130">
        <f>IF(SER_hh_fec!S19=0,0,11630*1000*SER_hh_fec!S19/SER_hh_num!S19)</f>
        <v>42475.442602336705</v>
      </c>
      <c r="T19" s="130">
        <f>IF(SER_hh_fec!T19=0,0,11630*1000*SER_hh_fec!T19/SER_hh_num!T19)</f>
        <v>41526.98342341189</v>
      </c>
      <c r="U19" s="130">
        <f>IF(SER_hh_fec!U19=0,0,11630*1000*SER_hh_fec!U19/SER_hh_num!U19)</f>
        <v>39917.426128805047</v>
      </c>
      <c r="V19" s="130">
        <f>IF(SER_hh_fec!V19=0,0,11630*1000*SER_hh_fec!V19/SER_hh_num!V19)</f>
        <v>34679.999016891787</v>
      </c>
      <c r="W19" s="130">
        <f>IF(SER_hh_fec!W19=0,0,11630*1000*SER_hh_fec!W19/SER_hh_num!W19)</f>
        <v>34338.304236426302</v>
      </c>
      <c r="X19" s="130">
        <f>IF(SER_hh_fec!X19=0,0,11630*1000*SER_hh_fec!X19/SER_hh_num!X19)</f>
        <v>35460.919175943098</v>
      </c>
      <c r="Y19" s="130">
        <f>IF(SER_hh_fec!Y19=0,0,11630*1000*SER_hh_fec!Y19/SER_hh_num!Y19)</f>
        <v>34953.522427894044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0</v>
      </c>
      <c r="C20" s="132">
        <f>IF(SER_hh_fec!C20=0,0,11630*1000*SER_hh_fec!C20/SER_hh_num!C20)</f>
        <v>0</v>
      </c>
      <c r="D20" s="132">
        <f>IF(SER_hh_fec!D20=0,0,11630*1000*SER_hh_fec!D20/SER_hh_num!D20)</f>
        <v>0</v>
      </c>
      <c r="E20" s="132">
        <f>IF(SER_hh_fec!E20=0,0,11630*1000*SER_hh_fec!E20/SER_hh_num!E20)</f>
        <v>0</v>
      </c>
      <c r="F20" s="132">
        <f>IF(SER_hh_fec!F20=0,0,11630*1000*SER_hh_fec!F20/SER_hh_num!F20)</f>
        <v>0</v>
      </c>
      <c r="G20" s="132">
        <f>IF(SER_hh_fec!G20=0,0,11630*1000*SER_hh_fec!G20/SER_hh_num!G20)</f>
        <v>0</v>
      </c>
      <c r="H20" s="132">
        <f>IF(SER_hh_fec!H20=0,0,11630*1000*SER_hh_fec!H20/SER_hh_num!H20)</f>
        <v>0</v>
      </c>
      <c r="I20" s="132">
        <f>IF(SER_hh_fec!I20=0,0,11630*1000*SER_hh_fec!I20/SER_hh_num!I20)</f>
        <v>0</v>
      </c>
      <c r="J20" s="132">
        <f>IF(SER_hh_fec!J20=0,0,11630*1000*SER_hh_fec!J20/SER_hh_num!J20)</f>
        <v>0</v>
      </c>
      <c r="K20" s="132">
        <f>IF(SER_hh_fec!K20=0,0,11630*1000*SER_hh_fec!K20/SER_hh_num!K20)</f>
        <v>0</v>
      </c>
      <c r="L20" s="132">
        <f>IF(SER_hh_fec!L20=0,0,11630*1000*SER_hh_fec!L20/SER_hh_num!L20)</f>
        <v>0</v>
      </c>
      <c r="M20" s="132">
        <f>IF(SER_hh_fec!M20=0,0,11630*1000*SER_hh_fec!M20/SER_hh_num!M20)</f>
        <v>0</v>
      </c>
      <c r="N20" s="132">
        <f>IF(SER_hh_fec!N20=0,0,11630*1000*SER_hh_fec!N20/SER_hh_num!N20)</f>
        <v>0</v>
      </c>
      <c r="O20" s="132">
        <f>IF(SER_hh_fec!O20=0,0,11630*1000*SER_hh_fec!O20/SER_hh_num!O20)</f>
        <v>0</v>
      </c>
      <c r="P20" s="132">
        <f>IF(SER_hh_fec!P20=0,0,11630*1000*SER_hh_fec!P20/SER_hh_num!P20)</f>
        <v>0</v>
      </c>
      <c r="Q20" s="132">
        <f>IF(SER_hh_fec!Q20=0,0,11630*1000*SER_hh_fec!Q20/SER_hh_num!Q20)</f>
        <v>0</v>
      </c>
      <c r="R20" s="132">
        <f>IF(SER_hh_fec!R20=0,0,11630*1000*SER_hh_fec!R20/SER_hh_num!R20)</f>
        <v>0</v>
      </c>
      <c r="S20" s="132">
        <f>IF(SER_hh_fec!S20=0,0,11630*1000*SER_hh_fec!S20/SER_hh_num!S20)</f>
        <v>0</v>
      </c>
      <c r="T20" s="132">
        <f>IF(SER_hh_fec!T20=0,0,11630*1000*SER_hh_fec!T20/SER_hh_num!T20)</f>
        <v>0</v>
      </c>
      <c r="U20" s="132">
        <f>IF(SER_hh_fec!U20=0,0,11630*1000*SER_hh_fec!U20/SER_hh_num!U20)</f>
        <v>0</v>
      </c>
      <c r="V20" s="132">
        <f>IF(SER_hh_fec!V20=0,0,11630*1000*SER_hh_fec!V20/SER_hh_num!V20)</f>
        <v>0</v>
      </c>
      <c r="W20" s="132">
        <f>IF(SER_hh_fec!W20=0,0,11630*1000*SER_hh_fec!W20/SER_hh_num!W20)</f>
        <v>0</v>
      </c>
      <c r="X20" s="132">
        <f>IF(SER_hh_fec!X20=0,0,11630*1000*SER_hh_fec!X20/SER_hh_num!X20)</f>
        <v>0</v>
      </c>
      <c r="Y20" s="132">
        <f>IF(SER_hh_fec!Y20=0,0,11630*1000*SER_hh_fec!Y20/SER_hh_num!Y20)</f>
        <v>0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40356.423864617311</v>
      </c>
      <c r="C21" s="132">
        <f>IF(SER_hh_fec!C21=0,0,11630*1000*SER_hh_fec!C21/SER_hh_num!C21)</f>
        <v>43686.639143133536</v>
      </c>
      <c r="D21" s="132">
        <f>IF(SER_hh_fec!D21=0,0,11630*1000*SER_hh_fec!D21/SER_hh_num!D21)</f>
        <v>44910.557519002163</v>
      </c>
      <c r="E21" s="132">
        <f>IF(SER_hh_fec!E21=0,0,11630*1000*SER_hh_fec!E21/SER_hh_num!E21)</f>
        <v>43574.899129179612</v>
      </c>
      <c r="F21" s="132">
        <f>IF(SER_hh_fec!F21=0,0,11630*1000*SER_hh_fec!F21/SER_hh_num!F21)</f>
        <v>44379.912434942882</v>
      </c>
      <c r="G21" s="132">
        <f>IF(SER_hh_fec!G21=0,0,11630*1000*SER_hh_fec!G21/SER_hh_num!G21)</f>
        <v>46670.852508567434</v>
      </c>
      <c r="H21" s="132">
        <f>IF(SER_hh_fec!H21=0,0,11630*1000*SER_hh_fec!H21/SER_hh_num!H21)</f>
        <v>45545.931757317136</v>
      </c>
      <c r="I21" s="132">
        <f>IF(SER_hh_fec!I21=0,0,11630*1000*SER_hh_fec!I21/SER_hh_num!I21)</f>
        <v>48290.732191641022</v>
      </c>
      <c r="J21" s="132">
        <f>IF(SER_hh_fec!J21=0,0,11630*1000*SER_hh_fec!J21/SER_hh_num!J21)</f>
        <v>47430.212090961111</v>
      </c>
      <c r="K21" s="132">
        <f>IF(SER_hh_fec!K21=0,0,11630*1000*SER_hh_fec!K21/SER_hh_num!K21)</f>
        <v>47418.830153643328</v>
      </c>
      <c r="L21" s="132">
        <f>IF(SER_hh_fec!L21=0,0,11630*1000*SER_hh_fec!L21/SER_hh_num!L21)</f>
        <v>48669.574728671469</v>
      </c>
      <c r="M21" s="132">
        <f>IF(SER_hh_fec!M21=0,0,11630*1000*SER_hh_fec!M21/SER_hh_num!M21)</f>
        <v>48528.745315251064</v>
      </c>
      <c r="N21" s="132">
        <f>IF(SER_hh_fec!N21=0,0,11630*1000*SER_hh_fec!N21/SER_hh_num!N21)</f>
        <v>50861.69768128539</v>
      </c>
      <c r="O21" s="132">
        <f>IF(SER_hh_fec!O21=0,0,11630*1000*SER_hh_fec!O21/SER_hh_num!O21)</f>
        <v>50368.364439768106</v>
      </c>
      <c r="P21" s="132">
        <f>IF(SER_hh_fec!P21=0,0,11630*1000*SER_hh_fec!P21/SER_hh_num!P21)</f>
        <v>49008.552653162878</v>
      </c>
      <c r="Q21" s="132">
        <f>IF(SER_hh_fec!Q21=0,0,11630*1000*SER_hh_fec!Q21/SER_hh_num!Q21)</f>
        <v>46677.636859403858</v>
      </c>
      <c r="R21" s="132">
        <f>IF(SER_hh_fec!R21=0,0,11630*1000*SER_hh_fec!R21/SER_hh_num!R21)</f>
        <v>49539.959809550397</v>
      </c>
      <c r="S21" s="132">
        <f>IF(SER_hh_fec!S21=0,0,11630*1000*SER_hh_fec!S21/SER_hh_num!S21)</f>
        <v>48985.225515348931</v>
      </c>
      <c r="T21" s="132">
        <f>IF(SER_hh_fec!T21=0,0,11630*1000*SER_hh_fec!T21/SER_hh_num!T21)</f>
        <v>47578.039808926369</v>
      </c>
      <c r="U21" s="132">
        <f>IF(SER_hh_fec!U21=0,0,11630*1000*SER_hh_fec!U21/SER_hh_num!U21)</f>
        <v>49617.877768458289</v>
      </c>
      <c r="V21" s="132">
        <f>IF(SER_hh_fec!V21=0,0,11630*1000*SER_hh_fec!V21/SER_hh_num!V21)</f>
        <v>26784.659614396689</v>
      </c>
      <c r="W21" s="132">
        <f>IF(SER_hh_fec!W21=0,0,11630*1000*SER_hh_fec!W21/SER_hh_num!W21)</f>
        <v>33295.770037364142</v>
      </c>
      <c r="X21" s="132">
        <f>IF(SER_hh_fec!X21=0,0,11630*1000*SER_hh_fec!X21/SER_hh_num!X21)</f>
        <v>40056.508388137947</v>
      </c>
      <c r="Y21" s="132">
        <f>IF(SER_hh_fec!Y21=0,0,11630*1000*SER_hh_fec!Y21/SER_hh_num!Y21)</f>
        <v>40260.165257021697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42452.312653483037</v>
      </c>
      <c r="C22" s="132">
        <f>IF(SER_hh_fec!C22=0,0,11630*1000*SER_hh_fec!C22/SER_hh_num!C22)</f>
        <v>46261.593904198868</v>
      </c>
      <c r="D22" s="132">
        <f>IF(SER_hh_fec!D22=0,0,11630*1000*SER_hh_fec!D22/SER_hh_num!D22)</f>
        <v>47718.364592029335</v>
      </c>
      <c r="E22" s="132">
        <f>IF(SER_hh_fec!E22=0,0,11630*1000*SER_hh_fec!E22/SER_hh_num!E22)</f>
        <v>47619.03789378683</v>
      </c>
      <c r="F22" s="132">
        <f>IF(SER_hh_fec!F22=0,0,11630*1000*SER_hh_fec!F22/SER_hh_num!F22)</f>
        <v>48343.300049034842</v>
      </c>
      <c r="G22" s="132">
        <f>IF(SER_hh_fec!G22=0,0,11630*1000*SER_hh_fec!G22/SER_hh_num!G22)</f>
        <v>50468.721678503964</v>
      </c>
      <c r="H22" s="132">
        <f>IF(SER_hh_fec!H22=0,0,11630*1000*SER_hh_fec!H22/SER_hh_num!H22)</f>
        <v>50105.988312353657</v>
      </c>
      <c r="I22" s="132">
        <f>IF(SER_hh_fec!I22=0,0,11630*1000*SER_hh_fec!I22/SER_hh_num!I22)</f>
        <v>49858.325181029992</v>
      </c>
      <c r="J22" s="132">
        <f>IF(SER_hh_fec!J22=0,0,11630*1000*SER_hh_fec!J22/SER_hh_num!J22)</f>
        <v>50079.028402376469</v>
      </c>
      <c r="K22" s="132">
        <f>IF(SER_hh_fec!K22=0,0,11630*1000*SER_hh_fec!K22/SER_hh_num!K22)</f>
        <v>50084.948078511778</v>
      </c>
      <c r="L22" s="132">
        <f>IF(SER_hh_fec!L22=0,0,11630*1000*SER_hh_fec!L22/SER_hh_num!L22)</f>
        <v>51529.207765438608</v>
      </c>
      <c r="M22" s="132">
        <f>IF(SER_hh_fec!M22=0,0,11630*1000*SER_hh_fec!M22/SER_hh_num!M22)</f>
        <v>52615.555394433984</v>
      </c>
      <c r="N22" s="132">
        <f>IF(SER_hh_fec!N22=0,0,11630*1000*SER_hh_fec!N22/SER_hh_num!N22)</f>
        <v>52254.038412482616</v>
      </c>
      <c r="O22" s="132">
        <f>IF(SER_hh_fec!O22=0,0,11630*1000*SER_hh_fec!O22/SER_hh_num!O22)</f>
        <v>52663.092184933281</v>
      </c>
      <c r="P22" s="132">
        <f>IF(SER_hh_fec!P22=0,0,11630*1000*SER_hh_fec!P22/SER_hh_num!P22)</f>
        <v>53392.663836308129</v>
      </c>
      <c r="Q22" s="132">
        <f>IF(SER_hh_fec!Q22=0,0,11630*1000*SER_hh_fec!Q22/SER_hh_num!Q22)</f>
        <v>53436.150657683625</v>
      </c>
      <c r="R22" s="132">
        <f>IF(SER_hh_fec!R22=0,0,11630*1000*SER_hh_fec!R22/SER_hh_num!R22)</f>
        <v>53535.435898912612</v>
      </c>
      <c r="S22" s="132">
        <f>IF(SER_hh_fec!S22=0,0,11630*1000*SER_hh_fec!S22/SER_hh_num!S22)</f>
        <v>53725.118134500837</v>
      </c>
      <c r="T22" s="132">
        <f>IF(SER_hh_fec!T22=0,0,11630*1000*SER_hh_fec!T22/SER_hh_num!T22)</f>
        <v>51371.367736865206</v>
      </c>
      <c r="U22" s="132">
        <f>IF(SER_hh_fec!U22=0,0,11630*1000*SER_hh_fec!U22/SER_hh_num!U22)</f>
        <v>52436.706189614066</v>
      </c>
      <c r="V22" s="132">
        <f>IF(SER_hh_fec!V22=0,0,11630*1000*SER_hh_fec!V22/SER_hh_num!V22)</f>
        <v>39921.79104238013</v>
      </c>
      <c r="W22" s="132">
        <f>IF(SER_hh_fec!W22=0,0,11630*1000*SER_hh_fec!W22/SER_hh_num!W22)</f>
        <v>37139.969407217257</v>
      </c>
      <c r="X22" s="132">
        <f>IF(SER_hh_fec!X22=0,0,11630*1000*SER_hh_fec!X22/SER_hh_num!X22)</f>
        <v>53545.951960045015</v>
      </c>
      <c r="Y22" s="132">
        <f>IF(SER_hh_fec!Y22=0,0,11630*1000*SER_hh_fec!Y22/SER_hh_num!Y22)</f>
        <v>39402.333954502057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38505.746303843625</v>
      </c>
      <c r="C23" s="132">
        <f>IF(SER_hh_fec!C23=0,0,11630*1000*SER_hh_fec!C23/SER_hh_num!C23)</f>
        <v>44867.285096495529</v>
      </c>
      <c r="D23" s="132">
        <f>IF(SER_hh_fec!D23=0,0,11630*1000*SER_hh_fec!D23/SER_hh_num!D23)</f>
        <v>44540.413193192391</v>
      </c>
      <c r="E23" s="132">
        <f>IF(SER_hh_fec!E23=0,0,11630*1000*SER_hh_fec!E23/SER_hh_num!E23)</f>
        <v>43234.654830599313</v>
      </c>
      <c r="F23" s="132">
        <f>IF(SER_hh_fec!F23=0,0,11630*1000*SER_hh_fec!F23/SER_hh_num!F23)</f>
        <v>37180.426969711654</v>
      </c>
      <c r="G23" s="132">
        <f>IF(SER_hh_fec!G23=0,0,11630*1000*SER_hh_fec!G23/SER_hh_num!G23)</f>
        <v>47396.232056211935</v>
      </c>
      <c r="H23" s="132">
        <f>IF(SER_hh_fec!H23=0,0,11630*1000*SER_hh_fec!H23/SER_hh_num!H23)</f>
        <v>44950.124911798324</v>
      </c>
      <c r="I23" s="132">
        <f>IF(SER_hh_fec!I23=0,0,11630*1000*SER_hh_fec!I23/SER_hh_num!I23)</f>
        <v>45104.09789864919</v>
      </c>
      <c r="J23" s="132">
        <f>IF(SER_hh_fec!J23=0,0,11630*1000*SER_hh_fec!J23/SER_hh_num!J23)</f>
        <v>43507.68422281227</v>
      </c>
      <c r="K23" s="132">
        <f>IF(SER_hh_fec!K23=0,0,11630*1000*SER_hh_fec!K23/SER_hh_num!K23)</f>
        <v>43585.771161130317</v>
      </c>
      <c r="L23" s="132">
        <f>IF(SER_hh_fec!L23=0,0,11630*1000*SER_hh_fec!L23/SER_hh_num!L23)</f>
        <v>47361.650418016587</v>
      </c>
      <c r="M23" s="132">
        <f>IF(SER_hh_fec!M23=0,0,11630*1000*SER_hh_fec!M23/SER_hh_num!M23)</f>
        <v>46727.447925921515</v>
      </c>
      <c r="N23" s="132">
        <f>IF(SER_hh_fec!N23=0,0,11630*1000*SER_hh_fec!N23/SER_hh_num!N23)</f>
        <v>47728.287986079704</v>
      </c>
      <c r="O23" s="132">
        <f>IF(SER_hh_fec!O23=0,0,11630*1000*SER_hh_fec!O23/SER_hh_num!O23)</f>
        <v>48618.572789332829</v>
      </c>
      <c r="P23" s="132">
        <f>IF(SER_hh_fec!P23=0,0,11630*1000*SER_hh_fec!P23/SER_hh_num!P23)</f>
        <v>46350.948959191162</v>
      </c>
      <c r="Q23" s="132">
        <f>IF(SER_hh_fec!Q23=0,0,11630*1000*SER_hh_fec!Q23/SER_hh_num!Q23)</f>
        <v>49035.022667303441</v>
      </c>
      <c r="R23" s="132">
        <f>IF(SER_hh_fec!R23=0,0,11630*1000*SER_hh_fec!R23/SER_hh_num!R23)</f>
        <v>46105.205594586208</v>
      </c>
      <c r="S23" s="132">
        <f>IF(SER_hh_fec!S23=0,0,11630*1000*SER_hh_fec!S23/SER_hh_num!S23)</f>
        <v>46298.385196845964</v>
      </c>
      <c r="T23" s="132">
        <f>IF(SER_hh_fec!T23=0,0,11630*1000*SER_hh_fec!T23/SER_hh_num!T23)</f>
        <v>45437.546812862151</v>
      </c>
      <c r="U23" s="132">
        <f>IF(SER_hh_fec!U23=0,0,11630*1000*SER_hh_fec!U23/SER_hh_num!U23)</f>
        <v>42864.969409028592</v>
      </c>
      <c r="V23" s="132">
        <f>IF(SER_hh_fec!V23=0,0,11630*1000*SER_hh_fec!V23/SER_hh_num!V23)</f>
        <v>40395.149627610022</v>
      </c>
      <c r="W23" s="132">
        <f>IF(SER_hh_fec!W23=0,0,11630*1000*SER_hh_fec!W23/SER_hh_num!W23)</f>
        <v>46046.676409673186</v>
      </c>
      <c r="X23" s="132">
        <f>IF(SER_hh_fec!X23=0,0,11630*1000*SER_hh_fec!X23/SER_hh_num!X23)</f>
        <v>29828.170752330014</v>
      </c>
      <c r="Y23" s="132">
        <f>IF(SER_hh_fec!Y23=0,0,11630*1000*SER_hh_fec!Y23/SER_hh_num!Y23)</f>
        <v>37757.032245821727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0</v>
      </c>
      <c r="C24" s="132">
        <f>IF(SER_hh_fec!C24=0,0,11630*1000*SER_hh_fec!C24/SER_hh_num!C24)</f>
        <v>0</v>
      </c>
      <c r="D24" s="132">
        <f>IF(SER_hh_fec!D24=0,0,11630*1000*SER_hh_fec!D24/SER_hh_num!D24)</f>
        <v>0</v>
      </c>
      <c r="E24" s="132">
        <f>IF(SER_hh_fec!E24=0,0,11630*1000*SER_hh_fec!E24/SER_hh_num!E24)</f>
        <v>0</v>
      </c>
      <c r="F24" s="132">
        <f>IF(SER_hh_fec!F24=0,0,11630*1000*SER_hh_fec!F24/SER_hh_num!F24)</f>
        <v>0</v>
      </c>
      <c r="G24" s="132">
        <f>IF(SER_hh_fec!G24=0,0,11630*1000*SER_hh_fec!G24/SER_hh_num!G24)</f>
        <v>0</v>
      </c>
      <c r="H24" s="132">
        <f>IF(SER_hh_fec!H24=0,0,11630*1000*SER_hh_fec!H24/SER_hh_num!H24)</f>
        <v>0</v>
      </c>
      <c r="I24" s="132">
        <f>IF(SER_hh_fec!I24=0,0,11630*1000*SER_hh_fec!I24/SER_hh_num!I24)</f>
        <v>0</v>
      </c>
      <c r="J24" s="132">
        <f>IF(SER_hh_fec!J24=0,0,11630*1000*SER_hh_fec!J24/SER_hh_num!J24)</f>
        <v>0</v>
      </c>
      <c r="K24" s="132">
        <f>IF(SER_hh_fec!K24=0,0,11630*1000*SER_hh_fec!K24/SER_hh_num!K24)</f>
        <v>0</v>
      </c>
      <c r="L24" s="132">
        <f>IF(SER_hh_fec!L24=0,0,11630*1000*SER_hh_fec!L24/SER_hh_num!L24)</f>
        <v>0</v>
      </c>
      <c r="M24" s="132">
        <f>IF(SER_hh_fec!M24=0,0,11630*1000*SER_hh_fec!M24/SER_hh_num!M24)</f>
        <v>0</v>
      </c>
      <c r="N24" s="132">
        <f>IF(SER_hh_fec!N24=0,0,11630*1000*SER_hh_fec!N24/SER_hh_num!N24)</f>
        <v>0</v>
      </c>
      <c r="O24" s="132">
        <f>IF(SER_hh_fec!O24=0,0,11630*1000*SER_hh_fec!O24/SER_hh_num!O24)</f>
        <v>0</v>
      </c>
      <c r="P24" s="132">
        <f>IF(SER_hh_fec!P24=0,0,11630*1000*SER_hh_fec!P24/SER_hh_num!P24)</f>
        <v>0</v>
      </c>
      <c r="Q24" s="132">
        <f>IF(SER_hh_fec!Q24=0,0,11630*1000*SER_hh_fec!Q24/SER_hh_num!Q24)</f>
        <v>0</v>
      </c>
      <c r="R24" s="132">
        <f>IF(SER_hh_fec!R24=0,0,11630*1000*SER_hh_fec!R24/SER_hh_num!R24)</f>
        <v>0</v>
      </c>
      <c r="S24" s="132">
        <f>IF(SER_hh_fec!S24=0,0,11630*1000*SER_hh_fec!S24/SER_hh_num!S24)</f>
        <v>0</v>
      </c>
      <c r="T24" s="132">
        <f>IF(SER_hh_fec!T24=0,0,11630*1000*SER_hh_fec!T24/SER_hh_num!T24)</f>
        <v>0</v>
      </c>
      <c r="U24" s="132">
        <f>IF(SER_hh_fec!U24=0,0,11630*1000*SER_hh_fec!U24/SER_hh_num!U24)</f>
        <v>0</v>
      </c>
      <c r="V24" s="132">
        <f>IF(SER_hh_fec!V24=0,0,11630*1000*SER_hh_fec!V24/SER_hh_num!V24)</f>
        <v>0</v>
      </c>
      <c r="W24" s="132">
        <f>IF(SER_hh_fec!W24=0,0,11630*1000*SER_hh_fec!W24/SER_hh_num!W24)</f>
        <v>0</v>
      </c>
      <c r="X24" s="132">
        <f>IF(SER_hh_fec!X24=0,0,11630*1000*SER_hh_fec!X24/SER_hh_num!X24)</f>
        <v>0</v>
      </c>
      <c r="Y24" s="132">
        <f>IF(SER_hh_fec!Y24=0,0,11630*1000*SER_hh_fec!Y24/SER_hh_num!Y24)</f>
        <v>0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0</v>
      </c>
      <c r="C25" s="132">
        <f>IF(SER_hh_fec!C25=0,0,11630*1000*SER_hh_fec!C25/SER_hh_num!C25)</f>
        <v>0</v>
      </c>
      <c r="D25" s="132">
        <f>IF(SER_hh_fec!D25=0,0,11630*1000*SER_hh_fec!D25/SER_hh_num!D25)</f>
        <v>0</v>
      </c>
      <c r="E25" s="132">
        <f>IF(SER_hh_fec!E25=0,0,11630*1000*SER_hh_fec!E25/SER_hh_num!E25)</f>
        <v>0</v>
      </c>
      <c r="F25" s="132">
        <f>IF(SER_hh_fec!F25=0,0,11630*1000*SER_hh_fec!F25/SER_hh_num!F25)</f>
        <v>0</v>
      </c>
      <c r="G25" s="132">
        <f>IF(SER_hh_fec!G25=0,0,11630*1000*SER_hh_fec!G25/SER_hh_num!G25)</f>
        <v>0</v>
      </c>
      <c r="H25" s="132">
        <f>IF(SER_hh_fec!H25=0,0,11630*1000*SER_hh_fec!H25/SER_hh_num!H25)</f>
        <v>0</v>
      </c>
      <c r="I25" s="132">
        <f>IF(SER_hh_fec!I25=0,0,11630*1000*SER_hh_fec!I25/SER_hh_num!I25)</f>
        <v>0</v>
      </c>
      <c r="J25" s="132">
        <f>IF(SER_hh_fec!J25=0,0,11630*1000*SER_hh_fec!J25/SER_hh_num!J25)</f>
        <v>0</v>
      </c>
      <c r="K25" s="132">
        <f>IF(SER_hh_fec!K25=0,0,11630*1000*SER_hh_fec!K25/SER_hh_num!K25)</f>
        <v>0</v>
      </c>
      <c r="L25" s="132">
        <f>IF(SER_hh_fec!L25=0,0,11630*1000*SER_hh_fec!L25/SER_hh_num!L25)</f>
        <v>0</v>
      </c>
      <c r="M25" s="132">
        <f>IF(SER_hh_fec!M25=0,0,11630*1000*SER_hh_fec!M25/SER_hh_num!M25)</f>
        <v>0</v>
      </c>
      <c r="N25" s="132">
        <f>IF(SER_hh_fec!N25=0,0,11630*1000*SER_hh_fec!N25/SER_hh_num!N25)</f>
        <v>0</v>
      </c>
      <c r="O25" s="132">
        <f>IF(SER_hh_fec!O25=0,0,11630*1000*SER_hh_fec!O25/SER_hh_num!O25)</f>
        <v>0</v>
      </c>
      <c r="P25" s="132">
        <f>IF(SER_hh_fec!P25=0,0,11630*1000*SER_hh_fec!P25/SER_hh_num!P25)</f>
        <v>0</v>
      </c>
      <c r="Q25" s="132">
        <f>IF(SER_hh_fec!Q25=0,0,11630*1000*SER_hh_fec!Q25/SER_hh_num!Q25)</f>
        <v>0</v>
      </c>
      <c r="R25" s="132">
        <f>IF(SER_hh_fec!R25=0,0,11630*1000*SER_hh_fec!R25/SER_hh_num!R25)</f>
        <v>0</v>
      </c>
      <c r="S25" s="132">
        <f>IF(SER_hh_fec!S25=0,0,11630*1000*SER_hh_fec!S25/SER_hh_num!S25)</f>
        <v>0</v>
      </c>
      <c r="T25" s="132">
        <f>IF(SER_hh_fec!T25=0,0,11630*1000*SER_hh_fec!T25/SER_hh_num!T25)</f>
        <v>0</v>
      </c>
      <c r="U25" s="132">
        <f>IF(SER_hh_fec!U25=0,0,11630*1000*SER_hh_fec!U25/SER_hh_num!U25)</f>
        <v>0</v>
      </c>
      <c r="V25" s="132">
        <f>IF(SER_hh_fec!V25=0,0,11630*1000*SER_hh_fec!V25/SER_hh_num!V25)</f>
        <v>0</v>
      </c>
      <c r="W25" s="132">
        <f>IF(SER_hh_fec!W25=0,0,11630*1000*SER_hh_fec!W25/SER_hh_num!W25)</f>
        <v>0</v>
      </c>
      <c r="X25" s="132">
        <f>IF(SER_hh_fec!X25=0,0,11630*1000*SER_hh_fec!X25/SER_hh_num!X25)</f>
        <v>0</v>
      </c>
      <c r="Y25" s="132">
        <f>IF(SER_hh_fec!Y25=0,0,11630*1000*SER_hh_fec!Y25/SER_hh_num!Y25)</f>
        <v>0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33265.299514948005</v>
      </c>
      <c r="C26" s="65">
        <f>IF(SER_hh_fec!C26=0,0,11630*1000*SER_hh_fec!C26/SER_hh_num!C26)</f>
        <v>34501.538753017958</v>
      </c>
      <c r="D26" s="65">
        <f>IF(SER_hh_fec!D26=0,0,11630*1000*SER_hh_fec!D26/SER_hh_num!D26)</f>
        <v>36179.4751141702</v>
      </c>
      <c r="E26" s="65">
        <f>IF(SER_hh_fec!E26=0,0,11630*1000*SER_hh_fec!E26/SER_hh_num!E26)</f>
        <v>36467.661069538146</v>
      </c>
      <c r="F26" s="65">
        <f>IF(SER_hh_fec!F26=0,0,11630*1000*SER_hh_fec!F26/SER_hh_num!F26)</f>
        <v>37138.75302503907</v>
      </c>
      <c r="G26" s="65">
        <f>IF(SER_hh_fec!G26=0,0,11630*1000*SER_hh_fec!G26/SER_hh_num!G26)</f>
        <v>39036.039825900974</v>
      </c>
      <c r="H26" s="65">
        <f>IF(SER_hh_fec!H26=0,0,11630*1000*SER_hh_fec!H26/SER_hh_num!H26)</f>
        <v>38313.964650798647</v>
      </c>
      <c r="I26" s="65">
        <f>IF(SER_hh_fec!I26=0,0,11630*1000*SER_hh_fec!I26/SER_hh_num!I26)</f>
        <v>37155.378493228134</v>
      </c>
      <c r="J26" s="65">
        <f>IF(SER_hh_fec!J26=0,0,11630*1000*SER_hh_fec!J26/SER_hh_num!J26)</f>
        <v>37378.420710588231</v>
      </c>
      <c r="K26" s="65">
        <f>IF(SER_hh_fec!K26=0,0,11630*1000*SER_hh_fec!K26/SER_hh_num!K26)</f>
        <v>38001.910781601095</v>
      </c>
      <c r="L26" s="65">
        <f>IF(SER_hh_fec!L26=0,0,11630*1000*SER_hh_fec!L26/SER_hh_num!L26)</f>
        <v>39787.446752189979</v>
      </c>
      <c r="M26" s="65">
        <f>IF(SER_hh_fec!M26=0,0,11630*1000*SER_hh_fec!M26/SER_hh_num!M26)</f>
        <v>41007.472609425298</v>
      </c>
      <c r="N26" s="65">
        <f>IF(SER_hh_fec!N26=0,0,11630*1000*SER_hh_fec!N26/SER_hh_num!N26)</f>
        <v>40338.410581835451</v>
      </c>
      <c r="O26" s="65">
        <f>IF(SER_hh_fec!O26=0,0,11630*1000*SER_hh_fec!O26/SER_hh_num!O26)</f>
        <v>40426.095102565152</v>
      </c>
      <c r="P26" s="65">
        <f>IF(SER_hh_fec!P26=0,0,11630*1000*SER_hh_fec!P26/SER_hh_num!P26)</f>
        <v>41624.965297333889</v>
      </c>
      <c r="Q26" s="65">
        <f>IF(SER_hh_fec!Q26=0,0,11630*1000*SER_hh_fec!Q26/SER_hh_num!Q26)</f>
        <v>41510.199645642235</v>
      </c>
      <c r="R26" s="65">
        <f>IF(SER_hh_fec!R26=0,0,11630*1000*SER_hh_fec!R26/SER_hh_num!R26)</f>
        <v>41029.573010095504</v>
      </c>
      <c r="S26" s="65">
        <f>IF(SER_hh_fec!S26=0,0,11630*1000*SER_hh_fec!S26/SER_hh_num!S26)</f>
        <v>40074.71617905952</v>
      </c>
      <c r="T26" s="65">
        <f>IF(SER_hh_fec!T26=0,0,11630*1000*SER_hh_fec!T26/SER_hh_num!T26)</f>
        <v>39216.841166321632</v>
      </c>
      <c r="U26" s="65">
        <f>IF(SER_hh_fec!U26=0,0,11630*1000*SER_hh_fec!U26/SER_hh_num!U26)</f>
        <v>37512.210711220403</v>
      </c>
      <c r="V26" s="65">
        <f>IF(SER_hh_fec!V26=0,0,11630*1000*SER_hh_fec!V26/SER_hh_num!V26)</f>
        <v>32987.696077078283</v>
      </c>
      <c r="W26" s="65">
        <f>IF(SER_hh_fec!W26=0,0,11630*1000*SER_hh_fec!W26/SER_hh_num!W26)</f>
        <v>32017.120322666058</v>
      </c>
      <c r="X26" s="65">
        <f>IF(SER_hh_fec!X26=0,0,11630*1000*SER_hh_fec!X26/SER_hh_num!X26)</f>
        <v>33756.338777183424</v>
      </c>
      <c r="Y26" s="65">
        <f>IF(SER_hh_fec!Y26=0,0,11630*1000*SER_hh_fec!Y26/SER_hh_num!Y26)</f>
        <v>33036.337485220785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816.58095573709443</v>
      </c>
      <c r="C27" s="145">
        <f>IF(SER_hh_fec!C27=0,0,11630*1000*SER_hh_fec!C27/SER_hh_num!C19)</f>
        <v>794.42630457811674</v>
      </c>
      <c r="D27" s="145">
        <f>IF(SER_hh_fec!D27=0,0,11630*1000*SER_hh_fec!D27/SER_hh_num!D19)</f>
        <v>783.81064760748359</v>
      </c>
      <c r="E27" s="145">
        <f>IF(SER_hh_fec!E27=0,0,11630*1000*SER_hh_fec!E27/SER_hh_num!E19)</f>
        <v>771.84532209420797</v>
      </c>
      <c r="F27" s="145">
        <f>IF(SER_hh_fec!F27=0,0,11630*1000*SER_hh_fec!F27/SER_hh_num!F19)</f>
        <v>766.80506272487912</v>
      </c>
      <c r="G27" s="145">
        <f>IF(SER_hh_fec!G27=0,0,11630*1000*SER_hh_fec!G27/SER_hh_num!G19)</f>
        <v>700.65492124441744</v>
      </c>
      <c r="H27" s="145">
        <f>IF(SER_hh_fec!H27=0,0,11630*1000*SER_hh_fec!H27/SER_hh_num!H19)</f>
        <v>725.70408974986299</v>
      </c>
      <c r="I27" s="145">
        <f>IF(SER_hh_fec!I27=0,0,11630*1000*SER_hh_fec!I27/SER_hh_num!I19)</f>
        <v>764.07899679804825</v>
      </c>
      <c r="J27" s="145">
        <f>IF(SER_hh_fec!J27=0,0,11630*1000*SER_hh_fec!J27/SER_hh_num!J19)</f>
        <v>867.54096351174849</v>
      </c>
      <c r="K27" s="145">
        <f>IF(SER_hh_fec!K27=0,0,11630*1000*SER_hh_fec!K27/SER_hh_num!K19)</f>
        <v>952.64262461849205</v>
      </c>
      <c r="L27" s="145">
        <f>IF(SER_hh_fec!L27=0,0,11630*1000*SER_hh_fec!L27/SER_hh_num!L19)</f>
        <v>988.18687289827949</v>
      </c>
      <c r="M27" s="145">
        <f>IF(SER_hh_fec!M27=0,0,11630*1000*SER_hh_fec!M27/SER_hh_num!M19)</f>
        <v>1011.8003347413717</v>
      </c>
      <c r="N27" s="145">
        <f>IF(SER_hh_fec!N27=0,0,11630*1000*SER_hh_fec!N27/SER_hh_num!N19)</f>
        <v>1018.2969207543669</v>
      </c>
      <c r="O27" s="145">
        <f>IF(SER_hh_fec!O27=0,0,11630*1000*SER_hh_fec!O27/SER_hh_num!O19)</f>
        <v>1033.5471470602213</v>
      </c>
      <c r="P27" s="145">
        <f>IF(SER_hh_fec!P27=0,0,11630*1000*SER_hh_fec!P27/SER_hh_num!P19)</f>
        <v>1059.3232230743006</v>
      </c>
      <c r="Q27" s="145">
        <f>IF(SER_hh_fec!Q27=0,0,11630*1000*SER_hh_fec!Q27/SER_hh_num!Q19)</f>
        <v>1080.2772230421508</v>
      </c>
      <c r="R27" s="145">
        <f>IF(SER_hh_fec!R27=0,0,11630*1000*SER_hh_fec!R27/SER_hh_num!R19)</f>
        <v>1101.3904996210947</v>
      </c>
      <c r="S27" s="145">
        <f>IF(SER_hh_fec!S27=0,0,11630*1000*SER_hh_fec!S27/SER_hh_num!S19)</f>
        <v>1123.5076296665434</v>
      </c>
      <c r="T27" s="145">
        <f>IF(SER_hh_fec!T27=0,0,11630*1000*SER_hh_fec!T27/SER_hh_num!T19)</f>
        <v>1139.6361783893351</v>
      </c>
      <c r="U27" s="145">
        <f>IF(SER_hh_fec!U27=0,0,11630*1000*SER_hh_fec!U27/SER_hh_num!U19)</f>
        <v>1151.6657856950719</v>
      </c>
      <c r="V27" s="145">
        <f>IF(SER_hh_fec!V27=0,0,11630*1000*SER_hh_fec!V27/SER_hh_num!V19)</f>
        <v>1171.4382495831239</v>
      </c>
      <c r="W27" s="145">
        <f>IF(SER_hh_fec!W27=0,0,11630*1000*SER_hh_fec!W27/SER_hh_num!W19)</f>
        <v>1206.0920365135196</v>
      </c>
      <c r="X27" s="145">
        <f>IF(SER_hh_fec!X27=0,0,11630*1000*SER_hh_fec!X27/SER_hh_num!X19)</f>
        <v>1260.9460322317934</v>
      </c>
      <c r="Y27" s="145">
        <f>IF(SER_hh_fec!Y27=0,0,11630*1000*SER_hh_fec!Y27/SER_hh_num!Y19)</f>
        <v>1324.2763726706221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14808.215774536884</v>
      </c>
      <c r="C28" s="146">
        <f>IF(SER_hh_fec!C27=0,0,11630*1000*SER_hh_fec!C27/SER_hh_num!C27)</f>
        <v>15482.7785789586</v>
      </c>
      <c r="D28" s="146">
        <f>IF(SER_hh_fec!D27=0,0,11630*1000*SER_hh_fec!D27/SER_hh_num!D27)</f>
        <v>16130.956019414751</v>
      </c>
      <c r="E28" s="146">
        <f>IF(SER_hh_fec!E27=0,0,11630*1000*SER_hh_fec!E27/SER_hh_num!E27)</f>
        <v>16432.085530853765</v>
      </c>
      <c r="F28" s="146">
        <f>IF(SER_hh_fec!F27=0,0,11630*1000*SER_hh_fec!F27/SER_hh_num!F27)</f>
        <v>16629.556456968709</v>
      </c>
      <c r="G28" s="146">
        <f>IF(SER_hh_fec!G27=0,0,11630*1000*SER_hh_fec!G27/SER_hh_num!G27)</f>
        <v>16989.838427008741</v>
      </c>
      <c r="H28" s="146">
        <f>IF(SER_hh_fec!H27=0,0,11630*1000*SER_hh_fec!H27/SER_hh_num!H27)</f>
        <v>17271.084403664216</v>
      </c>
      <c r="I28" s="146">
        <f>IF(SER_hh_fec!I27=0,0,11630*1000*SER_hh_fec!I27/SER_hh_num!I27)</f>
        <v>16911.686500799973</v>
      </c>
      <c r="J28" s="146">
        <f>IF(SER_hh_fec!J27=0,0,11630*1000*SER_hh_fec!J27/SER_hh_num!J27)</f>
        <v>17209.108796593788</v>
      </c>
      <c r="K28" s="146">
        <f>IF(SER_hh_fec!K27=0,0,11630*1000*SER_hh_fec!K27/SER_hh_num!K27)</f>
        <v>17567.481002233693</v>
      </c>
      <c r="L28" s="146">
        <f>IF(SER_hh_fec!L27=0,0,11630*1000*SER_hh_fec!L27/SER_hh_num!L27)</f>
        <v>18470.214059306152</v>
      </c>
      <c r="M28" s="146">
        <f>IF(SER_hh_fec!M27=0,0,11630*1000*SER_hh_fec!M27/SER_hh_num!M27)</f>
        <v>19181.90865923501</v>
      </c>
      <c r="N28" s="146">
        <f>IF(SER_hh_fec!N27=0,0,11630*1000*SER_hh_fec!N27/SER_hh_num!N27)</f>
        <v>19981.16351567263</v>
      </c>
      <c r="O28" s="146">
        <f>IF(SER_hh_fec!O27=0,0,11630*1000*SER_hh_fec!O27/SER_hh_num!O27)</f>
        <v>19927.934305309791</v>
      </c>
      <c r="P28" s="146">
        <f>IF(SER_hh_fec!P27=0,0,11630*1000*SER_hh_fec!P27/SER_hh_num!P27)</f>
        <v>20591.705311933747</v>
      </c>
      <c r="Q28" s="146">
        <f>IF(SER_hh_fec!Q27=0,0,11630*1000*SER_hh_fec!Q27/SER_hh_num!Q27)</f>
        <v>21080.663763846766</v>
      </c>
      <c r="R28" s="146">
        <f>IF(SER_hh_fec!R27=0,0,11630*1000*SER_hh_fec!R27/SER_hh_num!R27)</f>
        <v>20619.601995623947</v>
      </c>
      <c r="S28" s="146">
        <f>IF(SER_hh_fec!S27=0,0,11630*1000*SER_hh_fec!S27/SER_hh_num!S27)</f>
        <v>20686.312349711119</v>
      </c>
      <c r="T28" s="146">
        <f>IF(SER_hh_fec!T27=0,0,11630*1000*SER_hh_fec!T27/SER_hh_num!T27)</f>
        <v>21140.684845812371</v>
      </c>
      <c r="U28" s="146">
        <f>IF(SER_hh_fec!U27=0,0,11630*1000*SER_hh_fec!U27/SER_hh_num!U27)</f>
        <v>21267.438897054213</v>
      </c>
      <c r="V28" s="146">
        <f>IF(SER_hh_fec!V27=0,0,11630*1000*SER_hh_fec!V27/SER_hh_num!V27)</f>
        <v>19265.174184359574</v>
      </c>
      <c r="W28" s="146">
        <f>IF(SER_hh_fec!W27=0,0,11630*1000*SER_hh_fec!W27/SER_hh_num!W27)</f>
        <v>18756.441591296531</v>
      </c>
      <c r="X28" s="146">
        <f>IF(SER_hh_fec!X27=0,0,11630*1000*SER_hh_fec!X27/SER_hh_num!X27)</f>
        <v>19854.110821831404</v>
      </c>
      <c r="Y28" s="146">
        <f>IF(SER_hh_fec!Y27=0,0,11630*1000*SER_hh_fec!Y27/SER_hh_num!Y27)</f>
        <v>20913.542008860564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38244.946326926525</v>
      </c>
      <c r="C29" s="130">
        <f>IF(SER_hh_fec!C29=0,0,11630*1000*SER_hh_fec!C29/SER_hh_num!C29)</f>
        <v>38968.958310479131</v>
      </c>
      <c r="D29" s="130">
        <f>IF(SER_hh_fec!D29=0,0,11630*1000*SER_hh_fec!D29/SER_hh_num!D29)</f>
        <v>40040.680751820008</v>
      </c>
      <c r="E29" s="130">
        <f>IF(SER_hh_fec!E29=0,0,11630*1000*SER_hh_fec!E29/SER_hh_num!E29)</f>
        <v>39422.67469595265</v>
      </c>
      <c r="F29" s="130">
        <f>IF(SER_hh_fec!F29=0,0,11630*1000*SER_hh_fec!F29/SER_hh_num!F29)</f>
        <v>41138.501835321797</v>
      </c>
      <c r="G29" s="130">
        <f>IF(SER_hh_fec!G29=0,0,11630*1000*SER_hh_fec!G29/SER_hh_num!G29)</f>
        <v>41442.278971588785</v>
      </c>
      <c r="H29" s="130">
        <f>IF(SER_hh_fec!H29=0,0,11630*1000*SER_hh_fec!H29/SER_hh_num!H29)</f>
        <v>40361.875766339515</v>
      </c>
      <c r="I29" s="130">
        <f>IF(SER_hh_fec!I29=0,0,11630*1000*SER_hh_fec!I29/SER_hh_num!I29)</f>
        <v>39136.192245523765</v>
      </c>
      <c r="J29" s="130">
        <f>IF(SER_hh_fec!J29=0,0,11630*1000*SER_hh_fec!J29/SER_hh_num!J29)</f>
        <v>38701.610417268617</v>
      </c>
      <c r="K29" s="130">
        <f>IF(SER_hh_fec!K29=0,0,11630*1000*SER_hh_fec!K29/SER_hh_num!K29)</f>
        <v>39667.366892088306</v>
      </c>
      <c r="L29" s="130">
        <f>IF(SER_hh_fec!L29=0,0,11630*1000*SER_hh_fec!L29/SER_hh_num!L29)</f>
        <v>41538.89500498226</v>
      </c>
      <c r="M29" s="130">
        <f>IF(SER_hh_fec!M29=0,0,11630*1000*SER_hh_fec!M29/SER_hh_num!M29)</f>
        <v>42775.924673264242</v>
      </c>
      <c r="N29" s="130">
        <f>IF(SER_hh_fec!N29=0,0,11630*1000*SER_hh_fec!N29/SER_hh_num!N29)</f>
        <v>44357.251962324808</v>
      </c>
      <c r="O29" s="130">
        <f>IF(SER_hh_fec!O29=0,0,11630*1000*SER_hh_fec!O29/SER_hh_num!O29)</f>
        <v>44160.875322931577</v>
      </c>
      <c r="P29" s="130">
        <f>IF(SER_hh_fec!P29=0,0,11630*1000*SER_hh_fec!P29/SER_hh_num!P29)</f>
        <v>43373.068920489975</v>
      </c>
      <c r="Q29" s="130">
        <f>IF(SER_hh_fec!Q29=0,0,11630*1000*SER_hh_fec!Q29/SER_hh_num!Q29)</f>
        <v>42649.783815758659</v>
      </c>
      <c r="R29" s="130">
        <f>IF(SER_hh_fec!R29=0,0,11630*1000*SER_hh_fec!R29/SER_hh_num!R29)</f>
        <v>42786.513572521042</v>
      </c>
      <c r="S29" s="130">
        <f>IF(SER_hh_fec!S29=0,0,11630*1000*SER_hh_fec!S29/SER_hh_num!S29)</f>
        <v>42440.832963183624</v>
      </c>
      <c r="T29" s="130">
        <f>IF(SER_hh_fec!T29=0,0,11630*1000*SER_hh_fec!T29/SER_hh_num!T29)</f>
        <v>41923.837405648817</v>
      </c>
      <c r="U29" s="130">
        <f>IF(SER_hh_fec!U29=0,0,11630*1000*SER_hh_fec!U29/SER_hh_num!U29)</f>
        <v>40764.266889675746</v>
      </c>
      <c r="V29" s="130">
        <f>IF(SER_hh_fec!V29=0,0,11630*1000*SER_hh_fec!V29/SER_hh_num!V29)</f>
        <v>34179.880546720116</v>
      </c>
      <c r="W29" s="130">
        <f>IF(SER_hh_fec!W29=0,0,11630*1000*SER_hh_fec!W29/SER_hh_num!W29)</f>
        <v>38309.277993818439</v>
      </c>
      <c r="X29" s="130">
        <f>IF(SER_hh_fec!X29=0,0,11630*1000*SER_hh_fec!X29/SER_hh_num!X29)</f>
        <v>37975.440909012425</v>
      </c>
      <c r="Y29" s="130">
        <f>IF(SER_hh_fec!Y29=0,0,11630*1000*SER_hh_fec!Y29/SER_hh_num!Y29)</f>
        <v>38416.344063510958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49400.761170883132</v>
      </c>
      <c r="C30" s="132">
        <f>IF(SER_hh_fec!C30=0,0,11630*1000*SER_hh_fec!C30/SER_hh_num!C30)</f>
        <v>56556.790221462441</v>
      </c>
      <c r="D30" s="132">
        <f>IF(SER_hh_fec!D30=0,0,11630*1000*SER_hh_fec!D30/SER_hh_num!D30)</f>
        <v>34633.446266450301</v>
      </c>
      <c r="E30" s="132">
        <f>IF(SER_hh_fec!E30=0,0,11630*1000*SER_hh_fec!E30/SER_hh_num!E30)</f>
        <v>34806.577822024745</v>
      </c>
      <c r="F30" s="132">
        <f>IF(SER_hh_fec!F30=0,0,11630*1000*SER_hh_fec!F30/SER_hh_num!F30)</f>
        <v>69136.153159161899</v>
      </c>
      <c r="G30" s="132">
        <f>IF(SER_hh_fec!G30=0,0,11630*1000*SER_hh_fec!G30/SER_hh_num!G30)</f>
        <v>54848.81302551501</v>
      </c>
      <c r="H30" s="132">
        <f>IF(SER_hh_fec!H30=0,0,11630*1000*SER_hh_fec!H30/SER_hh_num!H30)</f>
        <v>51612.840996999854</v>
      </c>
      <c r="I30" s="132">
        <f>IF(SER_hh_fec!I30=0,0,11630*1000*SER_hh_fec!I30/SER_hh_num!I30)</f>
        <v>49998.8051886213</v>
      </c>
      <c r="J30" s="132">
        <f>IF(SER_hh_fec!J30=0,0,11630*1000*SER_hh_fec!J30/SER_hh_num!J30)</f>
        <v>47310.928512506442</v>
      </c>
      <c r="K30" s="132">
        <f>IF(SER_hh_fec!K30=0,0,11630*1000*SER_hh_fec!K30/SER_hh_num!K30)</f>
        <v>44147.115451689002</v>
      </c>
      <c r="L30" s="132">
        <f>IF(SER_hh_fec!L30=0,0,11630*1000*SER_hh_fec!L30/SER_hh_num!L30)</f>
        <v>47067.591986553904</v>
      </c>
      <c r="M30" s="132">
        <f>IF(SER_hh_fec!M30=0,0,11630*1000*SER_hh_fec!M30/SER_hh_num!M30)</f>
        <v>33791.987426157466</v>
      </c>
      <c r="N30" s="132">
        <f>IF(SER_hh_fec!N30=0,0,11630*1000*SER_hh_fec!N30/SER_hh_num!N30)</f>
        <v>92924.091253799619</v>
      </c>
      <c r="O30" s="132">
        <f>IF(SER_hh_fec!O30=0,0,11630*1000*SER_hh_fec!O30/SER_hh_num!O30)</f>
        <v>63782.212879042076</v>
      </c>
      <c r="P30" s="132">
        <f>IF(SER_hh_fec!P30=0,0,11630*1000*SER_hh_fec!P30/SER_hh_num!P30)</f>
        <v>37825.392581262415</v>
      </c>
      <c r="Q30" s="132">
        <f>IF(SER_hh_fec!Q30=0,0,11630*1000*SER_hh_fec!Q30/SER_hh_num!Q30)</f>
        <v>44661.715832082489</v>
      </c>
      <c r="R30" s="132">
        <f>IF(SER_hh_fec!R30=0,0,11630*1000*SER_hh_fec!R30/SER_hh_num!R30)</f>
        <v>50349.18738267829</v>
      </c>
      <c r="S30" s="132">
        <f>IF(SER_hh_fec!S30=0,0,11630*1000*SER_hh_fec!S30/SER_hh_num!S30)</f>
        <v>54952.973616619944</v>
      </c>
      <c r="T30" s="132">
        <f>IF(SER_hh_fec!T30=0,0,11630*1000*SER_hh_fec!T30/SER_hh_num!T30)</f>
        <v>55503.139449143135</v>
      </c>
      <c r="U30" s="132">
        <f>IF(SER_hh_fec!U30=0,0,11630*1000*SER_hh_fec!U30/SER_hh_num!U30)</f>
        <v>59275.221639760937</v>
      </c>
      <c r="V30" s="132">
        <f>IF(SER_hh_fec!V30=0,0,11630*1000*SER_hh_fec!V30/SER_hh_num!V30)</f>
        <v>36623.272054014597</v>
      </c>
      <c r="W30" s="132">
        <f>IF(SER_hh_fec!W30=0,0,11630*1000*SER_hh_fec!W30/SER_hh_num!W30)</f>
        <v>46794.41382199317</v>
      </c>
      <c r="X30" s="132">
        <f>IF(SER_hh_fec!X30=0,0,11630*1000*SER_hh_fec!X30/SER_hh_num!X30)</f>
        <v>49158.724672884258</v>
      </c>
      <c r="Y30" s="132">
        <f>IF(SER_hh_fec!Y30=0,0,11630*1000*SER_hh_fec!Y30/SER_hh_num!Y30)</f>
        <v>52796.609407055206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43823.797493986036</v>
      </c>
      <c r="C31" s="132">
        <f>IF(SER_hh_fec!C31=0,0,11630*1000*SER_hh_fec!C31/SER_hh_num!C31)</f>
        <v>47574.954014497249</v>
      </c>
      <c r="D31" s="132">
        <f>IF(SER_hh_fec!D31=0,0,11630*1000*SER_hh_fec!D31/SER_hh_num!D31)</f>
        <v>45557.941535410355</v>
      </c>
      <c r="E31" s="132">
        <f>IF(SER_hh_fec!E31=0,0,11630*1000*SER_hh_fec!E31/SER_hh_num!E31)</f>
        <v>47715.178468275182</v>
      </c>
      <c r="F31" s="132">
        <f>IF(SER_hh_fec!F31=0,0,11630*1000*SER_hh_fec!F31/SER_hh_num!F31)</f>
        <v>48675.317120805732</v>
      </c>
      <c r="G31" s="132">
        <f>IF(SER_hh_fec!G31=0,0,11630*1000*SER_hh_fec!G31/SER_hh_num!G31)</f>
        <v>54365.432441005512</v>
      </c>
      <c r="H31" s="132">
        <f>IF(SER_hh_fec!H31=0,0,11630*1000*SER_hh_fec!H31/SER_hh_num!H31)</f>
        <v>50551.494289452683</v>
      </c>
      <c r="I31" s="132">
        <f>IF(SER_hh_fec!I31=0,0,11630*1000*SER_hh_fec!I31/SER_hh_num!I31)</f>
        <v>48404.586288529055</v>
      </c>
      <c r="J31" s="132">
        <f>IF(SER_hh_fec!J31=0,0,11630*1000*SER_hh_fec!J31/SER_hh_num!J31)</f>
        <v>48017.931131754332</v>
      </c>
      <c r="K31" s="132">
        <f>IF(SER_hh_fec!K31=0,0,11630*1000*SER_hh_fec!K31/SER_hh_num!K31)</f>
        <v>51225.166702486131</v>
      </c>
      <c r="L31" s="132">
        <f>IF(SER_hh_fec!L31=0,0,11630*1000*SER_hh_fec!L31/SER_hh_num!L31)</f>
        <v>53457.473029486202</v>
      </c>
      <c r="M31" s="132">
        <f>IF(SER_hh_fec!M31=0,0,11630*1000*SER_hh_fec!M31/SER_hh_num!M31)</f>
        <v>55640.769039798048</v>
      </c>
      <c r="N31" s="132">
        <f>IF(SER_hh_fec!N31=0,0,11630*1000*SER_hh_fec!N31/SER_hh_num!N31)</f>
        <v>54912.923965493159</v>
      </c>
      <c r="O31" s="132">
        <f>IF(SER_hh_fec!O31=0,0,11630*1000*SER_hh_fec!O31/SER_hh_num!O31)</f>
        <v>54179.41183331635</v>
      </c>
      <c r="P31" s="132">
        <f>IF(SER_hh_fec!P31=0,0,11630*1000*SER_hh_fec!P31/SER_hh_num!P31)</f>
        <v>56039.367652938985</v>
      </c>
      <c r="Q31" s="132">
        <f>IF(SER_hh_fec!Q31=0,0,11630*1000*SER_hh_fec!Q31/SER_hh_num!Q31)</f>
        <v>55903.863836137687</v>
      </c>
      <c r="R31" s="132">
        <f>IF(SER_hh_fec!R31=0,0,11630*1000*SER_hh_fec!R31/SER_hh_num!R31)</f>
        <v>54737.004110474001</v>
      </c>
      <c r="S31" s="132">
        <f>IF(SER_hh_fec!S31=0,0,11630*1000*SER_hh_fec!S31/SER_hh_num!S31)</f>
        <v>53792.956747207201</v>
      </c>
      <c r="T31" s="132">
        <f>IF(SER_hh_fec!T31=0,0,11630*1000*SER_hh_fec!T31/SER_hh_num!T31)</f>
        <v>52541.968853028455</v>
      </c>
      <c r="U31" s="132">
        <f>IF(SER_hh_fec!U31=0,0,11630*1000*SER_hh_fec!U31/SER_hh_num!U31)</f>
        <v>51789.943739471397</v>
      </c>
      <c r="V31" s="132">
        <f>IF(SER_hh_fec!V31=0,0,11630*1000*SER_hh_fec!V31/SER_hh_num!V31)</f>
        <v>47918.944079878143</v>
      </c>
      <c r="W31" s="132">
        <f>IF(SER_hh_fec!W31=0,0,11630*1000*SER_hh_fec!W31/SER_hh_num!W31)</f>
        <v>54102.747220080666</v>
      </c>
      <c r="X31" s="132">
        <f>IF(SER_hh_fec!X31=0,0,11630*1000*SER_hh_fec!X31/SER_hh_num!X31)</f>
        <v>46986.234327847538</v>
      </c>
      <c r="Y31" s="132">
        <f>IF(SER_hh_fec!Y31=0,0,11630*1000*SER_hh_fec!Y31/SER_hh_num!Y31)</f>
        <v>48034.292355482714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0</v>
      </c>
      <c r="C32" s="132">
        <f>IF(SER_hh_fec!C32=0,0,11630*1000*SER_hh_fec!C32/SER_hh_num!C32)</f>
        <v>0</v>
      </c>
      <c r="D32" s="132">
        <f>IF(SER_hh_fec!D32=0,0,11630*1000*SER_hh_fec!D32/SER_hh_num!D32)</f>
        <v>0</v>
      </c>
      <c r="E32" s="132">
        <f>IF(SER_hh_fec!E32=0,0,11630*1000*SER_hh_fec!E32/SER_hh_num!E32)</f>
        <v>0</v>
      </c>
      <c r="F32" s="132">
        <f>IF(SER_hh_fec!F32=0,0,11630*1000*SER_hh_fec!F32/SER_hh_num!F32)</f>
        <v>0</v>
      </c>
      <c r="G32" s="132">
        <f>IF(SER_hh_fec!G32=0,0,11630*1000*SER_hh_fec!G32/SER_hh_num!G32)</f>
        <v>0</v>
      </c>
      <c r="H32" s="132">
        <f>IF(SER_hh_fec!H32=0,0,11630*1000*SER_hh_fec!H32/SER_hh_num!H32)</f>
        <v>0</v>
      </c>
      <c r="I32" s="132">
        <f>IF(SER_hh_fec!I32=0,0,11630*1000*SER_hh_fec!I32/SER_hh_num!I32)</f>
        <v>0</v>
      </c>
      <c r="J32" s="132">
        <f>IF(SER_hh_fec!J32=0,0,11630*1000*SER_hh_fec!J32/SER_hh_num!J32)</f>
        <v>0</v>
      </c>
      <c r="K32" s="132">
        <f>IF(SER_hh_fec!K32=0,0,11630*1000*SER_hh_fec!K32/SER_hh_num!K32)</f>
        <v>0</v>
      </c>
      <c r="L32" s="132">
        <f>IF(SER_hh_fec!L32=0,0,11630*1000*SER_hh_fec!L32/SER_hh_num!L32)</f>
        <v>0</v>
      </c>
      <c r="M32" s="132">
        <f>IF(SER_hh_fec!M32=0,0,11630*1000*SER_hh_fec!M32/SER_hh_num!M32)</f>
        <v>0</v>
      </c>
      <c r="N32" s="132">
        <f>IF(SER_hh_fec!N32=0,0,11630*1000*SER_hh_fec!N32/SER_hh_num!N32)</f>
        <v>0</v>
      </c>
      <c r="O32" s="132">
        <f>IF(SER_hh_fec!O32=0,0,11630*1000*SER_hh_fec!O32/SER_hh_num!O32)</f>
        <v>0</v>
      </c>
      <c r="P32" s="132">
        <f>IF(SER_hh_fec!P32=0,0,11630*1000*SER_hh_fec!P32/SER_hh_num!P32)</f>
        <v>0</v>
      </c>
      <c r="Q32" s="132">
        <f>IF(SER_hh_fec!Q32=0,0,11630*1000*SER_hh_fec!Q32/SER_hh_num!Q32)</f>
        <v>0</v>
      </c>
      <c r="R32" s="132">
        <f>IF(SER_hh_fec!R32=0,0,11630*1000*SER_hh_fec!R32/SER_hh_num!R32)</f>
        <v>0</v>
      </c>
      <c r="S32" s="132">
        <f>IF(SER_hh_fec!S32=0,0,11630*1000*SER_hh_fec!S32/SER_hh_num!S32)</f>
        <v>0</v>
      </c>
      <c r="T32" s="132">
        <f>IF(SER_hh_fec!T32=0,0,11630*1000*SER_hh_fec!T32/SER_hh_num!T32)</f>
        <v>0</v>
      </c>
      <c r="U32" s="132">
        <f>IF(SER_hh_fec!U32=0,0,11630*1000*SER_hh_fec!U32/SER_hh_num!U32)</f>
        <v>0</v>
      </c>
      <c r="V32" s="132">
        <f>IF(SER_hh_fec!V32=0,0,11630*1000*SER_hh_fec!V32/SER_hh_num!V32)</f>
        <v>0</v>
      </c>
      <c r="W32" s="132">
        <f>IF(SER_hh_fec!W32=0,0,11630*1000*SER_hh_fec!W32/SER_hh_num!W32)</f>
        <v>0</v>
      </c>
      <c r="X32" s="132">
        <f>IF(SER_hh_fec!X32=0,0,11630*1000*SER_hh_fec!X32/SER_hh_num!X32)</f>
        <v>0</v>
      </c>
      <c r="Y32" s="132">
        <f>IF(SER_hh_fec!Y32=0,0,11630*1000*SER_hh_fec!Y32/SER_hh_num!Y32)</f>
        <v>0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37428.105320897965</v>
      </c>
      <c r="C33" s="68">
        <f>IF(SER_hh_fec!C33=0,0,11630*1000*SER_hh_fec!C33/SER_hh_num!C33)</f>
        <v>37854.953144187726</v>
      </c>
      <c r="D33" s="68">
        <f>IF(SER_hh_fec!D33=0,0,11630*1000*SER_hh_fec!D33/SER_hh_num!D33)</f>
        <v>40285.257834059252</v>
      </c>
      <c r="E33" s="68">
        <f>IF(SER_hh_fec!E33=0,0,11630*1000*SER_hh_fec!E33/SER_hh_num!E33)</f>
        <v>39600.770214066819</v>
      </c>
      <c r="F33" s="68">
        <f>IF(SER_hh_fec!F33=0,0,11630*1000*SER_hh_fec!F33/SER_hh_num!F33)</f>
        <v>38323.483754286244</v>
      </c>
      <c r="G33" s="68">
        <f>IF(SER_hh_fec!G33=0,0,11630*1000*SER_hh_fec!G33/SER_hh_num!G33)</f>
        <v>39698.281080827015</v>
      </c>
      <c r="H33" s="68">
        <f>IF(SER_hh_fec!H33=0,0,11630*1000*SER_hh_fec!H33/SER_hh_num!H33)</f>
        <v>38885.257839574537</v>
      </c>
      <c r="I33" s="68">
        <f>IF(SER_hh_fec!I33=0,0,11630*1000*SER_hh_fec!I33/SER_hh_num!I33)</f>
        <v>37775.126782634179</v>
      </c>
      <c r="J33" s="68">
        <f>IF(SER_hh_fec!J33=0,0,11630*1000*SER_hh_fec!J33/SER_hh_num!J33)</f>
        <v>37472.761818258907</v>
      </c>
      <c r="K33" s="68">
        <f>IF(SER_hh_fec!K33=0,0,11630*1000*SER_hh_fec!K33/SER_hh_num!K33)</f>
        <v>38592.586574496912</v>
      </c>
      <c r="L33" s="68">
        <f>IF(SER_hh_fec!L33=0,0,11630*1000*SER_hh_fec!L33/SER_hh_num!L33)</f>
        <v>40200.425139769846</v>
      </c>
      <c r="M33" s="68">
        <f>IF(SER_hh_fec!M33=0,0,11630*1000*SER_hh_fec!M33/SER_hh_num!M33)</f>
        <v>42803.713625356067</v>
      </c>
      <c r="N33" s="68">
        <f>IF(SER_hh_fec!N33=0,0,11630*1000*SER_hh_fec!N33/SER_hh_num!N33)</f>
        <v>36748.02390991577</v>
      </c>
      <c r="O33" s="68">
        <f>IF(SER_hh_fec!O33=0,0,11630*1000*SER_hh_fec!O33/SER_hh_num!O33)</f>
        <v>40648.746276681406</v>
      </c>
      <c r="P33" s="68">
        <f>IF(SER_hh_fec!P33=0,0,11630*1000*SER_hh_fec!P33/SER_hh_num!P33)</f>
        <v>42896.455409226124</v>
      </c>
      <c r="Q33" s="68">
        <f>IF(SER_hh_fec!Q33=0,0,11630*1000*SER_hh_fec!Q33/SER_hh_num!Q33)</f>
        <v>41274.643209704256</v>
      </c>
      <c r="R33" s="68">
        <f>IF(SER_hh_fec!R33=0,0,11630*1000*SER_hh_fec!R33/SER_hh_num!R33)</f>
        <v>40874.907209259363</v>
      </c>
      <c r="S33" s="68">
        <f>IF(SER_hh_fec!S33=0,0,11630*1000*SER_hh_fec!S33/SER_hh_num!S33)</f>
        <v>39994.740809772855</v>
      </c>
      <c r="T33" s="68">
        <f>IF(SER_hh_fec!T33=0,0,11630*1000*SER_hh_fec!T33/SER_hh_num!T33)</f>
        <v>39271.603730859897</v>
      </c>
      <c r="U33" s="68">
        <f>IF(SER_hh_fec!U33=0,0,11630*1000*SER_hh_fec!U33/SER_hh_num!U33)</f>
        <v>37242.537582266079</v>
      </c>
      <c r="V33" s="68">
        <f>IF(SER_hh_fec!V33=0,0,11630*1000*SER_hh_fec!V33/SER_hh_num!V33)</f>
        <v>32622.272689023961</v>
      </c>
      <c r="W33" s="68">
        <f>IF(SER_hh_fec!W33=0,0,11630*1000*SER_hh_fec!W33/SER_hh_num!W33)</f>
        <v>35553.782980459167</v>
      </c>
      <c r="X33" s="68">
        <f>IF(SER_hh_fec!X33=0,0,11630*1000*SER_hh_fec!X33/SER_hh_num!X33)</f>
        <v>34982.184774344605</v>
      </c>
      <c r="Y33" s="68">
        <f>IF(SER_hh_fec!Y33=0,0,11630*1000*SER_hh_fec!Y33/SER_hh_num!Y33)</f>
        <v>34248.261177697234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77509.933886524945</v>
      </c>
      <c r="C3" s="125">
        <f>IF(SER_hh_tes!C3=0,0,11630*1000*SER_hh_tes!C3/SER_hh_num!C3)</f>
        <v>86036.19404745198</v>
      </c>
      <c r="D3" s="125">
        <f>IF(SER_hh_tes!D3=0,0,11630*1000*SER_hh_tes!D3/SER_hh_num!D3)</f>
        <v>87007.089206768796</v>
      </c>
      <c r="E3" s="125">
        <f>IF(SER_hh_tes!E3=0,0,11630*1000*SER_hh_tes!E3/SER_hh_num!E3)</f>
        <v>94055.573896964052</v>
      </c>
      <c r="F3" s="125">
        <f>IF(SER_hh_tes!F3=0,0,11630*1000*SER_hh_tes!F3/SER_hh_num!F3)</f>
        <v>95001.588199205522</v>
      </c>
      <c r="G3" s="125">
        <f>IF(SER_hh_tes!G3=0,0,11630*1000*SER_hh_tes!G3/SER_hh_num!G3)</f>
        <v>101118.77807925253</v>
      </c>
      <c r="H3" s="125">
        <f>IF(SER_hh_tes!H3=0,0,11630*1000*SER_hh_tes!H3/SER_hh_num!H3)</f>
        <v>107621.89344571321</v>
      </c>
      <c r="I3" s="125">
        <f>IF(SER_hh_tes!I3=0,0,11630*1000*SER_hh_tes!I3/SER_hh_num!I3)</f>
        <v>114988.92541075598</v>
      </c>
      <c r="J3" s="125">
        <f>IF(SER_hh_tes!J3=0,0,11630*1000*SER_hh_tes!J3/SER_hh_num!J3)</f>
        <v>119938.31123779013</v>
      </c>
      <c r="K3" s="125">
        <f>IF(SER_hh_tes!K3=0,0,11630*1000*SER_hh_tes!K3/SER_hh_num!K3)</f>
        <v>114854.31169855417</v>
      </c>
      <c r="L3" s="125">
        <f>IF(SER_hh_tes!L3=0,0,11630*1000*SER_hh_tes!L3/SER_hh_num!L3)</f>
        <v>111566.43932304655</v>
      </c>
      <c r="M3" s="125">
        <f>IF(SER_hh_tes!M3=0,0,11630*1000*SER_hh_tes!M3/SER_hh_num!M3)</f>
        <v>108643.8599810716</v>
      </c>
      <c r="N3" s="125">
        <f>IF(SER_hh_tes!N3=0,0,11630*1000*SER_hh_tes!N3/SER_hh_num!N3)</f>
        <v>130218.78505076206</v>
      </c>
      <c r="O3" s="125">
        <f>IF(SER_hh_tes!O3=0,0,11630*1000*SER_hh_tes!O3/SER_hh_num!O3)</f>
        <v>117166.94131935494</v>
      </c>
      <c r="P3" s="125">
        <f>IF(SER_hh_tes!P3=0,0,11630*1000*SER_hh_tes!P3/SER_hh_num!P3)</f>
        <v>115562.20699529564</v>
      </c>
      <c r="Q3" s="125">
        <f>IF(SER_hh_tes!Q3=0,0,11630*1000*SER_hh_tes!Q3/SER_hh_num!Q3)</f>
        <v>137449.79926279894</v>
      </c>
      <c r="R3" s="125">
        <f>IF(SER_hh_tes!R3=0,0,11630*1000*SER_hh_tes!R3/SER_hh_num!R3)</f>
        <v>150502.5109399124</v>
      </c>
      <c r="S3" s="125">
        <f>IF(SER_hh_tes!S3=0,0,11630*1000*SER_hh_tes!S3/SER_hh_num!S3)</f>
        <v>148842.50910450151</v>
      </c>
      <c r="T3" s="125">
        <f>IF(SER_hh_tes!T3=0,0,11630*1000*SER_hh_tes!T3/SER_hh_num!T3)</f>
        <v>141986.51503285952</v>
      </c>
      <c r="U3" s="125">
        <f>IF(SER_hh_tes!U3=0,0,11630*1000*SER_hh_tes!U3/SER_hh_num!U3)</f>
        <v>153639.62450713289</v>
      </c>
      <c r="V3" s="125">
        <f>IF(SER_hh_tes!V3=0,0,11630*1000*SER_hh_tes!V3/SER_hh_num!V3)</f>
        <v>138934.60179950617</v>
      </c>
      <c r="W3" s="125">
        <f>IF(SER_hh_tes!W3=0,0,11630*1000*SER_hh_tes!W3/SER_hh_num!W3)</f>
        <v>159541.84095045298</v>
      </c>
      <c r="X3" s="125">
        <f>IF(SER_hh_tes!X3=0,0,11630*1000*SER_hh_tes!X3/SER_hh_num!X3)</f>
        <v>162459.23144561503</v>
      </c>
      <c r="Y3" s="125">
        <f>IF(SER_hh_tes!Y3=0,0,11630*1000*SER_hh_tes!Y3/SER_hh_num!Y3)</f>
        <v>168988.57064117584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25077.199322045384</v>
      </c>
      <c r="C4" s="130">
        <f>IF(SER_hh_tes!C4=0,0,11630*1000*SER_hh_tes!C4/SER_hh_num!C4)</f>
        <v>29934.38006994922</v>
      </c>
      <c r="D4" s="130">
        <f>IF(SER_hh_tes!D4=0,0,11630*1000*SER_hh_tes!D4/SER_hh_num!D4)</f>
        <v>30865.87348986798</v>
      </c>
      <c r="E4" s="130">
        <f>IF(SER_hh_tes!E4=0,0,11630*1000*SER_hh_tes!E4/SER_hh_num!E4)</f>
        <v>34355.647408752469</v>
      </c>
      <c r="F4" s="130">
        <f>IF(SER_hh_tes!F4=0,0,11630*1000*SER_hh_tes!F4/SER_hh_num!F4)</f>
        <v>39193.213080743953</v>
      </c>
      <c r="G4" s="130">
        <f>IF(SER_hh_tes!G4=0,0,11630*1000*SER_hh_tes!G4/SER_hh_num!G4)</f>
        <v>43356.452688615056</v>
      </c>
      <c r="H4" s="130">
        <f>IF(SER_hh_tes!H4=0,0,11630*1000*SER_hh_tes!H4/SER_hh_num!H4)</f>
        <v>48445.507278278579</v>
      </c>
      <c r="I4" s="130">
        <f>IF(SER_hh_tes!I4=0,0,11630*1000*SER_hh_tes!I4/SER_hh_num!I4)</f>
        <v>50325.561703757441</v>
      </c>
      <c r="J4" s="130">
        <f>IF(SER_hh_tes!J4=0,0,11630*1000*SER_hh_tes!J4/SER_hh_num!J4)</f>
        <v>54851.870014085289</v>
      </c>
      <c r="K4" s="130">
        <f>IF(SER_hh_tes!K4=0,0,11630*1000*SER_hh_tes!K4/SER_hh_num!K4)</f>
        <v>53638.163429833941</v>
      </c>
      <c r="L4" s="130">
        <f>IF(SER_hh_tes!L4=0,0,11630*1000*SER_hh_tes!L4/SER_hh_num!L4)</f>
        <v>43292.278265521854</v>
      </c>
      <c r="M4" s="130">
        <f>IF(SER_hh_tes!M4=0,0,11630*1000*SER_hh_tes!M4/SER_hh_num!M4)</f>
        <v>40011.976158527577</v>
      </c>
      <c r="N4" s="130">
        <f>IF(SER_hh_tes!N4=0,0,11630*1000*SER_hh_tes!N4/SER_hh_num!N4)</f>
        <v>49408.588537992444</v>
      </c>
      <c r="O4" s="130">
        <f>IF(SER_hh_tes!O4=0,0,11630*1000*SER_hh_tes!O4/SER_hh_num!O4)</f>
        <v>44674.339382069971</v>
      </c>
      <c r="P4" s="130">
        <f>IF(SER_hh_tes!P4=0,0,11630*1000*SER_hh_tes!P4/SER_hh_num!P4)</f>
        <v>44333.817876295914</v>
      </c>
      <c r="Q4" s="130">
        <f>IF(SER_hh_tes!Q4=0,0,11630*1000*SER_hh_tes!Q4/SER_hh_num!Q4)</f>
        <v>60037.711514459661</v>
      </c>
      <c r="R4" s="130">
        <f>IF(SER_hh_tes!R4=0,0,11630*1000*SER_hh_tes!R4/SER_hh_num!R4)</f>
        <v>69420.109341013405</v>
      </c>
      <c r="S4" s="130">
        <f>IF(SER_hh_tes!S4=0,0,11630*1000*SER_hh_tes!S4/SER_hh_num!S4)</f>
        <v>66101.74091633725</v>
      </c>
      <c r="T4" s="130">
        <f>IF(SER_hh_tes!T4=0,0,11630*1000*SER_hh_tes!T4/SER_hh_num!T4)</f>
        <v>62171.777166576649</v>
      </c>
      <c r="U4" s="130">
        <f>IF(SER_hh_tes!U4=0,0,11630*1000*SER_hh_tes!U4/SER_hh_num!U4)</f>
        <v>66670.909899121005</v>
      </c>
      <c r="V4" s="130">
        <f>IF(SER_hh_tes!V4=0,0,11630*1000*SER_hh_tes!V4/SER_hh_num!V4)</f>
        <v>62934.285091233425</v>
      </c>
      <c r="W4" s="130">
        <f>IF(SER_hh_tes!W4=0,0,11630*1000*SER_hh_tes!W4/SER_hh_num!W4)</f>
        <v>70126.293992480903</v>
      </c>
      <c r="X4" s="130">
        <f>IF(SER_hh_tes!X4=0,0,11630*1000*SER_hh_tes!X4/SER_hh_num!X4)</f>
        <v>76292.928915298253</v>
      </c>
      <c r="Y4" s="130">
        <f>IF(SER_hh_tes!Y4=0,0,11630*1000*SER_hh_tes!Y4/SER_hh_num!Y4)</f>
        <v>80791.718509521728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0</v>
      </c>
      <c r="C5" s="132">
        <f>IF(SER_hh_tes!C5=0,0,11630*1000*SER_hh_tes!C5/SER_hh_num!C5)</f>
        <v>0</v>
      </c>
      <c r="D5" s="132">
        <f>IF(SER_hh_tes!D5=0,0,11630*1000*SER_hh_tes!D5/SER_hh_num!D5)</f>
        <v>0</v>
      </c>
      <c r="E5" s="132">
        <f>IF(SER_hh_tes!E5=0,0,11630*1000*SER_hh_tes!E5/SER_hh_num!E5)</f>
        <v>0</v>
      </c>
      <c r="F5" s="132">
        <f>IF(SER_hh_tes!F5=0,0,11630*1000*SER_hh_tes!F5/SER_hh_num!F5)</f>
        <v>0</v>
      </c>
      <c r="G5" s="132">
        <f>IF(SER_hh_tes!G5=0,0,11630*1000*SER_hh_tes!G5/SER_hh_num!G5)</f>
        <v>0</v>
      </c>
      <c r="H5" s="132">
        <f>IF(SER_hh_tes!H5=0,0,11630*1000*SER_hh_tes!H5/SER_hh_num!H5)</f>
        <v>0</v>
      </c>
      <c r="I5" s="132">
        <f>IF(SER_hh_tes!I5=0,0,11630*1000*SER_hh_tes!I5/SER_hh_num!I5)</f>
        <v>0</v>
      </c>
      <c r="J5" s="132">
        <f>IF(SER_hh_tes!J5=0,0,11630*1000*SER_hh_tes!J5/SER_hh_num!J5)</f>
        <v>0</v>
      </c>
      <c r="K5" s="132">
        <f>IF(SER_hh_tes!K5=0,0,11630*1000*SER_hh_tes!K5/SER_hh_num!K5)</f>
        <v>0</v>
      </c>
      <c r="L5" s="132">
        <f>IF(SER_hh_tes!L5=0,0,11630*1000*SER_hh_tes!L5/SER_hh_num!L5)</f>
        <v>0</v>
      </c>
      <c r="M5" s="132">
        <f>IF(SER_hh_tes!M5=0,0,11630*1000*SER_hh_tes!M5/SER_hh_num!M5)</f>
        <v>0</v>
      </c>
      <c r="N5" s="132">
        <f>IF(SER_hh_tes!N5=0,0,11630*1000*SER_hh_tes!N5/SER_hh_num!N5)</f>
        <v>0</v>
      </c>
      <c r="O5" s="132">
        <f>IF(SER_hh_tes!O5=0,0,11630*1000*SER_hh_tes!O5/SER_hh_num!O5)</f>
        <v>0</v>
      </c>
      <c r="P5" s="132">
        <f>IF(SER_hh_tes!P5=0,0,11630*1000*SER_hh_tes!P5/SER_hh_num!P5)</f>
        <v>0</v>
      </c>
      <c r="Q5" s="132">
        <f>IF(SER_hh_tes!Q5=0,0,11630*1000*SER_hh_tes!Q5/SER_hh_num!Q5)</f>
        <v>0</v>
      </c>
      <c r="R5" s="132">
        <f>IF(SER_hh_tes!R5=0,0,11630*1000*SER_hh_tes!R5/SER_hh_num!R5)</f>
        <v>0</v>
      </c>
      <c r="S5" s="132">
        <f>IF(SER_hh_tes!S5=0,0,11630*1000*SER_hh_tes!S5/SER_hh_num!S5)</f>
        <v>0</v>
      </c>
      <c r="T5" s="132">
        <f>IF(SER_hh_tes!T5=0,0,11630*1000*SER_hh_tes!T5/SER_hh_num!T5)</f>
        <v>0</v>
      </c>
      <c r="U5" s="132">
        <f>IF(SER_hh_tes!U5=0,0,11630*1000*SER_hh_tes!U5/SER_hh_num!U5)</f>
        <v>0</v>
      </c>
      <c r="V5" s="132">
        <f>IF(SER_hh_tes!V5=0,0,11630*1000*SER_hh_tes!V5/SER_hh_num!V5)</f>
        <v>0</v>
      </c>
      <c r="W5" s="132">
        <f>IF(SER_hh_tes!W5=0,0,11630*1000*SER_hh_tes!W5/SER_hh_num!W5)</f>
        <v>0</v>
      </c>
      <c r="X5" s="132">
        <f>IF(SER_hh_tes!X5=0,0,11630*1000*SER_hh_tes!X5/SER_hh_num!X5)</f>
        <v>53649.607166063513</v>
      </c>
      <c r="Y5" s="132">
        <f>IF(SER_hh_tes!Y5=0,0,11630*1000*SER_hh_tes!Y5/SER_hh_num!Y5)</f>
        <v>105723.65447785545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0</v>
      </c>
      <c r="C6" s="132">
        <f>IF(SER_hh_tes!C6=0,0,11630*1000*SER_hh_tes!C6/SER_hh_num!C6)</f>
        <v>0</v>
      </c>
      <c r="D6" s="132">
        <f>IF(SER_hh_tes!D6=0,0,11630*1000*SER_hh_tes!D6/SER_hh_num!D6)</f>
        <v>0</v>
      </c>
      <c r="E6" s="132">
        <f>IF(SER_hh_tes!E6=0,0,11630*1000*SER_hh_tes!E6/SER_hh_num!E6)</f>
        <v>0</v>
      </c>
      <c r="F6" s="132">
        <f>IF(SER_hh_tes!F6=0,0,11630*1000*SER_hh_tes!F6/SER_hh_num!F6)</f>
        <v>0</v>
      </c>
      <c r="G6" s="132">
        <f>IF(SER_hh_tes!G6=0,0,11630*1000*SER_hh_tes!G6/SER_hh_num!G6)</f>
        <v>0</v>
      </c>
      <c r="H6" s="132">
        <f>IF(SER_hh_tes!H6=0,0,11630*1000*SER_hh_tes!H6/SER_hh_num!H6)</f>
        <v>0</v>
      </c>
      <c r="I6" s="132">
        <f>IF(SER_hh_tes!I6=0,0,11630*1000*SER_hh_tes!I6/SER_hh_num!I6)</f>
        <v>0</v>
      </c>
      <c r="J6" s="132">
        <f>IF(SER_hh_tes!J6=0,0,11630*1000*SER_hh_tes!J6/SER_hh_num!J6)</f>
        <v>0</v>
      </c>
      <c r="K6" s="132">
        <f>IF(SER_hh_tes!K6=0,0,11630*1000*SER_hh_tes!K6/SER_hh_num!K6)</f>
        <v>0</v>
      </c>
      <c r="L6" s="132">
        <f>IF(SER_hh_tes!L6=0,0,11630*1000*SER_hh_tes!L6/SER_hh_num!L6)</f>
        <v>0</v>
      </c>
      <c r="M6" s="132">
        <f>IF(SER_hh_tes!M6=0,0,11630*1000*SER_hh_tes!M6/SER_hh_num!M6)</f>
        <v>0</v>
      </c>
      <c r="N6" s="132">
        <f>IF(SER_hh_tes!N6=0,0,11630*1000*SER_hh_tes!N6/SER_hh_num!N6)</f>
        <v>0</v>
      </c>
      <c r="O6" s="132">
        <f>IF(SER_hh_tes!O6=0,0,11630*1000*SER_hh_tes!O6/SER_hh_num!O6)</f>
        <v>0</v>
      </c>
      <c r="P6" s="132">
        <f>IF(SER_hh_tes!P6=0,0,11630*1000*SER_hh_tes!P6/SER_hh_num!P6)</f>
        <v>0</v>
      </c>
      <c r="Q6" s="132">
        <f>IF(SER_hh_tes!Q6=0,0,11630*1000*SER_hh_tes!Q6/SER_hh_num!Q6)</f>
        <v>0</v>
      </c>
      <c r="R6" s="132">
        <f>IF(SER_hh_tes!R6=0,0,11630*1000*SER_hh_tes!R6/SER_hh_num!R6)</f>
        <v>0</v>
      </c>
      <c r="S6" s="132">
        <f>IF(SER_hh_tes!S6=0,0,11630*1000*SER_hh_tes!S6/SER_hh_num!S6)</f>
        <v>0</v>
      </c>
      <c r="T6" s="132">
        <f>IF(SER_hh_tes!T6=0,0,11630*1000*SER_hh_tes!T6/SER_hh_num!T6)</f>
        <v>0</v>
      </c>
      <c r="U6" s="132">
        <f>IF(SER_hh_tes!U6=0,0,11630*1000*SER_hh_tes!U6/SER_hh_num!U6)</f>
        <v>0</v>
      </c>
      <c r="V6" s="132">
        <f>IF(SER_hh_tes!V6=0,0,11630*1000*SER_hh_tes!V6/SER_hh_num!V6)</f>
        <v>0</v>
      </c>
      <c r="W6" s="132">
        <f>IF(SER_hh_tes!W6=0,0,11630*1000*SER_hh_tes!W6/SER_hh_num!W6)</f>
        <v>0</v>
      </c>
      <c r="X6" s="132">
        <f>IF(SER_hh_tes!X6=0,0,11630*1000*SER_hh_tes!X6/SER_hh_num!X6)</f>
        <v>0</v>
      </c>
      <c r="Y6" s="132">
        <f>IF(SER_hh_tes!Y6=0,0,11630*1000*SER_hh_tes!Y6/SER_hh_num!Y6)</f>
        <v>0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24290.488204822967</v>
      </c>
      <c r="C7" s="132">
        <f>IF(SER_hh_tes!C7=0,0,11630*1000*SER_hh_tes!C7/SER_hh_num!C7)</f>
        <v>30084.815369291242</v>
      </c>
      <c r="D7" s="132">
        <f>IF(SER_hh_tes!D7=0,0,11630*1000*SER_hh_tes!D7/SER_hh_num!D7)</f>
        <v>31524.632832472445</v>
      </c>
      <c r="E7" s="132">
        <f>IF(SER_hh_tes!E7=0,0,11630*1000*SER_hh_tes!E7/SER_hh_num!E7)</f>
        <v>34212.049621125763</v>
      </c>
      <c r="F7" s="132">
        <f>IF(SER_hh_tes!F7=0,0,11630*1000*SER_hh_tes!F7/SER_hh_num!F7)</f>
        <v>35119.127151562046</v>
      </c>
      <c r="G7" s="132">
        <f>IF(SER_hh_tes!G7=0,0,11630*1000*SER_hh_tes!G7/SER_hh_num!G7)</f>
        <v>45378.674340871286</v>
      </c>
      <c r="H7" s="132">
        <f>IF(SER_hh_tes!H7=0,0,11630*1000*SER_hh_tes!H7/SER_hh_num!H7)</f>
        <v>49661.491361013097</v>
      </c>
      <c r="I7" s="132">
        <f>IF(SER_hh_tes!I7=0,0,11630*1000*SER_hh_tes!I7/SER_hh_num!I7)</f>
        <v>49781.752052071395</v>
      </c>
      <c r="J7" s="132">
        <f>IF(SER_hh_tes!J7=0,0,11630*1000*SER_hh_tes!J7/SER_hh_num!J7)</f>
        <v>55045.368188011147</v>
      </c>
      <c r="K7" s="132">
        <f>IF(SER_hh_tes!K7=0,0,11630*1000*SER_hh_tes!K7/SER_hh_num!K7)</f>
        <v>46174.287563472848</v>
      </c>
      <c r="L7" s="132">
        <f>IF(SER_hh_tes!L7=0,0,11630*1000*SER_hh_tes!L7/SER_hh_num!L7)</f>
        <v>44739.332675431833</v>
      </c>
      <c r="M7" s="132">
        <f>IF(SER_hh_tes!M7=0,0,11630*1000*SER_hh_tes!M7/SER_hh_num!M7)</f>
        <v>45485.618665778922</v>
      </c>
      <c r="N7" s="132">
        <f>IF(SER_hh_tes!N7=0,0,11630*1000*SER_hh_tes!N7/SER_hh_num!N7)</f>
        <v>24009.842527967212</v>
      </c>
      <c r="O7" s="132">
        <f>IF(SER_hh_tes!O7=0,0,11630*1000*SER_hh_tes!O7/SER_hh_num!O7)</f>
        <v>55631.102907943874</v>
      </c>
      <c r="P7" s="132">
        <f>IF(SER_hh_tes!P7=0,0,11630*1000*SER_hh_tes!P7/SER_hh_num!P7)</f>
        <v>34621.119769664052</v>
      </c>
      <c r="Q7" s="132">
        <f>IF(SER_hh_tes!Q7=0,0,11630*1000*SER_hh_tes!Q7/SER_hh_num!Q7)</f>
        <v>43246.639282235512</v>
      </c>
      <c r="R7" s="132">
        <f>IF(SER_hh_tes!R7=0,0,11630*1000*SER_hh_tes!R7/SER_hh_num!R7)</f>
        <v>92014.669142409504</v>
      </c>
      <c r="S7" s="132">
        <f>IF(SER_hh_tes!S7=0,0,11630*1000*SER_hh_tes!S7/SER_hh_num!S7)</f>
        <v>50930.679234317176</v>
      </c>
      <c r="T7" s="132">
        <f>IF(SER_hh_tes!T7=0,0,11630*1000*SER_hh_tes!T7/SER_hh_num!T7)</f>
        <v>56637.614113776515</v>
      </c>
      <c r="U7" s="132">
        <f>IF(SER_hh_tes!U7=0,0,11630*1000*SER_hh_tes!U7/SER_hh_num!U7)</f>
        <v>69549.387796961499</v>
      </c>
      <c r="V7" s="132">
        <f>IF(SER_hh_tes!V7=0,0,11630*1000*SER_hh_tes!V7/SER_hh_num!V7)</f>
        <v>73609.964221975024</v>
      </c>
      <c r="W7" s="132">
        <f>IF(SER_hh_tes!W7=0,0,11630*1000*SER_hh_tes!W7/SER_hh_num!W7)</f>
        <v>51474.370529272783</v>
      </c>
      <c r="X7" s="132">
        <f>IF(SER_hh_tes!X7=0,0,11630*1000*SER_hh_tes!X7/SER_hh_num!X7)</f>
        <v>77075.939870087488</v>
      </c>
      <c r="Y7" s="132">
        <f>IF(SER_hh_tes!Y7=0,0,11630*1000*SER_hh_tes!Y7/SER_hh_num!Y7)</f>
        <v>70172.065091982426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24664.708562498938</v>
      </c>
      <c r="C8" s="132">
        <f>IF(SER_hh_tes!C8=0,0,11630*1000*SER_hh_tes!C8/SER_hh_num!C8)</f>
        <v>25705.915684308882</v>
      </c>
      <c r="D8" s="132">
        <f>IF(SER_hh_tes!D8=0,0,11630*1000*SER_hh_tes!D8/SER_hh_num!D8)</f>
        <v>27786.330807424929</v>
      </c>
      <c r="E8" s="132">
        <f>IF(SER_hh_tes!E8=0,0,11630*1000*SER_hh_tes!E8/SER_hh_num!E8)</f>
        <v>31677.021615125923</v>
      </c>
      <c r="F8" s="132">
        <f>IF(SER_hh_tes!F8=0,0,11630*1000*SER_hh_tes!F8/SER_hh_num!F8)</f>
        <v>37900.454855409582</v>
      </c>
      <c r="G8" s="132">
        <f>IF(SER_hh_tes!G8=0,0,11630*1000*SER_hh_tes!G8/SER_hh_num!G8)</f>
        <v>46938.150161837351</v>
      </c>
      <c r="H8" s="132">
        <f>IF(SER_hh_tes!H8=0,0,11630*1000*SER_hh_tes!H8/SER_hh_num!H8)</f>
        <v>48138.74933805543</v>
      </c>
      <c r="I8" s="132">
        <f>IF(SER_hh_tes!I8=0,0,11630*1000*SER_hh_tes!I8/SER_hh_num!I8)</f>
        <v>48425.571261406891</v>
      </c>
      <c r="J8" s="132">
        <f>IF(SER_hh_tes!J8=0,0,11630*1000*SER_hh_tes!J8/SER_hh_num!J8)</f>
        <v>48836.870003067132</v>
      </c>
      <c r="K8" s="132">
        <f>IF(SER_hh_tes!K8=0,0,11630*1000*SER_hh_tes!K8/SER_hh_num!K8)</f>
        <v>45772.130566031476</v>
      </c>
      <c r="L8" s="132">
        <f>IF(SER_hh_tes!L8=0,0,11630*1000*SER_hh_tes!L8/SER_hh_num!L8)</f>
        <v>38139.179338959577</v>
      </c>
      <c r="M8" s="132">
        <f>IF(SER_hh_tes!M8=0,0,11630*1000*SER_hh_tes!M8/SER_hh_num!M8)</f>
        <v>30857.741607390661</v>
      </c>
      <c r="N8" s="132">
        <f>IF(SER_hh_tes!N8=0,0,11630*1000*SER_hh_tes!N8/SER_hh_num!N8)</f>
        <v>21955.610200793744</v>
      </c>
      <c r="O8" s="132">
        <f>IF(SER_hh_tes!O8=0,0,11630*1000*SER_hh_tes!O8/SER_hh_num!O8)</f>
        <v>28350.394321028223</v>
      </c>
      <c r="P8" s="132">
        <f>IF(SER_hh_tes!P8=0,0,11630*1000*SER_hh_tes!P8/SER_hh_num!P8)</f>
        <v>44969.295214071703</v>
      </c>
      <c r="Q8" s="132">
        <f>IF(SER_hh_tes!Q8=0,0,11630*1000*SER_hh_tes!Q8/SER_hh_num!Q8)</f>
        <v>74180.347688165813</v>
      </c>
      <c r="R8" s="132">
        <f>IF(SER_hh_tes!R8=0,0,11630*1000*SER_hh_tes!R8/SER_hh_num!R8)</f>
        <v>67066.234051320702</v>
      </c>
      <c r="S8" s="132">
        <f>IF(SER_hh_tes!S8=0,0,11630*1000*SER_hh_tes!S8/SER_hh_num!S8)</f>
        <v>63637.968686508953</v>
      </c>
      <c r="T8" s="132">
        <f>IF(SER_hh_tes!T8=0,0,11630*1000*SER_hh_tes!T8/SER_hh_num!T8)</f>
        <v>63455.385560521208</v>
      </c>
      <c r="U8" s="132">
        <f>IF(SER_hh_tes!U8=0,0,11630*1000*SER_hh_tes!U8/SER_hh_num!U8)</f>
        <v>62761.918854633215</v>
      </c>
      <c r="V8" s="132">
        <f>IF(SER_hh_tes!V8=0,0,11630*1000*SER_hh_tes!V8/SER_hh_num!V8)</f>
        <v>67156.351147507608</v>
      </c>
      <c r="W8" s="132">
        <f>IF(SER_hh_tes!W8=0,0,11630*1000*SER_hh_tes!W8/SER_hh_num!W8)</f>
        <v>70822.042304971837</v>
      </c>
      <c r="X8" s="132">
        <f>IF(SER_hh_tes!X8=0,0,11630*1000*SER_hh_tes!X8/SER_hh_num!X8)</f>
        <v>73151.561661610147</v>
      </c>
      <c r="Y8" s="132">
        <f>IF(SER_hh_tes!Y8=0,0,11630*1000*SER_hh_tes!Y8/SER_hh_num!Y8)</f>
        <v>83358.20034934298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22903.935913485762</v>
      </c>
      <c r="C9" s="132">
        <f>IF(SER_hh_tes!C9=0,0,11630*1000*SER_hh_tes!C9/SER_hh_num!C9)</f>
        <v>25467.350571137013</v>
      </c>
      <c r="D9" s="132">
        <f>IF(SER_hh_tes!D9=0,0,11630*1000*SER_hh_tes!D9/SER_hh_num!D9)</f>
        <v>25481.382452223872</v>
      </c>
      <c r="E9" s="132">
        <f>IF(SER_hh_tes!E9=0,0,11630*1000*SER_hh_tes!E9/SER_hh_num!E9)</f>
        <v>30516.098948697643</v>
      </c>
      <c r="F9" s="132">
        <f>IF(SER_hh_tes!F9=0,0,11630*1000*SER_hh_tes!F9/SER_hh_num!F9)</f>
        <v>36853.356896213481</v>
      </c>
      <c r="G9" s="132">
        <f>IF(SER_hh_tes!G9=0,0,11630*1000*SER_hh_tes!G9/SER_hh_num!G9)</f>
        <v>46895.099786011873</v>
      </c>
      <c r="H9" s="132">
        <f>IF(SER_hh_tes!H9=0,0,11630*1000*SER_hh_tes!H9/SER_hh_num!H9)</f>
        <v>48927.384918679672</v>
      </c>
      <c r="I9" s="132">
        <f>IF(SER_hh_tes!I9=0,0,11630*1000*SER_hh_tes!I9/SER_hh_num!I9)</f>
        <v>47669.277982783111</v>
      </c>
      <c r="J9" s="132">
        <f>IF(SER_hh_tes!J9=0,0,11630*1000*SER_hh_tes!J9/SER_hh_num!J9)</f>
        <v>53734.465353701475</v>
      </c>
      <c r="K9" s="132">
        <f>IF(SER_hh_tes!K9=0,0,11630*1000*SER_hh_tes!K9/SER_hh_num!K9)</f>
        <v>51587.773581464528</v>
      </c>
      <c r="L9" s="132">
        <f>IF(SER_hh_tes!L9=0,0,11630*1000*SER_hh_tes!L9/SER_hh_num!L9)</f>
        <v>39740.500367928835</v>
      </c>
      <c r="M9" s="132">
        <f>IF(SER_hh_tes!M9=0,0,11630*1000*SER_hh_tes!M9/SER_hh_num!M9)</f>
        <v>56297.411047454283</v>
      </c>
      <c r="N9" s="132">
        <f>IF(SER_hh_tes!N9=0,0,11630*1000*SER_hh_tes!N9/SER_hh_num!N9)</f>
        <v>43157.402617359083</v>
      </c>
      <c r="O9" s="132">
        <f>IF(SER_hh_tes!O9=0,0,11630*1000*SER_hh_tes!O9/SER_hh_num!O9)</f>
        <v>39447.692289320243</v>
      </c>
      <c r="P9" s="132">
        <f>IF(SER_hh_tes!P9=0,0,11630*1000*SER_hh_tes!P9/SER_hh_num!P9)</f>
        <v>42465.307786091085</v>
      </c>
      <c r="Q9" s="132">
        <f>IF(SER_hh_tes!Q9=0,0,11630*1000*SER_hh_tes!Q9/SER_hh_num!Q9)</f>
        <v>66671.971102759577</v>
      </c>
      <c r="R9" s="132">
        <f>IF(SER_hh_tes!R9=0,0,11630*1000*SER_hh_tes!R9/SER_hh_num!R9)</f>
        <v>60569.091466319296</v>
      </c>
      <c r="S9" s="132">
        <f>IF(SER_hh_tes!S9=0,0,11630*1000*SER_hh_tes!S9/SER_hh_num!S9)</f>
        <v>62453.726392207493</v>
      </c>
      <c r="T9" s="132">
        <f>IF(SER_hh_tes!T9=0,0,11630*1000*SER_hh_tes!T9/SER_hh_num!T9)</f>
        <v>60432.551299610866</v>
      </c>
      <c r="U9" s="132">
        <f>IF(SER_hh_tes!U9=0,0,11630*1000*SER_hh_tes!U9/SER_hh_num!U9)</f>
        <v>71120.198889186926</v>
      </c>
      <c r="V9" s="132">
        <f>IF(SER_hh_tes!V9=0,0,11630*1000*SER_hh_tes!V9/SER_hh_num!V9)</f>
        <v>63714.843309589865</v>
      </c>
      <c r="W9" s="132">
        <f>IF(SER_hh_tes!W9=0,0,11630*1000*SER_hh_tes!W9/SER_hh_num!W9)</f>
        <v>70667.088121796012</v>
      </c>
      <c r="X9" s="132">
        <f>IF(SER_hh_tes!X9=0,0,11630*1000*SER_hh_tes!X9/SER_hh_num!X9)</f>
        <v>72116.02898579296</v>
      </c>
      <c r="Y9" s="132">
        <f>IF(SER_hh_tes!Y9=0,0,11630*1000*SER_hh_tes!Y9/SER_hh_num!Y9)</f>
        <v>77763.329129437669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0</v>
      </c>
      <c r="C10" s="132">
        <f>IF(SER_hh_tes!C10=0,0,11630*1000*SER_hh_tes!C10/SER_hh_num!C10)</f>
        <v>0</v>
      </c>
      <c r="D10" s="132">
        <f>IF(SER_hh_tes!D10=0,0,11630*1000*SER_hh_tes!D10/SER_hh_num!D10)</f>
        <v>0</v>
      </c>
      <c r="E10" s="132">
        <f>IF(SER_hh_tes!E10=0,0,11630*1000*SER_hh_tes!E10/SER_hh_num!E10)</f>
        <v>0</v>
      </c>
      <c r="F10" s="132">
        <f>IF(SER_hh_tes!F10=0,0,11630*1000*SER_hh_tes!F10/SER_hh_num!F10)</f>
        <v>0</v>
      </c>
      <c r="G10" s="132">
        <f>IF(SER_hh_tes!G10=0,0,11630*1000*SER_hh_tes!G10/SER_hh_num!G10)</f>
        <v>0</v>
      </c>
      <c r="H10" s="132">
        <f>IF(SER_hh_tes!H10=0,0,11630*1000*SER_hh_tes!H10/SER_hh_num!H10)</f>
        <v>0</v>
      </c>
      <c r="I10" s="132">
        <f>IF(SER_hh_tes!I10=0,0,11630*1000*SER_hh_tes!I10/SER_hh_num!I10)</f>
        <v>0</v>
      </c>
      <c r="J10" s="132">
        <f>IF(SER_hh_tes!J10=0,0,11630*1000*SER_hh_tes!J10/SER_hh_num!J10)</f>
        <v>0</v>
      </c>
      <c r="K10" s="132">
        <f>IF(SER_hh_tes!K10=0,0,11630*1000*SER_hh_tes!K10/SER_hh_num!K10)</f>
        <v>0</v>
      </c>
      <c r="L10" s="132">
        <f>IF(SER_hh_tes!L10=0,0,11630*1000*SER_hh_tes!L10/SER_hh_num!L10)</f>
        <v>0</v>
      </c>
      <c r="M10" s="132">
        <f>IF(SER_hh_tes!M10=0,0,11630*1000*SER_hh_tes!M10/SER_hh_num!M10)</f>
        <v>0</v>
      </c>
      <c r="N10" s="132">
        <f>IF(SER_hh_tes!N10=0,0,11630*1000*SER_hh_tes!N10/SER_hh_num!N10)</f>
        <v>79170.182936346435</v>
      </c>
      <c r="O10" s="132">
        <f>IF(SER_hh_tes!O10=0,0,11630*1000*SER_hh_tes!O10/SER_hh_num!O10)</f>
        <v>43902.957993195101</v>
      </c>
      <c r="P10" s="132">
        <f>IF(SER_hh_tes!P10=0,0,11630*1000*SER_hh_tes!P10/SER_hh_num!P10)</f>
        <v>33525.228155500001</v>
      </c>
      <c r="Q10" s="132">
        <f>IF(SER_hh_tes!Q10=0,0,11630*1000*SER_hh_tes!Q10/SER_hh_num!Q10)</f>
        <v>102859.74260618389</v>
      </c>
      <c r="R10" s="132">
        <f>IF(SER_hh_tes!R10=0,0,11630*1000*SER_hh_tes!R10/SER_hh_num!R10)</f>
        <v>67527.361570262234</v>
      </c>
      <c r="S10" s="132">
        <f>IF(SER_hh_tes!S10=0,0,11630*1000*SER_hh_tes!S10/SER_hh_num!S10)</f>
        <v>51245.524700668844</v>
      </c>
      <c r="T10" s="132">
        <f>IF(SER_hh_tes!T10=0,0,11630*1000*SER_hh_tes!T10/SER_hh_num!T10)</f>
        <v>83951.319394544393</v>
      </c>
      <c r="U10" s="132">
        <f>IF(SER_hh_tes!U10=0,0,11630*1000*SER_hh_tes!U10/SER_hh_num!U10)</f>
        <v>40690.740751809564</v>
      </c>
      <c r="V10" s="132">
        <f>IF(SER_hh_tes!V10=0,0,11630*1000*SER_hh_tes!V10/SER_hh_num!V10)</f>
        <v>42198.370230007597</v>
      </c>
      <c r="W10" s="132">
        <f>IF(SER_hh_tes!W10=0,0,11630*1000*SER_hh_tes!W10/SER_hh_num!W10)</f>
        <v>100844.08984441923</v>
      </c>
      <c r="X10" s="132">
        <f>IF(SER_hh_tes!X10=0,0,11630*1000*SER_hh_tes!X10/SER_hh_num!X10)</f>
        <v>71308.308502812914</v>
      </c>
      <c r="Y10" s="132">
        <f>IF(SER_hh_tes!Y10=0,0,11630*1000*SER_hh_tes!Y10/SER_hh_num!Y10)</f>
        <v>58099.07423545343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0</v>
      </c>
      <c r="C11" s="132">
        <f>IF(SER_hh_tes!C11=0,0,11630*1000*SER_hh_tes!C11/SER_hh_num!C11)</f>
        <v>0</v>
      </c>
      <c r="D11" s="132">
        <f>IF(SER_hh_tes!D11=0,0,11630*1000*SER_hh_tes!D11/SER_hh_num!D11)</f>
        <v>0</v>
      </c>
      <c r="E11" s="132">
        <f>IF(SER_hh_tes!E11=0,0,11630*1000*SER_hh_tes!E11/SER_hh_num!E11)</f>
        <v>0</v>
      </c>
      <c r="F11" s="132">
        <f>IF(SER_hh_tes!F11=0,0,11630*1000*SER_hh_tes!F11/SER_hh_num!F11)</f>
        <v>60755.484626454097</v>
      </c>
      <c r="G11" s="132">
        <f>IF(SER_hh_tes!G11=0,0,11630*1000*SER_hh_tes!G11/SER_hh_num!G11)</f>
        <v>47866.591922977263</v>
      </c>
      <c r="H11" s="132">
        <f>IF(SER_hh_tes!H11=0,0,11630*1000*SER_hh_tes!H11/SER_hh_num!H11)</f>
        <v>46856.554518589212</v>
      </c>
      <c r="I11" s="132">
        <f>IF(SER_hh_tes!I11=0,0,11630*1000*SER_hh_tes!I11/SER_hh_num!I11)</f>
        <v>48196.522923387085</v>
      </c>
      <c r="J11" s="132">
        <f>IF(SER_hh_tes!J11=0,0,11630*1000*SER_hh_tes!J11/SER_hh_num!J11)</f>
        <v>46862.955151921531</v>
      </c>
      <c r="K11" s="132">
        <f>IF(SER_hh_tes!K11=0,0,11630*1000*SER_hh_tes!K11/SER_hh_num!K11)</f>
        <v>52575.112496687529</v>
      </c>
      <c r="L11" s="132">
        <f>IF(SER_hh_tes!L11=0,0,11630*1000*SER_hh_tes!L11/SER_hh_num!L11)</f>
        <v>46543.974771212488</v>
      </c>
      <c r="M11" s="132">
        <f>IF(SER_hh_tes!M11=0,0,11630*1000*SER_hh_tes!M11/SER_hh_num!M11)</f>
        <v>43942.392595217163</v>
      </c>
      <c r="N11" s="132">
        <f>IF(SER_hh_tes!N11=0,0,11630*1000*SER_hh_tes!N11/SER_hh_num!N11)</f>
        <v>44998.145103070077</v>
      </c>
      <c r="O11" s="132">
        <f>IF(SER_hh_tes!O11=0,0,11630*1000*SER_hh_tes!O11/SER_hh_num!O11)</f>
        <v>44035.937054739399</v>
      </c>
      <c r="P11" s="132">
        <f>IF(SER_hh_tes!P11=0,0,11630*1000*SER_hh_tes!P11/SER_hh_num!P11)</f>
        <v>51329.362626872527</v>
      </c>
      <c r="Q11" s="132">
        <f>IF(SER_hh_tes!Q11=0,0,11630*1000*SER_hh_tes!Q11/SER_hh_num!Q11)</f>
        <v>55676.203211405766</v>
      </c>
      <c r="R11" s="132">
        <f>IF(SER_hh_tes!R11=0,0,11630*1000*SER_hh_tes!R11/SER_hh_num!R11)</f>
        <v>62161.611694912855</v>
      </c>
      <c r="S11" s="132">
        <f>IF(SER_hh_tes!S11=0,0,11630*1000*SER_hh_tes!S11/SER_hh_num!S11)</f>
        <v>62471.414190058153</v>
      </c>
      <c r="T11" s="132">
        <f>IF(SER_hh_tes!T11=0,0,11630*1000*SER_hh_tes!T11/SER_hh_num!T11)</f>
        <v>63959.587344183674</v>
      </c>
      <c r="U11" s="132">
        <f>IF(SER_hh_tes!U11=0,0,11630*1000*SER_hh_tes!U11/SER_hh_num!U11)</f>
        <v>90081.078234771776</v>
      </c>
      <c r="V11" s="132">
        <f>IF(SER_hh_tes!V11=0,0,11630*1000*SER_hh_tes!V11/SER_hh_num!V11)</f>
        <v>30706.867281915642</v>
      </c>
      <c r="W11" s="132">
        <f>IF(SER_hh_tes!W11=0,0,11630*1000*SER_hh_tes!W11/SER_hh_num!W11)</f>
        <v>29785.688823167009</v>
      </c>
      <c r="X11" s="132">
        <f>IF(SER_hh_tes!X11=0,0,11630*1000*SER_hh_tes!X11/SER_hh_num!X11)</f>
        <v>78642.196270455664</v>
      </c>
      <c r="Y11" s="132">
        <f>IF(SER_hh_tes!Y11=0,0,11630*1000*SER_hh_tes!Y11/SER_hh_num!Y11)</f>
        <v>79015.495175960546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0</v>
      </c>
      <c r="C12" s="132">
        <f>IF(SER_hh_tes!C12=0,0,11630*1000*SER_hh_tes!C12/SER_hh_num!C12)</f>
        <v>0</v>
      </c>
      <c r="D12" s="132">
        <f>IF(SER_hh_tes!D12=0,0,11630*1000*SER_hh_tes!D12/SER_hh_num!D12)</f>
        <v>0</v>
      </c>
      <c r="E12" s="132">
        <f>IF(SER_hh_tes!E12=0,0,11630*1000*SER_hh_tes!E12/SER_hh_num!E12)</f>
        <v>0</v>
      </c>
      <c r="F12" s="132">
        <f>IF(SER_hh_tes!F12=0,0,11630*1000*SER_hh_tes!F12/SER_hh_num!F12)</f>
        <v>0</v>
      </c>
      <c r="G12" s="132">
        <f>IF(SER_hh_tes!G12=0,0,11630*1000*SER_hh_tes!G12/SER_hh_num!G12)</f>
        <v>0</v>
      </c>
      <c r="H12" s="132">
        <f>IF(SER_hh_tes!H12=0,0,11630*1000*SER_hh_tes!H12/SER_hh_num!H12)</f>
        <v>0</v>
      </c>
      <c r="I12" s="132">
        <f>IF(SER_hh_tes!I12=0,0,11630*1000*SER_hh_tes!I12/SER_hh_num!I12)</f>
        <v>0</v>
      </c>
      <c r="J12" s="132">
        <f>IF(SER_hh_tes!J12=0,0,11630*1000*SER_hh_tes!J12/SER_hh_num!J12)</f>
        <v>0</v>
      </c>
      <c r="K12" s="132">
        <f>IF(SER_hh_tes!K12=0,0,11630*1000*SER_hh_tes!K12/SER_hh_num!K12)</f>
        <v>0</v>
      </c>
      <c r="L12" s="132">
        <f>IF(SER_hh_tes!L12=0,0,11630*1000*SER_hh_tes!L12/SER_hh_num!L12)</f>
        <v>0</v>
      </c>
      <c r="M12" s="132">
        <f>IF(SER_hh_tes!M12=0,0,11630*1000*SER_hh_tes!M12/SER_hh_num!M12)</f>
        <v>0</v>
      </c>
      <c r="N12" s="132">
        <f>IF(SER_hh_tes!N12=0,0,11630*1000*SER_hh_tes!N12/SER_hh_num!N12)</f>
        <v>0</v>
      </c>
      <c r="O12" s="132">
        <f>IF(SER_hh_tes!O12=0,0,11630*1000*SER_hh_tes!O12/SER_hh_num!O12)</f>
        <v>0</v>
      </c>
      <c r="P12" s="132">
        <f>IF(SER_hh_tes!P12=0,0,11630*1000*SER_hh_tes!P12/SER_hh_num!P12)</f>
        <v>0</v>
      </c>
      <c r="Q12" s="132">
        <f>IF(SER_hh_tes!Q12=0,0,11630*1000*SER_hh_tes!Q12/SER_hh_num!Q12)</f>
        <v>0</v>
      </c>
      <c r="R12" s="132">
        <f>IF(SER_hh_tes!R12=0,0,11630*1000*SER_hh_tes!R12/SER_hh_num!R12)</f>
        <v>0</v>
      </c>
      <c r="S12" s="132">
        <f>IF(SER_hh_tes!S12=0,0,11630*1000*SER_hh_tes!S12/SER_hh_num!S12)</f>
        <v>0</v>
      </c>
      <c r="T12" s="132">
        <f>IF(SER_hh_tes!T12=0,0,11630*1000*SER_hh_tes!T12/SER_hh_num!T12)</f>
        <v>0</v>
      </c>
      <c r="U12" s="132">
        <f>IF(SER_hh_tes!U12=0,0,11630*1000*SER_hh_tes!U12/SER_hh_num!U12)</f>
        <v>0</v>
      </c>
      <c r="V12" s="132">
        <f>IF(SER_hh_tes!V12=0,0,11630*1000*SER_hh_tes!V12/SER_hh_num!V12)</f>
        <v>0</v>
      </c>
      <c r="W12" s="132">
        <f>IF(SER_hh_tes!W12=0,0,11630*1000*SER_hh_tes!W12/SER_hh_num!W12)</f>
        <v>0</v>
      </c>
      <c r="X12" s="132">
        <f>IF(SER_hh_tes!X12=0,0,11630*1000*SER_hh_tes!X12/SER_hh_num!X12)</f>
        <v>0</v>
      </c>
      <c r="Y12" s="132">
        <f>IF(SER_hh_tes!Y12=0,0,11630*1000*SER_hh_tes!Y12/SER_hh_num!Y12)</f>
        <v>0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24617.416126461027</v>
      </c>
      <c r="C13" s="132">
        <f>IF(SER_hh_tes!C13=0,0,11630*1000*SER_hh_tes!C13/SER_hh_num!C13)</f>
        <v>28754.58980517459</v>
      </c>
      <c r="D13" s="132">
        <f>IF(SER_hh_tes!D13=0,0,11630*1000*SER_hh_tes!D13/SER_hh_num!D13)</f>
        <v>30222.527657425861</v>
      </c>
      <c r="E13" s="132">
        <f>IF(SER_hh_tes!E13=0,0,11630*1000*SER_hh_tes!E13/SER_hh_num!E13)</f>
        <v>33231.227623613318</v>
      </c>
      <c r="F13" s="132">
        <f>IF(SER_hh_tes!F13=0,0,11630*1000*SER_hh_tes!F13/SER_hh_num!F13)</f>
        <v>41526.833205037117</v>
      </c>
      <c r="G13" s="132">
        <f>IF(SER_hh_tes!G13=0,0,11630*1000*SER_hh_tes!G13/SER_hh_num!G13)</f>
        <v>40877.555718047442</v>
      </c>
      <c r="H13" s="132">
        <f>IF(SER_hh_tes!H13=0,0,11630*1000*SER_hh_tes!H13/SER_hh_num!H13)</f>
        <v>45442.16776901007</v>
      </c>
      <c r="I13" s="132">
        <f>IF(SER_hh_tes!I13=0,0,11630*1000*SER_hh_tes!I13/SER_hh_num!I13)</f>
        <v>50671.470838400557</v>
      </c>
      <c r="J13" s="132">
        <f>IF(SER_hh_tes!J13=0,0,11630*1000*SER_hh_tes!J13/SER_hh_num!J13)</f>
        <v>51333.235597395855</v>
      </c>
      <c r="K13" s="132">
        <f>IF(SER_hh_tes!K13=0,0,11630*1000*SER_hh_tes!K13/SER_hh_num!K13)</f>
        <v>50164.252688640081</v>
      </c>
      <c r="L13" s="132">
        <f>IF(SER_hh_tes!L13=0,0,11630*1000*SER_hh_tes!L13/SER_hh_num!L13)</f>
        <v>44185.262409731396</v>
      </c>
      <c r="M13" s="132">
        <f>IF(SER_hh_tes!M13=0,0,11630*1000*SER_hh_tes!M13/SER_hh_num!M13)</f>
        <v>41006.783225486419</v>
      </c>
      <c r="N13" s="132">
        <f>IF(SER_hh_tes!N13=0,0,11630*1000*SER_hh_tes!N13/SER_hh_num!N13)</f>
        <v>46921.211723316876</v>
      </c>
      <c r="O13" s="132">
        <f>IF(SER_hh_tes!O13=0,0,11630*1000*SER_hh_tes!O13/SER_hh_num!O13)</f>
        <v>44051.336886536468</v>
      </c>
      <c r="P13" s="132">
        <f>IF(SER_hh_tes!P13=0,0,11630*1000*SER_hh_tes!P13/SER_hh_num!P13)</f>
        <v>50272.008652793978</v>
      </c>
      <c r="Q13" s="132">
        <f>IF(SER_hh_tes!Q13=0,0,11630*1000*SER_hh_tes!Q13/SER_hh_num!Q13)</f>
        <v>62400.409307292648</v>
      </c>
      <c r="R13" s="132">
        <f>IF(SER_hh_tes!R13=0,0,11630*1000*SER_hh_tes!R13/SER_hh_num!R13)</f>
        <v>64325.187936023256</v>
      </c>
      <c r="S13" s="132">
        <f>IF(SER_hh_tes!S13=0,0,11630*1000*SER_hh_tes!S13/SER_hh_num!S13)</f>
        <v>63349.199904614252</v>
      </c>
      <c r="T13" s="132">
        <f>IF(SER_hh_tes!T13=0,0,11630*1000*SER_hh_tes!T13/SER_hh_num!T13)</f>
        <v>64582.19798892345</v>
      </c>
      <c r="U13" s="132">
        <f>IF(SER_hh_tes!U13=0,0,11630*1000*SER_hh_tes!U13/SER_hh_num!U13)</f>
        <v>64064.790491417982</v>
      </c>
      <c r="V13" s="132">
        <f>IF(SER_hh_tes!V13=0,0,11630*1000*SER_hh_tes!V13/SER_hh_num!V13)</f>
        <v>65842.397913290682</v>
      </c>
      <c r="W13" s="132">
        <f>IF(SER_hh_tes!W13=0,0,11630*1000*SER_hh_tes!W13/SER_hh_num!W13)</f>
        <v>72484.036729466607</v>
      </c>
      <c r="X13" s="132">
        <f>IF(SER_hh_tes!X13=0,0,11630*1000*SER_hh_tes!X13/SER_hh_num!X13)</f>
        <v>74679.521511135084</v>
      </c>
      <c r="Y13" s="132">
        <f>IF(SER_hh_tes!Y13=0,0,11630*1000*SER_hh_tes!Y13/SER_hh_num!Y13)</f>
        <v>81500.924212819315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25475.803764948691</v>
      </c>
      <c r="C14" s="65">
        <f>IF(SER_hh_tes!C14=0,0,11630*1000*SER_hh_tes!C14/SER_hh_num!C14)</f>
        <v>29412.825666971676</v>
      </c>
      <c r="D14" s="65">
        <f>IF(SER_hh_tes!D14=0,0,11630*1000*SER_hh_tes!D14/SER_hh_num!D14)</f>
        <v>29878.30833998253</v>
      </c>
      <c r="E14" s="65">
        <f>IF(SER_hh_tes!E14=0,0,11630*1000*SER_hh_tes!E14/SER_hh_num!E14)</f>
        <v>34316.083400851661</v>
      </c>
      <c r="F14" s="65">
        <f>IF(SER_hh_tes!F14=0,0,11630*1000*SER_hh_tes!F14/SER_hh_num!F14)</f>
        <v>41468.499761395768</v>
      </c>
      <c r="G14" s="65">
        <f>IF(SER_hh_tes!G14=0,0,11630*1000*SER_hh_tes!G14/SER_hh_num!G14)</f>
        <v>40758.602259277766</v>
      </c>
      <c r="H14" s="65">
        <f>IF(SER_hh_tes!H14=0,0,11630*1000*SER_hh_tes!H14/SER_hh_num!H14)</f>
        <v>47493.126026070087</v>
      </c>
      <c r="I14" s="65">
        <f>IF(SER_hh_tes!I14=0,0,11630*1000*SER_hh_tes!I14/SER_hh_num!I14)</f>
        <v>50307.041331285829</v>
      </c>
      <c r="J14" s="65">
        <f>IF(SER_hh_tes!J14=0,0,11630*1000*SER_hh_tes!J14/SER_hh_num!J14)</f>
        <v>55804.087456475812</v>
      </c>
      <c r="K14" s="65">
        <f>IF(SER_hh_tes!K14=0,0,11630*1000*SER_hh_tes!K14/SER_hh_num!K14)</f>
        <v>59039.409094908697</v>
      </c>
      <c r="L14" s="65">
        <f>IF(SER_hh_tes!L14=0,0,11630*1000*SER_hh_tes!L14/SER_hh_num!L14)</f>
        <v>42120.270943418647</v>
      </c>
      <c r="M14" s="65">
        <f>IF(SER_hh_tes!M14=0,0,11630*1000*SER_hh_tes!M14/SER_hh_num!M14)</f>
        <v>29640.381488081486</v>
      </c>
      <c r="N14" s="65">
        <f>IF(SER_hh_tes!N14=0,0,11630*1000*SER_hh_tes!N14/SER_hh_num!N14)</f>
        <v>64397.689222957662</v>
      </c>
      <c r="O14" s="65">
        <f>IF(SER_hh_tes!O14=0,0,11630*1000*SER_hh_tes!O14/SER_hh_num!O14)</f>
        <v>43507.261455802407</v>
      </c>
      <c r="P14" s="65">
        <f>IF(SER_hh_tes!P14=0,0,11630*1000*SER_hh_tes!P14/SER_hh_num!P14)</f>
        <v>28172.113275239248</v>
      </c>
      <c r="Q14" s="65">
        <f>IF(SER_hh_tes!Q14=0,0,11630*1000*SER_hh_tes!Q14/SER_hh_num!Q14)</f>
        <v>50507.191793868915</v>
      </c>
      <c r="R14" s="65">
        <f>IF(SER_hh_tes!R14=0,0,11630*1000*SER_hh_tes!R14/SER_hh_num!R14)</f>
        <v>81574.603506292304</v>
      </c>
      <c r="S14" s="65">
        <f>IF(SER_hh_tes!S14=0,0,11630*1000*SER_hh_tes!S14/SER_hh_num!S14)</f>
        <v>78819.157624774365</v>
      </c>
      <c r="T14" s="65">
        <f>IF(SER_hh_tes!T14=0,0,11630*1000*SER_hh_tes!T14/SER_hh_num!T14)</f>
        <v>53410.391671775666</v>
      </c>
      <c r="U14" s="65">
        <f>IF(SER_hh_tes!U14=0,0,11630*1000*SER_hh_tes!U14/SER_hh_num!U14)</f>
        <v>75108.816793058038</v>
      </c>
      <c r="V14" s="65">
        <f>IF(SER_hh_tes!V14=0,0,11630*1000*SER_hh_tes!V14/SER_hh_num!V14)</f>
        <v>44862.695825958581</v>
      </c>
      <c r="W14" s="65">
        <f>IF(SER_hh_tes!W14=0,0,11630*1000*SER_hh_tes!W14/SER_hh_num!W14)</f>
        <v>60737.269052710843</v>
      </c>
      <c r="X14" s="65">
        <f>IF(SER_hh_tes!X14=0,0,11630*1000*SER_hh_tes!X14/SER_hh_num!X14)</f>
        <v>86532.832111909491</v>
      </c>
      <c r="Y14" s="65">
        <f>IF(SER_hh_tes!Y14=0,0,11630*1000*SER_hh_tes!Y14/SER_hh_num!Y14)</f>
        <v>77603.407163777418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485.26413063816682</v>
      </c>
      <c r="C15" s="134">
        <f>IF(SER_hh_tes!C15=0,0,11630*1000*SER_hh_tes!C15/SER_hh_num!C15)</f>
        <v>587.14205068543708</v>
      </c>
      <c r="D15" s="134">
        <f>IF(SER_hh_tes!D15=0,0,11630*1000*SER_hh_tes!D15/SER_hh_num!D15)</f>
        <v>600.38040243160344</v>
      </c>
      <c r="E15" s="134">
        <f>IF(SER_hh_tes!E15=0,0,11630*1000*SER_hh_tes!E15/SER_hh_num!E15)</f>
        <v>639.76171808928041</v>
      </c>
      <c r="F15" s="134">
        <f>IF(SER_hh_tes!F15=0,0,11630*1000*SER_hh_tes!F15/SER_hh_num!F15)</f>
        <v>645.44293497791091</v>
      </c>
      <c r="G15" s="134">
        <f>IF(SER_hh_tes!G15=0,0,11630*1000*SER_hh_tes!G15/SER_hh_num!G15)</f>
        <v>815.1030638304178</v>
      </c>
      <c r="H15" s="134">
        <f>IF(SER_hh_tes!H15=0,0,11630*1000*SER_hh_tes!H15/SER_hh_num!H15)</f>
        <v>870.82836796673803</v>
      </c>
      <c r="I15" s="134">
        <f>IF(SER_hh_tes!I15=0,0,11630*1000*SER_hh_tes!I15/SER_hh_num!I15)</f>
        <v>854.98163121346067</v>
      </c>
      <c r="J15" s="134">
        <f>IF(SER_hh_tes!J15=0,0,11630*1000*SER_hh_tes!J15/SER_hh_num!J15)</f>
        <v>931.54918105050535</v>
      </c>
      <c r="K15" s="134">
        <f>IF(SER_hh_tes!K15=0,0,11630*1000*SER_hh_tes!K15/SER_hh_num!K15)</f>
        <v>799.45218711783571</v>
      </c>
      <c r="L15" s="134">
        <f>IF(SER_hh_tes!L15=0,0,11630*1000*SER_hh_tes!L15/SER_hh_num!L15)</f>
        <v>706.95669906639614</v>
      </c>
      <c r="M15" s="134">
        <f>IF(SER_hh_tes!M15=0,0,11630*1000*SER_hh_tes!M15/SER_hh_num!M15)</f>
        <v>799.24912060855638</v>
      </c>
      <c r="N15" s="134">
        <f>IF(SER_hh_tes!N15=0,0,11630*1000*SER_hh_tes!N15/SER_hh_num!N15)</f>
        <v>526.18133001714887</v>
      </c>
      <c r="O15" s="134">
        <f>IF(SER_hh_tes!O15=0,0,11630*1000*SER_hh_tes!O15/SER_hh_num!O15)</f>
        <v>713.43913412373911</v>
      </c>
      <c r="P15" s="134">
        <f>IF(SER_hh_tes!P15=0,0,11630*1000*SER_hh_tes!P15/SER_hh_num!P15)</f>
        <v>561.86936971910734</v>
      </c>
      <c r="Q15" s="134">
        <f>IF(SER_hh_tes!Q15=0,0,11630*1000*SER_hh_tes!Q15/SER_hh_num!Q15)</f>
        <v>820.10310233411622</v>
      </c>
      <c r="R15" s="134">
        <f>IF(SER_hh_tes!R15=0,0,11630*1000*SER_hh_tes!R15/SER_hh_num!R15)</f>
        <v>1010.1693603861106</v>
      </c>
      <c r="S15" s="134">
        <f>IF(SER_hh_tes!S15=0,0,11630*1000*SER_hh_tes!S15/SER_hh_num!S15)</f>
        <v>785.76556529998118</v>
      </c>
      <c r="T15" s="134">
        <f>IF(SER_hh_tes!T15=0,0,11630*1000*SER_hh_tes!T15/SER_hh_num!T15)</f>
        <v>801.38740708818159</v>
      </c>
      <c r="U15" s="134">
        <f>IF(SER_hh_tes!U15=0,0,11630*1000*SER_hh_tes!U15/SER_hh_num!U15)</f>
        <v>916.74264042462869</v>
      </c>
      <c r="V15" s="134">
        <f>IF(SER_hh_tes!V15=0,0,11630*1000*SER_hh_tes!V15/SER_hh_num!V15)</f>
        <v>832.97942513728708</v>
      </c>
      <c r="W15" s="134">
        <f>IF(SER_hh_tes!W15=0,0,11630*1000*SER_hh_tes!W15/SER_hh_num!W15)</f>
        <v>839.15317069672574</v>
      </c>
      <c r="X15" s="134">
        <f>IF(SER_hh_tes!X15=0,0,11630*1000*SER_hh_tes!X15/SER_hh_num!X15)</f>
        <v>881.75964541365022</v>
      </c>
      <c r="Y15" s="134">
        <f>IF(SER_hh_tes!Y15=0,0,11630*1000*SER_hh_tes!Y15/SER_hh_num!Y15)</f>
        <v>912.28436191533422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31377.320968706441</v>
      </c>
      <c r="C16" s="130">
        <f>IF(SER_hh_tes!C16=0,0,11630*1000*SER_hh_tes!C16/SER_hh_num!C16)</f>
        <v>38939.711637512861</v>
      </c>
      <c r="D16" s="130">
        <f>IF(SER_hh_tes!D16=0,0,11630*1000*SER_hh_tes!D16/SER_hh_num!D16)</f>
        <v>31835.714299771011</v>
      </c>
      <c r="E16" s="130">
        <f>IF(SER_hh_tes!E16=0,0,11630*1000*SER_hh_tes!E16/SER_hh_num!E16)</f>
        <v>42911.493089589312</v>
      </c>
      <c r="F16" s="130">
        <f>IF(SER_hh_tes!F16=0,0,11630*1000*SER_hh_tes!F16/SER_hh_num!F16)</f>
        <v>26913.801989291711</v>
      </c>
      <c r="G16" s="130">
        <f>IF(SER_hh_tes!G16=0,0,11630*1000*SER_hh_tes!G16/SER_hh_num!G16)</f>
        <v>27852.689256938153</v>
      </c>
      <c r="H16" s="130">
        <f>IF(SER_hh_tes!H16=0,0,11630*1000*SER_hh_tes!H16/SER_hh_num!H16)</f>
        <v>33092.790868593991</v>
      </c>
      <c r="I16" s="130">
        <f>IF(SER_hh_tes!I16=0,0,11630*1000*SER_hh_tes!I16/SER_hh_num!I16)</f>
        <v>48972.231315569654</v>
      </c>
      <c r="J16" s="130">
        <f>IF(SER_hh_tes!J16=0,0,11630*1000*SER_hh_tes!J16/SER_hh_num!J16)</f>
        <v>47954.435664454686</v>
      </c>
      <c r="K16" s="130">
        <f>IF(SER_hh_tes!K16=0,0,11630*1000*SER_hh_tes!K16/SER_hh_num!K16)</f>
        <v>32880.734941451781</v>
      </c>
      <c r="L16" s="130">
        <f>IF(SER_hh_tes!L16=0,0,11630*1000*SER_hh_tes!L16/SER_hh_num!L16)</f>
        <v>42757.429819546829</v>
      </c>
      <c r="M16" s="130">
        <f>IF(SER_hh_tes!M16=0,0,11630*1000*SER_hh_tes!M16/SER_hh_num!M16)</f>
        <v>37403.443625395957</v>
      </c>
      <c r="N16" s="130">
        <f>IF(SER_hh_tes!N16=0,0,11630*1000*SER_hh_tes!N16/SER_hh_num!N16)</f>
        <v>62140.664586453851</v>
      </c>
      <c r="O16" s="130">
        <f>IF(SER_hh_tes!O16=0,0,11630*1000*SER_hh_tes!O16/SER_hh_num!O16)</f>
        <v>39596.126843019738</v>
      </c>
      <c r="P16" s="130">
        <f>IF(SER_hh_tes!P16=0,0,11630*1000*SER_hh_tes!P16/SER_hh_num!P16)</f>
        <v>32658.41114453672</v>
      </c>
      <c r="Q16" s="130">
        <f>IF(SER_hh_tes!Q16=0,0,11630*1000*SER_hh_tes!Q16/SER_hh_num!Q16)</f>
        <v>42054.170304265564</v>
      </c>
      <c r="R16" s="130">
        <f>IF(SER_hh_tes!R16=0,0,11630*1000*SER_hh_tes!R16/SER_hh_num!R16)</f>
        <v>45901.110036380429</v>
      </c>
      <c r="S16" s="130">
        <f>IF(SER_hh_tes!S16=0,0,11630*1000*SER_hh_tes!S16/SER_hh_num!S16)</f>
        <v>46190.071097617605</v>
      </c>
      <c r="T16" s="130">
        <f>IF(SER_hh_tes!T16=0,0,11630*1000*SER_hh_tes!T16/SER_hh_num!T16)</f>
        <v>39680.199147002073</v>
      </c>
      <c r="U16" s="130">
        <f>IF(SER_hh_tes!U16=0,0,11630*1000*SER_hh_tes!U16/SER_hh_num!U16)</f>
        <v>50343.628666039425</v>
      </c>
      <c r="V16" s="130">
        <f>IF(SER_hh_tes!V16=0,0,11630*1000*SER_hh_tes!V16/SER_hh_num!V16)</f>
        <v>43710.250310398587</v>
      </c>
      <c r="W16" s="130">
        <f>IF(SER_hh_tes!W16=0,0,11630*1000*SER_hh_tes!W16/SER_hh_num!W16)</f>
        <v>58655.134818981285</v>
      </c>
      <c r="X16" s="130">
        <f>IF(SER_hh_tes!X16=0,0,11630*1000*SER_hh_tes!X16/SER_hh_num!X16)</f>
        <v>52340.949838138578</v>
      </c>
      <c r="Y16" s="130">
        <f>IF(SER_hh_tes!Y16=0,0,11630*1000*SER_hh_tes!Y16/SER_hh_num!Y16)</f>
        <v>54504.945038943988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31377.320968706445</v>
      </c>
      <c r="C17" s="132">
        <f>IF(SER_hh_tes!C17=0,0,11630*1000*SER_hh_tes!C17/SER_hh_num!C17)</f>
        <v>38939.711637513006</v>
      </c>
      <c r="D17" s="132">
        <f>IF(SER_hh_tes!D17=0,0,11630*1000*SER_hh_tes!D17/SER_hh_num!D17)</f>
        <v>31835.714299771051</v>
      </c>
      <c r="E17" s="132">
        <f>IF(SER_hh_tes!E17=0,0,11630*1000*SER_hh_tes!E17/SER_hh_num!E17)</f>
        <v>42911.493089589312</v>
      </c>
      <c r="F17" s="132">
        <f>IF(SER_hh_tes!F17=0,0,11630*1000*SER_hh_tes!F17/SER_hh_num!F17)</f>
        <v>26913.8019892917</v>
      </c>
      <c r="G17" s="132">
        <f>IF(SER_hh_tes!G17=0,0,11630*1000*SER_hh_tes!G17/SER_hh_num!G17)</f>
        <v>27852.689256938113</v>
      </c>
      <c r="H17" s="132">
        <f>IF(SER_hh_tes!H17=0,0,11630*1000*SER_hh_tes!H17/SER_hh_num!H17)</f>
        <v>33092.790868594071</v>
      </c>
      <c r="I17" s="132">
        <f>IF(SER_hh_tes!I17=0,0,11630*1000*SER_hh_tes!I17/SER_hh_num!I17)</f>
        <v>48972.231315569552</v>
      </c>
      <c r="J17" s="132">
        <f>IF(SER_hh_tes!J17=0,0,11630*1000*SER_hh_tes!J17/SER_hh_num!J17)</f>
        <v>46819.448176605336</v>
      </c>
      <c r="K17" s="132">
        <f>IF(SER_hh_tes!K17=0,0,11630*1000*SER_hh_tes!K17/SER_hh_num!K17)</f>
        <v>40736.236710533369</v>
      </c>
      <c r="L17" s="132">
        <f>IF(SER_hh_tes!L17=0,0,11630*1000*SER_hh_tes!L17/SER_hh_num!L17)</f>
        <v>42953.876628640384</v>
      </c>
      <c r="M17" s="132">
        <f>IF(SER_hh_tes!M17=0,0,11630*1000*SER_hh_tes!M17/SER_hh_num!M17)</f>
        <v>38247.79158028333</v>
      </c>
      <c r="N17" s="132">
        <f>IF(SER_hh_tes!N17=0,0,11630*1000*SER_hh_tes!N17/SER_hh_num!N17)</f>
        <v>56161.66872147665</v>
      </c>
      <c r="O17" s="132">
        <f>IF(SER_hh_tes!O17=0,0,11630*1000*SER_hh_tes!O17/SER_hh_num!O17)</f>
        <v>39596.126834641422</v>
      </c>
      <c r="P17" s="132">
        <f>IF(SER_hh_tes!P17=0,0,11630*1000*SER_hh_tes!P17/SER_hh_num!P17)</f>
        <v>34119.927177639314</v>
      </c>
      <c r="Q17" s="132">
        <f>IF(SER_hh_tes!Q17=0,0,11630*1000*SER_hh_tes!Q17/SER_hh_num!Q17)</f>
        <v>42054.170289754438</v>
      </c>
      <c r="R17" s="132">
        <f>IF(SER_hh_tes!R17=0,0,11630*1000*SER_hh_tes!R17/SER_hh_num!R17)</f>
        <v>45901.11003090848</v>
      </c>
      <c r="S17" s="132">
        <f>IF(SER_hh_tes!S17=0,0,11630*1000*SER_hh_tes!S17/SER_hh_num!S17)</f>
        <v>46190.071099413952</v>
      </c>
      <c r="T17" s="132">
        <f>IF(SER_hh_tes!T17=0,0,11630*1000*SER_hh_tes!T17/SER_hh_num!T17)</f>
        <v>39680.19915089503</v>
      </c>
      <c r="U17" s="132">
        <f>IF(SER_hh_tes!U17=0,0,11630*1000*SER_hh_tes!U17/SER_hh_num!U17)</f>
        <v>50343.628671877792</v>
      </c>
      <c r="V17" s="132">
        <f>IF(SER_hh_tes!V17=0,0,11630*1000*SER_hh_tes!V17/SER_hh_num!V17)</f>
        <v>41828.35474128247</v>
      </c>
      <c r="W17" s="132">
        <f>IF(SER_hh_tes!W17=0,0,11630*1000*SER_hh_tes!W17/SER_hh_num!W17)</f>
        <v>55793.173255267153</v>
      </c>
      <c r="X17" s="132">
        <f>IF(SER_hh_tes!X17=0,0,11630*1000*SER_hh_tes!X17/SER_hh_num!X17)</f>
        <v>52340.949849788391</v>
      </c>
      <c r="Y17" s="132">
        <f>IF(SER_hh_tes!Y17=0,0,11630*1000*SER_hh_tes!Y17/SER_hh_num!Y17)</f>
        <v>54504.945038114347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31377.320968706441</v>
      </c>
      <c r="C18" s="132">
        <f>IF(SER_hh_tes!C18=0,0,11630*1000*SER_hh_tes!C18/SER_hh_num!C18)</f>
        <v>38939.711637512861</v>
      </c>
      <c r="D18" s="132">
        <f>IF(SER_hh_tes!D18=0,0,11630*1000*SER_hh_tes!D18/SER_hh_num!D18)</f>
        <v>31835.714299771011</v>
      </c>
      <c r="E18" s="132">
        <f>IF(SER_hh_tes!E18=0,0,11630*1000*SER_hh_tes!E18/SER_hh_num!E18)</f>
        <v>42911.493089589312</v>
      </c>
      <c r="F18" s="132">
        <f>IF(SER_hh_tes!F18=0,0,11630*1000*SER_hh_tes!F18/SER_hh_num!F18)</f>
        <v>26913.801989291715</v>
      </c>
      <c r="G18" s="132">
        <f>IF(SER_hh_tes!G18=0,0,11630*1000*SER_hh_tes!G18/SER_hh_num!G18)</f>
        <v>27852.689256938149</v>
      </c>
      <c r="H18" s="132">
        <f>IF(SER_hh_tes!H18=0,0,11630*1000*SER_hh_tes!H18/SER_hh_num!H18)</f>
        <v>33092.790868593991</v>
      </c>
      <c r="I18" s="132">
        <f>IF(SER_hh_tes!I18=0,0,11630*1000*SER_hh_tes!I18/SER_hh_num!I18)</f>
        <v>48972.231315569661</v>
      </c>
      <c r="J18" s="132">
        <f>IF(SER_hh_tes!J18=0,0,11630*1000*SER_hh_tes!J18/SER_hh_num!J18)</f>
        <v>47958.6084852227</v>
      </c>
      <c r="K18" s="132">
        <f>IF(SER_hh_tes!K18=0,0,11630*1000*SER_hh_tes!K18/SER_hh_num!K18)</f>
        <v>32842.825642940297</v>
      </c>
      <c r="L18" s="132">
        <f>IF(SER_hh_tes!L18=0,0,11630*1000*SER_hh_tes!L18/SER_hh_num!L18)</f>
        <v>42756.208638010015</v>
      </c>
      <c r="M18" s="132">
        <f>IF(SER_hh_tes!M18=0,0,11630*1000*SER_hh_tes!M18/SER_hh_num!M18)</f>
        <v>37396.217466140362</v>
      </c>
      <c r="N18" s="132">
        <f>IF(SER_hh_tes!N18=0,0,11630*1000*SER_hh_tes!N18/SER_hh_num!N18)</f>
        <v>62205.887817466486</v>
      </c>
      <c r="O18" s="132">
        <f>IF(SER_hh_tes!O18=0,0,11630*1000*SER_hh_tes!O18/SER_hh_num!O18)</f>
        <v>39596.126843149133</v>
      </c>
      <c r="P18" s="132">
        <f>IF(SER_hh_tes!P18=0,0,11630*1000*SER_hh_tes!P18/SER_hh_num!P18)</f>
        <v>32628.516564392557</v>
      </c>
      <c r="Q18" s="132">
        <f>IF(SER_hh_tes!Q18=0,0,11630*1000*SER_hh_tes!Q18/SER_hh_num!Q18)</f>
        <v>42054.170304597828</v>
      </c>
      <c r="R18" s="132">
        <f>IF(SER_hh_tes!R18=0,0,11630*1000*SER_hh_tes!R18/SER_hh_num!R18)</f>
        <v>45901.110036513128</v>
      </c>
      <c r="S18" s="132">
        <f>IF(SER_hh_tes!S18=0,0,11630*1000*SER_hh_tes!S18/SER_hh_num!S18)</f>
        <v>46190.07109757093</v>
      </c>
      <c r="T18" s="132">
        <f>IF(SER_hh_tes!T18=0,0,11630*1000*SER_hh_tes!T18/SER_hh_num!T18)</f>
        <v>39680.199146887033</v>
      </c>
      <c r="U18" s="132">
        <f>IF(SER_hh_tes!U18=0,0,11630*1000*SER_hh_tes!U18/SER_hh_num!U18)</f>
        <v>50343.628665865217</v>
      </c>
      <c r="V18" s="132">
        <f>IF(SER_hh_tes!V18=0,0,11630*1000*SER_hh_tes!V18/SER_hh_num!V18)</f>
        <v>43767.007510653275</v>
      </c>
      <c r="W18" s="132">
        <f>IF(SER_hh_tes!W18=0,0,11630*1000*SER_hh_tes!W18/SER_hh_num!W18)</f>
        <v>58741.424308527618</v>
      </c>
      <c r="X18" s="132">
        <f>IF(SER_hh_tes!X18=0,0,11630*1000*SER_hh_tes!X18/SER_hh_num!X18)</f>
        <v>52340.949837786844</v>
      </c>
      <c r="Y18" s="132">
        <f>IF(SER_hh_tes!Y18=0,0,11630*1000*SER_hh_tes!Y18/SER_hh_num!Y18)</f>
        <v>54504.945038969381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18531.635938279709</v>
      </c>
      <c r="C19" s="130">
        <f>IF(SER_hh_tes!C19=0,0,11630*1000*SER_hh_tes!C19/SER_hh_num!C19)</f>
        <v>19326.149565676282</v>
      </c>
      <c r="D19" s="130">
        <f>IF(SER_hh_tes!D19=0,0,11630*1000*SER_hh_tes!D19/SER_hh_num!D19)</f>
        <v>20258.88903597253</v>
      </c>
      <c r="E19" s="130">
        <f>IF(SER_hh_tes!E19=0,0,11630*1000*SER_hh_tes!E19/SER_hh_num!E19)</f>
        <v>20456.856378782111</v>
      </c>
      <c r="F19" s="130">
        <f>IF(SER_hh_tes!F19=0,0,11630*1000*SER_hh_tes!F19/SER_hh_num!F19)</f>
        <v>20813.159632673673</v>
      </c>
      <c r="G19" s="130">
        <f>IF(SER_hh_tes!G19=0,0,11630*1000*SER_hh_tes!G19/SER_hh_num!G19)</f>
        <v>21989.771772977339</v>
      </c>
      <c r="H19" s="130">
        <f>IF(SER_hh_tes!H19=0,0,11630*1000*SER_hh_tes!H19/SER_hh_num!H19)</f>
        <v>21712.982257604803</v>
      </c>
      <c r="I19" s="130">
        <f>IF(SER_hh_tes!I19=0,0,11630*1000*SER_hh_tes!I19/SER_hh_num!I19)</f>
        <v>21324.013217584215</v>
      </c>
      <c r="J19" s="130">
        <f>IF(SER_hh_tes!J19=0,0,11630*1000*SER_hh_tes!J19/SER_hh_num!J19)</f>
        <v>21597.987817173223</v>
      </c>
      <c r="K19" s="130">
        <f>IF(SER_hh_tes!K19=0,0,11630*1000*SER_hh_tes!K19/SER_hh_num!K19)</f>
        <v>22095.831304482341</v>
      </c>
      <c r="L19" s="130">
        <f>IF(SER_hh_tes!L19=0,0,11630*1000*SER_hh_tes!L19/SER_hh_num!L19)</f>
        <v>23273.667549211161</v>
      </c>
      <c r="M19" s="130">
        <f>IF(SER_hh_tes!M19=0,0,11630*1000*SER_hh_tes!M19/SER_hh_num!M19)</f>
        <v>24034.043627697803</v>
      </c>
      <c r="N19" s="130">
        <f>IF(SER_hh_tes!N19=0,0,11630*1000*SER_hh_tes!N19/SER_hh_num!N19)</f>
        <v>24027.207943468795</v>
      </c>
      <c r="O19" s="130">
        <f>IF(SER_hh_tes!O19=0,0,11630*1000*SER_hh_tes!O19/SER_hh_num!O19)</f>
        <v>24418.834138445349</v>
      </c>
      <c r="P19" s="130">
        <f>IF(SER_hh_tes!P19=0,0,11630*1000*SER_hh_tes!P19/SER_hh_num!P19)</f>
        <v>25129.714858905674</v>
      </c>
      <c r="Q19" s="130">
        <f>IF(SER_hh_tes!Q19=0,0,11630*1000*SER_hh_tes!Q19/SER_hh_num!Q19)</f>
        <v>25485.476691390428</v>
      </c>
      <c r="R19" s="130">
        <f>IF(SER_hh_tes!R19=0,0,11630*1000*SER_hh_tes!R19/SER_hh_num!R19)</f>
        <v>25591.446324584853</v>
      </c>
      <c r="S19" s="130">
        <f>IF(SER_hh_tes!S19=0,0,11630*1000*SER_hh_tes!S19/SER_hh_num!S19)</f>
        <v>25703.155766554839</v>
      </c>
      <c r="T19" s="130">
        <f>IF(SER_hh_tes!T19=0,0,11630*1000*SER_hh_tes!T19/SER_hh_num!T19)</f>
        <v>25766.615913820464</v>
      </c>
      <c r="U19" s="130">
        <f>IF(SER_hh_tes!U19=0,0,11630*1000*SER_hh_tes!U19/SER_hh_num!U19)</f>
        <v>25421.881320713615</v>
      </c>
      <c r="V19" s="130">
        <f>IF(SER_hh_tes!V19=0,0,11630*1000*SER_hh_tes!V19/SER_hh_num!V19)</f>
        <v>22766.186861502829</v>
      </c>
      <c r="W19" s="130">
        <f>IF(SER_hh_tes!W19=0,0,11630*1000*SER_hh_tes!W19/SER_hh_num!W19)</f>
        <v>23103.850624463339</v>
      </c>
      <c r="X19" s="130">
        <f>IF(SER_hh_tes!X19=0,0,11630*1000*SER_hh_tes!X19/SER_hh_num!X19)</f>
        <v>24533.956159205183</v>
      </c>
      <c r="Y19" s="130">
        <f>IF(SER_hh_tes!Y19=0,0,11630*1000*SER_hh_tes!Y19/SER_hh_num!Y19)</f>
        <v>24785.777493770416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0</v>
      </c>
      <c r="C20" s="132">
        <f>IF(SER_hh_tes!C20=0,0,11630*1000*SER_hh_tes!C20/SER_hh_num!C20)</f>
        <v>0</v>
      </c>
      <c r="D20" s="132">
        <f>IF(SER_hh_tes!D20=0,0,11630*1000*SER_hh_tes!D20/SER_hh_num!D20)</f>
        <v>0</v>
      </c>
      <c r="E20" s="132">
        <f>IF(SER_hh_tes!E20=0,0,11630*1000*SER_hh_tes!E20/SER_hh_num!E20)</f>
        <v>0</v>
      </c>
      <c r="F20" s="132">
        <f>IF(SER_hh_tes!F20=0,0,11630*1000*SER_hh_tes!F20/SER_hh_num!F20)</f>
        <v>0</v>
      </c>
      <c r="G20" s="132">
        <f>IF(SER_hh_tes!G20=0,0,11630*1000*SER_hh_tes!G20/SER_hh_num!G20)</f>
        <v>0</v>
      </c>
      <c r="H20" s="132">
        <f>IF(SER_hh_tes!H20=0,0,11630*1000*SER_hh_tes!H20/SER_hh_num!H20)</f>
        <v>0</v>
      </c>
      <c r="I20" s="132">
        <f>IF(SER_hh_tes!I20=0,0,11630*1000*SER_hh_tes!I20/SER_hh_num!I20)</f>
        <v>0</v>
      </c>
      <c r="J20" s="132">
        <f>IF(SER_hh_tes!J20=0,0,11630*1000*SER_hh_tes!J20/SER_hh_num!J20)</f>
        <v>0</v>
      </c>
      <c r="K20" s="132">
        <f>IF(SER_hh_tes!K20=0,0,11630*1000*SER_hh_tes!K20/SER_hh_num!K20)</f>
        <v>0</v>
      </c>
      <c r="L20" s="132">
        <f>IF(SER_hh_tes!L20=0,0,11630*1000*SER_hh_tes!L20/SER_hh_num!L20)</f>
        <v>0</v>
      </c>
      <c r="M20" s="132">
        <f>IF(SER_hh_tes!M20=0,0,11630*1000*SER_hh_tes!M20/SER_hh_num!M20)</f>
        <v>0</v>
      </c>
      <c r="N20" s="132">
        <f>IF(SER_hh_tes!N20=0,0,11630*1000*SER_hh_tes!N20/SER_hh_num!N20)</f>
        <v>0</v>
      </c>
      <c r="O20" s="132">
        <f>IF(SER_hh_tes!O20=0,0,11630*1000*SER_hh_tes!O20/SER_hh_num!O20)</f>
        <v>0</v>
      </c>
      <c r="P20" s="132">
        <f>IF(SER_hh_tes!P20=0,0,11630*1000*SER_hh_tes!P20/SER_hh_num!P20)</f>
        <v>0</v>
      </c>
      <c r="Q20" s="132">
        <f>IF(SER_hh_tes!Q20=0,0,11630*1000*SER_hh_tes!Q20/SER_hh_num!Q20)</f>
        <v>0</v>
      </c>
      <c r="R20" s="132">
        <f>IF(SER_hh_tes!R20=0,0,11630*1000*SER_hh_tes!R20/SER_hh_num!R20)</f>
        <v>0</v>
      </c>
      <c r="S20" s="132">
        <f>IF(SER_hh_tes!S20=0,0,11630*1000*SER_hh_tes!S20/SER_hh_num!S20)</f>
        <v>0</v>
      </c>
      <c r="T20" s="132">
        <f>IF(SER_hh_tes!T20=0,0,11630*1000*SER_hh_tes!T20/SER_hh_num!T20)</f>
        <v>0</v>
      </c>
      <c r="U20" s="132">
        <f>IF(SER_hh_tes!U20=0,0,11630*1000*SER_hh_tes!U20/SER_hh_num!U20)</f>
        <v>0</v>
      </c>
      <c r="V20" s="132">
        <f>IF(SER_hh_tes!V20=0,0,11630*1000*SER_hh_tes!V20/SER_hh_num!V20)</f>
        <v>0</v>
      </c>
      <c r="W20" s="132">
        <f>IF(SER_hh_tes!W20=0,0,11630*1000*SER_hh_tes!W20/SER_hh_num!W20)</f>
        <v>0</v>
      </c>
      <c r="X20" s="132">
        <f>IF(SER_hh_tes!X20=0,0,11630*1000*SER_hh_tes!X20/SER_hh_num!X20)</f>
        <v>0</v>
      </c>
      <c r="Y20" s="132">
        <f>IF(SER_hh_tes!Y20=0,0,11630*1000*SER_hh_tes!Y20/SER_hh_num!Y20)</f>
        <v>0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17983.656068940891</v>
      </c>
      <c r="C21" s="132">
        <f>IF(SER_hh_tes!C21=0,0,11630*1000*SER_hh_tes!C21/SER_hh_num!C21)</f>
        <v>19548.211397572391</v>
      </c>
      <c r="D21" s="132">
        <f>IF(SER_hh_tes!D21=0,0,11630*1000*SER_hh_tes!D21/SER_hh_num!D21)</f>
        <v>20177.36205509134</v>
      </c>
      <c r="E21" s="132">
        <f>IF(SER_hh_tes!E21=0,0,11630*1000*SER_hh_tes!E21/SER_hh_num!E21)</f>
        <v>19672.93263518445</v>
      </c>
      <c r="F21" s="132">
        <f>IF(SER_hh_tes!F21=0,0,11630*1000*SER_hh_tes!F21/SER_hh_num!F21)</f>
        <v>20160.500714030677</v>
      </c>
      <c r="G21" s="132">
        <f>IF(SER_hh_tes!G21=0,0,11630*1000*SER_hh_tes!G21/SER_hh_num!G21)</f>
        <v>21363.234147548235</v>
      </c>
      <c r="H21" s="132">
        <f>IF(SER_hh_tes!H21=0,0,11630*1000*SER_hh_tes!H21/SER_hh_num!H21)</f>
        <v>21011.716061259918</v>
      </c>
      <c r="I21" s="132">
        <f>IF(SER_hh_tes!I21=0,0,11630*1000*SER_hh_tes!I21/SER_hh_num!I21)</f>
        <v>22446.368531731801</v>
      </c>
      <c r="J21" s="132">
        <f>IF(SER_hh_tes!J21=0,0,11630*1000*SER_hh_tes!J21/SER_hh_num!J21)</f>
        <v>22173.994238290012</v>
      </c>
      <c r="K21" s="132">
        <f>IF(SER_hh_tes!K21=0,0,11630*1000*SER_hh_tes!K21/SER_hh_num!K21)</f>
        <v>22275.857390019704</v>
      </c>
      <c r="L21" s="132">
        <f>IF(SER_hh_tes!L21=0,0,11630*1000*SER_hh_tes!L21/SER_hh_num!L21)</f>
        <v>22974.166420025798</v>
      </c>
      <c r="M21" s="132">
        <f>IF(SER_hh_tes!M21=0,0,11630*1000*SER_hh_tes!M21/SER_hh_num!M21)</f>
        <v>23059.106309960953</v>
      </c>
      <c r="N21" s="132">
        <f>IF(SER_hh_tes!N21=0,0,11630*1000*SER_hh_tes!N21/SER_hh_num!N21)</f>
        <v>24436.10406404714</v>
      </c>
      <c r="O21" s="132">
        <f>IF(SER_hh_tes!O21=0,0,11630*1000*SER_hh_tes!O21/SER_hh_num!O21)</f>
        <v>24517.126091197166</v>
      </c>
      <c r="P21" s="132">
        <f>IF(SER_hh_tes!P21=0,0,11630*1000*SER_hh_tes!P21/SER_hh_num!P21)</f>
        <v>24163.681194682325</v>
      </c>
      <c r="Q21" s="132">
        <f>IF(SER_hh_tes!Q21=0,0,11630*1000*SER_hh_tes!Q21/SER_hh_num!Q21)</f>
        <v>23555.047779477518</v>
      </c>
      <c r="R21" s="132">
        <f>IF(SER_hh_tes!R21=0,0,11630*1000*SER_hh_tes!R21/SER_hh_num!R21)</f>
        <v>25865.554988497159</v>
      </c>
      <c r="S21" s="132">
        <f>IF(SER_hh_tes!S21=0,0,11630*1000*SER_hh_tes!S21/SER_hh_num!S21)</f>
        <v>26476.937601304766</v>
      </c>
      <c r="T21" s="132">
        <f>IF(SER_hh_tes!T21=0,0,11630*1000*SER_hh_tes!T21/SER_hh_num!T21)</f>
        <v>26338.152378028357</v>
      </c>
      <c r="U21" s="132">
        <f>IF(SER_hh_tes!U21=0,0,11630*1000*SER_hh_tes!U21/SER_hh_num!U21)</f>
        <v>28089.317297715785</v>
      </c>
      <c r="V21" s="132">
        <f>IF(SER_hh_tes!V21=0,0,11630*1000*SER_hh_tes!V21/SER_hh_num!V21)</f>
        <v>15668.385017694838</v>
      </c>
      <c r="W21" s="132">
        <f>IF(SER_hh_tes!W21=0,0,11630*1000*SER_hh_tes!W21/SER_hh_num!W21)</f>
        <v>20133.031460265171</v>
      </c>
      <c r="X21" s="132">
        <f>IF(SER_hh_tes!X21=0,0,11630*1000*SER_hh_tes!X21/SER_hh_num!X21)</f>
        <v>24871.232985668725</v>
      </c>
      <c r="Y21" s="132">
        <f>IF(SER_hh_tes!Y21=0,0,11630*1000*SER_hh_tes!Y21/SER_hh_num!Y21)</f>
        <v>25585.698040254843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17827.760301343511</v>
      </c>
      <c r="C22" s="132">
        <f>IF(SER_hh_tes!C22=0,0,11630*1000*SER_hh_tes!C22/SER_hh_num!C22)</f>
        <v>19520.802948603563</v>
      </c>
      <c r="D22" s="132">
        <f>IF(SER_hh_tes!D22=0,0,11630*1000*SER_hh_tes!D22/SER_hh_num!D22)</f>
        <v>20234.520985471099</v>
      </c>
      <c r="E22" s="132">
        <f>IF(SER_hh_tes!E22=0,0,11630*1000*SER_hh_tes!E22/SER_hh_num!E22)</f>
        <v>20295.466499706825</v>
      </c>
      <c r="F22" s="132">
        <f>IF(SER_hh_tes!F22=0,0,11630*1000*SER_hh_tes!F22/SER_hh_num!F22)</f>
        <v>20713.470171905999</v>
      </c>
      <c r="G22" s="132">
        <f>IF(SER_hh_tes!G22=0,0,11630*1000*SER_hh_tes!G22/SER_hh_num!G22)</f>
        <v>21747.405525934388</v>
      </c>
      <c r="H22" s="132">
        <f>IF(SER_hh_tes!H22=0,0,11630*1000*SER_hh_tes!H22/SER_hh_num!H22)</f>
        <v>21720.966257633132</v>
      </c>
      <c r="I22" s="132">
        <f>IF(SER_hh_tes!I22=0,0,11630*1000*SER_hh_tes!I22/SER_hh_num!I22)</f>
        <v>21741.022442412508</v>
      </c>
      <c r="J22" s="132">
        <f>IF(SER_hh_tes!J22=0,0,11630*1000*SER_hh_tes!J22/SER_hh_num!J22)</f>
        <v>21954.2969506505</v>
      </c>
      <c r="K22" s="132">
        <f>IF(SER_hh_tes!K22=0,0,11630*1000*SER_hh_tes!K22/SER_hh_num!K22)</f>
        <v>22067.496678251358</v>
      </c>
      <c r="L22" s="132">
        <f>IF(SER_hh_tes!L22=0,0,11630*1000*SER_hh_tes!L22/SER_hh_num!L22)</f>
        <v>22836.444150012081</v>
      </c>
      <c r="M22" s="132">
        <f>IF(SER_hh_tes!M22=0,0,11630*1000*SER_hh_tes!M22/SER_hh_num!M22)</f>
        <v>23523.217536134918</v>
      </c>
      <c r="N22" s="132">
        <f>IF(SER_hh_tes!N22=0,0,11630*1000*SER_hh_tes!N22/SER_hh_num!N22)</f>
        <v>23696.440623956652</v>
      </c>
      <c r="O22" s="132">
        <f>IF(SER_hh_tes!O22=0,0,11630*1000*SER_hh_tes!O22/SER_hh_num!O22)</f>
        <v>24348.677755785266</v>
      </c>
      <c r="P22" s="132">
        <f>IF(SER_hh_tes!P22=0,0,11630*1000*SER_hh_tes!P22/SER_hh_num!P22)</f>
        <v>25031.929173599365</v>
      </c>
      <c r="Q22" s="132">
        <f>IF(SER_hh_tes!Q22=0,0,11630*1000*SER_hh_tes!Q22/SER_hh_num!Q22)</f>
        <v>25522.717463832782</v>
      </c>
      <c r="R22" s="132">
        <f>IF(SER_hh_tes!R22=0,0,11630*1000*SER_hh_tes!R22/SER_hh_num!R22)</f>
        <v>26085.369552183456</v>
      </c>
      <c r="S22" s="132">
        <f>IF(SER_hh_tes!S22=0,0,11630*1000*SER_hh_tes!S22/SER_hh_num!S22)</f>
        <v>26721.452408274334</v>
      </c>
      <c r="T22" s="132">
        <f>IF(SER_hh_tes!T22=0,0,11630*1000*SER_hh_tes!T22/SER_hh_num!T22)</f>
        <v>25829.393619086393</v>
      </c>
      <c r="U22" s="132">
        <f>IF(SER_hh_tes!U22=0,0,11630*1000*SER_hh_tes!U22/SER_hh_num!U22)</f>
        <v>26678.118575862743</v>
      </c>
      <c r="V22" s="132">
        <f>IF(SER_hh_tes!V22=0,0,11630*1000*SER_hh_tes!V22/SER_hh_num!V22)</f>
        <v>20539.818736271434</v>
      </c>
      <c r="W22" s="132">
        <f>IF(SER_hh_tes!W22=0,0,11630*1000*SER_hh_tes!W22/SER_hh_num!W22)</f>
        <v>19306.757276266115</v>
      </c>
      <c r="X22" s="132">
        <f>IF(SER_hh_tes!X22=0,0,11630*1000*SER_hh_tes!X22/SER_hh_num!X22)</f>
        <v>28409.808359147079</v>
      </c>
      <c r="Y22" s="132">
        <f>IF(SER_hh_tes!Y22=0,0,11630*1000*SER_hh_tes!Y22/SER_hh_num!Y22)</f>
        <v>21317.506754407943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16533.714416654999</v>
      </c>
      <c r="C23" s="132">
        <f>IF(SER_hh_tes!C23=0,0,11630*1000*SER_hh_tes!C23/SER_hh_num!C23)</f>
        <v>19673.124124609178</v>
      </c>
      <c r="D23" s="132">
        <f>IF(SER_hh_tes!D23=0,0,11630*1000*SER_hh_tes!D23/SER_hh_num!D23)</f>
        <v>19946.92962265787</v>
      </c>
      <c r="E23" s="132">
        <f>IF(SER_hh_tes!E23=0,0,11630*1000*SER_hh_tes!E23/SER_hh_num!E23)</f>
        <v>19774.655756850738</v>
      </c>
      <c r="F23" s="132">
        <f>IF(SER_hh_tes!F23=0,0,11630*1000*SER_hh_tes!F23/SER_hh_num!F23)</f>
        <v>17339.517631173665</v>
      </c>
      <c r="G23" s="132">
        <f>IF(SER_hh_tes!G23=0,0,11630*1000*SER_hh_tes!G23/SER_hh_num!G23)</f>
        <v>22571.945192193823</v>
      </c>
      <c r="H23" s="132">
        <f>IF(SER_hh_tes!H23=0,0,11630*1000*SER_hh_tes!H23/SER_hh_num!H23)</f>
        <v>21732.076126596607</v>
      </c>
      <c r="I23" s="132">
        <f>IF(SER_hh_tes!I23=0,0,11630*1000*SER_hh_tes!I23/SER_hh_num!I23)</f>
        <v>22082.776662805358</v>
      </c>
      <c r="J23" s="132">
        <f>IF(SER_hh_tes!J23=0,0,11630*1000*SER_hh_tes!J23/SER_hh_num!J23)</f>
        <v>21511.526472096677</v>
      </c>
      <c r="K23" s="132">
        <f>IF(SER_hh_tes!K23=0,0,11630*1000*SER_hh_tes!K23/SER_hh_num!K23)</f>
        <v>21748.220939437186</v>
      </c>
      <c r="L23" s="132">
        <f>IF(SER_hh_tes!L23=0,0,11630*1000*SER_hh_tes!L23/SER_hh_num!L23)</f>
        <v>23861.945794087838</v>
      </c>
      <c r="M23" s="132">
        <f>IF(SER_hh_tes!M23=0,0,11630*1000*SER_hh_tes!M23/SER_hh_num!M23)</f>
        <v>23764.540410083653</v>
      </c>
      <c r="N23" s="132">
        <f>IF(SER_hh_tes!N23=0,0,11630*1000*SER_hh_tes!N23/SER_hh_num!N23)</f>
        <v>24525.699746283517</v>
      </c>
      <c r="O23" s="132">
        <f>IF(SER_hh_tes!O23=0,0,11630*1000*SER_hh_tes!O23/SER_hh_num!O23)</f>
        <v>25221.124480347251</v>
      </c>
      <c r="P23" s="132">
        <f>IF(SER_hh_tes!P23=0,0,11630*1000*SER_hh_tes!P23/SER_hh_num!P23)</f>
        <v>24143.459151988121</v>
      </c>
      <c r="Q23" s="132">
        <f>IF(SER_hh_tes!Q23=0,0,11630*1000*SER_hh_tes!Q23/SER_hh_num!Q23)</f>
        <v>25821.716621682222</v>
      </c>
      <c r="R23" s="132">
        <f>IF(SER_hh_tes!R23=0,0,11630*1000*SER_hh_tes!R23/SER_hh_num!R23)</f>
        <v>24629.388263121033</v>
      </c>
      <c r="S23" s="132">
        <f>IF(SER_hh_tes!S23=0,0,11630*1000*SER_hh_tes!S23/SER_hh_num!S23)</f>
        <v>25400.590747124406</v>
      </c>
      <c r="T23" s="132">
        <f>IF(SER_hh_tes!T23=0,0,11630*1000*SER_hh_tes!T23/SER_hh_num!T23)</f>
        <v>25714.05465031237</v>
      </c>
      <c r="U23" s="132">
        <f>IF(SER_hh_tes!U23=0,0,11630*1000*SER_hh_tes!U23/SER_hh_num!U23)</f>
        <v>25103.620040002053</v>
      </c>
      <c r="V23" s="132">
        <f>IF(SER_hh_tes!V23=0,0,11630*1000*SER_hh_tes!V23/SER_hh_num!V23)</f>
        <v>24283.971701484395</v>
      </c>
      <c r="W23" s="132">
        <f>IF(SER_hh_tes!W23=0,0,11630*1000*SER_hh_tes!W23/SER_hh_num!W23)</f>
        <v>28189.502744112076</v>
      </c>
      <c r="X23" s="132">
        <f>IF(SER_hh_tes!X23=0,0,11630*1000*SER_hh_tes!X23/SER_hh_num!X23)</f>
        <v>18607.468762577664</v>
      </c>
      <c r="Y23" s="132">
        <f>IF(SER_hh_tes!Y23=0,0,11630*1000*SER_hh_tes!Y23/SER_hh_num!Y23)</f>
        <v>23791.371214404338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0</v>
      </c>
      <c r="C24" s="132">
        <f>IF(SER_hh_tes!C24=0,0,11630*1000*SER_hh_tes!C24/SER_hh_num!C24)</f>
        <v>0</v>
      </c>
      <c r="D24" s="132">
        <f>IF(SER_hh_tes!D24=0,0,11630*1000*SER_hh_tes!D24/SER_hh_num!D24)</f>
        <v>0</v>
      </c>
      <c r="E24" s="132">
        <f>IF(SER_hh_tes!E24=0,0,11630*1000*SER_hh_tes!E24/SER_hh_num!E24)</f>
        <v>0</v>
      </c>
      <c r="F24" s="132">
        <f>IF(SER_hh_tes!F24=0,0,11630*1000*SER_hh_tes!F24/SER_hh_num!F24)</f>
        <v>0</v>
      </c>
      <c r="G24" s="132">
        <f>IF(SER_hh_tes!G24=0,0,11630*1000*SER_hh_tes!G24/SER_hh_num!G24)</f>
        <v>0</v>
      </c>
      <c r="H24" s="132">
        <f>IF(SER_hh_tes!H24=0,0,11630*1000*SER_hh_tes!H24/SER_hh_num!H24)</f>
        <v>0</v>
      </c>
      <c r="I24" s="132">
        <f>IF(SER_hh_tes!I24=0,0,11630*1000*SER_hh_tes!I24/SER_hh_num!I24)</f>
        <v>0</v>
      </c>
      <c r="J24" s="132">
        <f>IF(SER_hh_tes!J24=0,0,11630*1000*SER_hh_tes!J24/SER_hh_num!J24)</f>
        <v>0</v>
      </c>
      <c r="K24" s="132">
        <f>IF(SER_hh_tes!K24=0,0,11630*1000*SER_hh_tes!K24/SER_hh_num!K24)</f>
        <v>0</v>
      </c>
      <c r="L24" s="132">
        <f>IF(SER_hh_tes!L24=0,0,11630*1000*SER_hh_tes!L24/SER_hh_num!L24)</f>
        <v>0</v>
      </c>
      <c r="M24" s="132">
        <f>IF(SER_hh_tes!M24=0,0,11630*1000*SER_hh_tes!M24/SER_hh_num!M24)</f>
        <v>0</v>
      </c>
      <c r="N24" s="132">
        <f>IF(SER_hh_tes!N24=0,0,11630*1000*SER_hh_tes!N24/SER_hh_num!N24)</f>
        <v>0</v>
      </c>
      <c r="O24" s="132">
        <f>IF(SER_hh_tes!O24=0,0,11630*1000*SER_hh_tes!O24/SER_hh_num!O24)</f>
        <v>0</v>
      </c>
      <c r="P24" s="132">
        <f>IF(SER_hh_tes!P24=0,0,11630*1000*SER_hh_tes!P24/SER_hh_num!P24)</f>
        <v>0</v>
      </c>
      <c r="Q24" s="132">
        <f>IF(SER_hh_tes!Q24=0,0,11630*1000*SER_hh_tes!Q24/SER_hh_num!Q24)</f>
        <v>0</v>
      </c>
      <c r="R24" s="132">
        <f>IF(SER_hh_tes!R24=0,0,11630*1000*SER_hh_tes!R24/SER_hh_num!R24)</f>
        <v>0</v>
      </c>
      <c r="S24" s="132">
        <f>IF(SER_hh_tes!S24=0,0,11630*1000*SER_hh_tes!S24/SER_hh_num!S24)</f>
        <v>0</v>
      </c>
      <c r="T24" s="132">
        <f>IF(SER_hh_tes!T24=0,0,11630*1000*SER_hh_tes!T24/SER_hh_num!T24)</f>
        <v>0</v>
      </c>
      <c r="U24" s="132">
        <f>IF(SER_hh_tes!U24=0,0,11630*1000*SER_hh_tes!U24/SER_hh_num!U24)</f>
        <v>0</v>
      </c>
      <c r="V24" s="132">
        <f>IF(SER_hh_tes!V24=0,0,11630*1000*SER_hh_tes!V24/SER_hh_num!V24)</f>
        <v>0</v>
      </c>
      <c r="W24" s="132">
        <f>IF(SER_hh_tes!W24=0,0,11630*1000*SER_hh_tes!W24/SER_hh_num!W24)</f>
        <v>0</v>
      </c>
      <c r="X24" s="132">
        <f>IF(SER_hh_tes!X24=0,0,11630*1000*SER_hh_tes!X24/SER_hh_num!X24)</f>
        <v>0</v>
      </c>
      <c r="Y24" s="132">
        <f>IF(SER_hh_tes!Y24=0,0,11630*1000*SER_hh_tes!Y24/SER_hh_num!Y24)</f>
        <v>0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0</v>
      </c>
      <c r="C25" s="132">
        <f>IF(SER_hh_tes!C25=0,0,11630*1000*SER_hh_tes!C25/SER_hh_num!C25)</f>
        <v>0</v>
      </c>
      <c r="D25" s="132">
        <f>IF(SER_hh_tes!D25=0,0,11630*1000*SER_hh_tes!D25/SER_hh_num!D25)</f>
        <v>0</v>
      </c>
      <c r="E25" s="132">
        <f>IF(SER_hh_tes!E25=0,0,11630*1000*SER_hh_tes!E25/SER_hh_num!E25)</f>
        <v>0</v>
      </c>
      <c r="F25" s="132">
        <f>IF(SER_hh_tes!F25=0,0,11630*1000*SER_hh_tes!F25/SER_hh_num!F25)</f>
        <v>0</v>
      </c>
      <c r="G25" s="132">
        <f>IF(SER_hh_tes!G25=0,0,11630*1000*SER_hh_tes!G25/SER_hh_num!G25)</f>
        <v>0</v>
      </c>
      <c r="H25" s="132">
        <f>IF(SER_hh_tes!H25=0,0,11630*1000*SER_hh_tes!H25/SER_hh_num!H25)</f>
        <v>0</v>
      </c>
      <c r="I25" s="132">
        <f>IF(SER_hh_tes!I25=0,0,11630*1000*SER_hh_tes!I25/SER_hh_num!I25)</f>
        <v>0</v>
      </c>
      <c r="J25" s="132">
        <f>IF(SER_hh_tes!J25=0,0,11630*1000*SER_hh_tes!J25/SER_hh_num!J25)</f>
        <v>0</v>
      </c>
      <c r="K25" s="132">
        <f>IF(SER_hh_tes!K25=0,0,11630*1000*SER_hh_tes!K25/SER_hh_num!K25)</f>
        <v>0</v>
      </c>
      <c r="L25" s="132">
        <f>IF(SER_hh_tes!L25=0,0,11630*1000*SER_hh_tes!L25/SER_hh_num!L25)</f>
        <v>0</v>
      </c>
      <c r="M25" s="132">
        <f>IF(SER_hh_tes!M25=0,0,11630*1000*SER_hh_tes!M25/SER_hh_num!M25)</f>
        <v>0</v>
      </c>
      <c r="N25" s="132">
        <f>IF(SER_hh_tes!N25=0,0,11630*1000*SER_hh_tes!N25/SER_hh_num!N25)</f>
        <v>0</v>
      </c>
      <c r="O25" s="132">
        <f>IF(SER_hh_tes!O25=0,0,11630*1000*SER_hh_tes!O25/SER_hh_num!O25)</f>
        <v>0</v>
      </c>
      <c r="P25" s="132">
        <f>IF(SER_hh_tes!P25=0,0,11630*1000*SER_hh_tes!P25/SER_hh_num!P25)</f>
        <v>0</v>
      </c>
      <c r="Q25" s="132">
        <f>IF(SER_hh_tes!Q25=0,0,11630*1000*SER_hh_tes!Q25/SER_hh_num!Q25)</f>
        <v>0</v>
      </c>
      <c r="R25" s="132">
        <f>IF(SER_hh_tes!R25=0,0,11630*1000*SER_hh_tes!R25/SER_hh_num!R25)</f>
        <v>0</v>
      </c>
      <c r="S25" s="132">
        <f>IF(SER_hh_tes!S25=0,0,11630*1000*SER_hh_tes!S25/SER_hh_num!S25)</f>
        <v>0</v>
      </c>
      <c r="T25" s="132">
        <f>IF(SER_hh_tes!T25=0,0,11630*1000*SER_hh_tes!T25/SER_hh_num!T25)</f>
        <v>0</v>
      </c>
      <c r="U25" s="132">
        <f>IF(SER_hh_tes!U25=0,0,11630*1000*SER_hh_tes!U25/SER_hh_num!U25)</f>
        <v>0</v>
      </c>
      <c r="V25" s="132">
        <f>IF(SER_hh_tes!V25=0,0,11630*1000*SER_hh_tes!V25/SER_hh_num!V25)</f>
        <v>0</v>
      </c>
      <c r="W25" s="132">
        <f>IF(SER_hh_tes!W25=0,0,11630*1000*SER_hh_tes!W25/SER_hh_num!W25)</f>
        <v>0</v>
      </c>
      <c r="X25" s="132">
        <f>IF(SER_hh_tes!X25=0,0,11630*1000*SER_hh_tes!X25/SER_hh_num!X25)</f>
        <v>0</v>
      </c>
      <c r="Y25" s="132">
        <f>IF(SER_hh_tes!Y25=0,0,11630*1000*SER_hh_tes!Y25/SER_hh_num!Y25)</f>
        <v>0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17725.790355053519</v>
      </c>
      <c r="C26" s="65">
        <f>IF(SER_hh_tes!C26=0,0,11630*1000*SER_hh_tes!C26/SER_hh_num!C26)</f>
        <v>18454.867500601373</v>
      </c>
      <c r="D26" s="65">
        <f>IF(SER_hh_tes!D26=0,0,11630*1000*SER_hh_tes!D26/SER_hh_num!D26)</f>
        <v>19422.959559614832</v>
      </c>
      <c r="E26" s="65">
        <f>IF(SER_hh_tes!E26=0,0,11630*1000*SER_hh_tes!E26/SER_hh_num!E26)</f>
        <v>19658.209207558124</v>
      </c>
      <c r="F26" s="65">
        <f>IF(SER_hh_tes!F26=0,0,11630*1000*SER_hh_tes!F26/SER_hh_num!F26)</f>
        <v>20103.606800692181</v>
      </c>
      <c r="G26" s="65">
        <f>IF(SER_hh_tes!G26=0,0,11630*1000*SER_hh_tes!G26/SER_hh_num!G26)</f>
        <v>21214.287768778715</v>
      </c>
      <c r="H26" s="65">
        <f>IF(SER_hh_tes!H26=0,0,11630*1000*SER_hh_tes!H26/SER_hh_num!H26)</f>
        <v>20917.490021308258</v>
      </c>
      <c r="I26" s="65">
        <f>IF(SER_hh_tes!I26=0,0,11630*1000*SER_hh_tes!I26/SER_hh_num!I26)</f>
        <v>20375.655573817337</v>
      </c>
      <c r="J26" s="65">
        <f>IF(SER_hh_tes!J26=0,0,11630*1000*SER_hh_tes!J26/SER_hh_num!J26)</f>
        <v>20592.347232041164</v>
      </c>
      <c r="K26" s="65">
        <f>IF(SER_hh_tes!K26=0,0,11630*1000*SER_hh_tes!K26/SER_hh_num!K26)</f>
        <v>21032.396962366016</v>
      </c>
      <c r="L26" s="65">
        <f>IF(SER_hh_tes!L26=0,0,11630*1000*SER_hh_tes!L26/SER_hh_num!L26)</f>
        <v>22112.230122375149</v>
      </c>
      <c r="M26" s="65">
        <f>IF(SER_hh_tes!M26=0,0,11630*1000*SER_hh_tes!M26/SER_hh_num!M26)</f>
        <v>22931.625977141783</v>
      </c>
      <c r="N26" s="65">
        <f>IF(SER_hh_tes!N26=0,0,11630*1000*SER_hh_tes!N26/SER_hh_num!N26)</f>
        <v>22796.679302612236</v>
      </c>
      <c r="O26" s="65">
        <f>IF(SER_hh_tes!O26=0,0,11630*1000*SER_hh_tes!O26/SER_hh_num!O26)</f>
        <v>23135.19386253256</v>
      </c>
      <c r="P26" s="65">
        <f>IF(SER_hh_tes!P26=0,0,11630*1000*SER_hh_tes!P26/SER_hh_num!P26)</f>
        <v>24017.328340145807</v>
      </c>
      <c r="Q26" s="65">
        <f>IF(SER_hh_tes!Q26=0,0,11630*1000*SER_hh_tes!Q26/SER_hh_num!Q26)</f>
        <v>24249.338925092859</v>
      </c>
      <c r="R26" s="65">
        <f>IF(SER_hh_tes!R26=0,0,11630*1000*SER_hh_tes!R26/SER_hh_num!R26)</f>
        <v>24358.1612325854</v>
      </c>
      <c r="S26" s="65">
        <f>IF(SER_hh_tes!S26=0,0,11630*1000*SER_hh_tes!S26/SER_hh_num!S26)</f>
        <v>24340.262048282279</v>
      </c>
      <c r="T26" s="65">
        <f>IF(SER_hh_tes!T26=0,0,11630*1000*SER_hh_tes!T26/SER_hh_num!T26)</f>
        <v>24413.950229410937</v>
      </c>
      <c r="U26" s="65">
        <f>IF(SER_hh_tes!U26=0,0,11630*1000*SER_hh_tes!U26/SER_hh_num!U26)</f>
        <v>23966.046397934926</v>
      </c>
      <c r="V26" s="65">
        <f>IF(SER_hh_tes!V26=0,0,11630*1000*SER_hh_tes!V26/SER_hh_num!V26)</f>
        <v>21620.492994097334</v>
      </c>
      <c r="W26" s="65">
        <f>IF(SER_hh_tes!W26=0,0,11630*1000*SER_hh_tes!W26/SER_hh_num!W26)</f>
        <v>21537.217827443761</v>
      </c>
      <c r="X26" s="65">
        <f>IF(SER_hh_tes!X26=0,0,11630*1000*SER_hh_tes!X26/SER_hh_num!X26)</f>
        <v>23338.013859165621</v>
      </c>
      <c r="Y26" s="65">
        <f>IF(SER_hh_tes!Y26=0,0,11630*1000*SER_hh_tes!Y26/SER_hh_num!Y26)</f>
        <v>23383.744076272098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816.58095573709443</v>
      </c>
      <c r="C27" s="145">
        <f>IF(SER_hh_tes!C27=0,0,11630*1000*SER_hh_tes!C27/SER_hh_num!C19)</f>
        <v>794.42630457811674</v>
      </c>
      <c r="D27" s="145">
        <f>IF(SER_hh_tes!D27=0,0,11630*1000*SER_hh_tes!D27/SER_hh_num!D19)</f>
        <v>783.81064760748359</v>
      </c>
      <c r="E27" s="145">
        <f>IF(SER_hh_tes!E27=0,0,11630*1000*SER_hh_tes!E27/SER_hh_num!E19)</f>
        <v>771.84532209420797</v>
      </c>
      <c r="F27" s="145">
        <f>IF(SER_hh_tes!F27=0,0,11630*1000*SER_hh_tes!F27/SER_hh_num!F19)</f>
        <v>766.80506272487912</v>
      </c>
      <c r="G27" s="145">
        <f>IF(SER_hh_tes!G27=0,0,11630*1000*SER_hh_tes!G27/SER_hh_num!G19)</f>
        <v>700.65492124441744</v>
      </c>
      <c r="H27" s="145">
        <f>IF(SER_hh_tes!H27=0,0,11630*1000*SER_hh_tes!H27/SER_hh_num!H19)</f>
        <v>725.70408974986299</v>
      </c>
      <c r="I27" s="145">
        <f>IF(SER_hh_tes!I27=0,0,11630*1000*SER_hh_tes!I27/SER_hh_num!I19)</f>
        <v>764.07899679804825</v>
      </c>
      <c r="J27" s="145">
        <f>IF(SER_hh_tes!J27=0,0,11630*1000*SER_hh_tes!J27/SER_hh_num!J19)</f>
        <v>867.54096351174849</v>
      </c>
      <c r="K27" s="145">
        <f>IF(SER_hh_tes!K27=0,0,11630*1000*SER_hh_tes!K27/SER_hh_num!K19)</f>
        <v>952.64262461849205</v>
      </c>
      <c r="L27" s="145">
        <f>IF(SER_hh_tes!L27=0,0,11630*1000*SER_hh_tes!L27/SER_hh_num!L19)</f>
        <v>988.18687289827949</v>
      </c>
      <c r="M27" s="145">
        <f>IF(SER_hh_tes!M27=0,0,11630*1000*SER_hh_tes!M27/SER_hh_num!M19)</f>
        <v>1011.8003347413717</v>
      </c>
      <c r="N27" s="145">
        <f>IF(SER_hh_tes!N27=0,0,11630*1000*SER_hh_tes!N27/SER_hh_num!N19)</f>
        <v>1018.2969207543669</v>
      </c>
      <c r="O27" s="145">
        <f>IF(SER_hh_tes!O27=0,0,11630*1000*SER_hh_tes!O27/SER_hh_num!O19)</f>
        <v>1033.5471470602213</v>
      </c>
      <c r="P27" s="145">
        <f>IF(SER_hh_tes!P27=0,0,11630*1000*SER_hh_tes!P27/SER_hh_num!P19)</f>
        <v>1059.3232230743006</v>
      </c>
      <c r="Q27" s="145">
        <f>IF(SER_hh_tes!Q27=0,0,11630*1000*SER_hh_tes!Q27/SER_hh_num!Q19)</f>
        <v>1080.2772230421508</v>
      </c>
      <c r="R27" s="145">
        <f>IF(SER_hh_tes!R27=0,0,11630*1000*SER_hh_tes!R27/SER_hh_num!R19)</f>
        <v>1101.3904996210947</v>
      </c>
      <c r="S27" s="145">
        <f>IF(SER_hh_tes!S27=0,0,11630*1000*SER_hh_tes!S27/SER_hh_num!S19)</f>
        <v>1123.5076296665434</v>
      </c>
      <c r="T27" s="145">
        <f>IF(SER_hh_tes!T27=0,0,11630*1000*SER_hh_tes!T27/SER_hh_num!T19)</f>
        <v>1139.6361783893351</v>
      </c>
      <c r="U27" s="145">
        <f>IF(SER_hh_tes!U27=0,0,11630*1000*SER_hh_tes!U27/SER_hh_num!U19)</f>
        <v>1151.6657856950719</v>
      </c>
      <c r="V27" s="145">
        <f>IF(SER_hh_tes!V27=0,0,11630*1000*SER_hh_tes!V27/SER_hh_num!V19)</f>
        <v>1171.4382495831239</v>
      </c>
      <c r="W27" s="145">
        <f>IF(SER_hh_tes!W27=0,0,11630*1000*SER_hh_tes!W27/SER_hh_num!W19)</f>
        <v>1206.0920365135196</v>
      </c>
      <c r="X27" s="145">
        <f>IF(SER_hh_tes!X27=0,0,11630*1000*SER_hh_tes!X27/SER_hh_num!X19)</f>
        <v>1260.9460322317934</v>
      </c>
      <c r="Y27" s="145">
        <f>IF(SER_hh_tes!Y27=0,0,11630*1000*SER_hh_tes!Y27/SER_hh_num!Y19)</f>
        <v>1324.2763726706221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14808.215774536884</v>
      </c>
      <c r="C28" s="146">
        <f>IF(SER_hh_tes!C27=0,0,11630*1000*SER_hh_tes!C27/SER_hh_num!C27)</f>
        <v>15482.7785789586</v>
      </c>
      <c r="D28" s="146">
        <f>IF(SER_hh_tes!D27=0,0,11630*1000*SER_hh_tes!D27/SER_hh_num!D27)</f>
        <v>16130.956019414751</v>
      </c>
      <c r="E28" s="146">
        <f>IF(SER_hh_tes!E27=0,0,11630*1000*SER_hh_tes!E27/SER_hh_num!E27)</f>
        <v>16432.085530853765</v>
      </c>
      <c r="F28" s="146">
        <f>IF(SER_hh_tes!F27=0,0,11630*1000*SER_hh_tes!F27/SER_hh_num!F27)</f>
        <v>16629.556456968709</v>
      </c>
      <c r="G28" s="146">
        <f>IF(SER_hh_tes!G27=0,0,11630*1000*SER_hh_tes!G27/SER_hh_num!G27)</f>
        <v>16989.838427008741</v>
      </c>
      <c r="H28" s="146">
        <f>IF(SER_hh_tes!H27=0,0,11630*1000*SER_hh_tes!H27/SER_hh_num!H27)</f>
        <v>17271.084403664216</v>
      </c>
      <c r="I28" s="146">
        <f>IF(SER_hh_tes!I27=0,0,11630*1000*SER_hh_tes!I27/SER_hh_num!I27)</f>
        <v>16911.686500799973</v>
      </c>
      <c r="J28" s="146">
        <f>IF(SER_hh_tes!J27=0,0,11630*1000*SER_hh_tes!J27/SER_hh_num!J27)</f>
        <v>17209.108796593788</v>
      </c>
      <c r="K28" s="146">
        <f>IF(SER_hh_tes!K27=0,0,11630*1000*SER_hh_tes!K27/SER_hh_num!K27)</f>
        <v>17567.481002233693</v>
      </c>
      <c r="L28" s="146">
        <f>IF(SER_hh_tes!L27=0,0,11630*1000*SER_hh_tes!L27/SER_hh_num!L27)</f>
        <v>18470.214059306152</v>
      </c>
      <c r="M28" s="146">
        <f>IF(SER_hh_tes!M27=0,0,11630*1000*SER_hh_tes!M27/SER_hh_num!M27)</f>
        <v>19181.90865923501</v>
      </c>
      <c r="N28" s="146">
        <f>IF(SER_hh_tes!N27=0,0,11630*1000*SER_hh_tes!N27/SER_hh_num!N27)</f>
        <v>19981.16351567263</v>
      </c>
      <c r="O28" s="146">
        <f>IF(SER_hh_tes!O27=0,0,11630*1000*SER_hh_tes!O27/SER_hh_num!O27)</f>
        <v>19927.934305309791</v>
      </c>
      <c r="P28" s="146">
        <f>IF(SER_hh_tes!P27=0,0,11630*1000*SER_hh_tes!P27/SER_hh_num!P27)</f>
        <v>20591.705311933747</v>
      </c>
      <c r="Q28" s="146">
        <f>IF(SER_hh_tes!Q27=0,0,11630*1000*SER_hh_tes!Q27/SER_hh_num!Q27)</f>
        <v>21080.663763846766</v>
      </c>
      <c r="R28" s="146">
        <f>IF(SER_hh_tes!R27=0,0,11630*1000*SER_hh_tes!R27/SER_hh_num!R27)</f>
        <v>20619.601995623947</v>
      </c>
      <c r="S28" s="146">
        <f>IF(SER_hh_tes!S27=0,0,11630*1000*SER_hh_tes!S27/SER_hh_num!S27)</f>
        <v>20686.312349711119</v>
      </c>
      <c r="T28" s="146">
        <f>IF(SER_hh_tes!T27=0,0,11630*1000*SER_hh_tes!T27/SER_hh_num!T27)</f>
        <v>21140.684845812371</v>
      </c>
      <c r="U28" s="146">
        <f>IF(SER_hh_tes!U27=0,0,11630*1000*SER_hh_tes!U27/SER_hh_num!U27)</f>
        <v>21267.438897054213</v>
      </c>
      <c r="V28" s="146">
        <f>IF(SER_hh_tes!V27=0,0,11630*1000*SER_hh_tes!V27/SER_hh_num!V27)</f>
        <v>19265.174184359574</v>
      </c>
      <c r="W28" s="146">
        <f>IF(SER_hh_tes!W27=0,0,11630*1000*SER_hh_tes!W27/SER_hh_num!W27)</f>
        <v>18756.441591296531</v>
      </c>
      <c r="X28" s="146">
        <f>IF(SER_hh_tes!X27=0,0,11630*1000*SER_hh_tes!X27/SER_hh_num!X27)</f>
        <v>19854.110821831404</v>
      </c>
      <c r="Y28" s="146">
        <f>IF(SER_hh_tes!Y27=0,0,11630*1000*SER_hh_tes!Y27/SER_hh_num!Y27)</f>
        <v>20913.542008860564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24812.716437048803</v>
      </c>
      <c r="C29" s="130">
        <f>IF(SER_hh_tes!C29=0,0,11630*1000*SER_hh_tes!C29/SER_hh_num!C29)</f>
        <v>25352.338899833372</v>
      </c>
      <c r="D29" s="130">
        <f>IF(SER_hh_tes!D29=0,0,11630*1000*SER_hh_tes!D29/SER_hh_num!D29)</f>
        <v>26322.524550610065</v>
      </c>
      <c r="E29" s="130">
        <f>IF(SER_hh_tes!E29=0,0,11630*1000*SER_hh_tes!E29/SER_hh_num!E29)</f>
        <v>25885.171390071788</v>
      </c>
      <c r="F29" s="130">
        <f>IF(SER_hh_tes!F29=0,0,11630*1000*SER_hh_tes!F29/SER_hh_num!F29)</f>
        <v>26459.10792516905</v>
      </c>
      <c r="G29" s="130">
        <f>IF(SER_hh_tes!G29=0,0,11630*1000*SER_hh_tes!G29/SER_hh_num!G29)</f>
        <v>26818.325205557809</v>
      </c>
      <c r="H29" s="130">
        <f>IF(SER_hh_tes!H29=0,0,11630*1000*SER_hh_tes!H29/SER_hh_num!H29)</f>
        <v>26218.302835514802</v>
      </c>
      <c r="I29" s="130">
        <f>IF(SER_hh_tes!I29=0,0,11630*1000*SER_hh_tes!I29/SER_hh_num!I29)</f>
        <v>25532.724149744932</v>
      </c>
      <c r="J29" s="130">
        <f>IF(SER_hh_tes!J29=0,0,11630*1000*SER_hh_tes!J29/SER_hh_num!J29)</f>
        <v>25317.420316071646</v>
      </c>
      <c r="K29" s="130">
        <f>IF(SER_hh_tes!K29=0,0,11630*1000*SER_hh_tes!K29/SER_hh_num!K29)</f>
        <v>26024.565288582449</v>
      </c>
      <c r="L29" s="130">
        <f>IF(SER_hh_tes!L29=0,0,11630*1000*SER_hh_tes!L29/SER_hh_num!L29)</f>
        <v>27214.895005983664</v>
      </c>
      <c r="M29" s="130">
        <f>IF(SER_hh_tes!M29=0,0,11630*1000*SER_hh_tes!M29/SER_hh_num!M29)</f>
        <v>28096.403888938705</v>
      </c>
      <c r="N29" s="130">
        <f>IF(SER_hh_tes!N29=0,0,11630*1000*SER_hh_tes!N29/SER_hh_num!N29)</f>
        <v>27968.455785533646</v>
      </c>
      <c r="O29" s="130">
        <f>IF(SER_hh_tes!O29=0,0,11630*1000*SER_hh_tes!O29/SER_hh_num!O29)</f>
        <v>28551.31745612956</v>
      </c>
      <c r="P29" s="130">
        <f>IF(SER_hh_tes!P29=0,0,11630*1000*SER_hh_tes!P29/SER_hh_num!P29)</f>
        <v>28760.0591296895</v>
      </c>
      <c r="Q29" s="130">
        <f>IF(SER_hh_tes!Q29=0,0,11630*1000*SER_hh_tes!Q29/SER_hh_num!Q29)</f>
        <v>28339.77322502495</v>
      </c>
      <c r="R29" s="130">
        <f>IF(SER_hh_tes!R29=0,0,11630*1000*SER_hh_tes!R29/SER_hh_num!R29)</f>
        <v>28550.89209289417</v>
      </c>
      <c r="S29" s="130">
        <f>IF(SER_hh_tes!S29=0,0,11630*1000*SER_hh_tes!S29/SER_hh_num!S29)</f>
        <v>28541.056118073197</v>
      </c>
      <c r="T29" s="130">
        <f>IF(SER_hh_tes!T29=0,0,11630*1000*SER_hh_tes!T29/SER_hh_num!T29)</f>
        <v>28466.319572465862</v>
      </c>
      <c r="U29" s="130">
        <f>IF(SER_hh_tes!U29=0,0,11630*1000*SER_hh_tes!U29/SER_hh_num!U29)</f>
        <v>27847.139160262541</v>
      </c>
      <c r="V29" s="130">
        <f>IF(SER_hh_tes!V29=0,0,11630*1000*SER_hh_tes!V29/SER_hh_num!V29)</f>
        <v>23925.318507324377</v>
      </c>
      <c r="W29" s="130">
        <f>IF(SER_hh_tes!W29=0,0,11630*1000*SER_hh_tes!W29/SER_hh_num!W29)</f>
        <v>26858.527824829103</v>
      </c>
      <c r="X29" s="130">
        <f>IF(SER_hh_tes!X29=0,0,11630*1000*SER_hh_tes!X29/SER_hh_num!X29)</f>
        <v>26719.976799731674</v>
      </c>
      <c r="Y29" s="130">
        <f>IF(SER_hh_tes!Y29=0,0,11630*1000*SER_hh_tes!Y29/SER_hh_num!Y29)</f>
        <v>27003.436685574485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24769.730323619042</v>
      </c>
      <c r="C30" s="132">
        <f>IF(SER_hh_tes!C30=0,0,11630*1000*SER_hh_tes!C30/SER_hh_num!C30)</f>
        <v>28358.248514696908</v>
      </c>
      <c r="D30" s="132">
        <f>IF(SER_hh_tes!D30=0,0,11630*1000*SER_hh_tes!D30/SER_hh_num!D30)</f>
        <v>17388.419601952777</v>
      </c>
      <c r="E30" s="132">
        <f>IF(SER_hh_tes!E30=0,0,11630*1000*SER_hh_tes!E30/SER_hh_num!E30)</f>
        <v>17542.234885268386</v>
      </c>
      <c r="F30" s="132">
        <f>IF(SER_hh_tes!F30=0,0,11630*1000*SER_hh_tes!F30/SER_hh_num!F30)</f>
        <v>34988.807228906735</v>
      </c>
      <c r="G30" s="132">
        <f>IF(SER_hh_tes!G30=0,0,11630*1000*SER_hh_tes!G30/SER_hh_num!G30)</f>
        <v>27806.499117655803</v>
      </c>
      <c r="H30" s="132">
        <f>IF(SER_hh_tes!H30=0,0,11630*1000*SER_hh_tes!H30/SER_hh_num!H30)</f>
        <v>26200.061502509507</v>
      </c>
      <c r="I30" s="132">
        <f>IF(SER_hh_tes!I30=0,0,11630*1000*SER_hh_tes!I30/SER_hh_num!I30)</f>
        <v>25402.675210971418</v>
      </c>
      <c r="J30" s="132">
        <f>IF(SER_hh_tes!J30=0,0,11630*1000*SER_hh_tes!J30/SER_hh_num!J30)</f>
        <v>24076.566654315797</v>
      </c>
      <c r="K30" s="132">
        <f>IF(SER_hh_tes!K30=0,0,11630*1000*SER_hh_tes!K30/SER_hh_num!K30)</f>
        <v>22505.062950257019</v>
      </c>
      <c r="L30" s="132">
        <f>IF(SER_hh_tes!L30=0,0,11630*1000*SER_hh_tes!L30/SER_hh_num!L30)</f>
        <v>24026.127398376982</v>
      </c>
      <c r="M30" s="132">
        <f>IF(SER_hh_tes!M30=0,0,11630*1000*SER_hh_tes!M30/SER_hh_num!M30)</f>
        <v>17278.138455759989</v>
      </c>
      <c r="N30" s="132">
        <f>IF(SER_hh_tes!N30=0,0,11630*1000*SER_hh_tes!N30/SER_hh_num!N30)</f>
        <v>47589.998264681934</v>
      </c>
      <c r="O30" s="132">
        <f>IF(SER_hh_tes!O30=0,0,11630*1000*SER_hh_tes!O30/SER_hh_num!O30)</f>
        <v>32689.991026612159</v>
      </c>
      <c r="P30" s="132">
        <f>IF(SER_hh_tes!P30=0,0,11630*1000*SER_hh_tes!P30/SER_hh_num!P30)</f>
        <v>19399.940687150851</v>
      </c>
      <c r="Q30" s="132">
        <f>IF(SER_hh_tes!Q30=0,0,11630*1000*SER_hh_tes!Q30/SER_hh_num!Q30)</f>
        <v>22947.116507800947</v>
      </c>
      <c r="R30" s="132">
        <f>IF(SER_hh_tes!R30=0,0,11630*1000*SER_hh_tes!R30/SER_hh_num!R30)</f>
        <v>25970.812234269022</v>
      </c>
      <c r="S30" s="132">
        <f>IF(SER_hh_tes!S30=0,0,11630*1000*SER_hh_tes!S30/SER_hh_num!S30)</f>
        <v>28451.008719719794</v>
      </c>
      <c r="T30" s="132">
        <f>IF(SER_hh_tes!T30=0,0,11630*1000*SER_hh_tes!T30/SER_hh_num!T30)</f>
        <v>28925.424278862498</v>
      </c>
      <c r="U30" s="132">
        <f>IF(SER_hh_tes!U30=0,0,11630*1000*SER_hh_tes!U30/SER_hh_num!U30)</f>
        <v>31123.947664956406</v>
      </c>
      <c r="V30" s="132">
        <f>IF(SER_hh_tes!V30=0,0,11630*1000*SER_hh_tes!V30/SER_hh_num!V30)</f>
        <v>19369.533194827851</v>
      </c>
      <c r="W30" s="132">
        <f>IF(SER_hh_tes!W30=0,0,11630*1000*SER_hh_tes!W30/SER_hh_num!W30)</f>
        <v>25081.39153200838</v>
      </c>
      <c r="X30" s="132">
        <f>IF(SER_hh_tes!X30=0,0,11630*1000*SER_hh_tes!X30/SER_hh_num!X30)</f>
        <v>26665.856912135121</v>
      </c>
      <c r="Y30" s="132">
        <f>IF(SER_hh_tes!Y30=0,0,11630*1000*SER_hh_tes!Y30/SER_hh_num!Y30)</f>
        <v>28882.218154022579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22245.164148817632</v>
      </c>
      <c r="C31" s="132">
        <f>IF(SER_hh_tes!C31=0,0,11630*1000*SER_hh_tes!C31/SER_hh_num!C31)</f>
        <v>24229.605184640528</v>
      </c>
      <c r="D31" s="132">
        <f>IF(SER_hh_tes!D31=0,0,11630*1000*SER_hh_tes!D31/SER_hh_num!D31)</f>
        <v>23297.686299573528</v>
      </c>
      <c r="E31" s="132">
        <f>IF(SER_hh_tes!E31=0,0,11630*1000*SER_hh_tes!E31/SER_hh_num!E31)</f>
        <v>24468.306534976829</v>
      </c>
      <c r="F31" s="132">
        <f>IF(SER_hh_tes!F31=0,0,11630*1000*SER_hh_tes!F31/SER_hh_num!F31)</f>
        <v>25010.573546201045</v>
      </c>
      <c r="G31" s="132">
        <f>IF(SER_hh_tes!G31=0,0,11630*1000*SER_hh_tes!G31/SER_hh_num!G31)</f>
        <v>27979.19643403908</v>
      </c>
      <c r="H31" s="132">
        <f>IF(SER_hh_tes!H31=0,0,11630*1000*SER_hh_tes!H31/SER_hh_num!H31)</f>
        <v>26048.442376204261</v>
      </c>
      <c r="I31" s="132">
        <f>IF(SER_hh_tes!I31=0,0,11630*1000*SER_hh_tes!I31/SER_hh_num!I31)</f>
        <v>24971.51907291546</v>
      </c>
      <c r="J31" s="132">
        <f>IF(SER_hh_tes!J31=0,0,11630*1000*SER_hh_tes!J31/SER_hh_num!J31)</f>
        <v>24800.844208281833</v>
      </c>
      <c r="K31" s="132">
        <f>IF(SER_hh_tes!K31=0,0,11630*1000*SER_hh_tes!K31/SER_hh_num!K31)</f>
        <v>26488.978006294117</v>
      </c>
      <c r="L31" s="132">
        <f>IF(SER_hh_tes!L31=0,0,11630*1000*SER_hh_tes!L31/SER_hh_num!L31)</f>
        <v>27671.948640372204</v>
      </c>
      <c r="M31" s="132">
        <f>IF(SER_hh_tes!M31=0,0,11630*1000*SER_hh_tes!M31/SER_hh_num!M31)</f>
        <v>28826.236409452744</v>
      </c>
      <c r="N31" s="132">
        <f>IF(SER_hh_tes!N31=0,0,11630*1000*SER_hh_tes!N31/SER_hh_num!N31)</f>
        <v>28471.115104535846</v>
      </c>
      <c r="O31" s="132">
        <f>IF(SER_hh_tes!O31=0,0,11630*1000*SER_hh_tes!O31/SER_hh_num!O31)</f>
        <v>28113.313066708884</v>
      </c>
      <c r="P31" s="132">
        <f>IF(SER_hh_tes!P31=0,0,11630*1000*SER_hh_tes!P31/SER_hh_num!P31)</f>
        <v>29105.53708447887</v>
      </c>
      <c r="Q31" s="132">
        <f>IF(SER_hh_tes!Q31=0,0,11630*1000*SER_hh_tes!Q31/SER_hh_num!Q31)</f>
        <v>29070.982634444885</v>
      </c>
      <c r="R31" s="132">
        <f>IF(SER_hh_tes!R31=0,0,11630*1000*SER_hh_tes!R31/SER_hh_num!R31)</f>
        <v>28521.110667210778</v>
      </c>
      <c r="S31" s="132">
        <f>IF(SER_hh_tes!S31=0,0,11630*1000*SER_hh_tes!S31/SER_hh_num!S31)</f>
        <v>28124.303718553521</v>
      </c>
      <c r="T31" s="132">
        <f>IF(SER_hh_tes!T31=0,0,11630*1000*SER_hh_tes!T31/SER_hh_num!T31)</f>
        <v>27627.499264471946</v>
      </c>
      <c r="U31" s="132">
        <f>IF(SER_hh_tes!U31=0,0,11630*1000*SER_hh_tes!U31/SER_hh_num!U31)</f>
        <v>27460.431012537276</v>
      </c>
      <c r="V31" s="132">
        <f>IF(SER_hh_tes!V31=0,0,11630*1000*SER_hh_tes!V31/SER_hh_num!V31)</f>
        <v>25627.128764867099</v>
      </c>
      <c r="W31" s="132">
        <f>IF(SER_hh_tes!W31=0,0,11630*1000*SER_hh_tes!W31/SER_hh_num!W31)</f>
        <v>29107.754678609013</v>
      </c>
      <c r="X31" s="132">
        <f>IF(SER_hh_tes!X31=0,0,11630*1000*SER_hh_tes!X31/SER_hh_num!X31)</f>
        <v>25367.887584578279</v>
      </c>
      <c r="Y31" s="132">
        <f>IF(SER_hh_tes!Y31=0,0,11630*1000*SER_hh_tes!Y31/SER_hh_num!Y31)</f>
        <v>26025.825706336374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0</v>
      </c>
      <c r="C32" s="132">
        <f>IF(SER_hh_tes!C32=0,0,11630*1000*SER_hh_tes!C32/SER_hh_num!C32)</f>
        <v>0</v>
      </c>
      <c r="D32" s="132">
        <f>IF(SER_hh_tes!D32=0,0,11630*1000*SER_hh_tes!D32/SER_hh_num!D32)</f>
        <v>0</v>
      </c>
      <c r="E32" s="132">
        <f>IF(SER_hh_tes!E32=0,0,11630*1000*SER_hh_tes!E32/SER_hh_num!E32)</f>
        <v>0</v>
      </c>
      <c r="F32" s="132">
        <f>IF(SER_hh_tes!F32=0,0,11630*1000*SER_hh_tes!F32/SER_hh_num!F32)</f>
        <v>0</v>
      </c>
      <c r="G32" s="132">
        <f>IF(SER_hh_tes!G32=0,0,11630*1000*SER_hh_tes!G32/SER_hh_num!G32)</f>
        <v>0</v>
      </c>
      <c r="H32" s="132">
        <f>IF(SER_hh_tes!H32=0,0,11630*1000*SER_hh_tes!H32/SER_hh_num!H32)</f>
        <v>0</v>
      </c>
      <c r="I32" s="132">
        <f>IF(SER_hh_tes!I32=0,0,11630*1000*SER_hh_tes!I32/SER_hh_num!I32)</f>
        <v>0</v>
      </c>
      <c r="J32" s="132">
        <f>IF(SER_hh_tes!J32=0,0,11630*1000*SER_hh_tes!J32/SER_hh_num!J32)</f>
        <v>0</v>
      </c>
      <c r="K32" s="132">
        <f>IF(SER_hh_tes!K32=0,0,11630*1000*SER_hh_tes!K32/SER_hh_num!K32)</f>
        <v>0</v>
      </c>
      <c r="L32" s="132">
        <f>IF(SER_hh_tes!L32=0,0,11630*1000*SER_hh_tes!L32/SER_hh_num!L32)</f>
        <v>0</v>
      </c>
      <c r="M32" s="132">
        <f>IF(SER_hh_tes!M32=0,0,11630*1000*SER_hh_tes!M32/SER_hh_num!M32)</f>
        <v>0</v>
      </c>
      <c r="N32" s="132">
        <f>IF(SER_hh_tes!N32=0,0,11630*1000*SER_hh_tes!N32/SER_hh_num!N32)</f>
        <v>0</v>
      </c>
      <c r="O32" s="132">
        <f>IF(SER_hh_tes!O32=0,0,11630*1000*SER_hh_tes!O32/SER_hh_num!O32)</f>
        <v>0</v>
      </c>
      <c r="P32" s="132">
        <f>IF(SER_hh_tes!P32=0,0,11630*1000*SER_hh_tes!P32/SER_hh_num!P32)</f>
        <v>0</v>
      </c>
      <c r="Q32" s="132">
        <f>IF(SER_hh_tes!Q32=0,0,11630*1000*SER_hh_tes!Q32/SER_hh_num!Q32)</f>
        <v>0</v>
      </c>
      <c r="R32" s="132">
        <f>IF(SER_hh_tes!R32=0,0,11630*1000*SER_hh_tes!R32/SER_hh_num!R32)</f>
        <v>0</v>
      </c>
      <c r="S32" s="132">
        <f>IF(SER_hh_tes!S32=0,0,11630*1000*SER_hh_tes!S32/SER_hh_num!S32)</f>
        <v>0</v>
      </c>
      <c r="T32" s="132">
        <f>IF(SER_hh_tes!T32=0,0,11630*1000*SER_hh_tes!T32/SER_hh_num!T32)</f>
        <v>0</v>
      </c>
      <c r="U32" s="132">
        <f>IF(SER_hh_tes!U32=0,0,11630*1000*SER_hh_tes!U32/SER_hh_num!U32)</f>
        <v>0</v>
      </c>
      <c r="V32" s="132">
        <f>IF(SER_hh_tes!V32=0,0,11630*1000*SER_hh_tes!V32/SER_hh_num!V32)</f>
        <v>0</v>
      </c>
      <c r="W32" s="132">
        <f>IF(SER_hh_tes!W32=0,0,11630*1000*SER_hh_tes!W32/SER_hh_num!W32)</f>
        <v>0</v>
      </c>
      <c r="X32" s="132">
        <f>IF(SER_hh_tes!X32=0,0,11630*1000*SER_hh_tes!X32/SER_hh_num!X32)</f>
        <v>0</v>
      </c>
      <c r="Y32" s="132">
        <f>IF(SER_hh_tes!Y32=0,0,11630*1000*SER_hh_tes!Y32/SER_hh_num!Y32)</f>
        <v>0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24831.8697096465</v>
      </c>
      <c r="C33" s="68">
        <f>IF(SER_hh_tes!C33=0,0,11630*1000*SER_hh_tes!C33/SER_hh_num!C33)</f>
        <v>25181.484256248041</v>
      </c>
      <c r="D33" s="68">
        <f>IF(SER_hh_tes!D33=0,0,11630*1000*SER_hh_tes!D33/SER_hh_num!D33)</f>
        <v>26864.515884366498</v>
      </c>
      <c r="E33" s="68">
        <f>IF(SER_hh_tes!E33=0,0,11630*1000*SER_hh_tes!E33/SER_hh_num!E33)</f>
        <v>26476.196998595911</v>
      </c>
      <c r="F33" s="68">
        <f>IF(SER_hh_tes!F33=0,0,11630*1000*SER_hh_tes!F33/SER_hh_num!F33)</f>
        <v>25686.699689284047</v>
      </c>
      <c r="G33" s="68">
        <f>IF(SER_hh_tes!G33=0,0,11630*1000*SER_hh_tes!G33/SER_hh_num!G33)</f>
        <v>26683.519518559846</v>
      </c>
      <c r="H33" s="68">
        <f>IF(SER_hh_tes!H33=0,0,11630*1000*SER_hh_tes!H33/SER_hh_num!H33)</f>
        <v>26226.174090757031</v>
      </c>
      <c r="I33" s="68">
        <f>IF(SER_hh_tes!I33=0,0,11630*1000*SER_hh_tes!I33/SER_hh_num!I33)</f>
        <v>25567.819463983105</v>
      </c>
      <c r="J33" s="68">
        <f>IF(SER_hh_tes!J33=0,0,11630*1000*SER_hh_tes!J33/SER_hh_num!J33)</f>
        <v>25454.076935790534</v>
      </c>
      <c r="K33" s="68">
        <f>IF(SER_hh_tes!K33=0,0,11630*1000*SER_hh_tes!K33/SER_hh_num!K33)</f>
        <v>26314.924471304326</v>
      </c>
      <c r="L33" s="68">
        <f>IF(SER_hh_tes!L33=0,0,11630*1000*SER_hh_tes!L33/SER_hh_num!L33)</f>
        <v>27483.101583303542</v>
      </c>
      <c r="M33" s="68">
        <f>IF(SER_hh_tes!M33=0,0,11630*1000*SER_hh_tes!M33/SER_hh_num!M33)</f>
        <v>29289.914881225526</v>
      </c>
      <c r="N33" s="68">
        <f>IF(SER_hh_tes!N33=0,0,11630*1000*SER_hh_tes!N33/SER_hh_num!N33)</f>
        <v>25211.459400009295</v>
      </c>
      <c r="O33" s="68">
        <f>IF(SER_hh_tes!O33=0,0,11630*1000*SER_hh_tes!O33/SER_hh_num!O33)</f>
        <v>28031.394073470507</v>
      </c>
      <c r="P33" s="68">
        <f>IF(SER_hh_tes!P33=0,0,11630*1000*SER_hh_tes!P33/SER_hh_num!P33)</f>
        <v>29780.931087281777</v>
      </c>
      <c r="Q33" s="68">
        <f>IF(SER_hh_tes!Q33=0,0,11630*1000*SER_hh_tes!Q33/SER_hh_num!Q33)</f>
        <v>28872.794664607402</v>
      </c>
      <c r="R33" s="68">
        <f>IF(SER_hh_tes!R33=0,0,11630*1000*SER_hh_tes!R33/SER_hh_num!R33)</f>
        <v>28854.576281567555</v>
      </c>
      <c r="S33" s="68">
        <f>IF(SER_hh_tes!S33=0,0,11630*1000*SER_hh_tes!S33/SER_hh_num!S33)</f>
        <v>28586.909415137638</v>
      </c>
      <c r="T33" s="68">
        <f>IF(SER_hh_tes!T33=0,0,11630*1000*SER_hh_tes!T33/SER_hh_num!T33)</f>
        <v>28478.446334455202</v>
      </c>
      <c r="U33" s="68">
        <f>IF(SER_hh_tes!U33=0,0,11630*1000*SER_hh_tes!U33/SER_hh_num!U33)</f>
        <v>27428.801943546929</v>
      </c>
      <c r="V33" s="68">
        <f>IF(SER_hh_tes!V33=0,0,11630*1000*SER_hh_tes!V33/SER_hh_num!V33)</f>
        <v>24411.057566219431</v>
      </c>
      <c r="W33" s="68">
        <f>IF(SER_hh_tes!W33=0,0,11630*1000*SER_hh_tes!W33/SER_hh_num!W33)</f>
        <v>26962.445483979187</v>
      </c>
      <c r="X33" s="68">
        <f>IF(SER_hh_tes!X33=0,0,11630*1000*SER_hh_tes!X33/SER_hh_num!X33)</f>
        <v>26833.02455663382</v>
      </c>
      <c r="Y33" s="68">
        <f>IF(SER_hh_tes!Y33=0,0,11630*1000*SER_hh_tes!Y33/SER_hh_num!Y33)</f>
        <v>26610.649544080592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9466.5252556035248</v>
      </c>
      <c r="C3" s="125">
        <f>IF(SER_hh_emi!C3=0,0,1000000*SER_hh_emi!C3/SER_hh_num!C3)</f>
        <v>11783.639628036301</v>
      </c>
      <c r="D3" s="125">
        <f>IF(SER_hh_emi!D3=0,0,1000000*SER_hh_emi!D3/SER_hh_num!D3)</f>
        <v>11605.650237875498</v>
      </c>
      <c r="E3" s="125">
        <f>IF(SER_hh_emi!E3=0,0,1000000*SER_hh_emi!E3/SER_hh_num!E3)</f>
        <v>12210.050553920539</v>
      </c>
      <c r="F3" s="125">
        <f>IF(SER_hh_emi!F3=0,0,1000000*SER_hh_emi!F3/SER_hh_num!F3)</f>
        <v>12670.012879820999</v>
      </c>
      <c r="G3" s="125">
        <f>IF(SER_hh_emi!G3=0,0,1000000*SER_hh_emi!G3/SER_hh_num!G3)</f>
        <v>15473.559321685656</v>
      </c>
      <c r="H3" s="125">
        <f>IF(SER_hh_emi!H3=0,0,1000000*SER_hh_emi!H3/SER_hh_num!H3)</f>
        <v>15507.397030421715</v>
      </c>
      <c r="I3" s="125">
        <f>IF(SER_hh_emi!I3=0,0,1000000*SER_hh_emi!I3/SER_hh_num!I3)</f>
        <v>14169.334876358604</v>
      </c>
      <c r="J3" s="125">
        <f>IF(SER_hh_emi!J3=0,0,1000000*SER_hh_emi!J3/SER_hh_num!J3)</f>
        <v>13875.420291298187</v>
      </c>
      <c r="K3" s="125">
        <f>IF(SER_hh_emi!K3=0,0,1000000*SER_hh_emi!K3/SER_hh_num!K3)</f>
        <v>11331.105949992336</v>
      </c>
      <c r="L3" s="125">
        <f>IF(SER_hh_emi!L3=0,0,1000000*SER_hh_emi!L3/SER_hh_num!L3)</f>
        <v>10424.109934330634</v>
      </c>
      <c r="M3" s="125">
        <f>IF(SER_hh_emi!M3=0,0,1000000*SER_hh_emi!M3/SER_hh_num!M3)</f>
        <v>10508.095432680942</v>
      </c>
      <c r="N3" s="125">
        <f>IF(SER_hh_emi!N3=0,0,1000000*SER_hh_emi!N3/SER_hh_num!N3)</f>
        <v>7813.0979965928118</v>
      </c>
      <c r="O3" s="125">
        <f>IF(SER_hh_emi!O3=0,0,1000000*SER_hh_emi!O3/SER_hh_num!O3)</f>
        <v>8359.8485884084457</v>
      </c>
      <c r="P3" s="125">
        <f>IF(SER_hh_emi!P3=0,0,1000000*SER_hh_emi!P3/SER_hh_num!P3)</f>
        <v>5979.4397157072353</v>
      </c>
      <c r="Q3" s="125">
        <f>IF(SER_hh_emi!Q3=0,0,1000000*SER_hh_emi!Q3/SER_hh_num!Q3)</f>
        <v>7107.8167588772776</v>
      </c>
      <c r="R3" s="125">
        <f>IF(SER_hh_emi!R3=0,0,1000000*SER_hh_emi!R3/SER_hh_num!R3)</f>
        <v>8406.5751233556566</v>
      </c>
      <c r="S3" s="125">
        <f>IF(SER_hh_emi!S3=0,0,1000000*SER_hh_emi!S3/SER_hh_num!S3)</f>
        <v>6820.1663244801202</v>
      </c>
      <c r="T3" s="125">
        <f>IF(SER_hh_emi!T3=0,0,1000000*SER_hh_emi!T3/SER_hh_num!T3)</f>
        <v>6510.1243600943235</v>
      </c>
      <c r="U3" s="125">
        <f>IF(SER_hh_emi!U3=0,0,1000000*SER_hh_emi!U3/SER_hh_num!U3)</f>
        <v>6782.7322367879342</v>
      </c>
      <c r="V3" s="125">
        <f>IF(SER_hh_emi!V3=0,0,1000000*SER_hh_emi!V3/SER_hh_num!V3)</f>
        <v>5371.1689636890296</v>
      </c>
      <c r="W3" s="125">
        <f>IF(SER_hh_emi!W3=0,0,1000000*SER_hh_emi!W3/SER_hh_num!W3)</f>
        <v>5717.4590479655853</v>
      </c>
      <c r="X3" s="125">
        <f>IF(SER_hh_emi!X3=0,0,1000000*SER_hh_emi!X3/SER_hh_num!X3)</f>
        <v>5632.7176452863387</v>
      </c>
      <c r="Y3" s="125">
        <f>IF(SER_hh_emi!Y3=0,0,1000000*SER_hh_emi!Y3/SER_hh_num!Y3)</f>
        <v>6075.6228463958741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8025.5693668959602</v>
      </c>
      <c r="C4" s="130">
        <f>IF(SER_hh_emi!C4=0,0,1000000*SER_hh_emi!C4/SER_hh_num!C4)</f>
        <v>10252.342121971931</v>
      </c>
      <c r="D4" s="130">
        <f>IF(SER_hh_emi!D4=0,0,1000000*SER_hh_emi!D4/SER_hh_num!D4)</f>
        <v>10296.280485157253</v>
      </c>
      <c r="E4" s="130">
        <f>IF(SER_hh_emi!E4=0,0,1000000*SER_hh_emi!E4/SER_hh_num!E4)</f>
        <v>10772.124110459874</v>
      </c>
      <c r="F4" s="130">
        <f>IF(SER_hh_emi!F4=0,0,1000000*SER_hh_emi!F4/SER_hh_num!F4)</f>
        <v>10317.174246776489</v>
      </c>
      <c r="G4" s="130">
        <f>IF(SER_hh_emi!G4=0,0,1000000*SER_hh_emi!G4/SER_hh_num!G4)</f>
        <v>13051.451350073596</v>
      </c>
      <c r="H4" s="130">
        <f>IF(SER_hh_emi!H4=0,0,1000000*SER_hh_emi!H4/SER_hh_num!H4)</f>
        <v>13088.203074844705</v>
      </c>
      <c r="I4" s="130">
        <f>IF(SER_hh_emi!I4=0,0,1000000*SER_hh_emi!I4/SER_hh_num!I4)</f>
        <v>11705.280356317146</v>
      </c>
      <c r="J4" s="130">
        <f>IF(SER_hh_emi!J4=0,0,1000000*SER_hh_emi!J4/SER_hh_num!J4)</f>
        <v>11359.685814918408</v>
      </c>
      <c r="K4" s="130">
        <f>IF(SER_hh_emi!K4=0,0,1000000*SER_hh_emi!K4/SER_hh_num!K4)</f>
        <v>8724.4477911685044</v>
      </c>
      <c r="L4" s="130">
        <f>IF(SER_hh_emi!L4=0,0,1000000*SER_hh_emi!L4/SER_hh_num!L4)</f>
        <v>7469.4670283392579</v>
      </c>
      <c r="M4" s="130">
        <f>IF(SER_hh_emi!M4=0,0,1000000*SER_hh_emi!M4/SER_hh_num!M4)</f>
        <v>7605.0255563917235</v>
      </c>
      <c r="N4" s="130">
        <f>IF(SER_hh_emi!N4=0,0,1000000*SER_hh_emi!N4/SER_hh_num!N4)</f>
        <v>3243.7312239183616</v>
      </c>
      <c r="O4" s="130">
        <f>IF(SER_hh_emi!O4=0,0,1000000*SER_hh_emi!O4/SER_hh_num!O4)</f>
        <v>4528.1496016275705</v>
      </c>
      <c r="P4" s="130">
        <f>IF(SER_hh_emi!P4=0,0,1000000*SER_hh_emi!P4/SER_hh_num!P4)</f>
        <v>2883.6112973110326</v>
      </c>
      <c r="Q4" s="130">
        <f>IF(SER_hh_emi!Q4=0,0,1000000*SER_hh_emi!Q4/SER_hh_num!Q4)</f>
        <v>3813.9420959557588</v>
      </c>
      <c r="R4" s="130">
        <f>IF(SER_hh_emi!R4=0,0,1000000*SER_hh_emi!R4/SER_hh_num!R4)</f>
        <v>4942.7154138337482</v>
      </c>
      <c r="S4" s="130">
        <f>IF(SER_hh_emi!S4=0,0,1000000*SER_hh_emi!S4/SER_hh_num!S4)</f>
        <v>3200.7825883171959</v>
      </c>
      <c r="T4" s="130">
        <f>IF(SER_hh_emi!T4=0,0,1000000*SER_hh_emi!T4/SER_hh_num!T4)</f>
        <v>2932.0570809531032</v>
      </c>
      <c r="U4" s="130">
        <f>IF(SER_hh_emi!U4=0,0,1000000*SER_hh_emi!U4/SER_hh_num!U4)</f>
        <v>3106.1366598299492</v>
      </c>
      <c r="V4" s="130">
        <f>IF(SER_hh_emi!V4=0,0,1000000*SER_hh_emi!V4/SER_hh_num!V4)</f>
        <v>2659.8947915926219</v>
      </c>
      <c r="W4" s="130">
        <f>IF(SER_hh_emi!W4=0,0,1000000*SER_hh_emi!W4/SER_hh_num!W4)</f>
        <v>2419.3549753766015</v>
      </c>
      <c r="X4" s="130">
        <f>IF(SER_hh_emi!X4=0,0,1000000*SER_hh_emi!X4/SER_hh_num!X4)</f>
        <v>2298.7094441998393</v>
      </c>
      <c r="Y4" s="130">
        <f>IF(SER_hh_emi!Y4=0,0,1000000*SER_hh_emi!Y4/SER_hh_num!Y4)</f>
        <v>2435.2959045306425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0</v>
      </c>
      <c r="C5" s="132">
        <f>IF(SER_hh_emi!C5=0,0,1000000*SER_hh_emi!C5/SER_hh_num!C5)</f>
        <v>0</v>
      </c>
      <c r="D5" s="132">
        <f>IF(SER_hh_emi!D5=0,0,1000000*SER_hh_emi!D5/SER_hh_num!D5)</f>
        <v>0</v>
      </c>
      <c r="E5" s="132">
        <f>IF(SER_hh_emi!E5=0,0,1000000*SER_hh_emi!E5/SER_hh_num!E5)</f>
        <v>0</v>
      </c>
      <c r="F5" s="132">
        <f>IF(SER_hh_emi!F5=0,0,1000000*SER_hh_emi!F5/SER_hh_num!F5)</f>
        <v>0</v>
      </c>
      <c r="G5" s="132">
        <f>IF(SER_hh_emi!G5=0,0,1000000*SER_hh_emi!G5/SER_hh_num!G5)</f>
        <v>0</v>
      </c>
      <c r="H5" s="132">
        <f>IF(SER_hh_emi!H5=0,0,1000000*SER_hh_emi!H5/SER_hh_num!H5)</f>
        <v>0</v>
      </c>
      <c r="I5" s="132">
        <f>IF(SER_hh_emi!I5=0,0,1000000*SER_hh_emi!I5/SER_hh_num!I5)</f>
        <v>0</v>
      </c>
      <c r="J5" s="132">
        <f>IF(SER_hh_emi!J5=0,0,1000000*SER_hh_emi!J5/SER_hh_num!J5)</f>
        <v>0</v>
      </c>
      <c r="K5" s="132">
        <f>IF(SER_hh_emi!K5=0,0,1000000*SER_hh_emi!K5/SER_hh_num!K5)</f>
        <v>0</v>
      </c>
      <c r="L5" s="132">
        <f>IF(SER_hh_emi!L5=0,0,1000000*SER_hh_emi!L5/SER_hh_num!L5)</f>
        <v>0</v>
      </c>
      <c r="M5" s="132">
        <f>IF(SER_hh_emi!M5=0,0,1000000*SER_hh_emi!M5/SER_hh_num!M5)</f>
        <v>0</v>
      </c>
      <c r="N5" s="132">
        <f>IF(SER_hh_emi!N5=0,0,1000000*SER_hh_emi!N5/SER_hh_num!N5)</f>
        <v>0</v>
      </c>
      <c r="O5" s="132">
        <f>IF(SER_hh_emi!O5=0,0,1000000*SER_hh_emi!O5/SER_hh_num!O5)</f>
        <v>0</v>
      </c>
      <c r="P5" s="132">
        <f>IF(SER_hh_emi!P5=0,0,1000000*SER_hh_emi!P5/SER_hh_num!P5)</f>
        <v>0</v>
      </c>
      <c r="Q5" s="132">
        <f>IF(SER_hh_emi!Q5=0,0,1000000*SER_hh_emi!Q5/SER_hh_num!Q5)</f>
        <v>0</v>
      </c>
      <c r="R5" s="132">
        <f>IF(SER_hh_emi!R5=0,0,1000000*SER_hh_emi!R5/SER_hh_num!R5)</f>
        <v>0</v>
      </c>
      <c r="S5" s="132">
        <f>IF(SER_hh_emi!S5=0,0,1000000*SER_hh_emi!S5/SER_hh_num!S5)</f>
        <v>0</v>
      </c>
      <c r="T5" s="132">
        <f>IF(SER_hh_emi!T5=0,0,1000000*SER_hh_emi!T5/SER_hh_num!T5)</f>
        <v>0</v>
      </c>
      <c r="U5" s="132">
        <f>IF(SER_hh_emi!U5=0,0,1000000*SER_hh_emi!U5/SER_hh_num!U5)</f>
        <v>0</v>
      </c>
      <c r="V5" s="132">
        <f>IF(SER_hh_emi!V5=0,0,1000000*SER_hh_emi!V5/SER_hh_num!V5)</f>
        <v>0</v>
      </c>
      <c r="W5" s="132">
        <f>IF(SER_hh_emi!W5=0,0,1000000*SER_hh_emi!W5/SER_hh_num!W5)</f>
        <v>0</v>
      </c>
      <c r="X5" s="132">
        <f>IF(SER_hh_emi!X5=0,0,1000000*SER_hh_emi!X5/SER_hh_num!X5)</f>
        <v>33021.403537478232</v>
      </c>
      <c r="Y5" s="132">
        <f>IF(SER_hh_emi!Y5=0,0,1000000*SER_hh_emi!Y5/SER_hh_num!Y5)</f>
        <v>53472.604728800688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0</v>
      </c>
      <c r="C6" s="132">
        <f>IF(SER_hh_emi!C6=0,0,1000000*SER_hh_emi!C6/SER_hh_num!C6)</f>
        <v>0</v>
      </c>
      <c r="D6" s="132">
        <f>IF(SER_hh_emi!D6=0,0,1000000*SER_hh_emi!D6/SER_hh_num!D6)</f>
        <v>0</v>
      </c>
      <c r="E6" s="132">
        <f>IF(SER_hh_emi!E6=0,0,1000000*SER_hh_emi!E6/SER_hh_num!E6)</f>
        <v>0</v>
      </c>
      <c r="F6" s="132">
        <f>IF(SER_hh_emi!F6=0,0,1000000*SER_hh_emi!F6/SER_hh_num!F6)</f>
        <v>0</v>
      </c>
      <c r="G6" s="132">
        <f>IF(SER_hh_emi!G6=0,0,1000000*SER_hh_emi!G6/SER_hh_num!G6)</f>
        <v>0</v>
      </c>
      <c r="H6" s="132">
        <f>IF(SER_hh_emi!H6=0,0,1000000*SER_hh_emi!H6/SER_hh_num!H6)</f>
        <v>0</v>
      </c>
      <c r="I6" s="132">
        <f>IF(SER_hh_emi!I6=0,0,1000000*SER_hh_emi!I6/SER_hh_num!I6)</f>
        <v>0</v>
      </c>
      <c r="J6" s="132">
        <f>IF(SER_hh_emi!J6=0,0,1000000*SER_hh_emi!J6/SER_hh_num!J6)</f>
        <v>0</v>
      </c>
      <c r="K6" s="132">
        <f>IF(SER_hh_emi!K6=0,0,1000000*SER_hh_emi!K6/SER_hh_num!K6)</f>
        <v>0</v>
      </c>
      <c r="L6" s="132">
        <f>IF(SER_hh_emi!L6=0,0,1000000*SER_hh_emi!L6/SER_hh_num!L6)</f>
        <v>0</v>
      </c>
      <c r="M6" s="132">
        <f>IF(SER_hh_emi!M6=0,0,1000000*SER_hh_emi!M6/SER_hh_num!M6)</f>
        <v>0</v>
      </c>
      <c r="N6" s="132">
        <f>IF(SER_hh_emi!N6=0,0,1000000*SER_hh_emi!N6/SER_hh_num!N6)</f>
        <v>0</v>
      </c>
      <c r="O6" s="132">
        <f>IF(SER_hh_emi!O6=0,0,1000000*SER_hh_emi!O6/SER_hh_num!O6)</f>
        <v>0</v>
      </c>
      <c r="P6" s="132">
        <f>IF(SER_hh_emi!P6=0,0,1000000*SER_hh_emi!P6/SER_hh_num!P6)</f>
        <v>0</v>
      </c>
      <c r="Q6" s="132">
        <f>IF(SER_hh_emi!Q6=0,0,1000000*SER_hh_emi!Q6/SER_hh_num!Q6)</f>
        <v>0</v>
      </c>
      <c r="R6" s="132">
        <f>IF(SER_hh_emi!R6=0,0,1000000*SER_hh_emi!R6/SER_hh_num!R6)</f>
        <v>0</v>
      </c>
      <c r="S6" s="132">
        <f>IF(SER_hh_emi!S6=0,0,1000000*SER_hh_emi!S6/SER_hh_num!S6)</f>
        <v>0</v>
      </c>
      <c r="T6" s="132">
        <f>IF(SER_hh_emi!T6=0,0,1000000*SER_hh_emi!T6/SER_hh_num!T6)</f>
        <v>0</v>
      </c>
      <c r="U6" s="132">
        <f>IF(SER_hh_emi!U6=0,0,1000000*SER_hh_emi!U6/SER_hh_num!U6)</f>
        <v>0</v>
      </c>
      <c r="V6" s="132">
        <f>IF(SER_hh_emi!V6=0,0,1000000*SER_hh_emi!V6/SER_hh_num!V6)</f>
        <v>0</v>
      </c>
      <c r="W6" s="132">
        <f>IF(SER_hh_emi!W6=0,0,1000000*SER_hh_emi!W6/SER_hh_num!W6)</f>
        <v>0</v>
      </c>
      <c r="X6" s="132">
        <f>IF(SER_hh_emi!X6=0,0,1000000*SER_hh_emi!X6/SER_hh_num!X6)</f>
        <v>0</v>
      </c>
      <c r="Y6" s="132">
        <f>IF(SER_hh_emi!Y6=0,0,1000000*SER_hh_emi!Y6/SER_hh_num!Y6)</f>
        <v>0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17299.06082098759</v>
      </c>
      <c r="C7" s="132">
        <f>IF(SER_hh_emi!C7=0,0,1000000*SER_hh_emi!C7/SER_hh_num!C7)</f>
        <v>21071.983541018431</v>
      </c>
      <c r="D7" s="132">
        <f>IF(SER_hh_emi!D7=0,0,1000000*SER_hh_emi!D7/SER_hh_num!D7)</f>
        <v>21922.772179769185</v>
      </c>
      <c r="E7" s="132">
        <f>IF(SER_hh_emi!E7=0,0,1000000*SER_hh_emi!E7/SER_hh_num!E7)</f>
        <v>23570.708924531806</v>
      </c>
      <c r="F7" s="132">
        <f>IF(SER_hh_emi!F7=0,0,1000000*SER_hh_emi!F7/SER_hh_num!F7)</f>
        <v>24108.369702797023</v>
      </c>
      <c r="G7" s="132">
        <f>IF(SER_hh_emi!G7=0,0,1000000*SER_hh_emi!G7/SER_hh_num!G7)</f>
        <v>30797.255557150154</v>
      </c>
      <c r="H7" s="132">
        <f>IF(SER_hh_emi!H7=0,0,1000000*SER_hh_emi!H7/SER_hh_num!H7)</f>
        <v>33495.56569849715</v>
      </c>
      <c r="I7" s="132">
        <f>IF(SER_hh_emi!I7=0,0,1000000*SER_hh_emi!I7/SER_hh_num!I7)</f>
        <v>33431.536314775534</v>
      </c>
      <c r="J7" s="132">
        <f>IF(SER_hh_emi!J7=0,0,1000000*SER_hh_emi!J7/SER_hh_num!J7)</f>
        <v>36744.328541913397</v>
      </c>
      <c r="K7" s="132">
        <f>IF(SER_hh_emi!K7=0,0,1000000*SER_hh_emi!K7/SER_hh_num!K7)</f>
        <v>30646.846392299005</v>
      </c>
      <c r="L7" s="132">
        <f>IF(SER_hh_emi!L7=0,0,1000000*SER_hh_emi!L7/SER_hh_num!L7)</f>
        <v>29423.731449908148</v>
      </c>
      <c r="M7" s="132">
        <f>IF(SER_hh_emi!M7=0,0,1000000*SER_hh_emi!M7/SER_hh_num!M7)</f>
        <v>29546.804799587375</v>
      </c>
      <c r="N7" s="132">
        <f>IF(SER_hh_emi!N7=0,0,1000000*SER_hh_emi!N7/SER_hh_num!N7)</f>
        <v>13590.345782886183</v>
      </c>
      <c r="O7" s="132">
        <f>IF(SER_hh_emi!O7=0,0,1000000*SER_hh_emi!O7/SER_hh_num!O7)</f>
        <v>32839.960365552412</v>
      </c>
      <c r="P7" s="132">
        <f>IF(SER_hh_emi!P7=0,0,1000000*SER_hh_emi!P7/SER_hh_num!P7)</f>
        <v>21661.346177409025</v>
      </c>
      <c r="Q7" s="132">
        <f>IF(SER_hh_emi!Q7=0,0,1000000*SER_hh_emi!Q7/SER_hh_num!Q7)</f>
        <v>25805.452387206707</v>
      </c>
      <c r="R7" s="132">
        <f>IF(SER_hh_emi!R7=0,0,1000000*SER_hh_emi!R7/SER_hh_num!R7)</f>
        <v>54398.381245120894</v>
      </c>
      <c r="S7" s="132">
        <f>IF(SER_hh_emi!S7=0,0,1000000*SER_hh_emi!S7/SER_hh_num!S7)</f>
        <v>29353.883497393654</v>
      </c>
      <c r="T7" s="132">
        <f>IF(SER_hh_emi!T7=0,0,1000000*SER_hh_emi!T7/SER_hh_num!T7)</f>
        <v>29714.136809989821</v>
      </c>
      <c r="U7" s="132">
        <f>IF(SER_hh_emi!U7=0,0,1000000*SER_hh_emi!U7/SER_hh_num!U7)</f>
        <v>34757.819187393718</v>
      </c>
      <c r="V7" s="132">
        <f>IF(SER_hh_emi!V7=0,0,1000000*SER_hh_emi!V7/SER_hh_num!V7)</f>
        <v>35075.369533739307</v>
      </c>
      <c r="W7" s="132">
        <f>IF(SER_hh_emi!W7=0,0,1000000*SER_hh_emi!W7/SER_hh_num!W7)</f>
        <v>22149.003303444388</v>
      </c>
      <c r="X7" s="132">
        <f>IF(SER_hh_emi!X7=0,0,1000000*SER_hh_emi!X7/SER_hh_num!X7)</f>
        <v>34181.933853191767</v>
      </c>
      <c r="Y7" s="132">
        <f>IF(SER_hh_emi!Y7=0,0,1000000*SER_hh_emi!Y7/SER_hh_num!Y7)</f>
        <v>31195.668101556355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4441.0270412878481</v>
      </c>
      <c r="C8" s="132">
        <f>IF(SER_hh_emi!C8=0,0,1000000*SER_hh_emi!C8/SER_hh_num!C8)</f>
        <v>4516.9356984734222</v>
      </c>
      <c r="D8" s="132">
        <f>IF(SER_hh_emi!D8=0,0,1000000*SER_hh_emi!D8/SER_hh_num!D8)</f>
        <v>4518.5579090213978</v>
      </c>
      <c r="E8" s="132">
        <f>IF(SER_hh_emi!E8=0,0,1000000*SER_hh_emi!E8/SER_hh_num!E8)</f>
        <v>4583.8062744639547</v>
      </c>
      <c r="F8" s="132">
        <f>IF(SER_hh_emi!F8=0,0,1000000*SER_hh_emi!F8/SER_hh_num!F8)</f>
        <v>5350.3214630693728</v>
      </c>
      <c r="G8" s="132">
        <f>IF(SER_hh_emi!G8=0,0,1000000*SER_hh_emi!G8/SER_hh_num!G8)</f>
        <v>6439.4585646913029</v>
      </c>
      <c r="H8" s="132">
        <f>IF(SER_hh_emi!H8=0,0,1000000*SER_hh_emi!H8/SER_hh_num!H8)</f>
        <v>6427.4935386871548</v>
      </c>
      <c r="I8" s="132">
        <f>IF(SER_hh_emi!I8=0,0,1000000*SER_hh_emi!I8/SER_hh_num!I8)</f>
        <v>6521.0858056916522</v>
      </c>
      <c r="J8" s="132">
        <f>IF(SER_hh_emi!J8=0,0,1000000*SER_hh_emi!J8/SER_hh_num!J8)</f>
        <v>6414.1790356847732</v>
      </c>
      <c r="K8" s="132">
        <f>IF(SER_hh_emi!K8=0,0,1000000*SER_hh_emi!K8/SER_hh_num!K8)</f>
        <v>5631.8756832526205</v>
      </c>
      <c r="L8" s="132">
        <f>IF(SER_hh_emi!L8=0,0,1000000*SER_hh_emi!L8/SER_hh_num!L8)</f>
        <v>4389.94827616773</v>
      </c>
      <c r="M8" s="132">
        <f>IF(SER_hh_emi!M8=0,0,1000000*SER_hh_emi!M8/SER_hh_num!M8)</f>
        <v>3034.5804073332665</v>
      </c>
      <c r="N8" s="132">
        <f>IF(SER_hh_emi!N8=0,0,1000000*SER_hh_emi!N8/SER_hh_num!N8)</f>
        <v>1943.6180819554158</v>
      </c>
      <c r="O8" s="132">
        <f>IF(SER_hh_emi!O8=0,0,1000000*SER_hh_emi!O8/SER_hh_num!O8)</f>
        <v>2277.7460364301278</v>
      </c>
      <c r="P8" s="132">
        <f>IF(SER_hh_emi!P8=0,0,1000000*SER_hh_emi!P8/SER_hh_num!P8)</f>
        <v>3446.1745471602521</v>
      </c>
      <c r="Q8" s="132">
        <f>IF(SER_hh_emi!Q8=0,0,1000000*SER_hh_emi!Q8/SER_hh_num!Q8)</f>
        <v>5587.5848717565632</v>
      </c>
      <c r="R8" s="132">
        <f>IF(SER_hh_emi!R8=0,0,1000000*SER_hh_emi!R8/SER_hh_num!R8)</f>
        <v>4993.1097583295305</v>
      </c>
      <c r="S8" s="132">
        <f>IF(SER_hh_emi!S8=0,0,1000000*SER_hh_emi!S8/SER_hh_num!S8)</f>
        <v>4738.5658846090582</v>
      </c>
      <c r="T8" s="132">
        <f>IF(SER_hh_emi!T8=0,0,1000000*SER_hh_emi!T8/SER_hh_num!T8)</f>
        <v>4574.3158859497662</v>
      </c>
      <c r="U8" s="132">
        <f>IF(SER_hh_emi!U8=0,0,1000000*SER_hh_emi!U8/SER_hh_num!U8)</f>
        <v>4307.2469371739944</v>
      </c>
      <c r="V8" s="132">
        <f>IF(SER_hh_emi!V8=0,0,1000000*SER_hh_emi!V8/SER_hh_num!V8)</f>
        <v>4637.1295707898771</v>
      </c>
      <c r="W8" s="132">
        <f>IF(SER_hh_emi!W8=0,0,1000000*SER_hh_emi!W8/SER_hh_num!W8)</f>
        <v>4905.1713264569244</v>
      </c>
      <c r="X8" s="132">
        <f>IF(SER_hh_emi!X8=0,0,1000000*SER_hh_emi!X8/SER_hh_num!X8)</f>
        <v>4961.9554165543768</v>
      </c>
      <c r="Y8" s="132">
        <f>IF(SER_hh_emi!Y8=0,0,1000000*SER_hh_emi!Y8/SER_hh_num!Y8)</f>
        <v>5536.7133623025538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10282.361092284234</v>
      </c>
      <c r="C9" s="132">
        <f>IF(SER_hh_emi!C9=0,0,1000000*SER_hh_emi!C9/SER_hh_num!C9)</f>
        <v>11348.098651275846</v>
      </c>
      <c r="D9" s="132">
        <f>IF(SER_hh_emi!D9=0,0,1000000*SER_hh_emi!D9/SER_hh_num!D9)</f>
        <v>11086.82082855433</v>
      </c>
      <c r="E9" s="132">
        <f>IF(SER_hh_emi!E9=0,0,1000000*SER_hh_emi!E9/SER_hh_num!E9)</f>
        <v>12409.289846164313</v>
      </c>
      <c r="F9" s="132">
        <f>IF(SER_hh_emi!F9=0,0,1000000*SER_hh_emi!F9/SER_hh_num!F9)</f>
        <v>15269.937865377997</v>
      </c>
      <c r="G9" s="132">
        <f>IF(SER_hh_emi!G9=0,0,1000000*SER_hh_emi!G9/SER_hh_num!G9)</f>
        <v>19581.159784706018</v>
      </c>
      <c r="H9" s="132">
        <f>IF(SER_hh_emi!H9=0,0,1000000*SER_hh_emi!H9/SER_hh_num!H9)</f>
        <v>20396.156083482165</v>
      </c>
      <c r="I9" s="132">
        <f>IF(SER_hh_emi!I9=0,0,1000000*SER_hh_emi!I9/SER_hh_num!I9)</f>
        <v>20598.797808882977</v>
      </c>
      <c r="J9" s="132">
        <f>IF(SER_hh_emi!J9=0,0,1000000*SER_hh_emi!J9/SER_hh_num!J9)</f>
        <v>23493.776336345069</v>
      </c>
      <c r="K9" s="132">
        <f>IF(SER_hh_emi!K9=0,0,1000000*SER_hh_emi!K9/SER_hh_num!K9)</f>
        <v>22292.849089836505</v>
      </c>
      <c r="L9" s="132">
        <f>IF(SER_hh_emi!L9=0,0,1000000*SER_hh_emi!L9/SER_hh_num!L9)</f>
        <v>17024.905501185516</v>
      </c>
      <c r="M9" s="132">
        <f>IF(SER_hh_emi!M9=0,0,1000000*SER_hh_emi!M9/SER_hh_num!M9)</f>
        <v>22391.31917277964</v>
      </c>
      <c r="N9" s="132">
        <f>IF(SER_hh_emi!N9=0,0,1000000*SER_hh_emi!N9/SER_hh_num!N9)</f>
        <v>16930.211562749744</v>
      </c>
      <c r="O9" s="132">
        <f>IF(SER_hh_emi!O9=0,0,1000000*SER_hh_emi!O9/SER_hh_num!O9)</f>
        <v>15187.573904925428</v>
      </c>
      <c r="P9" s="132">
        <f>IF(SER_hh_emi!P9=0,0,1000000*SER_hh_emi!P9/SER_hh_num!P9)</f>
        <v>16514.101316546836</v>
      </c>
      <c r="Q9" s="132">
        <f>IF(SER_hh_emi!Q9=0,0,1000000*SER_hh_emi!Q9/SER_hh_num!Q9)</f>
        <v>26345.665888445044</v>
      </c>
      <c r="R9" s="132">
        <f>IF(SER_hh_emi!R9=0,0,1000000*SER_hh_emi!R9/SER_hh_num!R9)</f>
        <v>23980.864756855237</v>
      </c>
      <c r="S9" s="132">
        <f>IF(SER_hh_emi!S9=0,0,1000000*SER_hh_emi!S9/SER_hh_num!S9)</f>
        <v>24379.916315176779</v>
      </c>
      <c r="T9" s="132">
        <f>IF(SER_hh_emi!T9=0,0,1000000*SER_hh_emi!T9/SER_hh_num!T9)</f>
        <v>22285.572756127145</v>
      </c>
      <c r="U9" s="132">
        <f>IF(SER_hh_emi!U9=0,0,1000000*SER_hh_emi!U9/SER_hh_num!U9)</f>
        <v>24155.865938357485</v>
      </c>
      <c r="V9" s="132">
        <f>IF(SER_hh_emi!V9=0,0,1000000*SER_hh_emi!V9/SER_hh_num!V9)</f>
        <v>21380.96902023147</v>
      </c>
      <c r="W9" s="132">
        <f>IF(SER_hh_emi!W9=0,0,1000000*SER_hh_emi!W9/SER_hh_num!W9)</f>
        <v>23363.653791715264</v>
      </c>
      <c r="X9" s="132">
        <f>IF(SER_hh_emi!X9=0,0,1000000*SER_hh_emi!X9/SER_hh_num!X9)</f>
        <v>23035.146911224088</v>
      </c>
      <c r="Y9" s="132">
        <f>IF(SER_hh_emi!Y9=0,0,1000000*SER_hh_emi!Y9/SER_hh_num!Y9)</f>
        <v>24013.956291239218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0</v>
      </c>
      <c r="C10" s="132">
        <f>IF(SER_hh_emi!C10=0,0,1000000*SER_hh_emi!C10/SER_hh_num!C10)</f>
        <v>0</v>
      </c>
      <c r="D10" s="132">
        <f>IF(SER_hh_emi!D10=0,0,1000000*SER_hh_emi!D10/SER_hh_num!D10)</f>
        <v>0</v>
      </c>
      <c r="E10" s="132">
        <f>IF(SER_hh_emi!E10=0,0,1000000*SER_hh_emi!E10/SER_hh_num!E10)</f>
        <v>0</v>
      </c>
      <c r="F10" s="132">
        <f>IF(SER_hh_emi!F10=0,0,1000000*SER_hh_emi!F10/SER_hh_num!F10)</f>
        <v>0</v>
      </c>
      <c r="G10" s="132">
        <f>IF(SER_hh_emi!G10=0,0,1000000*SER_hh_emi!G10/SER_hh_num!G10)</f>
        <v>0</v>
      </c>
      <c r="H10" s="132">
        <f>IF(SER_hh_emi!H10=0,0,1000000*SER_hh_emi!H10/SER_hh_num!H10)</f>
        <v>0</v>
      </c>
      <c r="I10" s="132">
        <f>IF(SER_hh_emi!I10=0,0,1000000*SER_hh_emi!I10/SER_hh_num!I10)</f>
        <v>0</v>
      </c>
      <c r="J10" s="132">
        <f>IF(SER_hh_emi!J10=0,0,1000000*SER_hh_emi!J10/SER_hh_num!J10)</f>
        <v>0</v>
      </c>
      <c r="K10" s="132">
        <f>IF(SER_hh_emi!K10=0,0,1000000*SER_hh_emi!K10/SER_hh_num!K10)</f>
        <v>0</v>
      </c>
      <c r="L10" s="132">
        <f>IF(SER_hh_emi!L10=0,0,1000000*SER_hh_emi!L10/SER_hh_num!L10)</f>
        <v>0</v>
      </c>
      <c r="M10" s="132">
        <f>IF(SER_hh_emi!M10=0,0,1000000*SER_hh_emi!M10/SER_hh_num!M10)</f>
        <v>0</v>
      </c>
      <c r="N10" s="132">
        <f>IF(SER_hh_emi!N10=0,0,1000000*SER_hh_emi!N10/SER_hh_num!N10)</f>
        <v>0</v>
      </c>
      <c r="O10" s="132">
        <f>IF(SER_hh_emi!O10=0,0,1000000*SER_hh_emi!O10/SER_hh_num!O10)</f>
        <v>0</v>
      </c>
      <c r="P10" s="132">
        <f>IF(SER_hh_emi!P10=0,0,1000000*SER_hh_emi!P10/SER_hh_num!P10)</f>
        <v>0</v>
      </c>
      <c r="Q10" s="132">
        <f>IF(SER_hh_emi!Q10=0,0,1000000*SER_hh_emi!Q10/SER_hh_num!Q10)</f>
        <v>0</v>
      </c>
      <c r="R10" s="132">
        <f>IF(SER_hh_emi!R10=0,0,1000000*SER_hh_emi!R10/SER_hh_num!R10)</f>
        <v>0</v>
      </c>
      <c r="S10" s="132">
        <f>IF(SER_hh_emi!S10=0,0,1000000*SER_hh_emi!S10/SER_hh_num!S10)</f>
        <v>0</v>
      </c>
      <c r="T10" s="132">
        <f>IF(SER_hh_emi!T10=0,0,1000000*SER_hh_emi!T10/SER_hh_num!T10)</f>
        <v>0</v>
      </c>
      <c r="U10" s="132">
        <f>IF(SER_hh_emi!U10=0,0,1000000*SER_hh_emi!U10/SER_hh_num!U10)</f>
        <v>0</v>
      </c>
      <c r="V10" s="132">
        <f>IF(SER_hh_emi!V10=0,0,1000000*SER_hh_emi!V10/SER_hh_num!V10)</f>
        <v>0</v>
      </c>
      <c r="W10" s="132">
        <f>IF(SER_hh_emi!W10=0,0,1000000*SER_hh_emi!W10/SER_hh_num!W10)</f>
        <v>0</v>
      </c>
      <c r="X10" s="132">
        <f>IF(SER_hh_emi!X10=0,0,1000000*SER_hh_emi!X10/SER_hh_num!X10)</f>
        <v>0</v>
      </c>
      <c r="Y10" s="132">
        <f>IF(SER_hh_emi!Y10=0,0,1000000*SER_hh_emi!Y10/SER_hh_num!Y10)</f>
        <v>0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3.7999420267591928</v>
      </c>
      <c r="C16" s="130">
        <f>IF(SER_hh_emi!C16=0,0,1000000*SER_hh_emi!C16/SER_hh_num!C16)</f>
        <v>4.7095813894003431</v>
      </c>
      <c r="D16" s="130">
        <f>IF(SER_hh_emi!D16=0,0,1000000*SER_hh_emi!D16/SER_hh_num!D16)</f>
        <v>5.0414548630918645</v>
      </c>
      <c r="E16" s="130">
        <f>IF(SER_hh_emi!E16=0,0,1000000*SER_hh_emi!E16/SER_hh_num!E16)</f>
        <v>5.623138860279199</v>
      </c>
      <c r="F16" s="130">
        <f>IF(SER_hh_emi!F16=0,0,1000000*SER_hh_emi!F16/SER_hh_num!F16)</f>
        <v>7.1669756283993404</v>
      </c>
      <c r="G16" s="130">
        <f>IF(SER_hh_emi!G16=0,0,1000000*SER_hh_emi!G16/SER_hh_num!G16)</f>
        <v>10.918069790433474</v>
      </c>
      <c r="H16" s="130">
        <f>IF(SER_hh_emi!H16=0,0,1000000*SER_hh_emi!H16/SER_hh_num!H16)</f>
        <v>16.518052884952585</v>
      </c>
      <c r="I16" s="130">
        <f>IF(SER_hh_emi!I16=0,0,1000000*SER_hh_emi!I16/SER_hh_num!I16)</f>
        <v>22.278399275742078</v>
      </c>
      <c r="J16" s="130">
        <f>IF(SER_hh_emi!J16=0,0,1000000*SER_hh_emi!J16/SER_hh_num!J16)</f>
        <v>28.159855158206046</v>
      </c>
      <c r="K16" s="130">
        <f>IF(SER_hh_emi!K16=0,0,1000000*SER_hh_emi!K16/SER_hh_num!K16)</f>
        <v>31.580553399208924</v>
      </c>
      <c r="L16" s="130">
        <f>IF(SER_hh_emi!L16=0,0,1000000*SER_hh_emi!L16/SER_hh_num!L16)</f>
        <v>42.235888260166931</v>
      </c>
      <c r="M16" s="130">
        <f>IF(SER_hh_emi!M16=0,0,1000000*SER_hh_emi!M16/SER_hh_num!M16)</f>
        <v>47.340753798253445</v>
      </c>
      <c r="N16" s="130">
        <f>IF(SER_hh_emi!N16=0,0,1000000*SER_hh_emi!N16/SER_hh_num!N16)</f>
        <v>86.058161648904715</v>
      </c>
      <c r="O16" s="130">
        <f>IF(SER_hh_emi!O16=0,0,1000000*SER_hh_emi!O16/SER_hh_num!O16)</f>
        <v>82.47532031141111</v>
      </c>
      <c r="P16" s="130">
        <f>IF(SER_hh_emi!P16=0,0,1000000*SER_hh_emi!P16/SER_hh_num!P16)</f>
        <v>93.058229860038736</v>
      </c>
      <c r="Q16" s="130">
        <f>IF(SER_hh_emi!Q16=0,0,1000000*SER_hh_emi!Q16/SER_hh_num!Q16)</f>
        <v>129.27308197867598</v>
      </c>
      <c r="R16" s="130">
        <f>IF(SER_hh_emi!R16=0,0,1000000*SER_hh_emi!R16/SER_hh_num!R16)</f>
        <v>148.67155331823929</v>
      </c>
      <c r="S16" s="130">
        <f>IF(SER_hh_emi!S16=0,0,1000000*SER_hh_emi!S16/SER_hh_num!S16)</f>
        <v>160.30116770957127</v>
      </c>
      <c r="T16" s="130">
        <f>IF(SER_hh_emi!T16=0,0,1000000*SER_hh_emi!T16/SER_hh_num!T16)</f>
        <v>150.59628872976992</v>
      </c>
      <c r="U16" s="130">
        <f>IF(SER_hh_emi!U16=0,0,1000000*SER_hh_emi!U16/SER_hh_num!U16)</f>
        <v>183.94186065452763</v>
      </c>
      <c r="V16" s="130">
        <f>IF(SER_hh_emi!V16=0,0,1000000*SER_hh_emi!V16/SER_hh_num!V16)</f>
        <v>156.04638797937216</v>
      </c>
      <c r="W16" s="130">
        <f>IF(SER_hh_emi!W16=0,0,1000000*SER_hh_emi!W16/SER_hh_num!W16)</f>
        <v>208.03339262711063</v>
      </c>
      <c r="X16" s="130">
        <f>IF(SER_hh_emi!X16=0,0,1000000*SER_hh_emi!X16/SER_hh_num!X16)</f>
        <v>190.44490144490553</v>
      </c>
      <c r="Y16" s="130">
        <f>IF(SER_hh_emi!Y16=0,0,1000000*SER_hh_emi!Y16/SER_hh_num!Y16)</f>
        <v>196.30574996743943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5440.8652228182564</v>
      </c>
      <c r="C17" s="132">
        <f>IF(SER_hh_emi!C17=0,0,1000000*SER_hh_emi!C17/SER_hh_num!C17)</f>
        <v>6796.0375999453709</v>
      </c>
      <c r="D17" s="132">
        <f>IF(SER_hh_emi!D17=0,0,1000000*SER_hh_emi!D17/SER_hh_num!D17)</f>
        <v>5453.0312554301718</v>
      </c>
      <c r="E17" s="132">
        <f>IF(SER_hh_emi!E17=0,0,1000000*SER_hh_emi!E17/SER_hh_num!E17)</f>
        <v>6968.1713306295997</v>
      </c>
      <c r="F17" s="132">
        <f>IF(SER_hh_emi!F17=0,0,1000000*SER_hh_emi!F17/SER_hh_num!F17)</f>
        <v>4309.088128181791</v>
      </c>
      <c r="G17" s="132">
        <f>IF(SER_hh_emi!G17=0,0,1000000*SER_hh_emi!G17/SER_hh_num!G17)</f>
        <v>4448.4032777160546</v>
      </c>
      <c r="H17" s="132">
        <f>IF(SER_hh_emi!H17=0,0,1000000*SER_hh_emi!H17/SER_hh_num!H17)</f>
        <v>5231.5936807605867</v>
      </c>
      <c r="I17" s="132">
        <f>IF(SER_hh_emi!I17=0,0,1000000*SER_hh_emi!I17/SER_hh_num!I17)</f>
        <v>8041.0453680654118</v>
      </c>
      <c r="J17" s="132">
        <f>IF(SER_hh_emi!J17=0,0,1000000*SER_hh_emi!J17/SER_hh_num!J17)</f>
        <v>7687.507102753656</v>
      </c>
      <c r="K17" s="132">
        <f>IF(SER_hh_emi!K17=0,0,1000000*SER_hh_emi!K17/SER_hh_num!K17)</f>
        <v>6575.6502892428371</v>
      </c>
      <c r="L17" s="132">
        <f>IF(SER_hh_emi!L17=0,0,1000000*SER_hh_emi!L17/SER_hh_num!L17)</f>
        <v>6836.5618977767772</v>
      </c>
      <c r="M17" s="132">
        <f>IF(SER_hh_emi!M17=0,0,1000000*SER_hh_emi!M17/SER_hh_num!M17)</f>
        <v>5578.9194581279826</v>
      </c>
      <c r="N17" s="132">
        <f>IF(SER_hh_emi!N17=0,0,1000000*SER_hh_emi!N17/SER_hh_num!N17)</f>
        <v>7974.9864569462734</v>
      </c>
      <c r="O17" s="132">
        <f>IF(SER_hh_emi!O17=0,0,1000000*SER_hh_emi!O17/SER_hh_num!O17)</f>
        <v>5423.1631450178356</v>
      </c>
      <c r="P17" s="132">
        <f>IF(SER_hh_emi!P17=0,0,1000000*SER_hh_emi!P17/SER_hh_num!P17)</f>
        <v>4642.5817320040414</v>
      </c>
      <c r="Q17" s="132">
        <f>IF(SER_hh_emi!Q17=0,0,1000000*SER_hh_emi!Q17/SER_hh_num!Q17)</f>
        <v>5775.1640610843051</v>
      </c>
      <c r="R17" s="132">
        <f>IF(SER_hh_emi!R17=0,0,1000000*SER_hh_emi!R17/SER_hh_num!R17)</f>
        <v>6279.0497646733465</v>
      </c>
      <c r="S17" s="132">
        <f>IF(SER_hh_emi!S17=0,0,1000000*SER_hh_emi!S17/SER_hh_num!S17)</f>
        <v>6328.8483227018314</v>
      </c>
      <c r="T17" s="132">
        <f>IF(SER_hh_emi!T17=0,0,1000000*SER_hh_emi!T17/SER_hh_num!T17)</f>
        <v>5246.9242797184161</v>
      </c>
      <c r="U17" s="132">
        <f>IF(SER_hh_emi!U17=0,0,1000000*SER_hh_emi!U17/SER_hh_num!U17)</f>
        <v>6348.4698078601505</v>
      </c>
      <c r="V17" s="132">
        <f>IF(SER_hh_emi!V17=0,0,1000000*SER_hh_emi!V17/SER_hh_num!V17)</f>
        <v>5330.0684468048566</v>
      </c>
      <c r="W17" s="132">
        <f>IF(SER_hh_emi!W17=0,0,1000000*SER_hh_emi!W17/SER_hh_num!W17)</f>
        <v>7107.8722582653409</v>
      </c>
      <c r="X17" s="132">
        <f>IF(SER_hh_emi!X17=0,0,1000000*SER_hh_emi!X17/SER_hh_num!X17)</f>
        <v>6498.2675308020453</v>
      </c>
      <c r="Y17" s="132">
        <f>IF(SER_hh_emi!Y17=0,0,1000000*SER_hh_emi!Y17/SER_hh_num!Y17)</f>
        <v>6610.9326988446546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662.60838844992065</v>
      </c>
      <c r="C19" s="130">
        <f>IF(SER_hh_emi!C19=0,0,1000000*SER_hh_emi!C19/SER_hh_num!C19)</f>
        <v>749.33122579346298</v>
      </c>
      <c r="D19" s="130">
        <f>IF(SER_hh_emi!D19=0,0,1000000*SER_hh_emi!D19/SER_hh_num!D19)</f>
        <v>798.0213771018424</v>
      </c>
      <c r="E19" s="130">
        <f>IF(SER_hh_emi!E19=0,0,1000000*SER_hh_emi!E19/SER_hh_num!E19)</f>
        <v>810.12547033728265</v>
      </c>
      <c r="F19" s="130">
        <f>IF(SER_hh_emi!F19=0,0,1000000*SER_hh_emi!F19/SER_hh_num!F19)</f>
        <v>839.0872875517781</v>
      </c>
      <c r="G19" s="130">
        <f>IF(SER_hh_emi!G19=0,0,1000000*SER_hh_emi!G19/SER_hh_num!G19)</f>
        <v>1031.9173245586398</v>
      </c>
      <c r="H19" s="130">
        <f>IF(SER_hh_emi!H19=0,0,1000000*SER_hh_emi!H19/SER_hh_num!H19)</f>
        <v>1089.6701123180196</v>
      </c>
      <c r="I19" s="130">
        <f>IF(SER_hh_emi!I19=0,0,1000000*SER_hh_emi!I19/SER_hh_num!I19)</f>
        <v>1202.5792674046843</v>
      </c>
      <c r="J19" s="130">
        <f>IF(SER_hh_emi!J19=0,0,1000000*SER_hh_emi!J19/SER_hh_num!J19)</f>
        <v>1242.6369133667502</v>
      </c>
      <c r="K19" s="130">
        <f>IF(SER_hh_emi!K19=0,0,1000000*SER_hh_emi!K19/SER_hh_num!K19)</f>
        <v>1287.5599457932228</v>
      </c>
      <c r="L19" s="130">
        <f>IF(SER_hh_emi!L19=0,0,1000000*SER_hh_emi!L19/SER_hh_num!L19)</f>
        <v>1441.1463796737034</v>
      </c>
      <c r="M19" s="130">
        <f>IF(SER_hh_emi!M19=0,0,1000000*SER_hh_emi!M19/SER_hh_num!M19)</f>
        <v>1457.0262588226888</v>
      </c>
      <c r="N19" s="130">
        <f>IF(SER_hh_emi!N19=0,0,1000000*SER_hh_emi!N19/SER_hh_num!N19)</f>
        <v>1444.2567149469969</v>
      </c>
      <c r="O19" s="130">
        <f>IF(SER_hh_emi!O19=0,0,1000000*SER_hh_emi!O19/SER_hh_num!O19)</f>
        <v>1497.7102874924306</v>
      </c>
      <c r="P19" s="130">
        <f>IF(SER_hh_emi!P19=0,0,1000000*SER_hh_emi!P19/SER_hh_num!P19)</f>
        <v>1500.742180486018</v>
      </c>
      <c r="Q19" s="130">
        <f>IF(SER_hh_emi!Q19=0,0,1000000*SER_hh_emi!Q19/SER_hh_num!Q19)</f>
        <v>1528.3829769281294</v>
      </c>
      <c r="R19" s="130">
        <f>IF(SER_hh_emi!R19=0,0,1000000*SER_hh_emi!R19/SER_hh_num!R19)</f>
        <v>1534.1289903563679</v>
      </c>
      <c r="S19" s="130">
        <f>IF(SER_hh_emi!S19=0,0,1000000*SER_hh_emi!S19/SER_hh_num!S19)</f>
        <v>1572.2790709885489</v>
      </c>
      <c r="T19" s="130">
        <f>IF(SER_hh_emi!T19=0,0,1000000*SER_hh_emi!T19/SER_hh_num!T19)</f>
        <v>1458.8526162539079</v>
      </c>
      <c r="U19" s="130">
        <f>IF(SER_hh_emi!U19=0,0,1000000*SER_hh_emi!U19/SER_hh_num!U19)</f>
        <v>1373.0251765344133</v>
      </c>
      <c r="V19" s="130">
        <f>IF(SER_hh_emi!V19=0,0,1000000*SER_hh_emi!V19/SER_hh_num!V19)</f>
        <v>1027.6868123609497</v>
      </c>
      <c r="W19" s="130">
        <f>IF(SER_hh_emi!W19=0,0,1000000*SER_hh_emi!W19/SER_hh_num!W19)</f>
        <v>1062.720151550172</v>
      </c>
      <c r="X19" s="130">
        <f>IF(SER_hh_emi!X19=0,0,1000000*SER_hh_emi!X19/SER_hh_num!X19)</f>
        <v>898.49042109498646</v>
      </c>
      <c r="Y19" s="130">
        <f>IF(SER_hh_emi!Y19=0,0,1000000*SER_hh_emi!Y19/SER_hh_num!Y19)</f>
        <v>823.1276720155314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0</v>
      </c>
      <c r="C20" s="132">
        <f>IF(SER_hh_emi!C20=0,0,1000000*SER_hh_emi!C20/SER_hh_num!C20)</f>
        <v>0</v>
      </c>
      <c r="D20" s="132">
        <f>IF(SER_hh_emi!D20=0,0,1000000*SER_hh_emi!D20/SER_hh_num!D20)</f>
        <v>0</v>
      </c>
      <c r="E20" s="132">
        <f>IF(SER_hh_emi!E20=0,0,1000000*SER_hh_emi!E20/SER_hh_num!E20)</f>
        <v>0</v>
      </c>
      <c r="F20" s="132">
        <f>IF(SER_hh_emi!F20=0,0,1000000*SER_hh_emi!F20/SER_hh_num!F20)</f>
        <v>0</v>
      </c>
      <c r="G20" s="132">
        <f>IF(SER_hh_emi!G20=0,0,1000000*SER_hh_emi!G20/SER_hh_num!G20)</f>
        <v>0</v>
      </c>
      <c r="H20" s="132">
        <f>IF(SER_hh_emi!H20=0,0,1000000*SER_hh_emi!H20/SER_hh_num!H20)</f>
        <v>0</v>
      </c>
      <c r="I20" s="132">
        <f>IF(SER_hh_emi!I20=0,0,1000000*SER_hh_emi!I20/SER_hh_num!I20)</f>
        <v>0</v>
      </c>
      <c r="J20" s="132">
        <f>IF(SER_hh_emi!J20=0,0,1000000*SER_hh_emi!J20/SER_hh_num!J20)</f>
        <v>0</v>
      </c>
      <c r="K20" s="132">
        <f>IF(SER_hh_emi!K20=0,0,1000000*SER_hh_emi!K20/SER_hh_num!K20)</f>
        <v>0</v>
      </c>
      <c r="L20" s="132">
        <f>IF(SER_hh_emi!L20=0,0,1000000*SER_hh_emi!L20/SER_hh_num!L20)</f>
        <v>0</v>
      </c>
      <c r="M20" s="132">
        <f>IF(SER_hh_emi!M20=0,0,1000000*SER_hh_emi!M20/SER_hh_num!M20)</f>
        <v>0</v>
      </c>
      <c r="N20" s="132">
        <f>IF(SER_hh_emi!N20=0,0,1000000*SER_hh_emi!N20/SER_hh_num!N20)</f>
        <v>0</v>
      </c>
      <c r="O20" s="132">
        <f>IF(SER_hh_emi!O20=0,0,1000000*SER_hh_emi!O20/SER_hh_num!O20)</f>
        <v>0</v>
      </c>
      <c r="P20" s="132">
        <f>IF(SER_hh_emi!P20=0,0,1000000*SER_hh_emi!P20/SER_hh_num!P20)</f>
        <v>0</v>
      </c>
      <c r="Q20" s="132">
        <f>IF(SER_hh_emi!Q20=0,0,1000000*SER_hh_emi!Q20/SER_hh_num!Q20)</f>
        <v>0</v>
      </c>
      <c r="R20" s="132">
        <f>IF(SER_hh_emi!R20=0,0,1000000*SER_hh_emi!R20/SER_hh_num!R20)</f>
        <v>0</v>
      </c>
      <c r="S20" s="132">
        <f>IF(SER_hh_emi!S20=0,0,1000000*SER_hh_emi!S20/SER_hh_num!S20)</f>
        <v>0</v>
      </c>
      <c r="T20" s="132">
        <f>IF(SER_hh_emi!T20=0,0,1000000*SER_hh_emi!T20/SER_hh_num!T20)</f>
        <v>0</v>
      </c>
      <c r="U20" s="132">
        <f>IF(SER_hh_emi!U20=0,0,1000000*SER_hh_emi!U20/SER_hh_num!U20)</f>
        <v>0</v>
      </c>
      <c r="V20" s="132">
        <f>IF(SER_hh_emi!V20=0,0,1000000*SER_hh_emi!V20/SER_hh_num!V20)</f>
        <v>0</v>
      </c>
      <c r="W20" s="132">
        <f>IF(SER_hh_emi!W20=0,0,1000000*SER_hh_emi!W20/SER_hh_num!W20)</f>
        <v>0</v>
      </c>
      <c r="X20" s="132">
        <f>IF(SER_hh_emi!X20=0,0,1000000*SER_hh_emi!X20/SER_hh_num!X20)</f>
        <v>0</v>
      </c>
      <c r="Y20" s="132">
        <f>IF(SER_hh_emi!Y20=0,0,1000000*SER_hh_emi!Y20/SER_hh_num!Y20)</f>
        <v>0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9167.3652450864683</v>
      </c>
      <c r="C21" s="132">
        <f>IF(SER_hh_emi!C21=0,0,1000000*SER_hh_emi!C21/SER_hh_num!C21)</f>
        <v>9923.8569477542169</v>
      </c>
      <c r="D21" s="132">
        <f>IF(SER_hh_emi!D21=0,0,1000000*SER_hh_emi!D21/SER_hh_num!D21)</f>
        <v>10201.882246016532</v>
      </c>
      <c r="E21" s="132">
        <f>IF(SER_hh_emi!E21=0,0,1000000*SER_hh_emi!E21/SER_hh_num!E21)</f>
        <v>9898.4740861844439</v>
      </c>
      <c r="F21" s="132">
        <f>IF(SER_hh_emi!F21=0,0,1000000*SER_hh_emi!F21/SER_hh_num!F21)</f>
        <v>10081.340908721626</v>
      </c>
      <c r="G21" s="132">
        <f>IF(SER_hh_emi!G21=0,0,1000000*SER_hh_emi!G21/SER_hh_num!G21)</f>
        <v>10601.750855846181</v>
      </c>
      <c r="H21" s="132">
        <f>IF(SER_hh_emi!H21=0,0,1000000*SER_hh_emi!H21/SER_hh_num!H21)</f>
        <v>10346.213857992161</v>
      </c>
      <c r="I21" s="132">
        <f>IF(SER_hh_emi!I21=0,0,1000000*SER_hh_emi!I21/SER_hh_num!I21)</f>
        <v>10969.722724653177</v>
      </c>
      <c r="J21" s="132">
        <f>IF(SER_hh_emi!J21=0,0,1000000*SER_hh_emi!J21/SER_hh_num!J21)</f>
        <v>10774.246978582727</v>
      </c>
      <c r="K21" s="132">
        <f>IF(SER_hh_emi!K21=0,0,1000000*SER_hh_emi!K21/SER_hh_num!K21)</f>
        <v>10771.661457701619</v>
      </c>
      <c r="L21" s="132">
        <f>IF(SER_hh_emi!L21=0,0,1000000*SER_hh_emi!L21/SER_hh_num!L21)</f>
        <v>11055.780595365011</v>
      </c>
      <c r="M21" s="132">
        <f>IF(SER_hh_emi!M21=0,0,1000000*SER_hh_emi!M21/SER_hh_num!M21)</f>
        <v>11023.789785812432</v>
      </c>
      <c r="N21" s="132">
        <f>IF(SER_hh_emi!N21=0,0,1000000*SER_hh_emi!N21/SER_hh_num!N21)</f>
        <v>11553.743245280792</v>
      </c>
      <c r="O21" s="132">
        <f>IF(SER_hh_emi!O21=0,0,1000000*SER_hh_emi!O21/SER_hh_num!O21)</f>
        <v>11441.677666137724</v>
      </c>
      <c r="P21" s="132">
        <f>IF(SER_hh_emi!P21=0,0,1000000*SER_hh_emi!P21/SER_hh_num!P21)</f>
        <v>11132.782820692481</v>
      </c>
      <c r="Q21" s="132">
        <f>IF(SER_hh_emi!Q21=0,0,1000000*SER_hh_emi!Q21/SER_hh_num!Q21)</f>
        <v>10603.291988982181</v>
      </c>
      <c r="R21" s="132">
        <f>IF(SER_hh_emi!R21=0,0,1000000*SER_hh_emi!R21/SER_hh_num!R21)</f>
        <v>11253.497270337471</v>
      </c>
      <c r="S21" s="132">
        <f>IF(SER_hh_emi!S21=0,0,1000000*SER_hh_emi!S21/SER_hh_num!S21)</f>
        <v>11127.483828066663</v>
      </c>
      <c r="T21" s="132">
        <f>IF(SER_hh_emi!T21=0,0,1000000*SER_hh_emi!T21/SER_hh_num!T21)</f>
        <v>10807.827522995716</v>
      </c>
      <c r="U21" s="132">
        <f>IF(SER_hh_emi!U21=0,0,1000000*SER_hh_emi!U21/SER_hh_num!U21)</f>
        <v>11271.197113882989</v>
      </c>
      <c r="V21" s="132">
        <f>IF(SER_hh_emi!V21=0,0,1000000*SER_hh_emi!V21/SER_hh_num!V21)</f>
        <v>6084.4032780063517</v>
      </c>
      <c r="W21" s="132">
        <f>IF(SER_hh_emi!W21=0,0,1000000*SER_hh_emi!W21/SER_hh_num!W21)</f>
        <v>7563.4671216876395</v>
      </c>
      <c r="X21" s="132">
        <f>IF(SER_hh_emi!X21=0,0,1000000*SER_hh_emi!X21/SER_hh_num!X21)</f>
        <v>9099.2364454494182</v>
      </c>
      <c r="Y21" s="132">
        <f>IF(SER_hh_emi!Y21=0,0,1000000*SER_hh_emi!Y21/SER_hh_num!Y21)</f>
        <v>9145.4991397850536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11353.201187268964</v>
      </c>
      <c r="C22" s="132">
        <f>IF(SER_hh_emi!C22=0,0,1000000*SER_hh_emi!C22/SER_hh_num!C22)</f>
        <v>12369.728001303771</v>
      </c>
      <c r="D22" s="132">
        <f>IF(SER_hh_emi!D22=0,0,1000000*SER_hh_emi!D22/SER_hh_num!D22)</f>
        <v>12760.151465156632</v>
      </c>
      <c r="E22" s="132">
        <f>IF(SER_hh_emi!E22=0,0,1000000*SER_hh_emi!E22/SER_hh_num!E22)</f>
        <v>12731.450903544679</v>
      </c>
      <c r="F22" s="132">
        <f>IF(SER_hh_emi!F22=0,0,1000000*SER_hh_emi!F22/SER_hh_num!F22)</f>
        <v>12936.535685889106</v>
      </c>
      <c r="G22" s="132">
        <f>IF(SER_hh_emi!G22=0,0,1000000*SER_hh_emi!G22/SER_hh_num!G22)</f>
        <v>13497.920973713675</v>
      </c>
      <c r="H22" s="132">
        <f>IF(SER_hh_emi!H22=0,0,1000000*SER_hh_emi!H22/SER_hh_num!H22)</f>
        <v>13406.998755859138</v>
      </c>
      <c r="I22" s="132">
        <f>IF(SER_hh_emi!I22=0,0,1000000*SER_hh_emi!I22/SER_hh_num!I22)</f>
        <v>13345.130149045688</v>
      </c>
      <c r="J22" s="132">
        <f>IF(SER_hh_emi!J22=0,0,1000000*SER_hh_emi!J22/SER_hh_num!J22)</f>
        <v>13395.07324711006</v>
      </c>
      <c r="K22" s="132">
        <f>IF(SER_hh_emi!K22=0,0,1000000*SER_hh_emi!K22/SER_hh_num!K22)</f>
        <v>13394.577994907588</v>
      </c>
      <c r="L22" s="132">
        <f>IF(SER_hh_emi!L22=0,0,1000000*SER_hh_emi!L22/SER_hh_num!L22)</f>
        <v>13745.931463508405</v>
      </c>
      <c r="M22" s="132">
        <f>IF(SER_hh_emi!M22=0,0,1000000*SER_hh_emi!M22/SER_hh_num!M22)</f>
        <v>14035.72555701921</v>
      </c>
      <c r="N22" s="132">
        <f>IF(SER_hh_emi!N22=0,0,1000000*SER_hh_emi!N22/SER_hh_num!N22)</f>
        <v>12372.742229105386</v>
      </c>
      <c r="O22" s="132">
        <f>IF(SER_hh_emi!O22=0,0,1000000*SER_hh_emi!O22/SER_hh_num!O22)</f>
        <v>13295.942343611145</v>
      </c>
      <c r="P22" s="132">
        <f>IF(SER_hh_emi!P22=0,0,1000000*SER_hh_emi!P22/SER_hh_num!P22)</f>
        <v>14302.46022996234</v>
      </c>
      <c r="Q22" s="132">
        <f>IF(SER_hh_emi!Q22=0,0,1000000*SER_hh_emi!Q22/SER_hh_num!Q22)</f>
        <v>13657.547735777194</v>
      </c>
      <c r="R22" s="132">
        <f>IF(SER_hh_emi!R22=0,0,1000000*SER_hh_emi!R22/SER_hh_num!R22)</f>
        <v>13917.506444026312</v>
      </c>
      <c r="S22" s="132">
        <f>IF(SER_hh_emi!S22=0,0,1000000*SER_hh_emi!S22/SER_hh_num!S22)</f>
        <v>14351.701970087708</v>
      </c>
      <c r="T22" s="132">
        <f>IF(SER_hh_emi!T22=0,0,1000000*SER_hh_emi!T22/SER_hh_num!T22)</f>
        <v>13118.862738477716</v>
      </c>
      <c r="U22" s="132">
        <f>IF(SER_hh_emi!U22=0,0,1000000*SER_hh_emi!U22/SER_hh_num!U22)</f>
        <v>13439.495165551953</v>
      </c>
      <c r="V22" s="132">
        <f>IF(SER_hh_emi!V22=0,0,1000000*SER_hh_emi!V22/SER_hh_num!V22)</f>
        <v>10279.083482153264</v>
      </c>
      <c r="W22" s="132">
        <f>IF(SER_hh_emi!W22=0,0,1000000*SER_hh_emi!W22/SER_hh_num!W22)</f>
        <v>9447.5802055285021</v>
      </c>
      <c r="X22" s="132">
        <f>IF(SER_hh_emi!X22=0,0,1000000*SER_hh_emi!X22/SER_hh_num!X22)</f>
        <v>14304.543608315234</v>
      </c>
      <c r="Y22" s="132">
        <f>IF(SER_hh_emi!Y22=0,0,1000000*SER_hh_emi!Y22/SER_hh_num!Y22)</f>
        <v>10551.678324639004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7016.5276807924411</v>
      </c>
      <c r="C23" s="132">
        <f>IF(SER_hh_emi!C23=0,0,1000000*SER_hh_emi!C23/SER_hh_num!C23)</f>
        <v>8342.1207122334436</v>
      </c>
      <c r="D23" s="132">
        <f>IF(SER_hh_emi!D23=0,0,1000000*SER_hh_emi!D23/SER_hh_num!D23)</f>
        <v>8399.0055773316744</v>
      </c>
      <c r="E23" s="132">
        <f>IF(SER_hh_emi!E23=0,0,1000000*SER_hh_emi!E23/SER_hh_num!E23)</f>
        <v>7778.13338185265</v>
      </c>
      <c r="F23" s="132">
        <f>IF(SER_hh_emi!F23=0,0,1000000*SER_hh_emi!F23/SER_hh_num!F23)</f>
        <v>6906.1486385360759</v>
      </c>
      <c r="G23" s="132">
        <f>IF(SER_hh_emi!G23=0,0,1000000*SER_hh_emi!G23/SER_hh_num!G23)</f>
        <v>8954.981446972688</v>
      </c>
      <c r="H23" s="132">
        <f>IF(SER_hh_emi!H23=0,0,1000000*SER_hh_emi!H23/SER_hh_num!H23)</f>
        <v>8530.1092777364611</v>
      </c>
      <c r="I23" s="132">
        <f>IF(SER_hh_emi!I23=0,0,1000000*SER_hh_emi!I23/SER_hh_num!I23)</f>
        <v>8918.4627545078092</v>
      </c>
      <c r="J23" s="132">
        <f>IF(SER_hh_emi!J23=0,0,1000000*SER_hh_emi!J23/SER_hh_num!J23)</f>
        <v>8752.7302176389712</v>
      </c>
      <c r="K23" s="132">
        <f>IF(SER_hh_emi!K23=0,0,1000000*SER_hh_emi!K23/SER_hh_num!K23)</f>
        <v>8736.3017284179987</v>
      </c>
      <c r="L23" s="132">
        <f>IF(SER_hh_emi!L23=0,0,1000000*SER_hh_emi!L23/SER_hh_num!L23)</f>
        <v>9472.3511178108092</v>
      </c>
      <c r="M23" s="132">
        <f>IF(SER_hh_emi!M23=0,0,1000000*SER_hh_emi!M23/SER_hh_num!M23)</f>
        <v>8702.9380422432241</v>
      </c>
      <c r="N23" s="132">
        <f>IF(SER_hh_emi!N23=0,0,1000000*SER_hh_emi!N23/SER_hh_num!N23)</f>
        <v>8780.4705404768156</v>
      </c>
      <c r="O23" s="132">
        <f>IF(SER_hh_emi!O23=0,0,1000000*SER_hh_emi!O23/SER_hh_num!O23)</f>
        <v>8789.9720237911915</v>
      </c>
      <c r="P23" s="132">
        <f>IF(SER_hh_emi!P23=0,0,1000000*SER_hh_emi!P23/SER_hh_num!P23)</f>
        <v>8468.3754145962594</v>
      </c>
      <c r="Q23" s="132">
        <f>IF(SER_hh_emi!Q23=0,0,1000000*SER_hh_emi!Q23/SER_hh_num!Q23)</f>
        <v>9129.4915187114584</v>
      </c>
      <c r="R23" s="132">
        <f>IF(SER_hh_emi!R23=0,0,1000000*SER_hh_emi!R23/SER_hh_num!R23)</f>
        <v>8621.4044939062132</v>
      </c>
      <c r="S23" s="132">
        <f>IF(SER_hh_emi!S23=0,0,1000000*SER_hh_emi!S23/SER_hh_num!S23)</f>
        <v>8766.7323374409316</v>
      </c>
      <c r="T23" s="132">
        <f>IF(SER_hh_emi!T23=0,0,1000000*SER_hh_emi!T23/SER_hh_num!T23)</f>
        <v>8444.345202030896</v>
      </c>
      <c r="U23" s="132">
        <f>IF(SER_hh_emi!U23=0,0,1000000*SER_hh_emi!U23/SER_hh_num!U23)</f>
        <v>7684.4076159083479</v>
      </c>
      <c r="V23" s="132">
        <f>IF(SER_hh_emi!V23=0,0,1000000*SER_hh_emi!V23/SER_hh_num!V23)</f>
        <v>7400.4647057155698</v>
      </c>
      <c r="W23" s="132">
        <f>IF(SER_hh_emi!W23=0,0,1000000*SER_hh_emi!W23/SER_hh_num!W23)</f>
        <v>8546.3396662899049</v>
      </c>
      <c r="X23" s="132">
        <f>IF(SER_hh_emi!X23=0,0,1000000*SER_hh_emi!X23/SER_hh_num!X23)</f>
        <v>5469.8299590495926</v>
      </c>
      <c r="Y23" s="132">
        <f>IF(SER_hh_emi!Y23=0,0,1000000*SER_hh_emi!Y23/SER_hh_num!Y23)</f>
        <v>6870.2559557124705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0</v>
      </c>
      <c r="C24" s="132">
        <f>IF(SER_hh_emi!C24=0,0,1000000*SER_hh_emi!C24/SER_hh_num!C24)</f>
        <v>0</v>
      </c>
      <c r="D24" s="132">
        <f>IF(SER_hh_emi!D24=0,0,1000000*SER_hh_emi!D24/SER_hh_num!D24)</f>
        <v>0</v>
      </c>
      <c r="E24" s="132">
        <f>IF(SER_hh_emi!E24=0,0,1000000*SER_hh_emi!E24/SER_hh_num!E24)</f>
        <v>0</v>
      </c>
      <c r="F24" s="132">
        <f>IF(SER_hh_emi!F24=0,0,1000000*SER_hh_emi!F24/SER_hh_num!F24)</f>
        <v>0</v>
      </c>
      <c r="G24" s="132">
        <f>IF(SER_hh_emi!G24=0,0,1000000*SER_hh_emi!G24/SER_hh_num!G24)</f>
        <v>0</v>
      </c>
      <c r="H24" s="132">
        <f>IF(SER_hh_emi!H24=0,0,1000000*SER_hh_emi!H24/SER_hh_num!H24)</f>
        <v>0</v>
      </c>
      <c r="I24" s="132">
        <f>IF(SER_hh_emi!I24=0,0,1000000*SER_hh_emi!I24/SER_hh_num!I24)</f>
        <v>0</v>
      </c>
      <c r="J24" s="132">
        <f>IF(SER_hh_emi!J24=0,0,1000000*SER_hh_emi!J24/SER_hh_num!J24)</f>
        <v>0</v>
      </c>
      <c r="K24" s="132">
        <f>IF(SER_hh_emi!K24=0,0,1000000*SER_hh_emi!K24/SER_hh_num!K24)</f>
        <v>0</v>
      </c>
      <c r="L24" s="132">
        <f>IF(SER_hh_emi!L24=0,0,1000000*SER_hh_emi!L24/SER_hh_num!L24)</f>
        <v>0</v>
      </c>
      <c r="M24" s="132">
        <f>IF(SER_hh_emi!M24=0,0,1000000*SER_hh_emi!M24/SER_hh_num!M24)</f>
        <v>0</v>
      </c>
      <c r="N24" s="132">
        <f>IF(SER_hh_emi!N24=0,0,1000000*SER_hh_emi!N24/SER_hh_num!N24)</f>
        <v>0</v>
      </c>
      <c r="O24" s="132">
        <f>IF(SER_hh_emi!O24=0,0,1000000*SER_hh_emi!O24/SER_hh_num!O24)</f>
        <v>0</v>
      </c>
      <c r="P24" s="132">
        <f>IF(SER_hh_emi!P24=0,0,1000000*SER_hh_emi!P24/SER_hh_num!P24)</f>
        <v>0</v>
      </c>
      <c r="Q24" s="132">
        <f>IF(SER_hh_emi!Q24=0,0,1000000*SER_hh_emi!Q24/SER_hh_num!Q24)</f>
        <v>0</v>
      </c>
      <c r="R24" s="132">
        <f>IF(SER_hh_emi!R24=0,0,1000000*SER_hh_emi!R24/SER_hh_num!R24)</f>
        <v>0</v>
      </c>
      <c r="S24" s="132">
        <f>IF(SER_hh_emi!S24=0,0,1000000*SER_hh_emi!S24/SER_hh_num!S24)</f>
        <v>0</v>
      </c>
      <c r="T24" s="132">
        <f>IF(SER_hh_emi!T24=0,0,1000000*SER_hh_emi!T24/SER_hh_num!T24)</f>
        <v>0</v>
      </c>
      <c r="U24" s="132">
        <f>IF(SER_hh_emi!U24=0,0,1000000*SER_hh_emi!U24/SER_hh_num!U24)</f>
        <v>0</v>
      </c>
      <c r="V24" s="132">
        <f>IF(SER_hh_emi!V24=0,0,1000000*SER_hh_emi!V24/SER_hh_num!V24)</f>
        <v>0</v>
      </c>
      <c r="W24" s="132">
        <f>IF(SER_hh_emi!W24=0,0,1000000*SER_hh_emi!W24/SER_hh_num!W24)</f>
        <v>0</v>
      </c>
      <c r="X24" s="132">
        <f>IF(SER_hh_emi!X24=0,0,1000000*SER_hh_emi!X24/SER_hh_num!X24)</f>
        <v>0</v>
      </c>
      <c r="Y24" s="132">
        <f>IF(SER_hh_emi!Y24=0,0,1000000*SER_hh_emi!Y24/SER_hh_num!Y24)</f>
        <v>0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777.24685417411604</v>
      </c>
      <c r="C29" s="130">
        <f>IF(SER_hh_emi!C29=0,0,1000000*SER_hh_emi!C29/SER_hh_num!C29)</f>
        <v>780.58468089654195</v>
      </c>
      <c r="D29" s="130">
        <f>IF(SER_hh_emi!D29=0,0,1000000*SER_hh_emi!D29/SER_hh_num!D29)</f>
        <v>509.83450002101642</v>
      </c>
      <c r="E29" s="130">
        <f>IF(SER_hh_emi!E29=0,0,1000000*SER_hh_emi!E29/SER_hh_num!E29)</f>
        <v>626.05054884372169</v>
      </c>
      <c r="F29" s="130">
        <f>IF(SER_hh_emi!F29=0,0,1000000*SER_hh_emi!F29/SER_hh_num!F29)</f>
        <v>1511.4782339170163</v>
      </c>
      <c r="G29" s="130">
        <f>IF(SER_hh_emi!G29=0,0,1000000*SER_hh_emi!G29/SER_hh_num!G29)</f>
        <v>1386.680648797201</v>
      </c>
      <c r="H29" s="130">
        <f>IF(SER_hh_emi!H29=0,0,1000000*SER_hh_emi!H29/SER_hh_num!H29)</f>
        <v>1323.9109236663278</v>
      </c>
      <c r="I29" s="130">
        <f>IF(SER_hh_emi!I29=0,0,1000000*SER_hh_emi!I29/SER_hh_num!I29)</f>
        <v>1253.3746797061092</v>
      </c>
      <c r="J29" s="130">
        <f>IF(SER_hh_emi!J29=0,0,1000000*SER_hh_emi!J29/SER_hh_num!J29)</f>
        <v>1262.4271494670777</v>
      </c>
      <c r="K29" s="130">
        <f>IF(SER_hh_emi!K29=0,0,1000000*SER_hh_emi!K29/SER_hh_num!K29)</f>
        <v>1306.5202981563759</v>
      </c>
      <c r="L29" s="130">
        <f>IF(SER_hh_emi!L29=0,0,1000000*SER_hh_emi!L29/SER_hh_num!L29)</f>
        <v>1495.9278709014127</v>
      </c>
      <c r="M29" s="130">
        <f>IF(SER_hh_emi!M29=0,0,1000000*SER_hh_emi!M29/SER_hh_num!M29)</f>
        <v>1425.1580957669964</v>
      </c>
      <c r="N29" s="130">
        <f>IF(SER_hh_emi!N29=0,0,1000000*SER_hh_emi!N29/SER_hh_num!N29)</f>
        <v>3085.2050174990354</v>
      </c>
      <c r="O29" s="130">
        <f>IF(SER_hh_emi!O29=0,0,1000000*SER_hh_emi!O29/SER_hh_num!O29)</f>
        <v>2293.3251174269667</v>
      </c>
      <c r="P29" s="130">
        <f>IF(SER_hh_emi!P29=0,0,1000000*SER_hh_emi!P29/SER_hh_num!P29)</f>
        <v>1545.6808695620723</v>
      </c>
      <c r="Q29" s="130">
        <f>IF(SER_hh_emi!Q29=0,0,1000000*SER_hh_emi!Q29/SER_hh_num!Q29)</f>
        <v>1692.9865527663339</v>
      </c>
      <c r="R29" s="130">
        <f>IF(SER_hh_emi!R29=0,0,1000000*SER_hh_emi!R29/SER_hh_num!R29)</f>
        <v>1842.4731117460528</v>
      </c>
      <c r="S29" s="130">
        <f>IF(SER_hh_emi!S29=0,0,1000000*SER_hh_emi!S29/SER_hh_num!S29)</f>
        <v>1948.2082759156476</v>
      </c>
      <c r="T29" s="130">
        <f>IF(SER_hh_emi!T29=0,0,1000000*SER_hh_emi!T29/SER_hh_num!T29)</f>
        <v>2022.1253190769764</v>
      </c>
      <c r="U29" s="130">
        <f>IF(SER_hh_emi!U29=0,0,1000000*SER_hh_emi!U29/SER_hh_num!U29)</f>
        <v>2180.4409279269457</v>
      </c>
      <c r="V29" s="130">
        <f>IF(SER_hh_emi!V29=0,0,1000000*SER_hh_emi!V29/SER_hh_num!V29)</f>
        <v>1578.9543706079312</v>
      </c>
      <c r="W29" s="130">
        <f>IF(SER_hh_emi!W29=0,0,1000000*SER_hh_emi!W29/SER_hh_num!W29)</f>
        <v>2095.4545436692179</v>
      </c>
      <c r="X29" s="130">
        <f>IF(SER_hh_emi!X29=0,0,1000000*SER_hh_emi!X29/SER_hh_num!X29)</f>
        <v>2308.487552171975</v>
      </c>
      <c r="Y29" s="130">
        <f>IF(SER_hh_emi!Y29=0,0,1000000*SER_hh_emi!Y29/SER_hh_num!Y29)</f>
        <v>2686.0730267599288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11221.876907577815</v>
      </c>
      <c r="C30" s="132">
        <f>IF(SER_hh_emi!C30=0,0,1000000*SER_hh_emi!C30/SER_hh_num!C30)</f>
        <v>12847.44046670741</v>
      </c>
      <c r="D30" s="132">
        <f>IF(SER_hh_emi!D30=0,0,1000000*SER_hh_emi!D30/SER_hh_num!D30)</f>
        <v>7867.3336538868498</v>
      </c>
      <c r="E30" s="132">
        <f>IF(SER_hh_emi!E30=0,0,1000000*SER_hh_emi!E30/SER_hh_num!E30)</f>
        <v>7906.6622180511431</v>
      </c>
      <c r="F30" s="132">
        <f>IF(SER_hh_emi!F30=0,0,1000000*SER_hh_emi!F30/SER_hh_num!F30)</f>
        <v>15704.968551635216</v>
      </c>
      <c r="G30" s="132">
        <f>IF(SER_hh_emi!G30=0,0,1000000*SER_hh_emi!G30/SER_hh_num!G30)</f>
        <v>12459.456366875991</v>
      </c>
      <c r="H30" s="132">
        <f>IF(SER_hh_emi!H30=0,0,1000000*SER_hh_emi!H30/SER_hh_num!H30)</f>
        <v>11724.372960878491</v>
      </c>
      <c r="I30" s="132">
        <f>IF(SER_hh_emi!I30=0,0,1000000*SER_hh_emi!I30/SER_hh_num!I30)</f>
        <v>11357.728586647216</v>
      </c>
      <c r="J30" s="132">
        <f>IF(SER_hh_emi!J30=0,0,1000000*SER_hh_emi!J30/SER_hh_num!J30)</f>
        <v>10747.150520900965</v>
      </c>
      <c r="K30" s="132">
        <f>IF(SER_hh_emi!K30=0,0,1000000*SER_hh_emi!K30/SER_hh_num!K30)</f>
        <v>10028.458746005675</v>
      </c>
      <c r="L30" s="132">
        <f>IF(SER_hh_emi!L30=0,0,1000000*SER_hh_emi!L30/SER_hh_num!L30)</f>
        <v>10691.874195665587</v>
      </c>
      <c r="M30" s="132">
        <f>IF(SER_hh_emi!M30=0,0,1000000*SER_hh_emi!M30/SER_hh_num!M30)</f>
        <v>7676.1878637259324</v>
      </c>
      <c r="N30" s="132">
        <f>IF(SER_hh_emi!N30=0,0,1000000*SER_hh_emi!N30/SER_hh_num!N30)</f>
        <v>21108.636569213126</v>
      </c>
      <c r="O30" s="132">
        <f>IF(SER_hh_emi!O30=0,0,1000000*SER_hh_emi!O30/SER_hh_num!O30)</f>
        <v>14488.767477603202</v>
      </c>
      <c r="P30" s="132">
        <f>IF(SER_hh_emi!P30=0,0,1000000*SER_hh_emi!P30/SER_hh_num!P30)</f>
        <v>8592.4161787595713</v>
      </c>
      <c r="Q30" s="132">
        <f>IF(SER_hh_emi!Q30=0,0,1000000*SER_hh_emi!Q30/SER_hh_num!Q30)</f>
        <v>10145.355368415858</v>
      </c>
      <c r="R30" s="132">
        <f>IF(SER_hh_emi!R30=0,0,1000000*SER_hh_emi!R30/SER_hh_num!R30)</f>
        <v>11437.321405849203</v>
      </c>
      <c r="S30" s="132">
        <f>IF(SER_hh_emi!S30=0,0,1000000*SER_hh_emi!S30/SER_hh_num!S30)</f>
        <v>12483.117486751389</v>
      </c>
      <c r="T30" s="132">
        <f>IF(SER_hh_emi!T30=0,0,1000000*SER_hh_emi!T30/SER_hh_num!T30)</f>
        <v>12608.093157267356</v>
      </c>
      <c r="U30" s="132">
        <f>IF(SER_hh_emi!U30=0,0,1000000*SER_hh_emi!U30/SER_hh_num!U30)</f>
        <v>13464.959347688098</v>
      </c>
      <c r="V30" s="132">
        <f>IF(SER_hh_emi!V30=0,0,1000000*SER_hh_emi!V30/SER_hh_num!V30)</f>
        <v>8319.342479789957</v>
      </c>
      <c r="W30" s="132">
        <f>IF(SER_hh_emi!W30=0,0,1000000*SER_hh_emi!W30/SER_hh_num!W30)</f>
        <v>10629.819043803969</v>
      </c>
      <c r="X30" s="132">
        <f>IF(SER_hh_emi!X30=0,0,1000000*SER_hh_emi!X30/SER_hh_num!X30)</f>
        <v>11166.895896692391</v>
      </c>
      <c r="Y30" s="132">
        <f>IF(SER_hh_emi!Y30=0,0,1000000*SER_hh_emi!Y30/SER_hh_num!Y30)</f>
        <v>11993.277792906665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7985.5844311554574</v>
      </c>
      <c r="C31" s="132">
        <f>IF(SER_hh_emi!C31=0,0,1000000*SER_hh_emi!C31/SER_hh_num!C31)</f>
        <v>8845.5543591357182</v>
      </c>
      <c r="D31" s="132">
        <f>IF(SER_hh_emi!D31=0,0,1000000*SER_hh_emi!D31/SER_hh_num!D31)</f>
        <v>8590.8813505606468</v>
      </c>
      <c r="E31" s="132">
        <f>IF(SER_hh_emi!E31=0,0,1000000*SER_hh_emi!E31/SER_hh_num!E31)</f>
        <v>8584.2022775321748</v>
      </c>
      <c r="F31" s="132">
        <f>IF(SER_hh_emi!F31=0,0,1000000*SER_hh_emi!F31/SER_hh_num!F31)</f>
        <v>9041.2887226391995</v>
      </c>
      <c r="G31" s="132">
        <f>IF(SER_hh_emi!G31=0,0,1000000*SER_hh_emi!G31/SER_hh_num!G31)</f>
        <v>10271.732957346851</v>
      </c>
      <c r="H31" s="132">
        <f>IF(SER_hh_emi!H31=0,0,1000000*SER_hh_emi!H31/SER_hh_num!H31)</f>
        <v>9593.0716830715573</v>
      </c>
      <c r="I31" s="132">
        <f>IF(SER_hh_emi!I31=0,0,1000000*SER_hh_emi!I31/SER_hh_num!I31)</f>
        <v>9571.0704808162118</v>
      </c>
      <c r="J31" s="132">
        <f>IF(SER_hh_emi!J31=0,0,1000000*SER_hh_emi!J31/SER_hh_num!J31)</f>
        <v>9660.0865873032308</v>
      </c>
      <c r="K31" s="132">
        <f>IF(SER_hh_emi!K31=0,0,1000000*SER_hh_emi!K31/SER_hh_num!K31)</f>
        <v>10267.536869934414</v>
      </c>
      <c r="L31" s="132">
        <f>IF(SER_hh_emi!L31=0,0,1000000*SER_hh_emi!L31/SER_hh_num!L31)</f>
        <v>10691.518347375202</v>
      </c>
      <c r="M31" s="132">
        <f>IF(SER_hh_emi!M31=0,0,1000000*SER_hh_emi!M31/SER_hh_num!M31)</f>
        <v>10363.034727336391</v>
      </c>
      <c r="N31" s="132">
        <f>IF(SER_hh_emi!N31=0,0,1000000*SER_hh_emi!N31/SER_hh_num!N31)</f>
        <v>10102.212576974933</v>
      </c>
      <c r="O31" s="132">
        <f>IF(SER_hh_emi!O31=0,0,1000000*SER_hh_emi!O31/SER_hh_num!O31)</f>
        <v>9795.3413059628238</v>
      </c>
      <c r="P31" s="132">
        <f>IF(SER_hh_emi!P31=0,0,1000000*SER_hh_emi!P31/SER_hh_num!P31)</f>
        <v>10238.461432569356</v>
      </c>
      <c r="Q31" s="132">
        <f>IF(SER_hh_emi!Q31=0,0,1000000*SER_hh_emi!Q31/SER_hh_num!Q31)</f>
        <v>10408.35351944349</v>
      </c>
      <c r="R31" s="132">
        <f>IF(SER_hh_emi!R31=0,0,1000000*SER_hh_emi!R31/SER_hh_num!R31)</f>
        <v>10235.500463236545</v>
      </c>
      <c r="S31" s="132">
        <f>IF(SER_hh_emi!S31=0,0,1000000*SER_hh_emi!S31/SER_hh_num!S31)</f>
        <v>10185.8510061908</v>
      </c>
      <c r="T31" s="132">
        <f>IF(SER_hh_emi!T31=0,0,1000000*SER_hh_emi!T31/SER_hh_num!T31)</f>
        <v>9764.667190697297</v>
      </c>
      <c r="U31" s="132">
        <f>IF(SER_hh_emi!U31=0,0,1000000*SER_hh_emi!U31/SER_hh_num!U31)</f>
        <v>9284.3887114785593</v>
      </c>
      <c r="V31" s="132">
        <f>IF(SER_hh_emi!V31=0,0,1000000*SER_hh_emi!V31/SER_hh_num!V31)</f>
        <v>8778.8375007258892</v>
      </c>
      <c r="W31" s="132">
        <f>IF(SER_hh_emi!W31=0,0,1000000*SER_hh_emi!W31/SER_hh_num!W31)</f>
        <v>10041.559797030159</v>
      </c>
      <c r="X31" s="132">
        <f>IF(SER_hh_emi!X31=0,0,1000000*SER_hh_emi!X31/SER_hh_num!X31)</f>
        <v>8616.2411474498094</v>
      </c>
      <c r="Y31" s="132">
        <f>IF(SER_hh_emi!Y31=0,0,1000000*SER_hh_emi!Y31/SER_hh_num!Y31)</f>
        <v>8740.3024947811773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0</v>
      </c>
      <c r="C32" s="132">
        <f>IF(SER_hh_emi!C32=0,0,1000000*SER_hh_emi!C32/SER_hh_num!C32)</f>
        <v>0</v>
      </c>
      <c r="D32" s="132">
        <f>IF(SER_hh_emi!D32=0,0,1000000*SER_hh_emi!D32/SER_hh_num!D32)</f>
        <v>0</v>
      </c>
      <c r="E32" s="132">
        <f>IF(SER_hh_emi!E32=0,0,1000000*SER_hh_emi!E32/SER_hh_num!E32)</f>
        <v>0</v>
      </c>
      <c r="F32" s="132">
        <f>IF(SER_hh_emi!F32=0,0,1000000*SER_hh_emi!F32/SER_hh_num!F32)</f>
        <v>0</v>
      </c>
      <c r="G32" s="132">
        <f>IF(SER_hh_emi!G32=0,0,1000000*SER_hh_emi!G32/SER_hh_num!G32)</f>
        <v>0</v>
      </c>
      <c r="H32" s="132">
        <f>IF(SER_hh_emi!H32=0,0,1000000*SER_hh_emi!H32/SER_hh_num!H32)</f>
        <v>0</v>
      </c>
      <c r="I32" s="132">
        <f>IF(SER_hh_emi!I32=0,0,1000000*SER_hh_emi!I32/SER_hh_num!I32)</f>
        <v>0</v>
      </c>
      <c r="J32" s="132">
        <f>IF(SER_hh_emi!J32=0,0,1000000*SER_hh_emi!J32/SER_hh_num!J32)</f>
        <v>0</v>
      </c>
      <c r="K32" s="132">
        <f>IF(SER_hh_emi!K32=0,0,1000000*SER_hh_emi!K32/SER_hh_num!K32)</f>
        <v>0</v>
      </c>
      <c r="L32" s="132">
        <f>IF(SER_hh_emi!L32=0,0,1000000*SER_hh_emi!L32/SER_hh_num!L32)</f>
        <v>0</v>
      </c>
      <c r="M32" s="132">
        <f>IF(SER_hh_emi!M32=0,0,1000000*SER_hh_emi!M32/SER_hh_num!M32)</f>
        <v>0</v>
      </c>
      <c r="N32" s="132">
        <f>IF(SER_hh_emi!N32=0,0,1000000*SER_hh_emi!N32/SER_hh_num!N32)</f>
        <v>0</v>
      </c>
      <c r="O32" s="132">
        <f>IF(SER_hh_emi!O32=0,0,1000000*SER_hh_emi!O32/SER_hh_num!O32)</f>
        <v>0</v>
      </c>
      <c r="P32" s="132">
        <f>IF(SER_hh_emi!P32=0,0,1000000*SER_hh_emi!P32/SER_hh_num!P32)</f>
        <v>0</v>
      </c>
      <c r="Q32" s="132">
        <f>IF(SER_hh_emi!Q32=0,0,1000000*SER_hh_emi!Q32/SER_hh_num!Q32)</f>
        <v>0</v>
      </c>
      <c r="R32" s="132">
        <f>IF(SER_hh_emi!R32=0,0,1000000*SER_hh_emi!R32/SER_hh_num!R32)</f>
        <v>0</v>
      </c>
      <c r="S32" s="132">
        <f>IF(SER_hh_emi!S32=0,0,1000000*SER_hh_emi!S32/SER_hh_num!S32)</f>
        <v>0</v>
      </c>
      <c r="T32" s="132">
        <f>IF(SER_hh_emi!T32=0,0,1000000*SER_hh_emi!T32/SER_hh_num!T32)</f>
        <v>0</v>
      </c>
      <c r="U32" s="132">
        <f>IF(SER_hh_emi!U32=0,0,1000000*SER_hh_emi!U32/SER_hh_num!U32)</f>
        <v>0</v>
      </c>
      <c r="V32" s="132">
        <f>IF(SER_hh_emi!V32=0,0,1000000*SER_hh_emi!V32/SER_hh_num!V32)</f>
        <v>0</v>
      </c>
      <c r="W32" s="132">
        <f>IF(SER_hh_emi!W32=0,0,1000000*SER_hh_emi!W32/SER_hh_num!W32)</f>
        <v>0</v>
      </c>
      <c r="X32" s="132">
        <f>IF(SER_hh_emi!X32=0,0,1000000*SER_hh_emi!X32/SER_hh_num!X32)</f>
        <v>0</v>
      </c>
      <c r="Y32" s="132">
        <f>IF(SER_hh_emi!Y32=0,0,1000000*SER_hh_emi!Y32/SER_hh_num!Y32)</f>
        <v>0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145.23381534207911</v>
      </c>
      <c r="C3" s="125">
        <f>IF(SER_hh_fech!C3=0,0,SER_hh_fech!C3/SER_summary!C$26)</f>
        <v>160.48066877339278</v>
      </c>
      <c r="D3" s="125">
        <f>IF(SER_hh_fech!D3=0,0,SER_hh_fech!D3/SER_summary!D$26)</f>
        <v>162.95940544734736</v>
      </c>
      <c r="E3" s="125">
        <f>IF(SER_hh_fech!E3=0,0,SER_hh_fech!E3/SER_summary!E$26)</f>
        <v>170.60695305577622</v>
      </c>
      <c r="F3" s="125">
        <f>IF(SER_hh_fech!F3=0,0,SER_hh_fech!F3/SER_summary!F$26)</f>
        <v>176.29897924200529</v>
      </c>
      <c r="G3" s="125">
        <f>IF(SER_hh_fech!G3=0,0,SER_hh_fech!G3/SER_summary!G$26)</f>
        <v>189.51539702077829</v>
      </c>
      <c r="H3" s="125">
        <f>IF(SER_hh_fech!H3=0,0,SER_hh_fech!H3/SER_summary!H$26)</f>
        <v>195.80044407544349</v>
      </c>
      <c r="I3" s="125">
        <f>IF(SER_hh_fech!I3=0,0,SER_hh_fech!I3/SER_summary!I$26)</f>
        <v>194.64426564869686</v>
      </c>
      <c r="J3" s="125">
        <f>IF(SER_hh_fech!J3=0,0,SER_hh_fech!J3/SER_summary!J$26)</f>
        <v>198.89971094274102</v>
      </c>
      <c r="K3" s="125">
        <f>IF(SER_hh_fech!K3=0,0,SER_hh_fech!K3/SER_summary!K$26)</f>
        <v>188.81433582348916</v>
      </c>
      <c r="L3" s="125">
        <f>IF(SER_hh_fech!L3=0,0,SER_hh_fech!L3/SER_summary!L$26)</f>
        <v>171.30594147179406</v>
      </c>
      <c r="M3" s="125">
        <f>IF(SER_hh_fech!M3=0,0,SER_hh_fech!M3/SER_summary!M$26)</f>
        <v>164.3887969176198</v>
      </c>
      <c r="N3" s="125">
        <f>IF(SER_hh_fech!N3=0,0,SER_hh_fech!N3/SER_summary!N$26)</f>
        <v>172.77103531662866</v>
      </c>
      <c r="O3" s="125">
        <f>IF(SER_hh_fech!O3=0,0,SER_hh_fech!O3/SER_summary!O$26)</f>
        <v>157.37075167243557</v>
      </c>
      <c r="P3" s="125">
        <f>IF(SER_hh_fech!P3=0,0,SER_hh_fech!P3/SER_summary!P$26)</f>
        <v>142.72480604098661</v>
      </c>
      <c r="Q3" s="125">
        <f>IF(SER_hh_fech!Q3=0,0,SER_hh_fech!Q3/SER_summary!Q$26)</f>
        <v>161.48201542916317</v>
      </c>
      <c r="R3" s="125">
        <f>IF(SER_hh_fech!R3=0,0,SER_hh_fech!R3/SER_summary!R$26)</f>
        <v>178.62663482765996</v>
      </c>
      <c r="S3" s="125">
        <f>IF(SER_hh_fech!S3=0,0,SER_hh_fech!S3/SER_summary!S$26)</f>
        <v>168.56352226582567</v>
      </c>
      <c r="T3" s="125">
        <f>IF(SER_hh_fech!T3=0,0,SER_hh_fech!T3/SER_summary!T$26)</f>
        <v>153.17753056335334</v>
      </c>
      <c r="U3" s="125">
        <f>IF(SER_hh_fech!U3=0,0,SER_hh_fech!U3/SER_summary!U$26)</f>
        <v>156.65359334832249</v>
      </c>
      <c r="V3" s="125">
        <f>IF(SER_hh_fech!V3=0,0,SER_hh_fech!V3/SER_summary!V$26)</f>
        <v>128.71339007675712</v>
      </c>
      <c r="W3" s="125">
        <f>IF(SER_hh_fech!W3=0,0,SER_hh_fech!W3/SER_summary!W$26)</f>
        <v>140.01473446761793</v>
      </c>
      <c r="X3" s="125">
        <f>IF(SER_hh_fech!X3=0,0,SER_hh_fech!X3/SER_summary!X$26)</f>
        <v>144.7971217513971</v>
      </c>
      <c r="Y3" s="125">
        <f>IF(SER_hh_fech!Y3=0,0,SER_hh_fech!Y3/SER_summary!Y$26)</f>
        <v>143.83873692107647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58.278864835574502</v>
      </c>
      <c r="C4" s="130">
        <f>IF(SER_hh_fech!C4=0,0,SER_hh_fech!C4/SER_summary!C$26)</f>
        <v>69.878171083050788</v>
      </c>
      <c r="D4" s="130">
        <f>IF(SER_hh_fech!D4=0,0,SER_hh_fech!D4/SER_summary!D$26)</f>
        <v>70.779355059664596</v>
      </c>
      <c r="E4" s="130">
        <f>IF(SER_hh_fech!E4=0,0,SER_hh_fech!E4/SER_summary!E$26)</f>
        <v>76.949357911104343</v>
      </c>
      <c r="F4" s="130">
        <f>IF(SER_hh_fech!F4=0,0,SER_hh_fech!F4/SER_summary!F$26)</f>
        <v>83.183283313170051</v>
      </c>
      <c r="G4" s="130">
        <f>IF(SER_hh_fech!G4=0,0,SER_hh_fech!G4/SER_summary!G$26)</f>
        <v>93.637534452071847</v>
      </c>
      <c r="H4" s="130">
        <f>IF(SER_hh_fech!H4=0,0,SER_hh_fech!H4/SER_summary!H$26)</f>
        <v>101.03593222243875</v>
      </c>
      <c r="I4" s="130">
        <f>IF(SER_hh_fech!I4=0,0,SER_hh_fech!I4/SER_summary!I$26)</f>
        <v>99.509491554828614</v>
      </c>
      <c r="J4" s="130">
        <f>IF(SER_hh_fech!J4=0,0,SER_hh_fech!J4/SER_summary!J$26)</f>
        <v>104.30121486046698</v>
      </c>
      <c r="K4" s="130">
        <f>IF(SER_hh_fech!K4=0,0,SER_hh_fech!K4/SER_summary!K$26)</f>
        <v>94.71218143000597</v>
      </c>
      <c r="L4" s="130">
        <f>IF(SER_hh_fech!L4=0,0,SER_hh_fech!L4/SER_summary!L$26)</f>
        <v>71.052077390884889</v>
      </c>
      <c r="M4" s="130">
        <f>IF(SER_hh_fech!M4=0,0,SER_hh_fech!M4/SER_summary!M$26)</f>
        <v>62.286417524533697</v>
      </c>
      <c r="N4" s="130">
        <f>IF(SER_hh_fech!N4=0,0,SER_hh_fech!N4/SER_summary!N$26)</f>
        <v>64.803372452775889</v>
      </c>
      <c r="O4" s="130">
        <f>IF(SER_hh_fech!O4=0,0,SER_hh_fech!O4/SER_summary!O$26)</f>
        <v>53.31557989972984</v>
      </c>
      <c r="P4" s="130">
        <f>IF(SER_hh_fech!P4=0,0,SER_hh_fech!P4/SER_summary!P$26)</f>
        <v>39.638391705120632</v>
      </c>
      <c r="Q4" s="130">
        <f>IF(SER_hh_fech!Q4=0,0,SER_hh_fech!Q4/SER_summary!Q$26)</f>
        <v>57.131388127198349</v>
      </c>
      <c r="R4" s="130">
        <f>IF(SER_hh_fech!R4=0,0,SER_hh_fech!R4/SER_summary!R$26)</f>
        <v>73.869647866341381</v>
      </c>
      <c r="S4" s="130">
        <f>IF(SER_hh_fech!S4=0,0,SER_hh_fech!S4/SER_summary!S$26)</f>
        <v>64.836719029399717</v>
      </c>
      <c r="T4" s="130">
        <f>IF(SER_hh_fech!T4=0,0,SER_hh_fech!T4/SER_summary!T$26)</f>
        <v>52.223304658611688</v>
      </c>
      <c r="U4" s="130">
        <f>IF(SER_hh_fech!U4=0,0,SER_hh_fech!U4/SER_summary!U$26)</f>
        <v>56.384639307329181</v>
      </c>
      <c r="V4" s="130">
        <f>IF(SER_hh_fech!V4=0,0,SER_hh_fech!V4/SER_summary!V$26)</f>
        <v>43.133781111742934</v>
      </c>
      <c r="W4" s="130">
        <f>IF(SER_hh_fech!W4=0,0,SER_hh_fech!W4/SER_summary!W$26)</f>
        <v>47.304814862289923</v>
      </c>
      <c r="X4" s="130">
        <f>IF(SER_hh_fech!X4=0,0,SER_hh_fech!X4/SER_summary!X$26)</f>
        <v>52.72555876881858</v>
      </c>
      <c r="Y4" s="130">
        <f>IF(SER_hh_fech!Y4=0,0,SER_hh_fech!Y4/SER_summary!Y$26)</f>
        <v>51.526627038863673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0</v>
      </c>
      <c r="C5" s="132">
        <f>IF(SER_hh_fech!C5=0,0,SER_hh_fech!C5/SER_summary!C$26)</f>
        <v>0</v>
      </c>
      <c r="D5" s="132">
        <f>IF(SER_hh_fech!D5=0,0,SER_hh_fech!D5/SER_summary!D$26)</f>
        <v>0</v>
      </c>
      <c r="E5" s="132">
        <f>IF(SER_hh_fech!E5=0,0,SER_hh_fech!E5/SER_summary!E$26)</f>
        <v>0</v>
      </c>
      <c r="F5" s="132">
        <f>IF(SER_hh_fech!F5=0,0,SER_hh_fech!F5/SER_summary!F$26)</f>
        <v>0</v>
      </c>
      <c r="G5" s="132">
        <f>IF(SER_hh_fech!G5=0,0,SER_hh_fech!G5/SER_summary!G$26)</f>
        <v>0</v>
      </c>
      <c r="H5" s="132">
        <f>IF(SER_hh_fech!H5=0,0,SER_hh_fech!H5/SER_summary!H$26)</f>
        <v>0</v>
      </c>
      <c r="I5" s="132">
        <f>IF(SER_hh_fech!I5=0,0,SER_hh_fech!I5/SER_summary!I$26)</f>
        <v>0</v>
      </c>
      <c r="J5" s="132">
        <f>IF(SER_hh_fech!J5=0,0,SER_hh_fech!J5/SER_summary!J$26)</f>
        <v>0</v>
      </c>
      <c r="K5" s="132">
        <f>IF(SER_hh_fech!K5=0,0,SER_hh_fech!K5/SER_summary!K$26)</f>
        <v>0</v>
      </c>
      <c r="L5" s="132">
        <f>IF(SER_hh_fech!L5=0,0,SER_hh_fech!L5/SER_summary!L$26)</f>
        <v>0</v>
      </c>
      <c r="M5" s="132">
        <f>IF(SER_hh_fech!M5=0,0,SER_hh_fech!M5/SER_summary!M$26)</f>
        <v>0</v>
      </c>
      <c r="N5" s="132">
        <f>IF(SER_hh_fech!N5=0,0,SER_hh_fech!N5/SER_summary!N$26)</f>
        <v>0</v>
      </c>
      <c r="O5" s="132">
        <f>IF(SER_hh_fech!O5=0,0,SER_hh_fech!O5/SER_summary!O$26)</f>
        <v>0</v>
      </c>
      <c r="P5" s="132">
        <f>IF(SER_hh_fech!P5=0,0,SER_hh_fech!P5/SER_summary!P$26)</f>
        <v>0</v>
      </c>
      <c r="Q5" s="132">
        <f>IF(SER_hh_fech!Q5=0,0,SER_hh_fech!Q5/SER_summary!Q$26)</f>
        <v>0</v>
      </c>
      <c r="R5" s="132">
        <f>IF(SER_hh_fech!R5=0,0,SER_hh_fech!R5/SER_summary!R$26)</f>
        <v>0</v>
      </c>
      <c r="S5" s="132">
        <f>IF(SER_hh_fech!S5=0,0,SER_hh_fech!S5/SER_summary!S$26)</f>
        <v>0</v>
      </c>
      <c r="T5" s="132">
        <f>IF(SER_hh_fech!T5=0,0,SER_hh_fech!T5/SER_summary!T$26)</f>
        <v>0</v>
      </c>
      <c r="U5" s="132">
        <f>IF(SER_hh_fech!U5=0,0,SER_hh_fech!U5/SER_summary!U$26)</f>
        <v>0</v>
      </c>
      <c r="V5" s="132">
        <f>IF(SER_hh_fech!V5=0,0,SER_hh_fech!V5/SER_summary!V$26)</f>
        <v>0</v>
      </c>
      <c r="W5" s="132">
        <f>IF(SER_hh_fech!W5=0,0,SER_hh_fech!W5/SER_summary!W$26)</f>
        <v>0</v>
      </c>
      <c r="X5" s="132">
        <f>IF(SER_hh_fech!X5=0,0,SER_hh_fech!X5/SER_summary!X$26)</f>
        <v>78.059452975865369</v>
      </c>
      <c r="Y5" s="132">
        <f>IF(SER_hh_fech!Y5=0,0,SER_hh_fech!Y5/SER_summary!Y$26)</f>
        <v>153.27154426505686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0</v>
      </c>
      <c r="C6" s="132">
        <f>IF(SER_hh_fech!C6=0,0,SER_hh_fech!C6/SER_summary!C$26)</f>
        <v>0</v>
      </c>
      <c r="D6" s="132">
        <f>IF(SER_hh_fech!D6=0,0,SER_hh_fech!D6/SER_summary!D$26)</f>
        <v>0</v>
      </c>
      <c r="E6" s="132">
        <f>IF(SER_hh_fech!E6=0,0,SER_hh_fech!E6/SER_summary!E$26)</f>
        <v>0</v>
      </c>
      <c r="F6" s="132">
        <f>IF(SER_hh_fech!F6=0,0,SER_hh_fech!F6/SER_summary!F$26)</f>
        <v>0</v>
      </c>
      <c r="G6" s="132">
        <f>IF(SER_hh_fech!G6=0,0,SER_hh_fech!G6/SER_summary!G$26)</f>
        <v>0</v>
      </c>
      <c r="H6" s="132">
        <f>IF(SER_hh_fech!H6=0,0,SER_hh_fech!H6/SER_summary!H$26)</f>
        <v>0</v>
      </c>
      <c r="I6" s="132">
        <f>IF(SER_hh_fech!I6=0,0,SER_hh_fech!I6/SER_summary!I$26)</f>
        <v>0</v>
      </c>
      <c r="J6" s="132">
        <f>IF(SER_hh_fech!J6=0,0,SER_hh_fech!J6/SER_summary!J$26)</f>
        <v>0</v>
      </c>
      <c r="K6" s="132">
        <f>IF(SER_hh_fech!K6=0,0,SER_hh_fech!K6/SER_summary!K$26)</f>
        <v>0</v>
      </c>
      <c r="L6" s="132">
        <f>IF(SER_hh_fech!L6=0,0,SER_hh_fech!L6/SER_summary!L$26)</f>
        <v>0</v>
      </c>
      <c r="M6" s="132">
        <f>IF(SER_hh_fech!M6=0,0,SER_hh_fech!M6/SER_summary!M$26)</f>
        <v>0</v>
      </c>
      <c r="N6" s="132">
        <f>IF(SER_hh_fech!N6=0,0,SER_hh_fech!N6/SER_summary!N$26)</f>
        <v>0</v>
      </c>
      <c r="O6" s="132">
        <f>IF(SER_hh_fech!O6=0,0,SER_hh_fech!O6/SER_summary!O$26)</f>
        <v>0</v>
      </c>
      <c r="P6" s="132">
        <f>IF(SER_hh_fech!P6=0,0,SER_hh_fech!P6/SER_summary!P$26)</f>
        <v>0</v>
      </c>
      <c r="Q6" s="132">
        <f>IF(SER_hh_fech!Q6=0,0,SER_hh_fech!Q6/SER_summary!Q$26)</f>
        <v>0</v>
      </c>
      <c r="R6" s="132">
        <f>IF(SER_hh_fech!R6=0,0,SER_hh_fech!R6/SER_summary!R$26)</f>
        <v>0</v>
      </c>
      <c r="S6" s="132">
        <f>IF(SER_hh_fech!S6=0,0,SER_hh_fech!S6/SER_summary!S$26)</f>
        <v>0</v>
      </c>
      <c r="T6" s="132">
        <f>IF(SER_hh_fech!T6=0,0,SER_hh_fech!T6/SER_summary!T$26)</f>
        <v>0</v>
      </c>
      <c r="U6" s="132">
        <f>IF(SER_hh_fech!U6=0,0,SER_hh_fech!U6/SER_summary!U$26)</f>
        <v>0</v>
      </c>
      <c r="V6" s="132">
        <f>IF(SER_hh_fech!V6=0,0,SER_hh_fech!V6/SER_summary!V$26)</f>
        <v>0</v>
      </c>
      <c r="W6" s="132">
        <f>IF(SER_hh_fech!W6=0,0,SER_hh_fech!W6/SER_summary!W$26)</f>
        <v>0</v>
      </c>
      <c r="X6" s="132">
        <f>IF(SER_hh_fech!X6=0,0,SER_hh_fech!X6/SER_summary!X$26)</f>
        <v>0</v>
      </c>
      <c r="Y6" s="132">
        <f>IF(SER_hh_fech!Y6=0,0,SER_hh_fech!Y6/SER_summary!Y$26)</f>
        <v>0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71.872547121843681</v>
      </c>
      <c r="C7" s="132">
        <f>IF(SER_hh_fech!C7=0,0,SER_hh_fech!C7/SER_summary!C$26)</f>
        <v>87.563548080874952</v>
      </c>
      <c r="D7" s="132">
        <f>IF(SER_hh_fech!D7=0,0,SER_hh_fech!D7/SER_summary!D$26)</f>
        <v>91.092512899221759</v>
      </c>
      <c r="E7" s="132">
        <f>IF(SER_hh_fech!E7=0,0,SER_hh_fech!E7/SER_summary!E$26)</f>
        <v>97.956408195060874</v>
      </c>
      <c r="F7" s="132">
        <f>IF(SER_hh_fech!F7=0,0,SER_hh_fech!F7/SER_summary!F$26)</f>
        <v>100.10220308797849</v>
      </c>
      <c r="G7" s="132">
        <f>IF(SER_hh_fech!G7=0,0,SER_hh_fech!G7/SER_summary!G$26)</f>
        <v>127.94547497783513</v>
      </c>
      <c r="H7" s="132">
        <f>IF(SER_hh_fech!H7=0,0,SER_hh_fech!H7/SER_summary!H$26)</f>
        <v>139.09223035643626</v>
      </c>
      <c r="I7" s="132">
        <f>IF(SER_hh_fech!I7=0,0,SER_hh_fech!I7/SER_summary!I$26)</f>
        <v>138.7805797376862</v>
      </c>
      <c r="J7" s="132">
        <f>IF(SER_hh_fech!J7=0,0,SER_hh_fech!J7/SER_summary!J$26)</f>
        <v>152.63657339037221</v>
      </c>
      <c r="K7" s="132">
        <f>IF(SER_hh_fech!K7=0,0,SER_hh_fech!K7/SER_summary!K$26)</f>
        <v>127.32728379696989</v>
      </c>
      <c r="L7" s="132">
        <f>IF(SER_hh_fech!L7=0,0,SER_hh_fech!L7/SER_summary!L$26)</f>
        <v>122.55598644602783</v>
      </c>
      <c r="M7" s="132">
        <f>IF(SER_hh_fech!M7=0,0,SER_hh_fech!M7/SER_summary!M$26)</f>
        <v>123.06861265051967</v>
      </c>
      <c r="N7" s="132">
        <f>IF(SER_hh_fech!N7=0,0,SER_hh_fech!N7/SER_summary!N$26)</f>
        <v>63.773740823716359</v>
      </c>
      <c r="O7" s="132">
        <f>IF(SER_hh_fech!O7=0,0,SER_hh_fech!O7/SER_summary!O$26)</f>
        <v>144.52645404354965</v>
      </c>
      <c r="P7" s="132">
        <f>IF(SER_hh_fech!P7=0,0,SER_hh_fech!P7/SER_summary!P$26)</f>
        <v>89.849108793295258</v>
      </c>
      <c r="Q7" s="132">
        <f>IF(SER_hh_fech!Q7=0,0,SER_hh_fech!Q7/SER_summary!Q$26)</f>
        <v>112.18412527717302</v>
      </c>
      <c r="R7" s="132">
        <f>IF(SER_hh_fech!R7=0,0,SER_hh_fech!R7/SER_summary!R$26)</f>
        <v>232.50022583389929</v>
      </c>
      <c r="S7" s="132">
        <f>IF(SER_hh_fech!S7=0,0,SER_hh_fech!S7/SER_summary!S$26)</f>
        <v>122.09476090871154</v>
      </c>
      <c r="T7" s="132">
        <f>IF(SER_hh_fech!T7=0,0,SER_hh_fech!T7/SER_summary!T$26)</f>
        <v>129.2842289998884</v>
      </c>
      <c r="U7" s="132">
        <f>IF(SER_hh_fech!U7=0,0,SER_hh_fech!U7/SER_summary!U$26)</f>
        <v>150.68237559603327</v>
      </c>
      <c r="V7" s="132">
        <f>IF(SER_hh_fech!V7=0,0,SER_hh_fech!V7/SER_summary!V$26)</f>
        <v>151.36148143205179</v>
      </c>
      <c r="W7" s="132">
        <f>IF(SER_hh_fech!W7=0,0,SER_hh_fech!W7/SER_summary!W$26)</f>
        <v>96.745914144108895</v>
      </c>
      <c r="X7" s="132">
        <f>IF(SER_hh_fech!X7=0,0,SER_hh_fech!X7/SER_summary!X$26)</f>
        <v>142.16960538487663</v>
      </c>
      <c r="Y7" s="132">
        <f>IF(SER_hh_fech!Y7=0,0,SER_hh_fech!Y7/SER_summary!Y$26)</f>
        <v>129.43513656770531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27.079722550967599</v>
      </c>
      <c r="C8" s="132">
        <f>IF(SER_hh_fech!C8=0,0,SER_hh_fech!C8/SER_summary!C$26)</f>
        <v>26.993221606207417</v>
      </c>
      <c r="D8" s="132">
        <f>IF(SER_hh_fech!D8=0,0,SER_hh_fech!D8/SER_summary!D$26)</f>
        <v>26.624638205631133</v>
      </c>
      <c r="E8" s="132">
        <f>IF(SER_hh_fech!E8=0,0,SER_hh_fech!E8/SER_summary!E$26)</f>
        <v>28.310031662918174</v>
      </c>
      <c r="F8" s="132">
        <f>IF(SER_hh_fech!F8=0,0,SER_hh_fech!F8/SER_summary!F$26)</f>
        <v>32.004851656090338</v>
      </c>
      <c r="G8" s="132">
        <f>IF(SER_hh_fech!G8=0,0,SER_hh_fech!G8/SER_summary!G$26)</f>
        <v>37.869186026144142</v>
      </c>
      <c r="H8" s="132">
        <f>IF(SER_hh_fech!H8=0,0,SER_hh_fech!H8/SER_summary!H$26)</f>
        <v>37.633572511828461</v>
      </c>
      <c r="I8" s="132">
        <f>IF(SER_hh_fech!I8=0,0,SER_hh_fech!I8/SER_summary!I$26)</f>
        <v>36.644044642327579</v>
      </c>
      <c r="J8" s="132">
        <f>IF(SER_hh_fech!J8=0,0,SER_hh_fech!J8/SER_summary!J$26)</f>
        <v>35.425908271426081</v>
      </c>
      <c r="K8" s="132">
        <f>IF(SER_hh_fech!K8=0,0,SER_hh_fech!K8/SER_summary!K$26)</f>
        <v>31.219623381584142</v>
      </c>
      <c r="L8" s="132">
        <f>IF(SER_hh_fech!L8=0,0,SER_hh_fech!L8/SER_summary!L$26)</f>
        <v>24.388547377182231</v>
      </c>
      <c r="M8" s="132">
        <f>IF(SER_hh_fech!M8=0,0,SER_hh_fech!M8/SER_summary!M$26)</f>
        <v>18.103490169055814</v>
      </c>
      <c r="N8" s="132">
        <f>IF(SER_hh_fech!N8=0,0,SER_hh_fech!N8/SER_summary!N$26)</f>
        <v>11.738875258941345</v>
      </c>
      <c r="O8" s="132">
        <f>IF(SER_hh_fech!O8=0,0,SER_hh_fech!O8/SER_summary!O$26)</f>
        <v>13.998371119581668</v>
      </c>
      <c r="P8" s="132">
        <f>IF(SER_hh_fech!P8=0,0,SER_hh_fech!P8/SER_summary!P$26)</f>
        <v>20.958166606098686</v>
      </c>
      <c r="Q8" s="132">
        <f>IF(SER_hh_fech!Q8=0,0,SER_hh_fech!Q8/SER_summary!Q$26)</f>
        <v>33.345820980343497</v>
      </c>
      <c r="R8" s="132">
        <f>IF(SER_hh_fech!R8=0,0,SER_hh_fech!R8/SER_summary!R$26)</f>
        <v>29.668838519141993</v>
      </c>
      <c r="S8" s="132">
        <f>IF(SER_hh_fech!S8=0,0,SER_hh_fech!S8/SER_summary!S$26)</f>
        <v>27.80561536015243</v>
      </c>
      <c r="T8" s="132">
        <f>IF(SER_hh_fech!T8=0,0,SER_hh_fech!T8/SER_summary!T$26)</f>
        <v>27.348438804898407</v>
      </c>
      <c r="U8" s="132">
        <f>IF(SER_hh_fech!U8=0,0,SER_hh_fech!U8/SER_summary!U$26)</f>
        <v>26.696196220754626</v>
      </c>
      <c r="V8" s="132">
        <f>IF(SER_hh_fech!V8=0,0,SER_hh_fech!V8/SER_summary!V$26)</f>
        <v>28.123991053036612</v>
      </c>
      <c r="W8" s="132">
        <f>IF(SER_hh_fech!W8=0,0,SER_hh_fech!W8/SER_summary!W$26)</f>
        <v>29.36498686023916</v>
      </c>
      <c r="X8" s="132">
        <f>IF(SER_hh_fech!X8=0,0,SER_hh_fech!X8/SER_summary!X$26)</f>
        <v>30.065133963841301</v>
      </c>
      <c r="Y8" s="132">
        <f>IF(SER_hh_fech!Y8=0,0,SER_hh_fech!Y8/SER_summary!Y$26)</f>
        <v>33.809166532743404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62.697993720654267</v>
      </c>
      <c r="C9" s="132">
        <f>IF(SER_hh_fech!C9=0,0,SER_hh_fech!C9/SER_summary!C$26)</f>
        <v>67.816272391594879</v>
      </c>
      <c r="D9" s="132">
        <f>IF(SER_hh_fech!D9=0,0,SER_hh_fech!D9/SER_summary!D$26)</f>
        <v>65.326725772746272</v>
      </c>
      <c r="E9" s="132">
        <f>IF(SER_hh_fech!E9=0,0,SER_hh_fech!E9/SER_summary!E$26)</f>
        <v>76.640976390374121</v>
      </c>
      <c r="F9" s="132">
        <f>IF(SER_hh_fech!F9=0,0,SER_hh_fech!F9/SER_summary!F$26)</f>
        <v>91.342566900414809</v>
      </c>
      <c r="G9" s="132">
        <f>IF(SER_hh_fech!G9=0,0,SER_hh_fech!G9/SER_summary!G$26)</f>
        <v>115.15293949720947</v>
      </c>
      <c r="H9" s="132">
        <f>IF(SER_hh_fech!H9=0,0,SER_hh_fech!H9/SER_summary!H$26)</f>
        <v>119.42139098393854</v>
      </c>
      <c r="I9" s="132">
        <f>IF(SER_hh_fech!I9=0,0,SER_hh_fech!I9/SER_summary!I$26)</f>
        <v>115.75116306983291</v>
      </c>
      <c r="J9" s="132">
        <f>IF(SER_hh_fech!J9=0,0,SER_hh_fech!J9/SER_summary!J$26)</f>
        <v>129.75758250750269</v>
      </c>
      <c r="K9" s="132">
        <f>IF(SER_hh_fech!K9=0,0,SER_hh_fech!K9/SER_summary!K$26)</f>
        <v>123.57771936564393</v>
      </c>
      <c r="L9" s="132">
        <f>IF(SER_hh_fech!L9=0,0,SER_hh_fech!L9/SER_summary!L$26)</f>
        <v>94.582598310287935</v>
      </c>
      <c r="M9" s="132">
        <f>IF(SER_hh_fech!M9=0,0,SER_hh_fech!M9/SER_summary!M$26)</f>
        <v>133.58058515669094</v>
      </c>
      <c r="N9" s="132">
        <f>IF(SER_hh_fech!N9=0,0,SER_hh_fech!N9/SER_summary!N$26)</f>
        <v>102.25344345564928</v>
      </c>
      <c r="O9" s="132">
        <f>IF(SER_hh_fech!O9=0,0,SER_hh_fech!O9/SER_summary!O$26)</f>
        <v>93.338455001957399</v>
      </c>
      <c r="P9" s="132">
        <f>IF(SER_hh_fech!P9=0,0,SER_hh_fech!P9/SER_summary!P$26)</f>
        <v>100.43173437845248</v>
      </c>
      <c r="Q9" s="132">
        <f>IF(SER_hh_fech!Q9=0,0,SER_hh_fech!Q9/SER_summary!Q$26)</f>
        <v>157.22675869581059</v>
      </c>
      <c r="R9" s="132">
        <f>IF(SER_hh_fech!R9=0,0,SER_hh_fech!R9/SER_summary!R$26)</f>
        <v>142.49324338076482</v>
      </c>
      <c r="S9" s="132">
        <f>IF(SER_hh_fech!S9=0,0,SER_hh_fech!S9/SER_summary!S$26)</f>
        <v>143.05986074274841</v>
      </c>
      <c r="T9" s="132">
        <f>IF(SER_hh_fech!T9=0,0,SER_hh_fech!T9/SER_summary!T$26)</f>
        <v>133.23863894600902</v>
      </c>
      <c r="U9" s="132">
        <f>IF(SER_hh_fech!U9=0,0,SER_hh_fech!U9/SER_summary!U$26)</f>
        <v>149.71738244376965</v>
      </c>
      <c r="V9" s="132">
        <f>IF(SER_hh_fech!V9=0,0,SER_hh_fech!V9/SER_summary!V$26)</f>
        <v>129.67465589446874</v>
      </c>
      <c r="W9" s="132">
        <f>IF(SER_hh_fech!W9=0,0,SER_hh_fech!W9/SER_summary!W$26)</f>
        <v>139.86736465257297</v>
      </c>
      <c r="X9" s="132">
        <f>IF(SER_hh_fech!X9=0,0,SER_hh_fech!X9/SER_summary!X$26)</f>
        <v>139.57295453566033</v>
      </c>
      <c r="Y9" s="132">
        <f>IF(SER_hh_fech!Y9=0,0,SER_hh_fech!Y9/SER_summary!Y$26)</f>
        <v>146.63786875593036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0</v>
      </c>
      <c r="C10" s="132">
        <f>IF(SER_hh_fech!C10=0,0,SER_hh_fech!C10/SER_summary!C$26)</f>
        <v>0</v>
      </c>
      <c r="D10" s="132">
        <f>IF(SER_hh_fech!D10=0,0,SER_hh_fech!D10/SER_summary!D$26)</f>
        <v>0</v>
      </c>
      <c r="E10" s="132">
        <f>IF(SER_hh_fech!E10=0,0,SER_hh_fech!E10/SER_summary!E$26)</f>
        <v>0</v>
      </c>
      <c r="F10" s="132">
        <f>IF(SER_hh_fech!F10=0,0,SER_hh_fech!F10/SER_summary!F$26)</f>
        <v>0</v>
      </c>
      <c r="G10" s="132">
        <f>IF(SER_hh_fech!G10=0,0,SER_hh_fech!G10/SER_summary!G$26)</f>
        <v>0</v>
      </c>
      <c r="H10" s="132">
        <f>IF(SER_hh_fech!H10=0,0,SER_hh_fech!H10/SER_summary!H$26)</f>
        <v>0</v>
      </c>
      <c r="I10" s="132">
        <f>IF(SER_hh_fech!I10=0,0,SER_hh_fech!I10/SER_summary!I$26)</f>
        <v>0</v>
      </c>
      <c r="J10" s="132">
        <f>IF(SER_hh_fech!J10=0,0,SER_hh_fech!J10/SER_summary!J$26)</f>
        <v>0</v>
      </c>
      <c r="K10" s="132">
        <f>IF(SER_hh_fech!K10=0,0,SER_hh_fech!K10/SER_summary!K$26)</f>
        <v>0</v>
      </c>
      <c r="L10" s="132">
        <f>IF(SER_hh_fech!L10=0,0,SER_hh_fech!L10/SER_summary!L$26)</f>
        <v>0</v>
      </c>
      <c r="M10" s="132">
        <f>IF(SER_hh_fech!M10=0,0,SER_hh_fech!M10/SER_summary!M$26)</f>
        <v>0</v>
      </c>
      <c r="N10" s="132">
        <f>IF(SER_hh_fech!N10=0,0,SER_hh_fech!N10/SER_summary!N$26)</f>
        <v>183.43125518795455</v>
      </c>
      <c r="O10" s="132">
        <f>IF(SER_hh_fech!O10=0,0,SER_hh_fech!O10/SER_summary!O$26)</f>
        <v>101.48559263368476</v>
      </c>
      <c r="P10" s="132">
        <f>IF(SER_hh_fech!P10=0,0,SER_hh_fech!P10/SER_summary!P$26)</f>
        <v>77.403636371807337</v>
      </c>
      <c r="Q10" s="132">
        <f>IF(SER_hh_fech!Q10=0,0,SER_hh_fech!Q10/SER_summary!Q$26)</f>
        <v>237.45792124177839</v>
      </c>
      <c r="R10" s="132">
        <f>IF(SER_hh_fech!R10=0,0,SER_hh_fech!R10/SER_summary!R$26)</f>
        <v>155.88854344884015</v>
      </c>
      <c r="S10" s="132">
        <f>IF(SER_hh_fech!S10=0,0,SER_hh_fech!S10/SER_summary!S$26)</f>
        <v>118.30153019597387</v>
      </c>
      <c r="T10" s="132">
        <f>IF(SER_hh_fech!T10=0,0,SER_hh_fech!T10/SER_summary!T$26)</f>
        <v>193.8028727876125</v>
      </c>
      <c r="U10" s="132">
        <f>IF(SER_hh_fech!U10=0,0,SER_hh_fech!U10/SER_summary!U$26)</f>
        <v>93.935181846220502</v>
      </c>
      <c r="V10" s="132">
        <f>IF(SER_hh_fech!V10=0,0,SER_hh_fech!V10/SER_summary!V$26)</f>
        <v>97.415566979906131</v>
      </c>
      <c r="W10" s="132">
        <f>IF(SER_hh_fech!W10=0,0,SER_hh_fech!W10/SER_summary!W$26)</f>
        <v>232.80008529288929</v>
      </c>
      <c r="X10" s="132">
        <f>IF(SER_hh_fech!X10=0,0,SER_hh_fech!X10/SER_summary!X$26)</f>
        <v>164.61629359893718</v>
      </c>
      <c r="Y10" s="132">
        <f>IF(SER_hh_fech!Y10=0,0,SER_hh_fech!Y10/SER_summary!Y$26)</f>
        <v>134.12257930354031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0</v>
      </c>
      <c r="C11" s="132">
        <f>IF(SER_hh_fech!C11=0,0,SER_hh_fech!C11/SER_summary!C$26)</f>
        <v>0</v>
      </c>
      <c r="D11" s="132">
        <f>IF(SER_hh_fech!D11=0,0,SER_hh_fech!D11/SER_summary!D$26)</f>
        <v>0</v>
      </c>
      <c r="E11" s="132">
        <f>IF(SER_hh_fech!E11=0,0,SER_hh_fech!E11/SER_summary!E$26)</f>
        <v>0</v>
      </c>
      <c r="F11" s="132">
        <f>IF(SER_hh_fech!F11=0,0,SER_hh_fech!F11/SER_summary!F$26)</f>
        <v>76.854865922196964</v>
      </c>
      <c r="G11" s="132">
        <f>IF(SER_hh_fech!G11=0,0,SER_hh_fech!G11/SER_summary!G$26)</f>
        <v>60.502650454686147</v>
      </c>
      <c r="H11" s="132">
        <f>IF(SER_hh_fech!H11=0,0,SER_hh_fech!H11/SER_summary!H$26)</f>
        <v>59.212852639994694</v>
      </c>
      <c r="I11" s="132">
        <f>IF(SER_hh_fech!I11=0,0,SER_hh_fech!I11/SER_summary!I$26)</f>
        <v>60.906006122269211</v>
      </c>
      <c r="J11" s="132">
        <f>IF(SER_hh_fech!J11=0,0,SER_hh_fech!J11/SER_summary!J$26)</f>
        <v>59.18764053047996</v>
      </c>
      <c r="K11" s="132">
        <f>IF(SER_hh_fech!K11=0,0,SER_hh_fech!K11/SER_summary!K$26)</f>
        <v>66.177336116931258</v>
      </c>
      <c r="L11" s="132">
        <f>IF(SER_hh_fech!L11=0,0,SER_hh_fech!L11/SER_summary!L$26)</f>
        <v>58.404654644652148</v>
      </c>
      <c r="M11" s="132">
        <f>IF(SER_hh_fech!M11=0,0,SER_hh_fech!M11/SER_summary!M$26)</f>
        <v>55.019777655358354</v>
      </c>
      <c r="N11" s="132">
        <f>IF(SER_hh_fech!N11=0,0,SER_hh_fech!N11/SER_summary!N$26)</f>
        <v>56.31488771192803</v>
      </c>
      <c r="O11" s="132">
        <f>IF(SER_hh_fech!O11=0,0,SER_hh_fech!O11/SER_summary!O$26)</f>
        <v>55.046439207596535</v>
      </c>
      <c r="P11" s="132">
        <f>IF(SER_hh_fech!P11=0,0,SER_hh_fech!P11/SER_summary!P$26)</f>
        <v>64.085279539364919</v>
      </c>
      <c r="Q11" s="132">
        <f>IF(SER_hh_fech!Q11=0,0,SER_hh_fech!Q11/SER_summary!Q$26)</f>
        <v>69.461618221255733</v>
      </c>
      <c r="R11" s="132">
        <f>IF(SER_hh_fech!R11=0,0,SER_hh_fech!R11/SER_summary!R$26)</f>
        <v>77.501795585530829</v>
      </c>
      <c r="S11" s="132">
        <f>IF(SER_hh_fech!S11=0,0,SER_hh_fech!S11/SER_summary!S$26)</f>
        <v>77.604200517430172</v>
      </c>
      <c r="T11" s="132">
        <f>IF(SER_hh_fech!T11=0,0,SER_hh_fech!T11/SER_summary!T$26)</f>
        <v>78.782302038217424</v>
      </c>
      <c r="U11" s="132">
        <f>IF(SER_hh_fech!U11=0,0,SER_hh_fech!U11/SER_summary!U$26)</f>
        <v>109.85113403580824</v>
      </c>
      <c r="V11" s="132">
        <f>IF(SER_hh_fech!V11=0,0,SER_hh_fech!V11/SER_summary!V$26)</f>
        <v>36.870196693876885</v>
      </c>
      <c r="W11" s="132">
        <f>IF(SER_hh_fech!W11=0,0,SER_hh_fech!W11/SER_summary!W$26)</f>
        <v>35.608897075468391</v>
      </c>
      <c r="X11" s="132">
        <f>IF(SER_hh_fech!X11=0,0,SER_hh_fech!X11/SER_summary!X$26)</f>
        <v>93.757469646409575</v>
      </c>
      <c r="Y11" s="132">
        <f>IF(SER_hh_fech!Y11=0,0,SER_hh_fech!Y11/SER_summary!Y$26)</f>
        <v>93.876653093901027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0</v>
      </c>
      <c r="C12" s="132">
        <f>IF(SER_hh_fech!C12=0,0,SER_hh_fech!C12/SER_summary!C$26)</f>
        <v>0</v>
      </c>
      <c r="D12" s="132">
        <f>IF(SER_hh_fech!D12=0,0,SER_hh_fech!D12/SER_summary!D$26)</f>
        <v>0</v>
      </c>
      <c r="E12" s="132">
        <f>IF(SER_hh_fech!E12=0,0,SER_hh_fech!E12/SER_summary!E$26)</f>
        <v>0</v>
      </c>
      <c r="F12" s="132">
        <f>IF(SER_hh_fech!F12=0,0,SER_hh_fech!F12/SER_summary!F$26)</f>
        <v>0</v>
      </c>
      <c r="G12" s="132">
        <f>IF(SER_hh_fech!G12=0,0,SER_hh_fech!G12/SER_summary!G$26)</f>
        <v>0</v>
      </c>
      <c r="H12" s="132">
        <f>IF(SER_hh_fech!H12=0,0,SER_hh_fech!H12/SER_summary!H$26)</f>
        <v>0</v>
      </c>
      <c r="I12" s="132">
        <f>IF(SER_hh_fech!I12=0,0,SER_hh_fech!I12/SER_summary!I$26)</f>
        <v>0</v>
      </c>
      <c r="J12" s="132">
        <f>IF(SER_hh_fech!J12=0,0,SER_hh_fech!J12/SER_summary!J$26)</f>
        <v>0</v>
      </c>
      <c r="K12" s="132">
        <f>IF(SER_hh_fech!K12=0,0,SER_hh_fech!K12/SER_summary!K$26)</f>
        <v>0</v>
      </c>
      <c r="L12" s="132">
        <f>IF(SER_hh_fech!L12=0,0,SER_hh_fech!L12/SER_summary!L$26)</f>
        <v>0</v>
      </c>
      <c r="M12" s="132">
        <f>IF(SER_hh_fech!M12=0,0,SER_hh_fech!M12/SER_summary!M$26)</f>
        <v>0</v>
      </c>
      <c r="N12" s="132">
        <f>IF(SER_hh_fech!N12=0,0,SER_hh_fech!N12/SER_summary!N$26)</f>
        <v>0</v>
      </c>
      <c r="O12" s="132">
        <f>IF(SER_hh_fech!O12=0,0,SER_hh_fech!O12/SER_summary!O$26)</f>
        <v>0</v>
      </c>
      <c r="P12" s="132">
        <f>IF(SER_hh_fech!P12=0,0,SER_hh_fech!P12/SER_summary!P$26)</f>
        <v>0</v>
      </c>
      <c r="Q12" s="132">
        <f>IF(SER_hh_fech!Q12=0,0,SER_hh_fech!Q12/SER_summary!Q$26)</f>
        <v>0</v>
      </c>
      <c r="R12" s="132">
        <f>IF(SER_hh_fech!R12=0,0,SER_hh_fech!R12/SER_summary!R$26)</f>
        <v>0</v>
      </c>
      <c r="S12" s="132">
        <f>IF(SER_hh_fech!S12=0,0,SER_hh_fech!S12/SER_summary!S$26)</f>
        <v>0</v>
      </c>
      <c r="T12" s="132">
        <f>IF(SER_hh_fech!T12=0,0,SER_hh_fech!T12/SER_summary!T$26)</f>
        <v>0</v>
      </c>
      <c r="U12" s="132">
        <f>IF(SER_hh_fech!U12=0,0,SER_hh_fech!U12/SER_summary!U$26)</f>
        <v>0</v>
      </c>
      <c r="V12" s="132">
        <f>IF(SER_hh_fech!V12=0,0,SER_hh_fech!V12/SER_summary!V$26)</f>
        <v>0</v>
      </c>
      <c r="W12" s="132">
        <f>IF(SER_hh_fech!W12=0,0,SER_hh_fech!W12/SER_summary!W$26)</f>
        <v>0</v>
      </c>
      <c r="X12" s="132">
        <f>IF(SER_hh_fech!X12=0,0,SER_hh_fech!X12/SER_summary!X$26)</f>
        <v>0</v>
      </c>
      <c r="Y12" s="132">
        <f>IF(SER_hh_fech!Y12=0,0,SER_hh_fech!Y12/SER_summary!Y$26)</f>
        <v>0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20.716007919464246</v>
      </c>
      <c r="C13" s="132">
        <f>IF(SER_hh_fech!C13=0,0,SER_hh_fech!C13/SER_summary!C$26)</f>
        <v>23.754534441407362</v>
      </c>
      <c r="D13" s="132">
        <f>IF(SER_hh_fech!D13=0,0,SER_hh_fech!D13/SER_summary!D$26)</f>
        <v>24.023581256541103</v>
      </c>
      <c r="E13" s="132">
        <f>IF(SER_hh_fech!E13=0,0,SER_hh_fech!E13/SER_summary!E$26)</f>
        <v>25.396167322358203</v>
      </c>
      <c r="F13" s="132">
        <f>IF(SER_hh_fech!F13=0,0,SER_hh_fech!F13/SER_summary!F$26)</f>
        <v>30.369821785500573</v>
      </c>
      <c r="G13" s="132">
        <f>IF(SER_hh_fech!G13=0,0,SER_hh_fech!G13/SER_summary!G$26)</f>
        <v>28.715456718353252</v>
      </c>
      <c r="H13" s="132">
        <f>IF(SER_hh_fech!H13=0,0,SER_hh_fech!H13/SER_summary!H$26)</f>
        <v>30.435835660936174</v>
      </c>
      <c r="I13" s="132">
        <f>IF(SER_hh_fech!I13=0,0,SER_hh_fech!I13/SER_summary!I$26)</f>
        <v>32.138622420412787</v>
      </c>
      <c r="J13" s="132">
        <f>IF(SER_hh_fech!J13=0,0,SER_hh_fech!J13/SER_summary!J$26)</f>
        <v>30.766559426048762</v>
      </c>
      <c r="K13" s="132">
        <f>IF(SER_hh_fech!K13=0,0,SER_hh_fech!K13/SER_summary!K$26)</f>
        <v>28.311402565625375</v>
      </c>
      <c r="L13" s="132">
        <f>IF(SER_hh_fech!L13=0,0,SER_hh_fech!L13/SER_summary!L$26)</f>
        <v>23.553694635865103</v>
      </c>
      <c r="M13" s="132">
        <f>IF(SER_hh_fech!M13=0,0,SER_hh_fech!M13/SER_summary!M$26)</f>
        <v>20.839468930360436</v>
      </c>
      <c r="N13" s="132">
        <f>IF(SER_hh_fech!N13=0,0,SER_hh_fech!N13/SER_summary!N$26)</f>
        <v>22.542889766964336</v>
      </c>
      <c r="O13" s="132">
        <f>IF(SER_hh_fech!O13=0,0,SER_hh_fech!O13/SER_summary!O$26)</f>
        <v>20.106425744793565</v>
      </c>
      <c r="P13" s="132">
        <f>IF(SER_hh_fech!P13=0,0,SER_hh_fech!P13/SER_summary!P$26)</f>
        <v>22.061678625801612</v>
      </c>
      <c r="Q13" s="132">
        <f>IF(SER_hh_fech!Q13=0,0,SER_hh_fech!Q13/SER_summary!Q$26)</f>
        <v>26.923287267509931</v>
      </c>
      <c r="R13" s="132">
        <f>IF(SER_hh_fech!R13=0,0,SER_hh_fech!R13/SER_summary!R$26)</f>
        <v>27.444914310622316</v>
      </c>
      <c r="S13" s="132">
        <f>IF(SER_hh_fech!S13=0,0,SER_hh_fech!S13/SER_summary!S$26)</f>
        <v>26.339425388711671</v>
      </c>
      <c r="T13" s="132">
        <f>IF(SER_hh_fech!T13=0,0,SER_hh_fech!T13/SER_summary!T$26)</f>
        <v>25.750843769611283</v>
      </c>
      <c r="U13" s="132">
        <f>IF(SER_hh_fech!U13=0,0,SER_hh_fech!U13/SER_summary!U$26)</f>
        <v>24.597091227509896</v>
      </c>
      <c r="V13" s="132">
        <f>IF(SER_hh_fech!V13=0,0,SER_hh_fech!V13/SER_summary!V$26)</f>
        <v>24.294967035803833</v>
      </c>
      <c r="W13" s="132">
        <f>IF(SER_hh_fech!W13=0,0,SER_hh_fech!W13/SER_summary!W$26)</f>
        <v>25.983860036393274</v>
      </c>
      <c r="X13" s="132">
        <f>IF(SER_hh_fech!X13=0,0,SER_hh_fech!X13/SER_summary!X$26)</f>
        <v>25.95027267881472</v>
      </c>
      <c r="Y13" s="132">
        <f>IF(SER_hh_fech!Y13=0,0,SER_hh_fech!Y13/SER_summary!Y$26)</f>
        <v>27.397571259468464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49.800077671214694</v>
      </c>
      <c r="C14" s="65">
        <f>IF(SER_hh_fech!C14=0,0,SER_hh_fech!C14/SER_summary!C$26)</f>
        <v>57.282854112700875</v>
      </c>
      <c r="D14" s="65">
        <f>IF(SER_hh_fech!D14=0,0,SER_hh_fech!D14/SER_summary!D$26)</f>
        <v>57.780135104568394</v>
      </c>
      <c r="E14" s="65">
        <f>IF(SER_hh_fech!E14=0,0,SER_hh_fech!E14/SER_summary!E$26)</f>
        <v>65.870037132896286</v>
      </c>
      <c r="F14" s="65">
        <f>IF(SER_hh_fech!F14=0,0,SER_hh_fech!F14/SER_summary!F$26)</f>
        <v>78.920629332419125</v>
      </c>
      <c r="G14" s="65">
        <f>IF(SER_hh_fech!G14=0,0,SER_hh_fech!G14/SER_summary!G$26)</f>
        <v>77.123042538710209</v>
      </c>
      <c r="H14" s="65">
        <f>IF(SER_hh_fech!H14=0,0,SER_hh_fech!H14/SER_summary!H$26)</f>
        <v>88.979758020546825</v>
      </c>
      <c r="I14" s="65">
        <f>IF(SER_hh_fech!I14=0,0,SER_hh_fech!I14/SER_summary!I$26)</f>
        <v>93.365061425459146</v>
      </c>
      <c r="J14" s="65">
        <f>IF(SER_hh_fech!J14=0,0,SER_hh_fech!J14/SER_summary!J$26)</f>
        <v>102.72997236223141</v>
      </c>
      <c r="K14" s="65">
        <f>IF(SER_hh_fech!K14=0,0,SER_hh_fech!K14/SER_summary!K$26)</f>
        <v>108.17712082195847</v>
      </c>
      <c r="L14" s="65">
        <f>IF(SER_hh_fech!L14=0,0,SER_hh_fech!L14/SER_summary!L$26)</f>
        <v>76.835268857776327</v>
      </c>
      <c r="M14" s="65">
        <f>IF(SER_hh_fech!M14=0,0,SER_hh_fech!M14/SER_summary!M$26)</f>
        <v>53.847581969267509</v>
      </c>
      <c r="N14" s="65">
        <f>IF(SER_hh_fech!N14=0,0,SER_hh_fech!N14/SER_summary!N$26)</f>
        <v>116.30866583351109</v>
      </c>
      <c r="O14" s="65">
        <f>IF(SER_hh_fech!O14=0,0,SER_hh_fech!O14/SER_summary!O$26)</f>
        <v>78.011230207736915</v>
      </c>
      <c r="P14" s="65">
        <f>IF(SER_hh_fech!P14=0,0,SER_hh_fech!P14/SER_summary!P$26)</f>
        <v>50.510845227946028</v>
      </c>
      <c r="Q14" s="65">
        <f>IF(SER_hh_fech!Q14=0,0,SER_hh_fech!Q14/SER_summary!Q$26)</f>
        <v>90.541483009325276</v>
      </c>
      <c r="R14" s="65">
        <f>IF(SER_hh_fech!R14=0,0,SER_hh_fech!R14/SER_summary!R$26)</f>
        <v>144.15666622223446</v>
      </c>
      <c r="S14" s="65">
        <f>IF(SER_hh_fech!S14=0,0,SER_hh_fech!S14/SER_summary!S$26)</f>
        <v>137.22403900797633</v>
      </c>
      <c r="T14" s="65">
        <f>IF(SER_hh_fech!T14=0,0,SER_hh_fech!T14/SER_summary!T$26)</f>
        <v>92.51353511796313</v>
      </c>
      <c r="U14" s="65">
        <f>IF(SER_hh_fech!U14=0,0,SER_hh_fech!U14/SER_summary!U$26)</f>
        <v>129.43850549105542</v>
      </c>
      <c r="V14" s="65">
        <f>IF(SER_hh_fech!V14=0,0,SER_hh_fech!V14/SER_summary!V$26)</f>
        <v>76.832210831540564</v>
      </c>
      <c r="W14" s="65">
        <f>IF(SER_hh_fech!W14=0,0,SER_hh_fech!W14/SER_summary!W$26)</f>
        <v>100.5456281574635</v>
      </c>
      <c r="X14" s="65">
        <f>IF(SER_hh_fech!X14=0,0,SER_hh_fech!X14/SER_summary!X$26)</f>
        <v>134.75397288131103</v>
      </c>
      <c r="Y14" s="65">
        <f>IF(SER_hh_fech!Y14=0,0,SER_hh_fech!Y14/SER_summary!Y$26)</f>
        <v>116.40225415562151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0.53918236737574088</v>
      </c>
      <c r="C15" s="134">
        <f>IF(SER_hh_fech!C15=0,0,SER_hh_fech!C15/SER_summary!C$26)</f>
        <v>0.65238005631715235</v>
      </c>
      <c r="D15" s="134">
        <f>IF(SER_hh_fech!D15=0,0,SER_hh_fech!D15/SER_summary!D$26)</f>
        <v>0.66708933603511489</v>
      </c>
      <c r="E15" s="134">
        <f>IF(SER_hh_fech!E15=0,0,SER_hh_fech!E15/SER_summary!E$26)</f>
        <v>0.71084635343253366</v>
      </c>
      <c r="F15" s="134">
        <f>IF(SER_hh_fech!F15=0,0,SER_hh_fech!F15/SER_summary!F$26)</f>
        <v>0.71715881664212311</v>
      </c>
      <c r="G15" s="134">
        <f>IF(SER_hh_fech!G15=0,0,SER_hh_fech!G15/SER_summary!G$26)</f>
        <v>0.90567007092268648</v>
      </c>
      <c r="H15" s="134">
        <f>IF(SER_hh_fech!H15=0,0,SER_hh_fech!H15/SER_summary!H$26)</f>
        <v>0.96758707551859779</v>
      </c>
      <c r="I15" s="134">
        <f>IF(SER_hh_fech!I15=0,0,SER_hh_fech!I15/SER_summary!I$26)</f>
        <v>0.94997959023717859</v>
      </c>
      <c r="J15" s="134">
        <f>IF(SER_hh_fech!J15=0,0,SER_hh_fech!J15/SER_summary!J$26)</f>
        <v>1.0350546456116727</v>
      </c>
      <c r="K15" s="134">
        <f>IF(SER_hh_fech!K15=0,0,SER_hh_fech!K15/SER_summary!K$26)</f>
        <v>0.88828020790870643</v>
      </c>
      <c r="L15" s="134">
        <f>IF(SER_hh_fech!L15=0,0,SER_hh_fech!L15/SER_summary!L$26)</f>
        <v>0.78550744340710688</v>
      </c>
      <c r="M15" s="134">
        <f>IF(SER_hh_fech!M15=0,0,SER_hh_fech!M15/SER_summary!M$26)</f>
        <v>0.88805457845395142</v>
      </c>
      <c r="N15" s="134">
        <f>IF(SER_hh_fech!N15=0,0,SER_hh_fech!N15/SER_summary!N$26)</f>
        <v>0.58464592224127654</v>
      </c>
      <c r="O15" s="134">
        <f>IF(SER_hh_fech!O15=0,0,SER_hh_fech!O15/SER_summary!O$26)</f>
        <v>0.79271014902637671</v>
      </c>
      <c r="P15" s="134">
        <f>IF(SER_hh_fech!P15=0,0,SER_hh_fech!P15/SER_summary!P$26)</f>
        <v>0.6242992996878971</v>
      </c>
      <c r="Q15" s="134">
        <f>IF(SER_hh_fech!Q15=0,0,SER_hh_fech!Q15/SER_summary!Q$26)</f>
        <v>0.91122566926012916</v>
      </c>
      <c r="R15" s="134">
        <f>IF(SER_hh_fech!R15=0,0,SER_hh_fech!R15/SER_summary!R$26)</f>
        <v>1.1224104004290119</v>
      </c>
      <c r="S15" s="134">
        <f>IF(SER_hh_fech!S15=0,0,SER_hh_fech!S15/SER_summary!S$26)</f>
        <v>0.87307285033331239</v>
      </c>
      <c r="T15" s="134">
        <f>IF(SER_hh_fech!T15=0,0,SER_hh_fech!T15/SER_summary!T$26)</f>
        <v>0.89043045232020179</v>
      </c>
      <c r="U15" s="134">
        <f>IF(SER_hh_fech!U15=0,0,SER_hh_fech!U15/SER_summary!U$26)</f>
        <v>1.0186029338051432</v>
      </c>
      <c r="V15" s="134">
        <f>IF(SER_hh_fech!V15=0,0,SER_hh_fech!V15/SER_summary!V$26)</f>
        <v>0.92553269459698551</v>
      </c>
      <c r="W15" s="134">
        <f>IF(SER_hh_fech!W15=0,0,SER_hh_fech!W15/SER_summary!W$26)</f>
        <v>0.93239241188525079</v>
      </c>
      <c r="X15" s="134">
        <f>IF(SER_hh_fech!X15=0,0,SER_hh_fech!X15/SER_summary!X$26)</f>
        <v>0.97973293934850014</v>
      </c>
      <c r="Y15" s="134">
        <f>IF(SER_hh_fech!Y15=0,0,SER_hh_fech!Y15/SER_summary!Y$26)</f>
        <v>1.013649291017038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20.746129889851446</v>
      </c>
      <c r="C16" s="130">
        <f>IF(SER_hh_fech!C16=0,0,SER_hh_fech!C16/SER_summary!C$26)</f>
        <v>24.718518627651253</v>
      </c>
      <c r="D16" s="130">
        <f>IF(SER_hh_fech!D16=0,0,SER_hh_fech!D16/SER_summary!D$26)</f>
        <v>19.34531985387413</v>
      </c>
      <c r="E16" s="130">
        <f>IF(SER_hh_fech!E16=0,0,SER_hh_fech!E16/SER_summary!E$26)</f>
        <v>24.787017331443106</v>
      </c>
      <c r="F16" s="130">
        <f>IF(SER_hh_fech!F16=0,0,SER_hh_fech!F16/SER_summary!F$26)</f>
        <v>14.818466777552251</v>
      </c>
      <c r="G16" s="130">
        <f>IF(SER_hh_fech!G16=0,0,SER_hh_fech!G16/SER_summary!G$26)</f>
        <v>14.618287829869727</v>
      </c>
      <c r="H16" s="130">
        <f>IF(SER_hh_fech!H16=0,0,SER_hh_fech!H16/SER_summary!H$26)</f>
        <v>16.354700680671545</v>
      </c>
      <c r="I16" s="130">
        <f>IF(SER_hh_fech!I16=0,0,SER_hh_fech!I16/SER_summary!I$26)</f>
        <v>22.723390476188513</v>
      </c>
      <c r="J16" s="130">
        <f>IF(SER_hh_fech!J16=0,0,SER_hh_fech!J16/SER_summary!J$26)</f>
        <v>20.949364556289996</v>
      </c>
      <c r="K16" s="130">
        <f>IF(SER_hh_fech!K16=0,0,SER_hh_fech!K16/SER_summary!K$26)</f>
        <v>14.127242847580717</v>
      </c>
      <c r="L16" s="130">
        <f>IF(SER_hh_fech!L16=0,0,SER_hh_fech!L16/SER_summary!L$26)</f>
        <v>17.984572917993987</v>
      </c>
      <c r="M16" s="130">
        <f>IF(SER_hh_fech!M16=0,0,SER_hh_fech!M16/SER_summary!M$26)</f>
        <v>15.222080527766639</v>
      </c>
      <c r="N16" s="130">
        <f>IF(SER_hh_fech!N16=0,0,SER_hh_fech!N16/SER_summary!N$26)</f>
        <v>24.361571644503165</v>
      </c>
      <c r="O16" s="130">
        <f>IF(SER_hh_fech!O16=0,0,SER_hh_fech!O16/SER_summary!O$26)</f>
        <v>14.999935663771033</v>
      </c>
      <c r="P16" s="130">
        <f>IF(SER_hh_fech!P16=0,0,SER_hh_fech!P16/SER_summary!P$26)</f>
        <v>11.944708111900512</v>
      </c>
      <c r="Q16" s="130">
        <f>IF(SER_hh_fech!Q16=0,0,SER_hh_fech!Q16/SER_summary!Q$26)</f>
        <v>14.820884533658941</v>
      </c>
      <c r="R16" s="130">
        <f>IF(SER_hh_fech!R16=0,0,SER_hh_fech!R16/SER_summary!R$26)</f>
        <v>15.595551784898952</v>
      </c>
      <c r="S16" s="130">
        <f>IF(SER_hh_fech!S16=0,0,SER_hh_fech!S16/SER_summary!S$26)</f>
        <v>15.196564054558772</v>
      </c>
      <c r="T16" s="130">
        <f>IF(SER_hh_fech!T16=0,0,SER_hh_fech!T16/SER_summary!T$26)</f>
        <v>12.767331676900675</v>
      </c>
      <c r="U16" s="130">
        <f>IF(SER_hh_fech!U16=0,0,SER_hh_fech!U16/SER_summary!U$26)</f>
        <v>15.869036106929265</v>
      </c>
      <c r="V16" s="130">
        <f>IF(SER_hh_fech!V16=0,0,SER_hh_fech!V16/SER_summary!V$26)</f>
        <v>13.524675421665354</v>
      </c>
      <c r="W16" s="130">
        <f>IF(SER_hh_fech!W16=0,0,SER_hh_fech!W16/SER_summary!W$26)</f>
        <v>17.826136773031166</v>
      </c>
      <c r="X16" s="130">
        <f>IF(SER_hh_fech!X16=0,0,SER_hh_fech!X16/SER_summary!X$26)</f>
        <v>15.705128143768142</v>
      </c>
      <c r="Y16" s="130">
        <f>IF(SER_hh_fech!Y16=0,0,SER_hh_fech!Y16/SER_summary!Y$26)</f>
        <v>16.153487355462119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33.176361976936029</v>
      </c>
      <c r="C17" s="132">
        <f>IF(SER_hh_fech!C17=0,0,SER_hh_fech!C17/SER_summary!C$26)</f>
        <v>40.61314156883892</v>
      </c>
      <c r="D17" s="132">
        <f>IF(SER_hh_fech!D17=0,0,SER_hh_fech!D17/SER_summary!D$26)</f>
        <v>32.130822980040143</v>
      </c>
      <c r="E17" s="132">
        <f>IF(SER_hh_fech!E17=0,0,SER_hh_fech!E17/SER_summary!E$26)</f>
        <v>43.036101264081431</v>
      </c>
      <c r="F17" s="132">
        <f>IF(SER_hh_fech!F17=0,0,SER_hh_fech!F17/SER_summary!F$26)</f>
        <v>25.77634395753876</v>
      </c>
      <c r="G17" s="132">
        <f>IF(SER_hh_fech!G17=0,0,SER_hh_fech!G17/SER_summary!G$26)</f>
        <v>26.160182498389009</v>
      </c>
      <c r="H17" s="132">
        <f>IF(SER_hh_fech!H17=0,0,SER_hh_fech!H17/SER_summary!H$26)</f>
        <v>30.631467608996079</v>
      </c>
      <c r="I17" s="132">
        <f>IF(SER_hh_fech!I17=0,0,SER_hh_fech!I17/SER_summary!I$26)</f>
        <v>45.185178391793585</v>
      </c>
      <c r="J17" s="132">
        <f>IF(SER_hh_fech!J17=0,0,SER_hh_fech!J17/SER_summary!J$26)</f>
        <v>42.458578088164167</v>
      </c>
      <c r="K17" s="132">
        <f>IF(SER_hh_fech!K17=0,0,SER_hh_fech!K17/SER_summary!K$26)</f>
        <v>36.451324046379504</v>
      </c>
      <c r="L17" s="132">
        <f>IF(SER_hh_fech!L17=0,0,SER_hh_fech!L17/SER_summary!L$26)</f>
        <v>37.980815092090452</v>
      </c>
      <c r="M17" s="132">
        <f>IF(SER_hh_fech!M17=0,0,SER_hh_fech!M17/SER_summary!M$26)</f>
        <v>33.28233231853271</v>
      </c>
      <c r="N17" s="132">
        <f>IF(SER_hh_fech!N17=0,0,SER_hh_fech!N17/SER_summary!N$26)</f>
        <v>48.166546750611246</v>
      </c>
      <c r="O17" s="132">
        <f>IF(SER_hh_fech!O17=0,0,SER_hh_fech!O17/SER_summary!O$26)</f>
        <v>33.329198748152955</v>
      </c>
      <c r="P17" s="132">
        <f>IF(SER_hh_fech!P17=0,0,SER_hh_fech!P17/SER_summary!P$26)</f>
        <v>28.234205810018796</v>
      </c>
      <c r="Q17" s="132">
        <f>IF(SER_hh_fech!Q17=0,0,SER_hh_fech!Q17/SER_summary!Q$26)</f>
        <v>34.465263854236611</v>
      </c>
      <c r="R17" s="132">
        <f>IF(SER_hh_fech!R17=0,0,SER_hh_fech!R17/SER_summary!R$26)</f>
        <v>37.309837463712199</v>
      </c>
      <c r="S17" s="132">
        <f>IF(SER_hh_fech!S17=0,0,SER_hh_fech!S17/SER_summary!S$26)</f>
        <v>37.137295633130471</v>
      </c>
      <c r="T17" s="132">
        <f>IF(SER_hh_fech!T17=0,0,SER_hh_fech!T17/SER_summary!T$26)</f>
        <v>31.36975914115752</v>
      </c>
      <c r="U17" s="132">
        <f>IF(SER_hh_fech!U17=0,0,SER_hh_fech!U17/SER_summary!U$26)</f>
        <v>39.347638564546195</v>
      </c>
      <c r="V17" s="132">
        <f>IF(SER_hh_fech!V17=0,0,SER_hh_fech!V17/SER_summary!V$26)</f>
        <v>32.326635480336265</v>
      </c>
      <c r="W17" s="132">
        <f>IF(SER_hh_fech!W17=0,0,SER_hh_fech!W17/SER_summary!W$26)</f>
        <v>42.551536241443273</v>
      </c>
      <c r="X17" s="132">
        <f>IF(SER_hh_fech!X17=0,0,SER_hh_fech!X17/SER_summary!X$26)</f>
        <v>39.373849106873116</v>
      </c>
      <c r="Y17" s="132">
        <f>IF(SER_hh_fech!Y17=0,0,SER_hh_fech!Y17/SER_summary!Y$26)</f>
        <v>40.368736816645779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20.737442452995214</v>
      </c>
      <c r="C18" s="132">
        <f>IF(SER_hh_fech!C18=0,0,SER_hh_fech!C18/SER_summary!C$26)</f>
        <v>24.707496185473403</v>
      </c>
      <c r="D18" s="132">
        <f>IF(SER_hh_fech!D18=0,0,SER_hh_fech!D18/SER_summary!D$26)</f>
        <v>19.33348841892802</v>
      </c>
      <c r="E18" s="132">
        <f>IF(SER_hh_fech!E18=0,0,SER_hh_fech!E18/SER_summary!E$26)</f>
        <v>24.772278886523271</v>
      </c>
      <c r="F18" s="132">
        <f>IF(SER_hh_fech!F18=0,0,SER_hh_fech!F18/SER_summary!F$26)</f>
        <v>14.800211017880473</v>
      </c>
      <c r="G18" s="132">
        <f>IF(SER_hh_fech!G18=0,0,SER_hh_fech!G18/SER_summary!G$26)</f>
        <v>14.589889941065579</v>
      </c>
      <c r="H18" s="132">
        <f>IF(SER_hh_fech!H18=0,0,SER_hh_fech!H18/SER_summary!H$26)</f>
        <v>16.309480935460627</v>
      </c>
      <c r="I18" s="132">
        <f>IF(SER_hh_fech!I18=0,0,SER_hh_fech!I18/SER_summary!I$26)</f>
        <v>22.660985285767271</v>
      </c>
      <c r="J18" s="132">
        <f>IF(SER_hh_fech!J18=0,0,SER_hh_fech!J18/SER_summary!J$26)</f>
        <v>20.870285188552145</v>
      </c>
      <c r="K18" s="132">
        <f>IF(SER_hh_fech!K18=0,0,SER_hh_fech!K18/SER_summary!K$26)</f>
        <v>14.019510676799372</v>
      </c>
      <c r="L18" s="132">
        <f>IF(SER_hh_fech!L18=0,0,SER_hh_fech!L18/SER_summary!L$26)</f>
        <v>17.86026933749087</v>
      </c>
      <c r="M18" s="132">
        <f>IF(SER_hh_fech!M18=0,0,SER_hh_fech!M18/SER_summary!M$26)</f>
        <v>15.067515984936961</v>
      </c>
      <c r="N18" s="132">
        <f>IF(SER_hh_fech!N18=0,0,SER_hh_fech!N18/SER_summary!N$26)</f>
        <v>24.101889680230428</v>
      </c>
      <c r="O18" s="132">
        <f>IF(SER_hh_fech!O18=0,0,SER_hh_fech!O18/SER_summary!O$26)</f>
        <v>14.716880017462103</v>
      </c>
      <c r="P18" s="132">
        <f>IF(SER_hh_fech!P18=0,0,SER_hh_fech!P18/SER_summary!P$26)</f>
        <v>11.611514576273827</v>
      </c>
      <c r="Q18" s="132">
        <f>IF(SER_hh_fech!Q18=0,0,SER_hh_fech!Q18/SER_summary!Q$26)</f>
        <v>14.37109025535505</v>
      </c>
      <c r="R18" s="132">
        <f>IF(SER_hh_fech!R18=0,0,SER_hh_fech!R18/SER_summary!R$26)</f>
        <v>15.068945355448076</v>
      </c>
      <c r="S18" s="132">
        <f>IF(SER_hh_fech!S18=0,0,SER_hh_fech!S18/SER_summary!S$26)</f>
        <v>14.626393347571332</v>
      </c>
      <c r="T18" s="132">
        <f>IF(SER_hh_fech!T18=0,0,SER_hh_fech!T18/SER_summary!T$26)</f>
        <v>12.21763068778942</v>
      </c>
      <c r="U18" s="132">
        <f>IF(SER_hh_fech!U18=0,0,SER_hh_fech!U18/SER_summary!U$26)</f>
        <v>15.168463758388015</v>
      </c>
      <c r="V18" s="132">
        <f>IF(SER_hh_fech!V18=0,0,SER_hh_fech!V18/SER_summary!V$26)</f>
        <v>12.957616000439378</v>
      </c>
      <c r="W18" s="132">
        <f>IF(SER_hh_fech!W18=0,0,SER_hh_fech!W18/SER_summary!W$26)</f>
        <v>17.08065432979754</v>
      </c>
      <c r="X18" s="132">
        <f>IF(SER_hh_fech!X18=0,0,SER_hh_fech!X18/SER_summary!X$26)</f>
        <v>14.990525420133082</v>
      </c>
      <c r="Y18" s="132">
        <f>IF(SER_hh_fech!Y18=0,0,SER_hh_fech!Y18/SER_summary!Y$26)</f>
        <v>15.412432147729682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38.4514880731952</v>
      </c>
      <c r="C19" s="130">
        <f>IF(SER_hh_fech!C19=0,0,SER_hh_fech!C19/SER_summary!C$26)</f>
        <v>40.052248459260426</v>
      </c>
      <c r="D19" s="130">
        <f>IF(SER_hh_fech!D19=0,0,SER_hh_fech!D19/SER_summary!D$26)</f>
        <v>41.881286826152142</v>
      </c>
      <c r="E19" s="130">
        <f>IF(SER_hh_fech!E19=0,0,SER_hh_fech!E19/SER_summary!E$26)</f>
        <v>42.138684167293576</v>
      </c>
      <c r="F19" s="130">
        <f>IF(SER_hh_fech!F19=0,0,SER_hh_fech!F19/SER_summary!F$26)</f>
        <v>42.706355080648024</v>
      </c>
      <c r="G19" s="130">
        <f>IF(SER_hh_fech!G19=0,0,SER_hh_fech!G19/SER_summary!G$26)</f>
        <v>45.131322203333426</v>
      </c>
      <c r="H19" s="130">
        <f>IF(SER_hh_fech!H19=0,0,SER_hh_fech!H19/SER_summary!H$26)</f>
        <v>44.360571552882675</v>
      </c>
      <c r="I19" s="130">
        <f>IF(SER_hh_fech!I19=0,0,SER_hh_fech!I19/SER_summary!I$26)</f>
        <v>43.387741376864867</v>
      </c>
      <c r="J19" s="130">
        <f>IF(SER_hh_fech!J19=0,0,SER_hh_fech!J19/SER_summary!J$26)</f>
        <v>43.658513081931503</v>
      </c>
      <c r="K19" s="130">
        <f>IF(SER_hh_fech!K19=0,0,SER_hh_fech!K19/SER_summary!K$26)</f>
        <v>44.40069861204725</v>
      </c>
      <c r="L19" s="130">
        <f>IF(SER_hh_fech!L19=0,0,SER_hh_fech!L19/SER_summary!L$26)</f>
        <v>46.61858165403347</v>
      </c>
      <c r="M19" s="130">
        <f>IF(SER_hh_fech!M19=0,0,SER_hh_fech!M19/SER_summary!M$26)</f>
        <v>47.857984192654946</v>
      </c>
      <c r="N19" s="130">
        <f>IF(SER_hh_fech!N19=0,0,SER_hh_fech!N19/SER_summary!N$26)</f>
        <v>47.385403189164734</v>
      </c>
      <c r="O19" s="130">
        <f>IF(SER_hh_fech!O19=0,0,SER_hh_fech!O19/SER_summary!O$26)</f>
        <v>47.591973350724871</v>
      </c>
      <c r="P19" s="130">
        <f>IF(SER_hh_fech!P19=0,0,SER_hh_fech!P19/SER_summary!P$26)</f>
        <v>48.55257320245429</v>
      </c>
      <c r="Q19" s="130">
        <f>IF(SER_hh_fech!Q19=0,0,SER_hh_fech!Q19/SER_summary!Q$26)</f>
        <v>48.64941894791852</v>
      </c>
      <c r="R19" s="130">
        <f>IF(SER_hh_fech!R19=0,0,SER_hh_fech!R19/SER_summary!R$26)</f>
        <v>48.063148569757608</v>
      </c>
      <c r="S19" s="130">
        <f>IF(SER_hh_fech!S19=0,0,SER_hh_fech!S19/SER_summary!S$26)</f>
        <v>47.194936224818562</v>
      </c>
      <c r="T19" s="130">
        <f>IF(SER_hh_fech!T19=0,0,SER_hh_fech!T19/SER_summary!T$26)</f>
        <v>46.141092692679877</v>
      </c>
      <c r="U19" s="130">
        <f>IF(SER_hh_fech!U19=0,0,SER_hh_fech!U19/SER_summary!U$26)</f>
        <v>44.352695698672278</v>
      </c>
      <c r="V19" s="130">
        <f>IF(SER_hh_fech!V19=0,0,SER_hh_fech!V19/SER_summary!V$26)</f>
        <v>38.533332240990866</v>
      </c>
      <c r="W19" s="130">
        <f>IF(SER_hh_fech!W19=0,0,SER_hh_fech!W19/SER_summary!W$26)</f>
        <v>38.153671373807001</v>
      </c>
      <c r="X19" s="130">
        <f>IF(SER_hh_fech!X19=0,0,SER_hh_fech!X19/SER_summary!X$26)</f>
        <v>39.40102130660344</v>
      </c>
      <c r="Y19" s="130">
        <f>IF(SER_hh_fech!Y19=0,0,SER_hh_fech!Y19/SER_summary!Y$26)</f>
        <v>38.837247142104495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0</v>
      </c>
      <c r="C20" s="132">
        <f>IF(SER_hh_fech!C20=0,0,SER_hh_fech!C20/SER_summary!C$26)</f>
        <v>0</v>
      </c>
      <c r="D20" s="132">
        <f>IF(SER_hh_fech!D20=0,0,SER_hh_fech!D20/SER_summary!D$26)</f>
        <v>0</v>
      </c>
      <c r="E20" s="132">
        <f>IF(SER_hh_fech!E20=0,0,SER_hh_fech!E20/SER_summary!E$26)</f>
        <v>0</v>
      </c>
      <c r="F20" s="132">
        <f>IF(SER_hh_fech!F20=0,0,SER_hh_fech!F20/SER_summary!F$26)</f>
        <v>0</v>
      </c>
      <c r="G20" s="132">
        <f>IF(SER_hh_fech!G20=0,0,SER_hh_fech!G20/SER_summary!G$26)</f>
        <v>0</v>
      </c>
      <c r="H20" s="132">
        <f>IF(SER_hh_fech!H20=0,0,SER_hh_fech!H20/SER_summary!H$26)</f>
        <v>0</v>
      </c>
      <c r="I20" s="132">
        <f>IF(SER_hh_fech!I20=0,0,SER_hh_fech!I20/SER_summary!I$26)</f>
        <v>0</v>
      </c>
      <c r="J20" s="132">
        <f>IF(SER_hh_fech!J20=0,0,SER_hh_fech!J20/SER_summary!J$26)</f>
        <v>0</v>
      </c>
      <c r="K20" s="132">
        <f>IF(SER_hh_fech!K20=0,0,SER_hh_fech!K20/SER_summary!K$26)</f>
        <v>0</v>
      </c>
      <c r="L20" s="132">
        <f>IF(SER_hh_fech!L20=0,0,SER_hh_fech!L20/SER_summary!L$26)</f>
        <v>0</v>
      </c>
      <c r="M20" s="132">
        <f>IF(SER_hh_fech!M20=0,0,SER_hh_fech!M20/SER_summary!M$26)</f>
        <v>0</v>
      </c>
      <c r="N20" s="132">
        <f>IF(SER_hh_fech!N20=0,0,SER_hh_fech!N20/SER_summary!N$26)</f>
        <v>0</v>
      </c>
      <c r="O20" s="132">
        <f>IF(SER_hh_fech!O20=0,0,SER_hh_fech!O20/SER_summary!O$26)</f>
        <v>0</v>
      </c>
      <c r="P20" s="132">
        <f>IF(SER_hh_fech!P20=0,0,SER_hh_fech!P20/SER_summary!P$26)</f>
        <v>0</v>
      </c>
      <c r="Q20" s="132">
        <f>IF(SER_hh_fech!Q20=0,0,SER_hh_fech!Q20/SER_summary!Q$26)</f>
        <v>0</v>
      </c>
      <c r="R20" s="132">
        <f>IF(SER_hh_fech!R20=0,0,SER_hh_fech!R20/SER_summary!R$26)</f>
        <v>0</v>
      </c>
      <c r="S20" s="132">
        <f>IF(SER_hh_fech!S20=0,0,SER_hh_fech!S20/SER_summary!S$26)</f>
        <v>0</v>
      </c>
      <c r="T20" s="132">
        <f>IF(SER_hh_fech!T20=0,0,SER_hh_fech!T20/SER_summary!T$26)</f>
        <v>0</v>
      </c>
      <c r="U20" s="132">
        <f>IF(SER_hh_fech!U20=0,0,SER_hh_fech!U20/SER_summary!U$26)</f>
        <v>0</v>
      </c>
      <c r="V20" s="132">
        <f>IF(SER_hh_fech!V20=0,0,SER_hh_fech!V20/SER_summary!V$26)</f>
        <v>0</v>
      </c>
      <c r="W20" s="132">
        <f>IF(SER_hh_fech!W20=0,0,SER_hh_fech!W20/SER_summary!W$26)</f>
        <v>0</v>
      </c>
      <c r="X20" s="132">
        <f>IF(SER_hh_fech!X20=0,0,SER_hh_fech!X20/SER_summary!X$26)</f>
        <v>0</v>
      </c>
      <c r="Y20" s="132">
        <f>IF(SER_hh_fech!Y20=0,0,SER_hh_fech!Y20/SER_summary!Y$26)</f>
        <v>0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44.840470960685899</v>
      </c>
      <c r="C21" s="132">
        <f>IF(SER_hh_fech!C21=0,0,SER_hh_fech!C21/SER_summary!C$26)</f>
        <v>48.54071015903726</v>
      </c>
      <c r="D21" s="132">
        <f>IF(SER_hh_fech!D21=0,0,SER_hh_fech!D21/SER_summary!D$26)</f>
        <v>49.900619465557952</v>
      </c>
      <c r="E21" s="132">
        <f>IF(SER_hh_fech!E21=0,0,SER_hh_fech!E21/SER_summary!E$26)</f>
        <v>48.416554587977338</v>
      </c>
      <c r="F21" s="132">
        <f>IF(SER_hh_fech!F21=0,0,SER_hh_fech!F21/SER_summary!F$26)</f>
        <v>49.311013816603193</v>
      </c>
      <c r="G21" s="132">
        <f>IF(SER_hh_fech!G21=0,0,SER_hh_fech!G21/SER_summary!G$26)</f>
        <v>51.856502787297146</v>
      </c>
      <c r="H21" s="132">
        <f>IF(SER_hh_fech!H21=0,0,SER_hh_fech!H21/SER_summary!H$26)</f>
        <v>50.606590841463486</v>
      </c>
      <c r="I21" s="132">
        <f>IF(SER_hh_fech!I21=0,0,SER_hh_fech!I21/SER_summary!I$26)</f>
        <v>53.656369101823365</v>
      </c>
      <c r="J21" s="132">
        <f>IF(SER_hh_fech!J21=0,0,SER_hh_fech!J21/SER_summary!J$26)</f>
        <v>52.700235656623455</v>
      </c>
      <c r="K21" s="132">
        <f>IF(SER_hh_fech!K21=0,0,SER_hh_fech!K21/SER_summary!K$26)</f>
        <v>52.687589059603702</v>
      </c>
      <c r="L21" s="132">
        <f>IF(SER_hh_fech!L21=0,0,SER_hh_fech!L21/SER_summary!L$26)</f>
        <v>54.077305254079413</v>
      </c>
      <c r="M21" s="132">
        <f>IF(SER_hh_fech!M21=0,0,SER_hh_fech!M21/SER_summary!M$26)</f>
        <v>53.920828128056733</v>
      </c>
      <c r="N21" s="132">
        <f>IF(SER_hh_fech!N21=0,0,SER_hh_fech!N21/SER_summary!N$26)</f>
        <v>56.512997423650432</v>
      </c>
      <c r="O21" s="132">
        <f>IF(SER_hh_fech!O21=0,0,SER_hh_fech!O21/SER_summary!O$26)</f>
        <v>55.96484937752011</v>
      </c>
      <c r="P21" s="132">
        <f>IF(SER_hh_fech!P21=0,0,SER_hh_fech!P21/SER_summary!P$26)</f>
        <v>54.453947392403208</v>
      </c>
      <c r="Q21" s="132">
        <f>IF(SER_hh_fech!Q21=0,0,SER_hh_fech!Q21/SER_summary!Q$26)</f>
        <v>51.864040954893177</v>
      </c>
      <c r="R21" s="132">
        <f>IF(SER_hh_fech!R21=0,0,SER_hh_fech!R21/SER_summary!R$26)</f>
        <v>55.044399788389327</v>
      </c>
      <c r="S21" s="132">
        <f>IF(SER_hh_fech!S21=0,0,SER_hh_fech!S21/SER_summary!S$26)</f>
        <v>54.428028350387699</v>
      </c>
      <c r="T21" s="132">
        <f>IF(SER_hh_fech!T21=0,0,SER_hh_fech!T21/SER_summary!T$26)</f>
        <v>52.864488676584855</v>
      </c>
      <c r="U21" s="132">
        <f>IF(SER_hh_fech!U21=0,0,SER_hh_fech!U21/SER_summary!U$26)</f>
        <v>55.130975298286998</v>
      </c>
      <c r="V21" s="132">
        <f>IF(SER_hh_fech!V21=0,0,SER_hh_fech!V21/SER_summary!V$26)</f>
        <v>29.760732904885206</v>
      </c>
      <c r="W21" s="132">
        <f>IF(SER_hh_fech!W21=0,0,SER_hh_fech!W21/SER_summary!W$26)</f>
        <v>36.995300041515712</v>
      </c>
      <c r="X21" s="132">
        <f>IF(SER_hh_fech!X21=0,0,SER_hh_fech!X21/SER_summary!X$26)</f>
        <v>44.507231542375493</v>
      </c>
      <c r="Y21" s="132">
        <f>IF(SER_hh_fech!Y21=0,0,SER_hh_fech!Y21/SER_summary!Y$26)</f>
        <v>44.733516952246333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47.169236281647812</v>
      </c>
      <c r="C22" s="132">
        <f>IF(SER_hh_fech!C22=0,0,SER_hh_fech!C22/SER_summary!C$26)</f>
        <v>51.401771004665406</v>
      </c>
      <c r="D22" s="132">
        <f>IF(SER_hh_fech!D22=0,0,SER_hh_fech!D22/SER_summary!D$26)</f>
        <v>53.020405102254813</v>
      </c>
      <c r="E22" s="132">
        <f>IF(SER_hh_fech!E22=0,0,SER_hh_fech!E22/SER_summary!E$26)</f>
        <v>52.910042104207584</v>
      </c>
      <c r="F22" s="132">
        <f>IF(SER_hh_fech!F22=0,0,SER_hh_fech!F22/SER_summary!F$26)</f>
        <v>53.714777832260928</v>
      </c>
      <c r="G22" s="132">
        <f>IF(SER_hh_fech!G22=0,0,SER_hh_fech!G22/SER_summary!G$26)</f>
        <v>56.076357420559958</v>
      </c>
      <c r="H22" s="132">
        <f>IF(SER_hh_fech!H22=0,0,SER_hh_fech!H22/SER_summary!H$26)</f>
        <v>55.673320347059615</v>
      </c>
      <c r="I22" s="132">
        <f>IF(SER_hh_fech!I22=0,0,SER_hh_fech!I22/SER_summary!I$26)</f>
        <v>55.398139090033332</v>
      </c>
      <c r="J22" s="132">
        <f>IF(SER_hh_fech!J22=0,0,SER_hh_fech!J22/SER_summary!J$26)</f>
        <v>55.643364891529409</v>
      </c>
      <c r="K22" s="132">
        <f>IF(SER_hh_fech!K22=0,0,SER_hh_fech!K22/SER_summary!K$26)</f>
        <v>55.649942309457536</v>
      </c>
      <c r="L22" s="132">
        <f>IF(SER_hh_fech!L22=0,0,SER_hh_fech!L22/SER_summary!L$26)</f>
        <v>57.254675294931786</v>
      </c>
      <c r="M22" s="132">
        <f>IF(SER_hh_fech!M22=0,0,SER_hh_fech!M22/SER_summary!M$26)</f>
        <v>58.461728216037756</v>
      </c>
      <c r="N22" s="132">
        <f>IF(SER_hh_fech!N22=0,0,SER_hh_fech!N22/SER_summary!N$26)</f>
        <v>58.060042680536242</v>
      </c>
      <c r="O22" s="132">
        <f>IF(SER_hh_fech!O22=0,0,SER_hh_fech!O22/SER_summary!O$26)</f>
        <v>58.514546872148081</v>
      </c>
      <c r="P22" s="132">
        <f>IF(SER_hh_fech!P22=0,0,SER_hh_fech!P22/SER_summary!P$26)</f>
        <v>59.325182040342376</v>
      </c>
      <c r="Q22" s="132">
        <f>IF(SER_hh_fech!Q22=0,0,SER_hh_fech!Q22/SER_summary!Q$26)</f>
        <v>59.373500730759581</v>
      </c>
      <c r="R22" s="132">
        <f>IF(SER_hh_fech!R22=0,0,SER_hh_fech!R22/SER_summary!R$26)</f>
        <v>59.48381766545846</v>
      </c>
      <c r="S22" s="132">
        <f>IF(SER_hh_fech!S22=0,0,SER_hh_fech!S22/SER_summary!S$26)</f>
        <v>59.694575705000929</v>
      </c>
      <c r="T22" s="132">
        <f>IF(SER_hh_fech!T22=0,0,SER_hh_fech!T22/SER_summary!T$26)</f>
        <v>57.079297485405782</v>
      </c>
      <c r="U22" s="132">
        <f>IF(SER_hh_fech!U22=0,0,SER_hh_fech!U22/SER_summary!U$26)</f>
        <v>58.263006877348971</v>
      </c>
      <c r="V22" s="132">
        <f>IF(SER_hh_fech!V22=0,0,SER_hh_fech!V22/SER_summary!V$26)</f>
        <v>44.357545602644585</v>
      </c>
      <c r="W22" s="132">
        <f>IF(SER_hh_fech!W22=0,0,SER_hh_fech!W22/SER_summary!W$26)</f>
        <v>41.266632674685845</v>
      </c>
      <c r="X22" s="132">
        <f>IF(SER_hh_fech!X22=0,0,SER_hh_fech!X22/SER_summary!X$26)</f>
        <v>59.495502177827788</v>
      </c>
      <c r="Y22" s="132">
        <f>IF(SER_hh_fech!Y22=0,0,SER_hh_fech!Y22/SER_summary!Y$26)</f>
        <v>43.78037106055784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42.784162559826243</v>
      </c>
      <c r="C23" s="132">
        <f>IF(SER_hh_fech!C23=0,0,SER_hh_fech!C23/SER_summary!C$26)</f>
        <v>49.852538996106141</v>
      </c>
      <c r="D23" s="132">
        <f>IF(SER_hh_fech!D23=0,0,SER_hh_fech!D23/SER_summary!D$26)</f>
        <v>49.489347992435981</v>
      </c>
      <c r="E23" s="132">
        <f>IF(SER_hh_fech!E23=0,0,SER_hh_fech!E23/SER_summary!E$26)</f>
        <v>48.038505367332561</v>
      </c>
      <c r="F23" s="132">
        <f>IF(SER_hh_fech!F23=0,0,SER_hh_fech!F23/SER_summary!F$26)</f>
        <v>41.311585521901833</v>
      </c>
      <c r="G23" s="132">
        <f>IF(SER_hh_fech!G23=0,0,SER_hh_fech!G23/SER_summary!G$26)</f>
        <v>52.662480062457703</v>
      </c>
      <c r="H23" s="132">
        <f>IF(SER_hh_fech!H23=0,0,SER_hh_fech!H23/SER_summary!H$26)</f>
        <v>49.944583235331471</v>
      </c>
      <c r="I23" s="132">
        <f>IF(SER_hh_fech!I23=0,0,SER_hh_fech!I23/SER_summary!I$26)</f>
        <v>50.115664331832441</v>
      </c>
      <c r="J23" s="132">
        <f>IF(SER_hh_fech!J23=0,0,SER_hh_fech!J23/SER_summary!J$26)</f>
        <v>48.341871358680301</v>
      </c>
      <c r="K23" s="132">
        <f>IF(SER_hh_fech!K23=0,0,SER_hh_fech!K23/SER_summary!K$26)</f>
        <v>48.428634623478139</v>
      </c>
      <c r="L23" s="132">
        <f>IF(SER_hh_fech!L23=0,0,SER_hh_fech!L23/SER_summary!L$26)</f>
        <v>52.624056020018429</v>
      </c>
      <c r="M23" s="132">
        <f>IF(SER_hh_fech!M23=0,0,SER_hh_fech!M23/SER_summary!M$26)</f>
        <v>51.919386584357234</v>
      </c>
      <c r="N23" s="132">
        <f>IF(SER_hh_fech!N23=0,0,SER_hh_fech!N23/SER_summary!N$26)</f>
        <v>53.031431095644116</v>
      </c>
      <c r="O23" s="132">
        <f>IF(SER_hh_fech!O23=0,0,SER_hh_fech!O23/SER_summary!O$26)</f>
        <v>54.020636432592028</v>
      </c>
      <c r="P23" s="132">
        <f>IF(SER_hh_fech!P23=0,0,SER_hh_fech!P23/SER_summary!P$26)</f>
        <v>51.501054399101299</v>
      </c>
      <c r="Q23" s="132">
        <f>IF(SER_hh_fech!Q23=0,0,SER_hh_fech!Q23/SER_summary!Q$26)</f>
        <v>54.483358519226044</v>
      </c>
      <c r="R23" s="132">
        <f>IF(SER_hh_fech!R23=0,0,SER_hh_fech!R23/SER_summary!R$26)</f>
        <v>51.2280062162069</v>
      </c>
      <c r="S23" s="132">
        <f>IF(SER_hh_fech!S23=0,0,SER_hh_fech!S23/SER_summary!S$26)</f>
        <v>51.442650218717738</v>
      </c>
      <c r="T23" s="132">
        <f>IF(SER_hh_fech!T23=0,0,SER_hh_fech!T23/SER_summary!T$26)</f>
        <v>50.486163125402392</v>
      </c>
      <c r="U23" s="132">
        <f>IF(SER_hh_fech!U23=0,0,SER_hh_fech!U23/SER_summary!U$26)</f>
        <v>47.62774378780955</v>
      </c>
      <c r="V23" s="132">
        <f>IF(SER_hh_fech!V23=0,0,SER_hh_fech!V23/SER_summary!V$26)</f>
        <v>44.883499586233356</v>
      </c>
      <c r="W23" s="132">
        <f>IF(SER_hh_fech!W23=0,0,SER_hh_fech!W23/SER_summary!W$26)</f>
        <v>51.162973788525761</v>
      </c>
      <c r="X23" s="132">
        <f>IF(SER_hh_fech!X23=0,0,SER_hh_fech!X23/SER_summary!X$26)</f>
        <v>33.142411947033345</v>
      </c>
      <c r="Y23" s="132">
        <f>IF(SER_hh_fech!Y23=0,0,SER_hh_fech!Y23/SER_summary!Y$26)</f>
        <v>41.952258050913031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0</v>
      </c>
      <c r="C24" s="132">
        <f>IF(SER_hh_fech!C24=0,0,SER_hh_fech!C24/SER_summary!C$26)</f>
        <v>0</v>
      </c>
      <c r="D24" s="132">
        <f>IF(SER_hh_fech!D24=0,0,SER_hh_fech!D24/SER_summary!D$26)</f>
        <v>0</v>
      </c>
      <c r="E24" s="132">
        <f>IF(SER_hh_fech!E24=0,0,SER_hh_fech!E24/SER_summary!E$26)</f>
        <v>0</v>
      </c>
      <c r="F24" s="132">
        <f>IF(SER_hh_fech!F24=0,0,SER_hh_fech!F24/SER_summary!F$26)</f>
        <v>0</v>
      </c>
      <c r="G24" s="132">
        <f>IF(SER_hh_fech!G24=0,0,SER_hh_fech!G24/SER_summary!G$26)</f>
        <v>0</v>
      </c>
      <c r="H24" s="132">
        <f>IF(SER_hh_fech!H24=0,0,SER_hh_fech!H24/SER_summary!H$26)</f>
        <v>0</v>
      </c>
      <c r="I24" s="132">
        <f>IF(SER_hh_fech!I24=0,0,SER_hh_fech!I24/SER_summary!I$26)</f>
        <v>0</v>
      </c>
      <c r="J24" s="132">
        <f>IF(SER_hh_fech!J24=0,0,SER_hh_fech!J24/SER_summary!J$26)</f>
        <v>0</v>
      </c>
      <c r="K24" s="132">
        <f>IF(SER_hh_fech!K24=0,0,SER_hh_fech!K24/SER_summary!K$26)</f>
        <v>0</v>
      </c>
      <c r="L24" s="132">
        <f>IF(SER_hh_fech!L24=0,0,SER_hh_fech!L24/SER_summary!L$26)</f>
        <v>0</v>
      </c>
      <c r="M24" s="132">
        <f>IF(SER_hh_fech!M24=0,0,SER_hh_fech!M24/SER_summary!M$26)</f>
        <v>0</v>
      </c>
      <c r="N24" s="132">
        <f>IF(SER_hh_fech!N24=0,0,SER_hh_fech!N24/SER_summary!N$26)</f>
        <v>0</v>
      </c>
      <c r="O24" s="132">
        <f>IF(SER_hh_fech!O24=0,0,SER_hh_fech!O24/SER_summary!O$26)</f>
        <v>0</v>
      </c>
      <c r="P24" s="132">
        <f>IF(SER_hh_fech!P24=0,0,SER_hh_fech!P24/SER_summary!P$26)</f>
        <v>0</v>
      </c>
      <c r="Q24" s="132">
        <f>IF(SER_hh_fech!Q24=0,0,SER_hh_fech!Q24/SER_summary!Q$26)</f>
        <v>0</v>
      </c>
      <c r="R24" s="132">
        <f>IF(SER_hh_fech!R24=0,0,SER_hh_fech!R24/SER_summary!R$26)</f>
        <v>0</v>
      </c>
      <c r="S24" s="132">
        <f>IF(SER_hh_fech!S24=0,0,SER_hh_fech!S24/SER_summary!S$26)</f>
        <v>0</v>
      </c>
      <c r="T24" s="132">
        <f>IF(SER_hh_fech!T24=0,0,SER_hh_fech!T24/SER_summary!T$26)</f>
        <v>0</v>
      </c>
      <c r="U24" s="132">
        <f>IF(SER_hh_fech!U24=0,0,SER_hh_fech!U24/SER_summary!U$26)</f>
        <v>0</v>
      </c>
      <c r="V24" s="132">
        <f>IF(SER_hh_fech!V24=0,0,SER_hh_fech!V24/SER_summary!V$26)</f>
        <v>0</v>
      </c>
      <c r="W24" s="132">
        <f>IF(SER_hh_fech!W24=0,0,SER_hh_fech!W24/SER_summary!W$26)</f>
        <v>0</v>
      </c>
      <c r="X24" s="132">
        <f>IF(SER_hh_fech!X24=0,0,SER_hh_fech!X24/SER_summary!X$26)</f>
        <v>0</v>
      </c>
      <c r="Y24" s="132">
        <f>IF(SER_hh_fech!Y24=0,0,SER_hh_fech!Y24/SER_summary!Y$26)</f>
        <v>0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0</v>
      </c>
      <c r="C25" s="132">
        <f>IF(SER_hh_fech!C25=0,0,SER_hh_fech!C25/SER_summary!C$26)</f>
        <v>0</v>
      </c>
      <c r="D25" s="132">
        <f>IF(SER_hh_fech!D25=0,0,SER_hh_fech!D25/SER_summary!D$26)</f>
        <v>0</v>
      </c>
      <c r="E25" s="132">
        <f>IF(SER_hh_fech!E25=0,0,SER_hh_fech!E25/SER_summary!E$26)</f>
        <v>0</v>
      </c>
      <c r="F25" s="132">
        <f>IF(SER_hh_fech!F25=0,0,SER_hh_fech!F25/SER_summary!F$26)</f>
        <v>0</v>
      </c>
      <c r="G25" s="132">
        <f>IF(SER_hh_fech!G25=0,0,SER_hh_fech!G25/SER_summary!G$26)</f>
        <v>0</v>
      </c>
      <c r="H25" s="132">
        <f>IF(SER_hh_fech!H25=0,0,SER_hh_fech!H25/SER_summary!H$26)</f>
        <v>0</v>
      </c>
      <c r="I25" s="132">
        <f>IF(SER_hh_fech!I25=0,0,SER_hh_fech!I25/SER_summary!I$26)</f>
        <v>0</v>
      </c>
      <c r="J25" s="132">
        <f>IF(SER_hh_fech!J25=0,0,SER_hh_fech!J25/SER_summary!J$26)</f>
        <v>0</v>
      </c>
      <c r="K25" s="132">
        <f>IF(SER_hh_fech!K25=0,0,SER_hh_fech!K25/SER_summary!K$26)</f>
        <v>0</v>
      </c>
      <c r="L25" s="132">
        <f>IF(SER_hh_fech!L25=0,0,SER_hh_fech!L25/SER_summary!L$26)</f>
        <v>0</v>
      </c>
      <c r="M25" s="132">
        <f>IF(SER_hh_fech!M25=0,0,SER_hh_fech!M25/SER_summary!M$26)</f>
        <v>0</v>
      </c>
      <c r="N25" s="132">
        <f>IF(SER_hh_fech!N25=0,0,SER_hh_fech!N25/SER_summary!N$26)</f>
        <v>0</v>
      </c>
      <c r="O25" s="132">
        <f>IF(SER_hh_fech!O25=0,0,SER_hh_fech!O25/SER_summary!O$26)</f>
        <v>0</v>
      </c>
      <c r="P25" s="132">
        <f>IF(SER_hh_fech!P25=0,0,SER_hh_fech!P25/SER_summary!P$26)</f>
        <v>0</v>
      </c>
      <c r="Q25" s="132">
        <f>IF(SER_hh_fech!Q25=0,0,SER_hh_fech!Q25/SER_summary!Q$26)</f>
        <v>0</v>
      </c>
      <c r="R25" s="132">
        <f>IF(SER_hh_fech!R25=0,0,SER_hh_fech!R25/SER_summary!R$26)</f>
        <v>0</v>
      </c>
      <c r="S25" s="132">
        <f>IF(SER_hh_fech!S25=0,0,SER_hh_fech!S25/SER_summary!S$26)</f>
        <v>0</v>
      </c>
      <c r="T25" s="132">
        <f>IF(SER_hh_fech!T25=0,0,SER_hh_fech!T25/SER_summary!T$26)</f>
        <v>0</v>
      </c>
      <c r="U25" s="132">
        <f>IF(SER_hh_fech!U25=0,0,SER_hh_fech!U25/SER_summary!U$26)</f>
        <v>0</v>
      </c>
      <c r="V25" s="132">
        <f>IF(SER_hh_fech!V25=0,0,SER_hh_fech!V25/SER_summary!V$26)</f>
        <v>0</v>
      </c>
      <c r="W25" s="132">
        <f>IF(SER_hh_fech!W25=0,0,SER_hh_fech!W25/SER_summary!W$26)</f>
        <v>0</v>
      </c>
      <c r="X25" s="132">
        <f>IF(SER_hh_fech!X25=0,0,SER_hh_fech!X25/SER_summary!X$26)</f>
        <v>0</v>
      </c>
      <c r="Y25" s="132">
        <f>IF(SER_hh_fech!Y25=0,0,SER_hh_fech!Y25/SER_summary!Y$26)</f>
        <v>0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36.961443905497781</v>
      </c>
      <c r="C26" s="65">
        <f>IF(SER_hh_fech!C26=0,0,SER_hh_fech!C26/SER_summary!C$26)</f>
        <v>38.335043058908845</v>
      </c>
      <c r="D26" s="65">
        <f>IF(SER_hh_fech!D26=0,0,SER_hh_fech!D26/SER_summary!D$26)</f>
        <v>40.199416793522438</v>
      </c>
      <c r="E26" s="65">
        <f>IF(SER_hh_fech!E26=0,0,SER_hh_fech!E26/SER_summary!E$26)</f>
        <v>40.519623410597937</v>
      </c>
      <c r="F26" s="65">
        <f>IF(SER_hh_fech!F26=0,0,SER_hh_fech!F26/SER_summary!F$26)</f>
        <v>41.265281138932295</v>
      </c>
      <c r="G26" s="65">
        <f>IF(SER_hh_fech!G26=0,0,SER_hh_fech!G26/SER_summary!G$26)</f>
        <v>43.373377584334413</v>
      </c>
      <c r="H26" s="65">
        <f>IF(SER_hh_fech!H26=0,0,SER_hh_fech!H26/SER_summary!H$26)</f>
        <v>42.571071834220717</v>
      </c>
      <c r="I26" s="65">
        <f>IF(SER_hh_fech!I26=0,0,SER_hh_fech!I26/SER_summary!I$26)</f>
        <v>41.283753881364596</v>
      </c>
      <c r="J26" s="65">
        <f>IF(SER_hh_fech!J26=0,0,SER_hh_fech!J26/SER_summary!J$26)</f>
        <v>41.531578567320253</v>
      </c>
      <c r="K26" s="65">
        <f>IF(SER_hh_fech!K26=0,0,SER_hh_fech!K26/SER_summary!K$26)</f>
        <v>42.224345312890108</v>
      </c>
      <c r="L26" s="65">
        <f>IF(SER_hh_fech!L26=0,0,SER_hh_fech!L26/SER_summary!L$26)</f>
        <v>44.20827416909998</v>
      </c>
      <c r="M26" s="65">
        <f>IF(SER_hh_fech!M26=0,0,SER_hh_fech!M26/SER_summary!M$26)</f>
        <v>45.563858454916989</v>
      </c>
      <c r="N26" s="65">
        <f>IF(SER_hh_fech!N26=0,0,SER_hh_fech!N26/SER_summary!N$26)</f>
        <v>44.820456202039388</v>
      </c>
      <c r="O26" s="65">
        <f>IF(SER_hh_fech!O26=0,0,SER_hh_fech!O26/SER_summary!O$26)</f>
        <v>44.917883447294606</v>
      </c>
      <c r="P26" s="65">
        <f>IF(SER_hh_fech!P26=0,0,SER_hh_fech!P26/SER_summary!P$26)</f>
        <v>46.249961441482107</v>
      </c>
      <c r="Q26" s="65">
        <f>IF(SER_hh_fech!Q26=0,0,SER_hh_fech!Q26/SER_summary!Q$26)</f>
        <v>46.122444050713597</v>
      </c>
      <c r="R26" s="65">
        <f>IF(SER_hh_fech!R26=0,0,SER_hh_fech!R26/SER_summary!R$26)</f>
        <v>45.58841445566167</v>
      </c>
      <c r="S26" s="65">
        <f>IF(SER_hh_fech!S26=0,0,SER_hh_fech!S26/SER_summary!S$26)</f>
        <v>44.527462421177248</v>
      </c>
      <c r="T26" s="65">
        <f>IF(SER_hh_fech!T26=0,0,SER_hh_fech!T26/SER_summary!T$26)</f>
        <v>43.57426796257959</v>
      </c>
      <c r="U26" s="65">
        <f>IF(SER_hh_fech!U26=0,0,SER_hh_fech!U26/SER_summary!U$26)</f>
        <v>41.680234123578231</v>
      </c>
      <c r="V26" s="65">
        <f>IF(SER_hh_fech!V26=0,0,SER_hh_fech!V26/SER_summary!V$26)</f>
        <v>36.652995641198089</v>
      </c>
      <c r="W26" s="65">
        <f>IF(SER_hh_fech!W26=0,0,SER_hh_fech!W26/SER_summary!W$26)</f>
        <v>35.574578136295621</v>
      </c>
      <c r="X26" s="65">
        <f>IF(SER_hh_fech!X26=0,0,SER_hh_fech!X26/SER_summary!X$26)</f>
        <v>37.507043085759356</v>
      </c>
      <c r="Y26" s="65">
        <f>IF(SER_hh_fech!Y26=0,0,SER_hh_fech!Y26/SER_summary!Y$26)</f>
        <v>36.707041650245316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0.90731217304121592</v>
      </c>
      <c r="C27" s="145">
        <f>IF(SER_hh_fech!C27=0,0,SER_hh_fech!C27/SER_summary!C$26)</f>
        <v>0.88269589397568526</v>
      </c>
      <c r="D27" s="145">
        <f>IF(SER_hh_fech!D27=0,0,SER_hh_fech!D27/SER_summary!D$26)</f>
        <v>0.8709007195638705</v>
      </c>
      <c r="E27" s="145">
        <f>IF(SER_hh_fech!E27=0,0,SER_hh_fech!E27/SER_summary!E$26)</f>
        <v>0.85760591343800874</v>
      </c>
      <c r="F27" s="145">
        <f>IF(SER_hh_fech!F27=0,0,SER_hh_fech!F27/SER_summary!F$26)</f>
        <v>0.85200562524986556</v>
      </c>
      <c r="G27" s="145">
        <f>IF(SER_hh_fech!G27=0,0,SER_hh_fech!G27/SER_summary!G$26)</f>
        <v>0.77850546804935272</v>
      </c>
      <c r="H27" s="145">
        <f>IF(SER_hh_fech!H27=0,0,SER_hh_fech!H27/SER_summary!H$26)</f>
        <v>0.80633787749984775</v>
      </c>
      <c r="I27" s="145">
        <f>IF(SER_hh_fech!I27=0,0,SER_hh_fech!I27/SER_summary!I$26)</f>
        <v>0.8489766631089426</v>
      </c>
      <c r="J27" s="145">
        <f>IF(SER_hh_fech!J27=0,0,SER_hh_fech!J27/SER_summary!J$26)</f>
        <v>0.96393440390194274</v>
      </c>
      <c r="K27" s="145">
        <f>IF(SER_hh_fech!K27=0,0,SER_hh_fech!K27/SER_summary!K$26)</f>
        <v>1.0584918051316579</v>
      </c>
      <c r="L27" s="145">
        <f>IF(SER_hh_fech!L27=0,0,SER_hh_fech!L27/SER_summary!L$26)</f>
        <v>1.0979854143314216</v>
      </c>
      <c r="M27" s="145">
        <f>IF(SER_hh_fech!M27=0,0,SER_hh_fech!M27/SER_summary!M$26)</f>
        <v>1.1242225941570796</v>
      </c>
      <c r="N27" s="145">
        <f>IF(SER_hh_fech!N27=0,0,SER_hh_fech!N27/SER_summary!N$26)</f>
        <v>1.1314410230604075</v>
      </c>
      <c r="O27" s="145">
        <f>IF(SER_hh_fech!O27=0,0,SER_hh_fech!O27/SER_summary!O$26)</f>
        <v>1.1483857189558013</v>
      </c>
      <c r="P27" s="145">
        <f>IF(SER_hh_fech!P27=0,0,SER_hh_fech!P27/SER_summary!P$26)</f>
        <v>1.1770258034158896</v>
      </c>
      <c r="Q27" s="145">
        <f>IF(SER_hh_fech!Q27=0,0,SER_hh_fech!Q27/SER_summary!Q$26)</f>
        <v>1.2003080256023897</v>
      </c>
      <c r="R27" s="145">
        <f>IF(SER_hh_fech!R27=0,0,SER_hh_fech!R27/SER_summary!R$26)</f>
        <v>1.2237672218012163</v>
      </c>
      <c r="S27" s="145">
        <f>IF(SER_hh_fech!S27=0,0,SER_hh_fech!S27/SER_summary!S$26)</f>
        <v>1.2483418107406037</v>
      </c>
      <c r="T27" s="145">
        <f>IF(SER_hh_fech!T27=0,0,SER_hh_fech!T27/SER_summary!T$26)</f>
        <v>1.2662624204325945</v>
      </c>
      <c r="U27" s="145">
        <f>IF(SER_hh_fech!U27=0,0,SER_hh_fech!U27/SER_summary!U$26)</f>
        <v>1.2796286507723023</v>
      </c>
      <c r="V27" s="145">
        <f>IF(SER_hh_fech!V27=0,0,SER_hh_fech!V27/SER_summary!V$26)</f>
        <v>1.3015980550923598</v>
      </c>
      <c r="W27" s="145">
        <f>IF(SER_hh_fech!W27=0,0,SER_hh_fech!W27/SER_summary!W$26)</f>
        <v>1.3401022627927996</v>
      </c>
      <c r="X27" s="145">
        <f>IF(SER_hh_fech!X27=0,0,SER_hh_fech!X27/SER_summary!X$26)</f>
        <v>1.4010511469242148</v>
      </c>
      <c r="Y27" s="145">
        <f>IF(SER_hh_fech!Y27=0,0,SER_hh_fech!Y27/SER_summary!Y$26)</f>
        <v>1.4714181918562468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16.453573082818757</v>
      </c>
      <c r="C28" s="146">
        <f>IF(SER_hh_fech!C28=0,0,SER_hh_fech!C28/SER_summary!C$26)</f>
        <v>17.203087309954</v>
      </c>
      <c r="D28" s="146">
        <f>IF(SER_hh_fech!D28=0,0,SER_hh_fech!D28/SER_summary!D$26)</f>
        <v>17.923284466016387</v>
      </c>
      <c r="E28" s="146">
        <f>IF(SER_hh_fech!E28=0,0,SER_hh_fech!E28/SER_summary!E$26)</f>
        <v>18.257872812059738</v>
      </c>
      <c r="F28" s="146">
        <f>IF(SER_hh_fech!F28=0,0,SER_hh_fech!F28/SER_summary!F$26)</f>
        <v>18.47728495218745</v>
      </c>
      <c r="G28" s="146">
        <f>IF(SER_hh_fech!G28=0,0,SER_hh_fech!G28/SER_summary!G$26)</f>
        <v>18.877598252231934</v>
      </c>
      <c r="H28" s="146">
        <f>IF(SER_hh_fech!H28=0,0,SER_hh_fech!H28/SER_summary!H$26)</f>
        <v>19.190093781849129</v>
      </c>
      <c r="I28" s="146">
        <f>IF(SER_hh_fech!I28=0,0,SER_hh_fech!I28/SER_summary!I$26)</f>
        <v>18.79076277866664</v>
      </c>
      <c r="J28" s="146">
        <f>IF(SER_hh_fech!J28=0,0,SER_hh_fech!J28/SER_summary!J$26)</f>
        <v>19.121231996215318</v>
      </c>
      <c r="K28" s="146">
        <f>IF(SER_hh_fech!K28=0,0,SER_hh_fech!K28/SER_summary!K$26)</f>
        <v>19.519423335815219</v>
      </c>
      <c r="L28" s="146">
        <f>IF(SER_hh_fech!L28=0,0,SER_hh_fech!L28/SER_summary!L$26)</f>
        <v>20.522460065895725</v>
      </c>
      <c r="M28" s="146">
        <f>IF(SER_hh_fech!M28=0,0,SER_hh_fech!M28/SER_summary!M$26)</f>
        <v>21.313231843594455</v>
      </c>
      <c r="N28" s="146">
        <f>IF(SER_hh_fech!N28=0,0,SER_hh_fech!N28/SER_summary!N$26)</f>
        <v>22.201292795191812</v>
      </c>
      <c r="O28" s="146">
        <f>IF(SER_hh_fech!O28=0,0,SER_hh_fech!O28/SER_summary!O$26)</f>
        <v>22.142149228121987</v>
      </c>
      <c r="P28" s="146">
        <f>IF(SER_hh_fech!P28=0,0,SER_hh_fech!P28/SER_summary!P$26)</f>
        <v>22.879672568815277</v>
      </c>
      <c r="Q28" s="146">
        <f>IF(SER_hh_fech!Q28=0,0,SER_hh_fech!Q28/SER_summary!Q$26)</f>
        <v>23.422959737607517</v>
      </c>
      <c r="R28" s="146">
        <f>IF(SER_hh_fech!R28=0,0,SER_hh_fech!R28/SER_summary!R$26)</f>
        <v>22.91066888402661</v>
      </c>
      <c r="S28" s="146">
        <f>IF(SER_hh_fech!S28=0,0,SER_hh_fech!S28/SER_summary!S$26)</f>
        <v>22.984791499679023</v>
      </c>
      <c r="T28" s="146">
        <f>IF(SER_hh_fech!T28=0,0,SER_hh_fech!T28/SER_summary!T$26)</f>
        <v>23.489649828680413</v>
      </c>
      <c r="U28" s="146">
        <f>IF(SER_hh_fech!U28=0,0,SER_hh_fech!U28/SER_summary!U$26)</f>
        <v>23.630487663393573</v>
      </c>
      <c r="V28" s="146">
        <f>IF(SER_hh_fech!V28=0,0,SER_hh_fech!V28/SER_summary!V$26)</f>
        <v>21.405749093732858</v>
      </c>
      <c r="W28" s="146">
        <f>IF(SER_hh_fech!W28=0,0,SER_hh_fech!W28/SER_summary!W$26)</f>
        <v>20.840490656996145</v>
      </c>
      <c r="X28" s="146">
        <f>IF(SER_hh_fech!X28=0,0,SER_hh_fech!X28/SER_summary!X$26)</f>
        <v>22.060123135368222</v>
      </c>
      <c r="Y28" s="146">
        <f>IF(SER_hh_fech!Y28=0,0,SER_hh_fech!Y28/SER_summary!Y$26)</f>
        <v>23.237268898733959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42.494384807696136</v>
      </c>
      <c r="C29" s="130">
        <f>IF(SER_hh_fech!C29=0,0,SER_hh_fech!C29/SER_summary!C$26)</f>
        <v>43.298842567199031</v>
      </c>
      <c r="D29" s="130">
        <f>IF(SER_hh_fech!D29=0,0,SER_hh_fech!D29/SER_summary!D$26)</f>
        <v>44.489645279800001</v>
      </c>
      <c r="E29" s="130">
        <f>IF(SER_hh_fech!E29=0,0,SER_hh_fech!E29/SER_summary!E$26)</f>
        <v>43.80297188439183</v>
      </c>
      <c r="F29" s="130">
        <f>IF(SER_hh_fech!F29=0,0,SER_hh_fech!F29/SER_summary!F$26)</f>
        <v>45.709446483690883</v>
      </c>
      <c r="G29" s="130">
        <f>IF(SER_hh_fech!G29=0,0,SER_hh_fech!G29/SER_summary!G$26)</f>
        <v>46.046976635098652</v>
      </c>
      <c r="H29" s="130">
        <f>IF(SER_hh_fech!H29=0,0,SER_hh_fech!H29/SER_summary!H$26)</f>
        <v>44.846528629266125</v>
      </c>
      <c r="I29" s="130">
        <f>IF(SER_hh_fech!I29=0,0,SER_hh_fech!I29/SER_summary!I$26)</f>
        <v>43.48465805058197</v>
      </c>
      <c r="J29" s="130">
        <f>IF(SER_hh_fech!J29=0,0,SER_hh_fech!J29/SER_summary!J$26)</f>
        <v>43.001789352520689</v>
      </c>
      <c r="K29" s="130">
        <f>IF(SER_hh_fech!K29=0,0,SER_hh_fech!K29/SER_summary!K$26)</f>
        <v>44.074852102320349</v>
      </c>
      <c r="L29" s="130">
        <f>IF(SER_hh_fech!L29=0,0,SER_hh_fech!L29/SER_summary!L$26)</f>
        <v>46.154327783313619</v>
      </c>
      <c r="M29" s="130">
        <f>IF(SER_hh_fech!M29=0,0,SER_hh_fech!M29/SER_summary!M$26)</f>
        <v>47.528805192515819</v>
      </c>
      <c r="N29" s="130">
        <f>IF(SER_hh_fech!N29=0,0,SER_hh_fech!N29/SER_summary!N$26)</f>
        <v>49.285835513694231</v>
      </c>
      <c r="O29" s="130">
        <f>IF(SER_hh_fech!O29=0,0,SER_hh_fech!O29/SER_summary!O$26)</f>
        <v>49.067639247701749</v>
      </c>
      <c r="P29" s="130">
        <f>IF(SER_hh_fech!P29=0,0,SER_hh_fech!P29/SER_summary!P$26)</f>
        <v>48.192298800544421</v>
      </c>
      <c r="Q29" s="130">
        <f>IF(SER_hh_fech!Q29=0,0,SER_hh_fech!Q29/SER_summary!Q$26)</f>
        <v>47.388648684176289</v>
      </c>
      <c r="R29" s="130">
        <f>IF(SER_hh_fech!R29=0,0,SER_hh_fech!R29/SER_summary!R$26)</f>
        <v>47.54057063613449</v>
      </c>
      <c r="S29" s="130">
        <f>IF(SER_hh_fech!S29=0,0,SER_hh_fech!S29/SER_summary!S$26)</f>
        <v>47.156481070204023</v>
      </c>
      <c r="T29" s="130">
        <f>IF(SER_hh_fech!T29=0,0,SER_hh_fech!T29/SER_summary!T$26)</f>
        <v>46.582041561832021</v>
      </c>
      <c r="U29" s="130">
        <f>IF(SER_hh_fech!U29=0,0,SER_hh_fech!U29/SER_summary!U$26)</f>
        <v>45.293629877417501</v>
      </c>
      <c r="V29" s="130">
        <f>IF(SER_hh_fech!V29=0,0,SER_hh_fech!V29/SER_summary!V$26)</f>
        <v>37.977645051911239</v>
      </c>
      <c r="W29" s="130">
        <f>IF(SER_hh_fech!W29=0,0,SER_hh_fech!W29/SER_summary!W$26)</f>
        <v>42.565864437576046</v>
      </c>
      <c r="X29" s="130">
        <f>IF(SER_hh_fech!X29=0,0,SER_hh_fech!X29/SER_summary!X$26)</f>
        <v>42.194934343347136</v>
      </c>
      <c r="Y29" s="130">
        <f>IF(SER_hh_fech!Y29=0,0,SER_hh_fech!Y29/SER_summary!Y$26)</f>
        <v>42.684826737234395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54.889734634314586</v>
      </c>
      <c r="C30" s="132">
        <f>IF(SER_hh_fech!C30=0,0,SER_hh_fech!C30/SER_summary!C$26)</f>
        <v>62.840878023847154</v>
      </c>
      <c r="D30" s="132">
        <f>IF(SER_hh_fech!D30=0,0,SER_hh_fech!D30/SER_summary!D$26)</f>
        <v>38.481606962722552</v>
      </c>
      <c r="E30" s="132">
        <f>IF(SER_hh_fech!E30=0,0,SER_hh_fech!E30/SER_summary!E$26)</f>
        <v>38.673975357805269</v>
      </c>
      <c r="F30" s="132">
        <f>IF(SER_hh_fech!F30=0,0,SER_hh_fech!F30/SER_summary!F$26)</f>
        <v>76.817947954624316</v>
      </c>
      <c r="G30" s="132">
        <f>IF(SER_hh_fech!G30=0,0,SER_hh_fech!G30/SER_summary!G$26)</f>
        <v>60.943125583905569</v>
      </c>
      <c r="H30" s="132">
        <f>IF(SER_hh_fech!H30=0,0,SER_hh_fech!H30/SER_summary!H$26)</f>
        <v>57.347601107777614</v>
      </c>
      <c r="I30" s="132">
        <f>IF(SER_hh_fech!I30=0,0,SER_hh_fech!I30/SER_summary!I$26)</f>
        <v>55.55422798735701</v>
      </c>
      <c r="J30" s="132">
        <f>IF(SER_hh_fech!J30=0,0,SER_hh_fech!J30/SER_summary!J$26)</f>
        <v>52.567698347229381</v>
      </c>
      <c r="K30" s="132">
        <f>IF(SER_hh_fech!K30=0,0,SER_hh_fech!K30/SER_summary!K$26)</f>
        <v>49.052350501876674</v>
      </c>
      <c r="L30" s="132">
        <f>IF(SER_hh_fech!L30=0,0,SER_hh_fech!L30/SER_summary!L$26)</f>
        <v>52.297324429504336</v>
      </c>
      <c r="M30" s="132">
        <f>IF(SER_hh_fech!M30=0,0,SER_hh_fech!M30/SER_summary!M$26)</f>
        <v>37.546652695730515</v>
      </c>
      <c r="N30" s="132">
        <f>IF(SER_hh_fech!N30=0,0,SER_hh_fech!N30/SER_summary!N$26)</f>
        <v>103.24899028199958</v>
      </c>
      <c r="O30" s="132">
        <f>IF(SER_hh_fech!O30=0,0,SER_hh_fech!O30/SER_summary!O$26)</f>
        <v>70.869125421157847</v>
      </c>
      <c r="P30" s="132">
        <f>IF(SER_hh_fech!P30=0,0,SER_hh_fech!P30/SER_summary!P$26)</f>
        <v>42.028213979180464</v>
      </c>
      <c r="Q30" s="132">
        <f>IF(SER_hh_fech!Q30=0,0,SER_hh_fech!Q30/SER_summary!Q$26)</f>
        <v>49.624128702313875</v>
      </c>
      <c r="R30" s="132">
        <f>IF(SER_hh_fech!R30=0,0,SER_hh_fech!R30/SER_summary!R$26)</f>
        <v>55.943541536309212</v>
      </c>
      <c r="S30" s="132">
        <f>IF(SER_hh_fech!S30=0,0,SER_hh_fech!S30/SER_summary!S$26)</f>
        <v>61.058859574022158</v>
      </c>
      <c r="T30" s="132">
        <f>IF(SER_hh_fech!T30=0,0,SER_hh_fech!T30/SER_summary!T$26)</f>
        <v>61.670154943492371</v>
      </c>
      <c r="U30" s="132">
        <f>IF(SER_hh_fech!U30=0,0,SER_hh_fech!U30/SER_summary!U$26)</f>
        <v>65.861357377512164</v>
      </c>
      <c r="V30" s="132">
        <f>IF(SER_hh_fech!V30=0,0,SER_hh_fech!V30/SER_summary!V$26)</f>
        <v>40.692524504460657</v>
      </c>
      <c r="W30" s="132">
        <f>IF(SER_hh_fech!W30=0,0,SER_hh_fech!W30/SER_summary!W$26)</f>
        <v>51.993793135547968</v>
      </c>
      <c r="X30" s="132">
        <f>IF(SER_hh_fech!X30=0,0,SER_hh_fech!X30/SER_summary!X$26)</f>
        <v>54.620805192093613</v>
      </c>
      <c r="Y30" s="132">
        <f>IF(SER_hh_fech!Y30=0,0,SER_hh_fech!Y30/SER_summary!Y$26)</f>
        <v>58.662899341172448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48.693108326651142</v>
      </c>
      <c r="C31" s="132">
        <f>IF(SER_hh_fech!C31=0,0,SER_hh_fech!C31/SER_summary!C$26)</f>
        <v>52.861060016108055</v>
      </c>
      <c r="D31" s="132">
        <f>IF(SER_hh_fech!D31=0,0,SER_hh_fech!D31/SER_summary!D$26)</f>
        <v>50.619935039344831</v>
      </c>
      <c r="E31" s="132">
        <f>IF(SER_hh_fech!E31=0,0,SER_hh_fech!E31/SER_summary!E$26)</f>
        <v>53.016864964750198</v>
      </c>
      <c r="F31" s="132">
        <f>IF(SER_hh_fech!F31=0,0,SER_hh_fech!F31/SER_summary!F$26)</f>
        <v>54.08368568978414</v>
      </c>
      <c r="G31" s="132">
        <f>IF(SER_hh_fech!G31=0,0,SER_hh_fech!G31/SER_summary!G$26)</f>
        <v>60.406036045561677</v>
      </c>
      <c r="H31" s="132">
        <f>IF(SER_hh_fech!H31=0,0,SER_hh_fech!H31/SER_summary!H$26)</f>
        <v>56.168326988280761</v>
      </c>
      <c r="I31" s="132">
        <f>IF(SER_hh_fech!I31=0,0,SER_hh_fech!I31/SER_summary!I$26)</f>
        <v>53.782873653921179</v>
      </c>
      <c r="J31" s="132">
        <f>IF(SER_hh_fech!J31=0,0,SER_hh_fech!J31/SER_summary!J$26)</f>
        <v>53.353256813060369</v>
      </c>
      <c r="K31" s="132">
        <f>IF(SER_hh_fech!K31=0,0,SER_hh_fech!K31/SER_summary!K$26)</f>
        <v>56.916851891651262</v>
      </c>
      <c r="L31" s="132">
        <f>IF(SER_hh_fech!L31=0,0,SER_hh_fech!L31/SER_summary!L$26)</f>
        <v>59.397192254984667</v>
      </c>
      <c r="M31" s="132">
        <f>IF(SER_hh_fech!M31=0,0,SER_hh_fech!M31/SER_summary!M$26)</f>
        <v>61.82307671088671</v>
      </c>
      <c r="N31" s="132">
        <f>IF(SER_hh_fech!N31=0,0,SER_hh_fech!N31/SER_summary!N$26)</f>
        <v>61.014359961659068</v>
      </c>
      <c r="O31" s="132">
        <f>IF(SER_hh_fech!O31=0,0,SER_hh_fech!O31/SER_summary!O$26)</f>
        <v>60.199346481462605</v>
      </c>
      <c r="P31" s="132">
        <f>IF(SER_hh_fech!P31=0,0,SER_hh_fech!P31/SER_summary!P$26)</f>
        <v>62.265964058821105</v>
      </c>
      <c r="Q31" s="132">
        <f>IF(SER_hh_fech!Q31=0,0,SER_hh_fech!Q31/SER_summary!Q$26)</f>
        <v>62.115404262375208</v>
      </c>
      <c r="R31" s="132">
        <f>IF(SER_hh_fech!R31=0,0,SER_hh_fech!R31/SER_summary!R$26)</f>
        <v>60.818893456082222</v>
      </c>
      <c r="S31" s="132">
        <f>IF(SER_hh_fech!S31=0,0,SER_hh_fech!S31/SER_summary!S$26)</f>
        <v>59.769951941341333</v>
      </c>
      <c r="T31" s="132">
        <f>IF(SER_hh_fech!T31=0,0,SER_hh_fech!T31/SER_summary!T$26)</f>
        <v>58.379965392253837</v>
      </c>
      <c r="U31" s="132">
        <f>IF(SER_hh_fech!U31=0,0,SER_hh_fech!U31/SER_summary!U$26)</f>
        <v>57.544381932746006</v>
      </c>
      <c r="V31" s="132">
        <f>IF(SER_hh_fech!V31=0,0,SER_hh_fech!V31/SER_summary!V$26)</f>
        <v>53.243271199864594</v>
      </c>
      <c r="W31" s="132">
        <f>IF(SER_hh_fech!W31=0,0,SER_hh_fech!W31/SER_summary!W$26)</f>
        <v>60.114163577867409</v>
      </c>
      <c r="X31" s="132">
        <f>IF(SER_hh_fech!X31=0,0,SER_hh_fech!X31/SER_summary!X$26)</f>
        <v>52.206927030941699</v>
      </c>
      <c r="Y31" s="132">
        <f>IF(SER_hh_fech!Y31=0,0,SER_hh_fech!Y31/SER_summary!Y$26)</f>
        <v>53.371435950536352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0</v>
      </c>
      <c r="C32" s="132">
        <f>IF(SER_hh_fech!C32=0,0,SER_hh_fech!C32/SER_summary!C$26)</f>
        <v>0</v>
      </c>
      <c r="D32" s="132">
        <f>IF(SER_hh_fech!D32=0,0,SER_hh_fech!D32/SER_summary!D$26)</f>
        <v>0</v>
      </c>
      <c r="E32" s="132">
        <f>IF(SER_hh_fech!E32=0,0,SER_hh_fech!E32/SER_summary!E$26)</f>
        <v>0</v>
      </c>
      <c r="F32" s="132">
        <f>IF(SER_hh_fech!F32=0,0,SER_hh_fech!F32/SER_summary!F$26)</f>
        <v>0</v>
      </c>
      <c r="G32" s="132">
        <f>IF(SER_hh_fech!G32=0,0,SER_hh_fech!G32/SER_summary!G$26)</f>
        <v>0</v>
      </c>
      <c r="H32" s="132">
        <f>IF(SER_hh_fech!H32=0,0,SER_hh_fech!H32/SER_summary!H$26)</f>
        <v>0</v>
      </c>
      <c r="I32" s="132">
        <f>IF(SER_hh_fech!I32=0,0,SER_hh_fech!I32/SER_summary!I$26)</f>
        <v>0</v>
      </c>
      <c r="J32" s="132">
        <f>IF(SER_hh_fech!J32=0,0,SER_hh_fech!J32/SER_summary!J$26)</f>
        <v>0</v>
      </c>
      <c r="K32" s="132">
        <f>IF(SER_hh_fech!K32=0,0,SER_hh_fech!K32/SER_summary!K$26)</f>
        <v>0</v>
      </c>
      <c r="L32" s="132">
        <f>IF(SER_hh_fech!L32=0,0,SER_hh_fech!L32/SER_summary!L$26)</f>
        <v>0</v>
      </c>
      <c r="M32" s="132">
        <f>IF(SER_hh_fech!M32=0,0,SER_hh_fech!M32/SER_summary!M$26)</f>
        <v>0</v>
      </c>
      <c r="N32" s="132">
        <f>IF(SER_hh_fech!N32=0,0,SER_hh_fech!N32/SER_summary!N$26)</f>
        <v>0</v>
      </c>
      <c r="O32" s="132">
        <f>IF(SER_hh_fech!O32=0,0,SER_hh_fech!O32/SER_summary!O$26)</f>
        <v>0</v>
      </c>
      <c r="P32" s="132">
        <f>IF(SER_hh_fech!P32=0,0,SER_hh_fech!P32/SER_summary!P$26)</f>
        <v>0</v>
      </c>
      <c r="Q32" s="132">
        <f>IF(SER_hh_fech!Q32=0,0,SER_hh_fech!Q32/SER_summary!Q$26)</f>
        <v>0</v>
      </c>
      <c r="R32" s="132">
        <f>IF(SER_hh_fech!R32=0,0,SER_hh_fech!R32/SER_summary!R$26)</f>
        <v>0</v>
      </c>
      <c r="S32" s="132">
        <f>IF(SER_hh_fech!S32=0,0,SER_hh_fech!S32/SER_summary!S$26)</f>
        <v>0</v>
      </c>
      <c r="T32" s="132">
        <f>IF(SER_hh_fech!T32=0,0,SER_hh_fech!T32/SER_summary!T$26)</f>
        <v>0</v>
      </c>
      <c r="U32" s="132">
        <f>IF(SER_hh_fech!U32=0,0,SER_hh_fech!U32/SER_summary!U$26)</f>
        <v>0</v>
      </c>
      <c r="V32" s="132">
        <f>IF(SER_hh_fech!V32=0,0,SER_hh_fech!V32/SER_summary!V$26)</f>
        <v>0</v>
      </c>
      <c r="W32" s="132">
        <f>IF(SER_hh_fech!W32=0,0,SER_hh_fech!W32/SER_summary!W$26)</f>
        <v>0</v>
      </c>
      <c r="X32" s="132">
        <f>IF(SER_hh_fech!X32=0,0,SER_hh_fech!X32/SER_summary!X$26)</f>
        <v>0</v>
      </c>
      <c r="Y32" s="132">
        <f>IF(SER_hh_fech!Y32=0,0,SER_hh_fech!Y32/SER_summary!Y$26)</f>
        <v>0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41.586783689886623</v>
      </c>
      <c r="C33" s="68">
        <f>IF(SER_hh_fech!C33=0,0,SER_hh_fech!C33/SER_summary!C$26)</f>
        <v>42.061059049097473</v>
      </c>
      <c r="D33" s="68">
        <f>IF(SER_hh_fech!D33=0,0,SER_hh_fech!D33/SER_summary!D$26)</f>
        <v>44.76139759339916</v>
      </c>
      <c r="E33" s="68">
        <f>IF(SER_hh_fech!E33=0,0,SER_hh_fech!E33/SER_summary!E$26)</f>
        <v>44.000855793407574</v>
      </c>
      <c r="F33" s="68">
        <f>IF(SER_hh_fech!F33=0,0,SER_hh_fech!F33/SER_summary!F$26)</f>
        <v>42.581648615873597</v>
      </c>
      <c r="G33" s="68">
        <f>IF(SER_hh_fech!G33=0,0,SER_hh_fech!G33/SER_summary!G$26)</f>
        <v>44.109201200918903</v>
      </c>
      <c r="H33" s="68">
        <f>IF(SER_hh_fech!H33=0,0,SER_hh_fech!H33/SER_summary!H$26)</f>
        <v>43.205842043971707</v>
      </c>
      <c r="I33" s="68">
        <f>IF(SER_hh_fech!I33=0,0,SER_hh_fech!I33/SER_summary!I$26)</f>
        <v>41.972363091815758</v>
      </c>
      <c r="J33" s="68">
        <f>IF(SER_hh_fech!J33=0,0,SER_hh_fech!J33/SER_summary!J$26)</f>
        <v>41.636402020287676</v>
      </c>
      <c r="K33" s="68">
        <f>IF(SER_hh_fech!K33=0,0,SER_hh_fech!K33/SER_summary!K$26)</f>
        <v>42.880651749441022</v>
      </c>
      <c r="L33" s="68">
        <f>IF(SER_hh_fech!L33=0,0,SER_hh_fech!L33/SER_summary!L$26)</f>
        <v>44.667139044188716</v>
      </c>
      <c r="M33" s="68">
        <f>IF(SER_hh_fech!M33=0,0,SER_hh_fech!M33/SER_summary!M$26)</f>
        <v>47.559681805951179</v>
      </c>
      <c r="N33" s="68">
        <f>IF(SER_hh_fech!N33=0,0,SER_hh_fech!N33/SER_summary!N$26)</f>
        <v>40.83113767768419</v>
      </c>
      <c r="O33" s="68">
        <f>IF(SER_hh_fech!O33=0,0,SER_hh_fech!O33/SER_summary!O$26)</f>
        <v>45.165273640757114</v>
      </c>
      <c r="P33" s="68">
        <f>IF(SER_hh_fech!P33=0,0,SER_hh_fech!P33/SER_summary!P$26)</f>
        <v>47.662728232473476</v>
      </c>
      <c r="Q33" s="68">
        <f>IF(SER_hh_fech!Q33=0,0,SER_hh_fech!Q33/SER_summary!Q$26)</f>
        <v>45.860714677449174</v>
      </c>
      <c r="R33" s="68">
        <f>IF(SER_hh_fech!R33=0,0,SER_hh_fech!R33/SER_summary!R$26)</f>
        <v>45.416563565843738</v>
      </c>
      <c r="S33" s="68">
        <f>IF(SER_hh_fech!S33=0,0,SER_hh_fech!S33/SER_summary!S$26)</f>
        <v>44.43860089974762</v>
      </c>
      <c r="T33" s="68">
        <f>IF(SER_hh_fech!T33=0,0,SER_hh_fech!T33/SER_summary!T$26)</f>
        <v>43.635115256511</v>
      </c>
      <c r="U33" s="68">
        <f>IF(SER_hh_fech!U33=0,0,SER_hh_fech!U33/SER_summary!U$26)</f>
        <v>41.380597313628982</v>
      </c>
      <c r="V33" s="68">
        <f>IF(SER_hh_fech!V33=0,0,SER_hh_fech!V33/SER_summary!V$26)</f>
        <v>36.246969654471066</v>
      </c>
      <c r="W33" s="68">
        <f>IF(SER_hh_fech!W33=0,0,SER_hh_fech!W33/SER_summary!W$26)</f>
        <v>39.504203311621296</v>
      </c>
      <c r="X33" s="68">
        <f>IF(SER_hh_fech!X33=0,0,SER_hh_fech!X33/SER_summary!X$26)</f>
        <v>38.869094193716222</v>
      </c>
      <c r="Y33" s="68">
        <f>IF(SER_hh_fech!Y33=0,0,SER_hh_fech!Y33/SER_summary!Y$26)</f>
        <v>38.053623530774701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86.12214876280548</v>
      </c>
      <c r="C3" s="125">
        <f>IF(SER_hh_tesh!C3=0,0,SER_hh_tesh!C3/SER_summary!C$26)</f>
        <v>95.595771163835536</v>
      </c>
      <c r="D3" s="125">
        <f>IF(SER_hh_tesh!D3=0,0,SER_hh_tesh!D3/SER_summary!D$26)</f>
        <v>96.674543563076426</v>
      </c>
      <c r="E3" s="125">
        <f>IF(SER_hh_tesh!E3=0,0,SER_hh_tesh!E3/SER_summary!E$26)</f>
        <v>104.50619321884894</v>
      </c>
      <c r="F3" s="125">
        <f>IF(SER_hh_tesh!F3=0,0,SER_hh_tesh!F3/SER_summary!F$26)</f>
        <v>105.55732022133945</v>
      </c>
      <c r="G3" s="125">
        <f>IF(SER_hh_tesh!G3=0,0,SER_hh_tesh!G3/SER_summary!G$26)</f>
        <v>112.35419786583614</v>
      </c>
      <c r="H3" s="125">
        <f>IF(SER_hh_tesh!H3=0,0,SER_hh_tesh!H3/SER_summary!H$26)</f>
        <v>119.57988160634801</v>
      </c>
      <c r="I3" s="125">
        <f>IF(SER_hh_tesh!I3=0,0,SER_hh_tesh!I3/SER_summary!I$26)</f>
        <v>127.76547267861777</v>
      </c>
      <c r="J3" s="125">
        <f>IF(SER_hh_tesh!J3=0,0,SER_hh_tesh!J3/SER_summary!J$26)</f>
        <v>133.26479026421126</v>
      </c>
      <c r="K3" s="125">
        <f>IF(SER_hh_tesh!K3=0,0,SER_hh_tesh!K3/SER_summary!K$26)</f>
        <v>127.61590188728243</v>
      </c>
      <c r="L3" s="125">
        <f>IF(SER_hh_tesh!L3=0,0,SER_hh_tesh!L3/SER_summary!L$26)</f>
        <v>123.96271035894061</v>
      </c>
      <c r="M3" s="125">
        <f>IF(SER_hh_tesh!M3=0,0,SER_hh_tesh!M3/SER_summary!M$26)</f>
        <v>120.71539997896842</v>
      </c>
      <c r="N3" s="125">
        <f>IF(SER_hh_tesh!N3=0,0,SER_hh_tesh!N3/SER_summary!N$26)</f>
        <v>144.68753894529118</v>
      </c>
      <c r="O3" s="125">
        <f>IF(SER_hh_tesh!O3=0,0,SER_hh_tesh!O3/SER_summary!O$26)</f>
        <v>130.18549035483881</v>
      </c>
      <c r="P3" s="125">
        <f>IF(SER_hh_tesh!P3=0,0,SER_hh_tesh!P3/SER_summary!P$26)</f>
        <v>128.40245221699516</v>
      </c>
      <c r="Q3" s="125">
        <f>IF(SER_hh_tesh!Q3=0,0,SER_hh_tesh!Q3/SER_summary!Q$26)</f>
        <v>152.72199918088771</v>
      </c>
      <c r="R3" s="125">
        <f>IF(SER_hh_tesh!R3=0,0,SER_hh_tesh!R3/SER_summary!R$26)</f>
        <v>167.22501215545822</v>
      </c>
      <c r="S3" s="125">
        <f>IF(SER_hh_tesh!S3=0,0,SER_hh_tesh!S3/SER_summary!S$26)</f>
        <v>165.38056567166834</v>
      </c>
      <c r="T3" s="125">
        <f>IF(SER_hh_tesh!T3=0,0,SER_hh_tesh!T3/SER_summary!T$26)</f>
        <v>157.76279448095502</v>
      </c>
      <c r="U3" s="125">
        <f>IF(SER_hh_tesh!U3=0,0,SER_hh_tesh!U3/SER_summary!U$26)</f>
        <v>170.71069389681435</v>
      </c>
      <c r="V3" s="125">
        <f>IF(SER_hh_tesh!V3=0,0,SER_hh_tesh!V3/SER_summary!V$26)</f>
        <v>154.37177977722905</v>
      </c>
      <c r="W3" s="125">
        <f>IF(SER_hh_tesh!W3=0,0,SER_hh_tesh!W3/SER_summary!W$26)</f>
        <v>177.26871216716998</v>
      </c>
      <c r="X3" s="125">
        <f>IF(SER_hh_tesh!X3=0,0,SER_hh_tesh!X3/SER_summary!X$26)</f>
        <v>180.51025716179447</v>
      </c>
      <c r="Y3" s="125">
        <f>IF(SER_hh_tesh!Y3=0,0,SER_hh_tesh!Y3/SER_summary!Y$26)</f>
        <v>187.76507849019538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27.863554802272645</v>
      </c>
      <c r="C4" s="130">
        <f>IF(SER_hh_tesh!C4=0,0,SER_hh_tesh!C4/SER_summary!C$26)</f>
        <v>33.260422299943578</v>
      </c>
      <c r="D4" s="130">
        <f>IF(SER_hh_tesh!D4=0,0,SER_hh_tesh!D4/SER_summary!D$26)</f>
        <v>34.295414988742195</v>
      </c>
      <c r="E4" s="130">
        <f>IF(SER_hh_tesh!E4=0,0,SER_hh_tesh!E4/SER_summary!E$26)</f>
        <v>38.172941565280517</v>
      </c>
      <c r="F4" s="130">
        <f>IF(SER_hh_tesh!F4=0,0,SER_hh_tesh!F4/SER_summary!F$26)</f>
        <v>43.54801453415994</v>
      </c>
      <c r="G4" s="130">
        <f>IF(SER_hh_tesh!G4=0,0,SER_hh_tesh!G4/SER_summary!G$26)</f>
        <v>48.173836320683392</v>
      </c>
      <c r="H4" s="130">
        <f>IF(SER_hh_tesh!H4=0,0,SER_hh_tesh!H4/SER_summary!H$26)</f>
        <v>53.828341420309535</v>
      </c>
      <c r="I4" s="130">
        <f>IF(SER_hh_tesh!I4=0,0,SER_hh_tesh!I4/SER_summary!I$26)</f>
        <v>55.917290781952723</v>
      </c>
      <c r="J4" s="130">
        <f>IF(SER_hh_tesh!J4=0,0,SER_hh_tesh!J4/SER_summary!J$26)</f>
        <v>60.946522237872543</v>
      </c>
      <c r="K4" s="130">
        <f>IF(SER_hh_tesh!K4=0,0,SER_hh_tesh!K4/SER_summary!K$26)</f>
        <v>59.597959366482165</v>
      </c>
      <c r="L4" s="130">
        <f>IF(SER_hh_tesh!L4=0,0,SER_hh_tesh!L4/SER_summary!L$26)</f>
        <v>48.102531406135391</v>
      </c>
      <c r="M4" s="130">
        <f>IF(SER_hh_tesh!M4=0,0,SER_hh_tesh!M4/SER_summary!M$26)</f>
        <v>44.457751287252862</v>
      </c>
      <c r="N4" s="130">
        <f>IF(SER_hh_tesh!N4=0,0,SER_hh_tesh!N4/SER_summary!N$26)</f>
        <v>54.898431708880494</v>
      </c>
      <c r="O4" s="130">
        <f>IF(SER_hh_tesh!O4=0,0,SER_hh_tesh!O4/SER_summary!O$26)</f>
        <v>49.63815486896663</v>
      </c>
      <c r="P4" s="130">
        <f>IF(SER_hh_tesh!P4=0,0,SER_hh_tesh!P4/SER_summary!P$26)</f>
        <v>49.259797640328799</v>
      </c>
      <c r="Q4" s="130">
        <f>IF(SER_hh_tesh!Q4=0,0,SER_hh_tesh!Q4/SER_summary!Q$26)</f>
        <v>66.708568349399627</v>
      </c>
      <c r="R4" s="130">
        <f>IF(SER_hh_tesh!R4=0,0,SER_hh_tesh!R4/SER_summary!R$26)</f>
        <v>77.133454823348231</v>
      </c>
      <c r="S4" s="130">
        <f>IF(SER_hh_tesh!S4=0,0,SER_hh_tesh!S4/SER_summary!S$26)</f>
        <v>73.446378795930272</v>
      </c>
      <c r="T4" s="130">
        <f>IF(SER_hh_tesh!T4=0,0,SER_hh_tesh!T4/SER_summary!T$26)</f>
        <v>69.079752407307382</v>
      </c>
      <c r="U4" s="130">
        <f>IF(SER_hh_tesh!U4=0,0,SER_hh_tesh!U4/SER_summary!U$26)</f>
        <v>74.078788776801119</v>
      </c>
      <c r="V4" s="130">
        <f>IF(SER_hh_tesh!V4=0,0,SER_hh_tesh!V4/SER_summary!V$26)</f>
        <v>69.9269834347038</v>
      </c>
      <c r="W4" s="130">
        <f>IF(SER_hh_tesh!W4=0,0,SER_hh_tesh!W4/SER_summary!W$26)</f>
        <v>77.918104436089891</v>
      </c>
      <c r="X4" s="130">
        <f>IF(SER_hh_tesh!X4=0,0,SER_hh_tesh!X4/SER_summary!X$26)</f>
        <v>84.769921016998055</v>
      </c>
      <c r="Y4" s="130">
        <f>IF(SER_hh_tesh!Y4=0,0,SER_hh_tesh!Y4/SER_summary!Y$26)</f>
        <v>89.768576121690813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0</v>
      </c>
      <c r="C5" s="132">
        <f>IF(SER_hh_tesh!C5=0,0,SER_hh_tesh!C5/SER_summary!C$26)</f>
        <v>0</v>
      </c>
      <c r="D5" s="132">
        <f>IF(SER_hh_tesh!D5=0,0,SER_hh_tesh!D5/SER_summary!D$26)</f>
        <v>0</v>
      </c>
      <c r="E5" s="132">
        <f>IF(SER_hh_tesh!E5=0,0,SER_hh_tesh!E5/SER_summary!E$26)</f>
        <v>0</v>
      </c>
      <c r="F5" s="132">
        <f>IF(SER_hh_tesh!F5=0,0,SER_hh_tesh!F5/SER_summary!F$26)</f>
        <v>0</v>
      </c>
      <c r="G5" s="132">
        <f>IF(SER_hh_tesh!G5=0,0,SER_hh_tesh!G5/SER_summary!G$26)</f>
        <v>0</v>
      </c>
      <c r="H5" s="132">
        <f>IF(SER_hh_tesh!H5=0,0,SER_hh_tesh!H5/SER_summary!H$26)</f>
        <v>0</v>
      </c>
      <c r="I5" s="132">
        <f>IF(SER_hh_tesh!I5=0,0,SER_hh_tesh!I5/SER_summary!I$26)</f>
        <v>0</v>
      </c>
      <c r="J5" s="132">
        <f>IF(SER_hh_tesh!J5=0,0,SER_hh_tesh!J5/SER_summary!J$26)</f>
        <v>0</v>
      </c>
      <c r="K5" s="132">
        <f>IF(SER_hh_tesh!K5=0,0,SER_hh_tesh!K5/SER_summary!K$26)</f>
        <v>0</v>
      </c>
      <c r="L5" s="132">
        <f>IF(SER_hh_tesh!L5=0,0,SER_hh_tesh!L5/SER_summary!L$26)</f>
        <v>0</v>
      </c>
      <c r="M5" s="132">
        <f>IF(SER_hh_tesh!M5=0,0,SER_hh_tesh!M5/SER_summary!M$26)</f>
        <v>0</v>
      </c>
      <c r="N5" s="132">
        <f>IF(SER_hh_tesh!N5=0,0,SER_hh_tesh!N5/SER_summary!N$26)</f>
        <v>0</v>
      </c>
      <c r="O5" s="132">
        <f>IF(SER_hh_tesh!O5=0,0,SER_hh_tesh!O5/SER_summary!O$26)</f>
        <v>0</v>
      </c>
      <c r="P5" s="132">
        <f>IF(SER_hh_tesh!P5=0,0,SER_hh_tesh!P5/SER_summary!P$26)</f>
        <v>0</v>
      </c>
      <c r="Q5" s="132">
        <f>IF(SER_hh_tesh!Q5=0,0,SER_hh_tesh!Q5/SER_summary!Q$26)</f>
        <v>0</v>
      </c>
      <c r="R5" s="132">
        <f>IF(SER_hh_tesh!R5=0,0,SER_hh_tesh!R5/SER_summary!R$26)</f>
        <v>0</v>
      </c>
      <c r="S5" s="132">
        <f>IF(SER_hh_tesh!S5=0,0,SER_hh_tesh!S5/SER_summary!S$26)</f>
        <v>0</v>
      </c>
      <c r="T5" s="132">
        <f>IF(SER_hh_tesh!T5=0,0,SER_hh_tesh!T5/SER_summary!T$26)</f>
        <v>0</v>
      </c>
      <c r="U5" s="132">
        <f>IF(SER_hh_tesh!U5=0,0,SER_hh_tesh!U5/SER_summary!U$26)</f>
        <v>0</v>
      </c>
      <c r="V5" s="132">
        <f>IF(SER_hh_tesh!V5=0,0,SER_hh_tesh!V5/SER_summary!V$26)</f>
        <v>0</v>
      </c>
      <c r="W5" s="132">
        <f>IF(SER_hh_tesh!W5=0,0,SER_hh_tesh!W5/SER_summary!W$26)</f>
        <v>0</v>
      </c>
      <c r="X5" s="132">
        <f>IF(SER_hh_tesh!X5=0,0,SER_hh_tesh!X5/SER_summary!X$26)</f>
        <v>59.610674628959451</v>
      </c>
      <c r="Y5" s="132">
        <f>IF(SER_hh_tesh!Y5=0,0,SER_hh_tesh!Y5/SER_summary!Y$26)</f>
        <v>117.47072719761717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0</v>
      </c>
      <c r="C6" s="132">
        <f>IF(SER_hh_tesh!C6=0,0,SER_hh_tesh!C6/SER_summary!C$26)</f>
        <v>0</v>
      </c>
      <c r="D6" s="132">
        <f>IF(SER_hh_tesh!D6=0,0,SER_hh_tesh!D6/SER_summary!D$26)</f>
        <v>0</v>
      </c>
      <c r="E6" s="132">
        <f>IF(SER_hh_tesh!E6=0,0,SER_hh_tesh!E6/SER_summary!E$26)</f>
        <v>0</v>
      </c>
      <c r="F6" s="132">
        <f>IF(SER_hh_tesh!F6=0,0,SER_hh_tesh!F6/SER_summary!F$26)</f>
        <v>0</v>
      </c>
      <c r="G6" s="132">
        <f>IF(SER_hh_tesh!G6=0,0,SER_hh_tesh!G6/SER_summary!G$26)</f>
        <v>0</v>
      </c>
      <c r="H6" s="132">
        <f>IF(SER_hh_tesh!H6=0,0,SER_hh_tesh!H6/SER_summary!H$26)</f>
        <v>0</v>
      </c>
      <c r="I6" s="132">
        <f>IF(SER_hh_tesh!I6=0,0,SER_hh_tesh!I6/SER_summary!I$26)</f>
        <v>0</v>
      </c>
      <c r="J6" s="132">
        <f>IF(SER_hh_tesh!J6=0,0,SER_hh_tesh!J6/SER_summary!J$26)</f>
        <v>0</v>
      </c>
      <c r="K6" s="132">
        <f>IF(SER_hh_tesh!K6=0,0,SER_hh_tesh!K6/SER_summary!K$26)</f>
        <v>0</v>
      </c>
      <c r="L6" s="132">
        <f>IF(SER_hh_tesh!L6=0,0,SER_hh_tesh!L6/SER_summary!L$26)</f>
        <v>0</v>
      </c>
      <c r="M6" s="132">
        <f>IF(SER_hh_tesh!M6=0,0,SER_hh_tesh!M6/SER_summary!M$26)</f>
        <v>0</v>
      </c>
      <c r="N6" s="132">
        <f>IF(SER_hh_tesh!N6=0,0,SER_hh_tesh!N6/SER_summary!N$26)</f>
        <v>0</v>
      </c>
      <c r="O6" s="132">
        <f>IF(SER_hh_tesh!O6=0,0,SER_hh_tesh!O6/SER_summary!O$26)</f>
        <v>0</v>
      </c>
      <c r="P6" s="132">
        <f>IF(SER_hh_tesh!P6=0,0,SER_hh_tesh!P6/SER_summary!P$26)</f>
        <v>0</v>
      </c>
      <c r="Q6" s="132">
        <f>IF(SER_hh_tesh!Q6=0,0,SER_hh_tesh!Q6/SER_summary!Q$26)</f>
        <v>0</v>
      </c>
      <c r="R6" s="132">
        <f>IF(SER_hh_tesh!R6=0,0,SER_hh_tesh!R6/SER_summary!R$26)</f>
        <v>0</v>
      </c>
      <c r="S6" s="132">
        <f>IF(SER_hh_tesh!S6=0,0,SER_hh_tesh!S6/SER_summary!S$26)</f>
        <v>0</v>
      </c>
      <c r="T6" s="132">
        <f>IF(SER_hh_tesh!T6=0,0,SER_hh_tesh!T6/SER_summary!T$26)</f>
        <v>0</v>
      </c>
      <c r="U6" s="132">
        <f>IF(SER_hh_tesh!U6=0,0,SER_hh_tesh!U6/SER_summary!U$26)</f>
        <v>0</v>
      </c>
      <c r="V6" s="132">
        <f>IF(SER_hh_tesh!V6=0,0,SER_hh_tesh!V6/SER_summary!V$26)</f>
        <v>0</v>
      </c>
      <c r="W6" s="132">
        <f>IF(SER_hh_tesh!W6=0,0,SER_hh_tesh!W6/SER_summary!W$26)</f>
        <v>0</v>
      </c>
      <c r="X6" s="132">
        <f>IF(SER_hh_tesh!X6=0,0,SER_hh_tesh!X6/SER_summary!X$26)</f>
        <v>0</v>
      </c>
      <c r="Y6" s="132">
        <f>IF(SER_hh_tesh!Y6=0,0,SER_hh_tesh!Y6/SER_summary!Y$26)</f>
        <v>0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26.989431338692182</v>
      </c>
      <c r="C7" s="132">
        <f>IF(SER_hh_tesh!C7=0,0,SER_hh_tesh!C7/SER_summary!C$26)</f>
        <v>33.427572632545825</v>
      </c>
      <c r="D7" s="132">
        <f>IF(SER_hh_tesh!D7=0,0,SER_hh_tesh!D7/SER_summary!D$26)</f>
        <v>35.027369813858272</v>
      </c>
      <c r="E7" s="132">
        <f>IF(SER_hh_tesh!E7=0,0,SER_hh_tesh!E7/SER_summary!E$26)</f>
        <v>38.013388467917508</v>
      </c>
      <c r="F7" s="132">
        <f>IF(SER_hh_tesh!F7=0,0,SER_hh_tesh!F7/SER_summary!F$26)</f>
        <v>39.02125239062449</v>
      </c>
      <c r="G7" s="132">
        <f>IF(SER_hh_tesh!G7=0,0,SER_hh_tesh!G7/SER_summary!G$26)</f>
        <v>50.420749267634761</v>
      </c>
      <c r="H7" s="132">
        <f>IF(SER_hh_tesh!H7=0,0,SER_hh_tesh!H7/SER_summary!H$26)</f>
        <v>55.179434845570107</v>
      </c>
      <c r="I7" s="132">
        <f>IF(SER_hh_tesh!I7=0,0,SER_hh_tesh!I7/SER_summary!I$26)</f>
        <v>55.313057835634893</v>
      </c>
      <c r="J7" s="132">
        <f>IF(SER_hh_tesh!J7=0,0,SER_hh_tesh!J7/SER_summary!J$26)</f>
        <v>61.161520208901273</v>
      </c>
      <c r="K7" s="132">
        <f>IF(SER_hh_tesh!K7=0,0,SER_hh_tesh!K7/SER_summary!K$26)</f>
        <v>51.304763959414281</v>
      </c>
      <c r="L7" s="132">
        <f>IF(SER_hh_tesh!L7=0,0,SER_hh_tesh!L7/SER_summary!L$26)</f>
        <v>49.7103696393687</v>
      </c>
      <c r="M7" s="132">
        <f>IF(SER_hh_tesh!M7=0,0,SER_hh_tesh!M7/SER_summary!M$26)</f>
        <v>50.539576295309907</v>
      </c>
      <c r="N7" s="132">
        <f>IF(SER_hh_tesh!N7=0,0,SER_hh_tesh!N7/SER_summary!N$26)</f>
        <v>26.677602808852459</v>
      </c>
      <c r="O7" s="132">
        <f>IF(SER_hh_tesh!O7=0,0,SER_hh_tesh!O7/SER_summary!O$26)</f>
        <v>61.812336564382072</v>
      </c>
      <c r="P7" s="132">
        <f>IF(SER_hh_tesh!P7=0,0,SER_hh_tesh!P7/SER_summary!P$26)</f>
        <v>38.467910855182282</v>
      </c>
      <c r="Q7" s="132">
        <f>IF(SER_hh_tesh!Q7=0,0,SER_hh_tesh!Q7/SER_summary!Q$26)</f>
        <v>48.051821424706127</v>
      </c>
      <c r="R7" s="132">
        <f>IF(SER_hh_tesh!R7=0,0,SER_hh_tesh!R7/SER_summary!R$26)</f>
        <v>102.23852126934389</v>
      </c>
      <c r="S7" s="132">
        <f>IF(SER_hh_tesh!S7=0,0,SER_hh_tesh!S7/SER_summary!S$26)</f>
        <v>56.58964359368575</v>
      </c>
      <c r="T7" s="132">
        <f>IF(SER_hh_tesh!T7=0,0,SER_hh_tesh!T7/SER_summary!T$26)</f>
        <v>62.930682348640573</v>
      </c>
      <c r="U7" s="132">
        <f>IF(SER_hh_tesh!U7=0,0,SER_hh_tesh!U7/SER_summary!U$26)</f>
        <v>77.277097552179455</v>
      </c>
      <c r="V7" s="132">
        <f>IF(SER_hh_tesh!V7=0,0,SER_hh_tesh!V7/SER_summary!V$26)</f>
        <v>81.788849135527798</v>
      </c>
      <c r="W7" s="132">
        <f>IF(SER_hh_tesh!W7=0,0,SER_hh_tesh!W7/SER_summary!W$26)</f>
        <v>57.193745032525314</v>
      </c>
      <c r="X7" s="132">
        <f>IF(SER_hh_tesh!X7=0,0,SER_hh_tesh!X7/SER_summary!X$26)</f>
        <v>85.639933188986092</v>
      </c>
      <c r="Y7" s="132">
        <f>IF(SER_hh_tesh!Y7=0,0,SER_hh_tesh!Y7/SER_summary!Y$26)</f>
        <v>77.968961213313804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27.405231736109926</v>
      </c>
      <c r="C8" s="132">
        <f>IF(SER_hh_tesh!C8=0,0,SER_hh_tesh!C8/SER_summary!C$26)</f>
        <v>28.56212853812098</v>
      </c>
      <c r="D8" s="132">
        <f>IF(SER_hh_tesh!D8=0,0,SER_hh_tesh!D8/SER_summary!D$26)</f>
        <v>30.873700897138807</v>
      </c>
      <c r="E8" s="132">
        <f>IF(SER_hh_tesh!E8=0,0,SER_hh_tesh!E8/SER_summary!E$26)</f>
        <v>35.196690683473243</v>
      </c>
      <c r="F8" s="132">
        <f>IF(SER_hh_tesh!F8=0,0,SER_hh_tesh!F8/SER_summary!F$26)</f>
        <v>42.111616506010641</v>
      </c>
      <c r="G8" s="132">
        <f>IF(SER_hh_tesh!G8=0,0,SER_hh_tesh!G8/SER_summary!G$26)</f>
        <v>52.153500179819282</v>
      </c>
      <c r="H8" s="132">
        <f>IF(SER_hh_tesh!H8=0,0,SER_hh_tesh!H8/SER_summary!H$26)</f>
        <v>53.487499264506035</v>
      </c>
      <c r="I8" s="132">
        <f>IF(SER_hh_tesh!I8=0,0,SER_hh_tesh!I8/SER_summary!I$26)</f>
        <v>53.806190290452108</v>
      </c>
      <c r="J8" s="132">
        <f>IF(SER_hh_tesh!J8=0,0,SER_hh_tesh!J8/SER_summary!J$26)</f>
        <v>54.26318889229681</v>
      </c>
      <c r="K8" s="132">
        <f>IF(SER_hh_tesh!K8=0,0,SER_hh_tesh!K8/SER_summary!K$26)</f>
        <v>50.857922851146093</v>
      </c>
      <c r="L8" s="132">
        <f>IF(SER_hh_tesh!L8=0,0,SER_hh_tesh!L8/SER_summary!L$26)</f>
        <v>42.37686593217731</v>
      </c>
      <c r="M8" s="132">
        <f>IF(SER_hh_tesh!M8=0,0,SER_hh_tesh!M8/SER_summary!M$26)</f>
        <v>34.286379563767397</v>
      </c>
      <c r="N8" s="132">
        <f>IF(SER_hh_tesh!N8=0,0,SER_hh_tesh!N8/SER_summary!N$26)</f>
        <v>24.395122445326383</v>
      </c>
      <c r="O8" s="132">
        <f>IF(SER_hh_tesh!O8=0,0,SER_hh_tesh!O8/SER_summary!O$26)</f>
        <v>31.5004381344758</v>
      </c>
      <c r="P8" s="132">
        <f>IF(SER_hh_tesh!P8=0,0,SER_hh_tesh!P8/SER_summary!P$26)</f>
        <v>49.965883571190787</v>
      </c>
      <c r="Q8" s="132">
        <f>IF(SER_hh_tesh!Q8=0,0,SER_hh_tesh!Q8/SER_summary!Q$26)</f>
        <v>82.422608542406465</v>
      </c>
      <c r="R8" s="132">
        <f>IF(SER_hh_tesh!R8=0,0,SER_hh_tesh!R8/SER_summary!R$26)</f>
        <v>74.518037834800779</v>
      </c>
      <c r="S8" s="132">
        <f>IF(SER_hh_tesh!S8=0,0,SER_hh_tesh!S8/SER_summary!S$26)</f>
        <v>70.708854096121058</v>
      </c>
      <c r="T8" s="132">
        <f>IF(SER_hh_tesh!T8=0,0,SER_hh_tesh!T8/SER_summary!T$26)</f>
        <v>70.505983956134671</v>
      </c>
      <c r="U8" s="132">
        <f>IF(SER_hh_tesh!U8=0,0,SER_hh_tesh!U8/SER_summary!U$26)</f>
        <v>69.735465394036908</v>
      </c>
      <c r="V8" s="132">
        <f>IF(SER_hh_tesh!V8=0,0,SER_hh_tesh!V8/SER_summary!V$26)</f>
        <v>74.618167941675111</v>
      </c>
      <c r="W8" s="132">
        <f>IF(SER_hh_tesh!W8=0,0,SER_hh_tesh!W8/SER_summary!W$26)</f>
        <v>78.691158116635378</v>
      </c>
      <c r="X8" s="132">
        <f>IF(SER_hh_tesh!X8=0,0,SER_hh_tesh!X8/SER_summary!X$26)</f>
        <v>81.279512957344593</v>
      </c>
      <c r="Y8" s="132">
        <f>IF(SER_hh_tesh!Y8=0,0,SER_hh_tesh!Y8/SER_summary!Y$26)</f>
        <v>92.620222610381091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25.448817681650844</v>
      </c>
      <c r="C9" s="132">
        <f>IF(SER_hh_tesh!C9=0,0,SER_hh_tesh!C9/SER_summary!C$26)</f>
        <v>28.297056190152237</v>
      </c>
      <c r="D9" s="132">
        <f>IF(SER_hh_tesh!D9=0,0,SER_hh_tesh!D9/SER_summary!D$26)</f>
        <v>28.31264716913763</v>
      </c>
      <c r="E9" s="132">
        <f>IF(SER_hh_tesh!E9=0,0,SER_hh_tesh!E9/SER_summary!E$26)</f>
        <v>33.906776609664043</v>
      </c>
      <c r="F9" s="132">
        <f>IF(SER_hh_tesh!F9=0,0,SER_hh_tesh!F9/SER_summary!F$26)</f>
        <v>40.948174329126083</v>
      </c>
      <c r="G9" s="132">
        <f>IF(SER_hh_tesh!G9=0,0,SER_hh_tesh!G9/SER_summary!G$26)</f>
        <v>52.105666428902083</v>
      </c>
      <c r="H9" s="132">
        <f>IF(SER_hh_tesh!H9=0,0,SER_hh_tesh!H9/SER_summary!H$26)</f>
        <v>54.363761020755192</v>
      </c>
      <c r="I9" s="132">
        <f>IF(SER_hh_tesh!I9=0,0,SER_hh_tesh!I9/SER_summary!I$26)</f>
        <v>52.965864425314571</v>
      </c>
      <c r="J9" s="132">
        <f>IF(SER_hh_tesh!J9=0,0,SER_hh_tesh!J9/SER_summary!J$26)</f>
        <v>59.704961504112752</v>
      </c>
      <c r="K9" s="132">
        <f>IF(SER_hh_tesh!K9=0,0,SER_hh_tesh!K9/SER_summary!K$26)</f>
        <v>57.319748423849482</v>
      </c>
      <c r="L9" s="132">
        <f>IF(SER_hh_tesh!L9=0,0,SER_hh_tesh!L9/SER_summary!L$26)</f>
        <v>44.156111519920927</v>
      </c>
      <c r="M9" s="132">
        <f>IF(SER_hh_tesh!M9=0,0,SER_hh_tesh!M9/SER_summary!M$26)</f>
        <v>62.552678941615859</v>
      </c>
      <c r="N9" s="132">
        <f>IF(SER_hh_tesh!N9=0,0,SER_hh_tesh!N9/SER_summary!N$26)</f>
        <v>47.952669574843426</v>
      </c>
      <c r="O9" s="132">
        <f>IF(SER_hh_tesh!O9=0,0,SER_hh_tesh!O9/SER_summary!O$26)</f>
        <v>43.830769210355818</v>
      </c>
      <c r="P9" s="132">
        <f>IF(SER_hh_tesh!P9=0,0,SER_hh_tesh!P9/SER_summary!P$26)</f>
        <v>47.183675317878986</v>
      </c>
      <c r="Q9" s="132">
        <f>IF(SER_hh_tesh!Q9=0,0,SER_hh_tesh!Q9/SER_summary!Q$26)</f>
        <v>74.079967891955079</v>
      </c>
      <c r="R9" s="132">
        <f>IF(SER_hh_tesh!R9=0,0,SER_hh_tesh!R9/SER_summary!R$26)</f>
        <v>67.298990518132555</v>
      </c>
      <c r="S9" s="132">
        <f>IF(SER_hh_tesh!S9=0,0,SER_hh_tesh!S9/SER_summary!S$26)</f>
        <v>69.393029324674998</v>
      </c>
      <c r="T9" s="132">
        <f>IF(SER_hh_tesh!T9=0,0,SER_hh_tesh!T9/SER_summary!T$26)</f>
        <v>67.147279221789859</v>
      </c>
      <c r="U9" s="132">
        <f>IF(SER_hh_tesh!U9=0,0,SER_hh_tesh!U9/SER_summary!U$26)</f>
        <v>79.022443210207712</v>
      </c>
      <c r="V9" s="132">
        <f>IF(SER_hh_tesh!V9=0,0,SER_hh_tesh!V9/SER_summary!V$26)</f>
        <v>70.794270343988728</v>
      </c>
      <c r="W9" s="132">
        <f>IF(SER_hh_tesh!W9=0,0,SER_hh_tesh!W9/SER_summary!W$26)</f>
        <v>78.518986801995567</v>
      </c>
      <c r="X9" s="132">
        <f>IF(SER_hh_tesh!X9=0,0,SER_hh_tesh!X9/SER_summary!X$26)</f>
        <v>80.128921095325495</v>
      </c>
      <c r="Y9" s="132">
        <f>IF(SER_hh_tesh!Y9=0,0,SER_hh_tesh!Y9/SER_summary!Y$26)</f>
        <v>86.403699032708516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0</v>
      </c>
      <c r="C10" s="132">
        <f>IF(SER_hh_tesh!C10=0,0,SER_hh_tesh!C10/SER_summary!C$26)</f>
        <v>0</v>
      </c>
      <c r="D10" s="132">
        <f>IF(SER_hh_tesh!D10=0,0,SER_hh_tesh!D10/SER_summary!D$26)</f>
        <v>0</v>
      </c>
      <c r="E10" s="132">
        <f>IF(SER_hh_tesh!E10=0,0,SER_hh_tesh!E10/SER_summary!E$26)</f>
        <v>0</v>
      </c>
      <c r="F10" s="132">
        <f>IF(SER_hh_tesh!F10=0,0,SER_hh_tesh!F10/SER_summary!F$26)</f>
        <v>0</v>
      </c>
      <c r="G10" s="132">
        <f>IF(SER_hh_tesh!G10=0,0,SER_hh_tesh!G10/SER_summary!G$26)</f>
        <v>0</v>
      </c>
      <c r="H10" s="132">
        <f>IF(SER_hh_tesh!H10=0,0,SER_hh_tesh!H10/SER_summary!H$26)</f>
        <v>0</v>
      </c>
      <c r="I10" s="132">
        <f>IF(SER_hh_tesh!I10=0,0,SER_hh_tesh!I10/SER_summary!I$26)</f>
        <v>0</v>
      </c>
      <c r="J10" s="132">
        <f>IF(SER_hh_tesh!J10=0,0,SER_hh_tesh!J10/SER_summary!J$26)</f>
        <v>0</v>
      </c>
      <c r="K10" s="132">
        <f>IF(SER_hh_tesh!K10=0,0,SER_hh_tesh!K10/SER_summary!K$26)</f>
        <v>0</v>
      </c>
      <c r="L10" s="132">
        <f>IF(SER_hh_tesh!L10=0,0,SER_hh_tesh!L10/SER_summary!L$26)</f>
        <v>0</v>
      </c>
      <c r="M10" s="132">
        <f>IF(SER_hh_tesh!M10=0,0,SER_hh_tesh!M10/SER_summary!M$26)</f>
        <v>0</v>
      </c>
      <c r="N10" s="132">
        <f>IF(SER_hh_tesh!N10=0,0,SER_hh_tesh!N10/SER_summary!N$26)</f>
        <v>87.966869929273813</v>
      </c>
      <c r="O10" s="132">
        <f>IF(SER_hh_tesh!O10=0,0,SER_hh_tesh!O10/SER_summary!O$26)</f>
        <v>48.78106443688344</v>
      </c>
      <c r="P10" s="132">
        <f>IF(SER_hh_tesh!P10=0,0,SER_hh_tesh!P10/SER_summary!P$26)</f>
        <v>37.250253506111115</v>
      </c>
      <c r="Q10" s="132">
        <f>IF(SER_hh_tesh!Q10=0,0,SER_hh_tesh!Q10/SER_summary!Q$26)</f>
        <v>114.28860289575988</v>
      </c>
      <c r="R10" s="132">
        <f>IF(SER_hh_tesh!R10=0,0,SER_hh_tesh!R10/SER_summary!R$26)</f>
        <v>75.030401744735812</v>
      </c>
      <c r="S10" s="132">
        <f>IF(SER_hh_tesh!S10=0,0,SER_hh_tesh!S10/SER_summary!S$26)</f>
        <v>56.939471889632046</v>
      </c>
      <c r="T10" s="132">
        <f>IF(SER_hh_tesh!T10=0,0,SER_hh_tesh!T10/SER_summary!T$26)</f>
        <v>93.279243771715997</v>
      </c>
      <c r="U10" s="132">
        <f>IF(SER_hh_tesh!U10=0,0,SER_hh_tesh!U10/SER_summary!U$26)</f>
        <v>45.211934168677303</v>
      </c>
      <c r="V10" s="132">
        <f>IF(SER_hh_tesh!V10=0,0,SER_hh_tesh!V10/SER_summary!V$26)</f>
        <v>46.887078033341766</v>
      </c>
      <c r="W10" s="132">
        <f>IF(SER_hh_tesh!W10=0,0,SER_hh_tesh!W10/SER_summary!W$26)</f>
        <v>112.04898871602137</v>
      </c>
      <c r="X10" s="132">
        <f>IF(SER_hh_tesh!X10=0,0,SER_hh_tesh!X10/SER_summary!X$26)</f>
        <v>79.231453892014343</v>
      </c>
      <c r="Y10" s="132">
        <f>IF(SER_hh_tesh!Y10=0,0,SER_hh_tesh!Y10/SER_summary!Y$26)</f>
        <v>64.554526928281589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0</v>
      </c>
      <c r="C11" s="132">
        <f>IF(SER_hh_tesh!C11=0,0,SER_hh_tesh!C11/SER_summary!C$26)</f>
        <v>0</v>
      </c>
      <c r="D11" s="132">
        <f>IF(SER_hh_tesh!D11=0,0,SER_hh_tesh!D11/SER_summary!D$26)</f>
        <v>0</v>
      </c>
      <c r="E11" s="132">
        <f>IF(SER_hh_tesh!E11=0,0,SER_hh_tesh!E11/SER_summary!E$26)</f>
        <v>0</v>
      </c>
      <c r="F11" s="132">
        <f>IF(SER_hh_tesh!F11=0,0,SER_hh_tesh!F11/SER_summary!F$26)</f>
        <v>67.506094029393438</v>
      </c>
      <c r="G11" s="132">
        <f>IF(SER_hh_tesh!G11=0,0,SER_hh_tesh!G11/SER_summary!G$26)</f>
        <v>53.185102136641405</v>
      </c>
      <c r="H11" s="132">
        <f>IF(SER_hh_tesh!H11=0,0,SER_hh_tesh!H11/SER_summary!H$26)</f>
        <v>52.062838353988013</v>
      </c>
      <c r="I11" s="132">
        <f>IF(SER_hh_tesh!I11=0,0,SER_hh_tesh!I11/SER_summary!I$26)</f>
        <v>53.551692137096765</v>
      </c>
      <c r="J11" s="132">
        <f>IF(SER_hh_tesh!J11=0,0,SER_hh_tesh!J11/SER_summary!J$26)</f>
        <v>52.069950168801704</v>
      </c>
      <c r="K11" s="132">
        <f>IF(SER_hh_tesh!K11=0,0,SER_hh_tesh!K11/SER_summary!K$26)</f>
        <v>58.416791662986149</v>
      </c>
      <c r="L11" s="132">
        <f>IF(SER_hh_tesh!L11=0,0,SER_hh_tesh!L11/SER_summary!L$26)</f>
        <v>51.715527523569435</v>
      </c>
      <c r="M11" s="132">
        <f>IF(SER_hh_tesh!M11=0,0,SER_hh_tesh!M11/SER_summary!M$26)</f>
        <v>48.824880661352395</v>
      </c>
      <c r="N11" s="132">
        <f>IF(SER_hh_tesh!N11=0,0,SER_hh_tesh!N11/SER_summary!N$26)</f>
        <v>49.997939003411197</v>
      </c>
      <c r="O11" s="132">
        <f>IF(SER_hh_tesh!O11=0,0,SER_hh_tesh!O11/SER_summary!O$26)</f>
        <v>48.92881894971044</v>
      </c>
      <c r="P11" s="132">
        <f>IF(SER_hh_tesh!P11=0,0,SER_hh_tesh!P11/SER_summary!P$26)</f>
        <v>57.032625140969479</v>
      </c>
      <c r="Q11" s="132">
        <f>IF(SER_hh_tesh!Q11=0,0,SER_hh_tesh!Q11/SER_summary!Q$26)</f>
        <v>61.86244801267307</v>
      </c>
      <c r="R11" s="132">
        <f>IF(SER_hh_tesh!R11=0,0,SER_hh_tesh!R11/SER_summary!R$26)</f>
        <v>69.068457438792066</v>
      </c>
      <c r="S11" s="132">
        <f>IF(SER_hh_tesh!S11=0,0,SER_hh_tesh!S11/SER_summary!S$26)</f>
        <v>69.412682433397947</v>
      </c>
      <c r="T11" s="132">
        <f>IF(SER_hh_tesh!T11=0,0,SER_hh_tesh!T11/SER_summary!T$26)</f>
        <v>71.066208160204084</v>
      </c>
      <c r="U11" s="132">
        <f>IF(SER_hh_tesh!U11=0,0,SER_hh_tesh!U11/SER_summary!U$26)</f>
        <v>100.09008692752421</v>
      </c>
      <c r="V11" s="132">
        <f>IF(SER_hh_tesh!V11=0,0,SER_hh_tesh!V11/SER_summary!V$26)</f>
        <v>34.118741424350709</v>
      </c>
      <c r="W11" s="132">
        <f>IF(SER_hh_tesh!W11=0,0,SER_hh_tesh!W11/SER_summary!W$26)</f>
        <v>33.095209803518898</v>
      </c>
      <c r="X11" s="132">
        <f>IF(SER_hh_tesh!X11=0,0,SER_hh_tesh!X11/SER_summary!X$26)</f>
        <v>87.380218078284059</v>
      </c>
      <c r="Y11" s="132">
        <f>IF(SER_hh_tesh!Y11=0,0,SER_hh_tesh!Y11/SER_summary!Y$26)</f>
        <v>87.794994639956158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0</v>
      </c>
      <c r="C12" s="132">
        <f>IF(SER_hh_tesh!C12=0,0,SER_hh_tesh!C12/SER_summary!C$26)</f>
        <v>0</v>
      </c>
      <c r="D12" s="132">
        <f>IF(SER_hh_tesh!D12=0,0,SER_hh_tesh!D12/SER_summary!D$26)</f>
        <v>0</v>
      </c>
      <c r="E12" s="132">
        <f>IF(SER_hh_tesh!E12=0,0,SER_hh_tesh!E12/SER_summary!E$26)</f>
        <v>0</v>
      </c>
      <c r="F12" s="132">
        <f>IF(SER_hh_tesh!F12=0,0,SER_hh_tesh!F12/SER_summary!F$26)</f>
        <v>0</v>
      </c>
      <c r="G12" s="132">
        <f>IF(SER_hh_tesh!G12=0,0,SER_hh_tesh!G12/SER_summary!G$26)</f>
        <v>0</v>
      </c>
      <c r="H12" s="132">
        <f>IF(SER_hh_tesh!H12=0,0,SER_hh_tesh!H12/SER_summary!H$26)</f>
        <v>0</v>
      </c>
      <c r="I12" s="132">
        <f>IF(SER_hh_tesh!I12=0,0,SER_hh_tesh!I12/SER_summary!I$26)</f>
        <v>0</v>
      </c>
      <c r="J12" s="132">
        <f>IF(SER_hh_tesh!J12=0,0,SER_hh_tesh!J12/SER_summary!J$26)</f>
        <v>0</v>
      </c>
      <c r="K12" s="132">
        <f>IF(SER_hh_tesh!K12=0,0,SER_hh_tesh!K12/SER_summary!K$26)</f>
        <v>0</v>
      </c>
      <c r="L12" s="132">
        <f>IF(SER_hh_tesh!L12=0,0,SER_hh_tesh!L12/SER_summary!L$26)</f>
        <v>0</v>
      </c>
      <c r="M12" s="132">
        <f>IF(SER_hh_tesh!M12=0,0,SER_hh_tesh!M12/SER_summary!M$26)</f>
        <v>0</v>
      </c>
      <c r="N12" s="132">
        <f>IF(SER_hh_tesh!N12=0,0,SER_hh_tesh!N12/SER_summary!N$26)</f>
        <v>0</v>
      </c>
      <c r="O12" s="132">
        <f>IF(SER_hh_tesh!O12=0,0,SER_hh_tesh!O12/SER_summary!O$26)</f>
        <v>0</v>
      </c>
      <c r="P12" s="132">
        <f>IF(SER_hh_tesh!P12=0,0,SER_hh_tesh!P12/SER_summary!P$26)</f>
        <v>0</v>
      </c>
      <c r="Q12" s="132">
        <f>IF(SER_hh_tesh!Q12=0,0,SER_hh_tesh!Q12/SER_summary!Q$26)</f>
        <v>0</v>
      </c>
      <c r="R12" s="132">
        <f>IF(SER_hh_tesh!R12=0,0,SER_hh_tesh!R12/SER_summary!R$26)</f>
        <v>0</v>
      </c>
      <c r="S12" s="132">
        <f>IF(SER_hh_tesh!S12=0,0,SER_hh_tesh!S12/SER_summary!S$26)</f>
        <v>0</v>
      </c>
      <c r="T12" s="132">
        <f>IF(SER_hh_tesh!T12=0,0,SER_hh_tesh!T12/SER_summary!T$26)</f>
        <v>0</v>
      </c>
      <c r="U12" s="132">
        <f>IF(SER_hh_tesh!U12=0,0,SER_hh_tesh!U12/SER_summary!U$26)</f>
        <v>0</v>
      </c>
      <c r="V12" s="132">
        <f>IF(SER_hh_tesh!V12=0,0,SER_hh_tesh!V12/SER_summary!V$26)</f>
        <v>0</v>
      </c>
      <c r="W12" s="132">
        <f>IF(SER_hh_tesh!W12=0,0,SER_hh_tesh!W12/SER_summary!W$26)</f>
        <v>0</v>
      </c>
      <c r="X12" s="132">
        <f>IF(SER_hh_tesh!X12=0,0,SER_hh_tesh!X12/SER_summary!X$26)</f>
        <v>0</v>
      </c>
      <c r="Y12" s="132">
        <f>IF(SER_hh_tesh!Y12=0,0,SER_hh_tesh!Y12/SER_summary!Y$26)</f>
        <v>0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27.352684584956691</v>
      </c>
      <c r="C13" s="132">
        <f>IF(SER_hh_tesh!C13=0,0,SER_hh_tesh!C13/SER_summary!C$26)</f>
        <v>31.949544227971767</v>
      </c>
      <c r="D13" s="132">
        <f>IF(SER_hh_tesh!D13=0,0,SER_hh_tesh!D13/SER_summary!D$26)</f>
        <v>33.580586286028726</v>
      </c>
      <c r="E13" s="132">
        <f>IF(SER_hh_tesh!E13=0,0,SER_hh_tesh!E13/SER_summary!E$26)</f>
        <v>36.923586248459237</v>
      </c>
      <c r="F13" s="132">
        <f>IF(SER_hh_tesh!F13=0,0,SER_hh_tesh!F13/SER_summary!F$26)</f>
        <v>46.14092578337457</v>
      </c>
      <c r="G13" s="132">
        <f>IF(SER_hh_tesh!G13=0,0,SER_hh_tesh!G13/SER_summary!G$26)</f>
        <v>45.419506353386048</v>
      </c>
      <c r="H13" s="132">
        <f>IF(SER_hh_tesh!H13=0,0,SER_hh_tesh!H13/SER_summary!H$26)</f>
        <v>50.491297521122299</v>
      </c>
      <c r="I13" s="132">
        <f>IF(SER_hh_tesh!I13=0,0,SER_hh_tesh!I13/SER_summary!I$26)</f>
        <v>56.301634264889515</v>
      </c>
      <c r="J13" s="132">
        <f>IF(SER_hh_tesh!J13=0,0,SER_hh_tesh!J13/SER_summary!J$26)</f>
        <v>57.036928441550948</v>
      </c>
      <c r="K13" s="132">
        <f>IF(SER_hh_tesh!K13=0,0,SER_hh_tesh!K13/SER_summary!K$26)</f>
        <v>55.73805854293343</v>
      </c>
      <c r="L13" s="132">
        <f>IF(SER_hh_tesh!L13=0,0,SER_hh_tesh!L13/SER_summary!L$26)</f>
        <v>49.09473601081266</v>
      </c>
      <c r="M13" s="132">
        <f>IF(SER_hh_tesh!M13=0,0,SER_hh_tesh!M13/SER_summary!M$26)</f>
        <v>45.563092472762683</v>
      </c>
      <c r="N13" s="132">
        <f>IF(SER_hh_tesh!N13=0,0,SER_hh_tesh!N13/SER_summary!N$26)</f>
        <v>52.134679692574309</v>
      </c>
      <c r="O13" s="132">
        <f>IF(SER_hh_tesh!O13=0,0,SER_hh_tesh!O13/SER_summary!O$26)</f>
        <v>48.945929873929401</v>
      </c>
      <c r="P13" s="132">
        <f>IF(SER_hh_tesh!P13=0,0,SER_hh_tesh!P13/SER_summary!P$26)</f>
        <v>55.85778739199332</v>
      </c>
      <c r="Q13" s="132">
        <f>IF(SER_hh_tesh!Q13=0,0,SER_hh_tesh!Q13/SER_summary!Q$26)</f>
        <v>69.333788119214049</v>
      </c>
      <c r="R13" s="132">
        <f>IF(SER_hh_tesh!R13=0,0,SER_hh_tesh!R13/SER_summary!R$26)</f>
        <v>71.472431040025839</v>
      </c>
      <c r="S13" s="132">
        <f>IF(SER_hh_tesh!S13=0,0,SER_hh_tesh!S13/SER_summary!S$26)</f>
        <v>70.387999894015834</v>
      </c>
      <c r="T13" s="132">
        <f>IF(SER_hh_tesh!T13=0,0,SER_hh_tesh!T13/SER_summary!T$26)</f>
        <v>71.757997765470506</v>
      </c>
      <c r="U13" s="132">
        <f>IF(SER_hh_tesh!U13=0,0,SER_hh_tesh!U13/SER_summary!U$26)</f>
        <v>71.183100546019986</v>
      </c>
      <c r="V13" s="132">
        <f>IF(SER_hh_tesh!V13=0,0,SER_hh_tesh!V13/SER_summary!V$26)</f>
        <v>73.158219903656303</v>
      </c>
      <c r="W13" s="132">
        <f>IF(SER_hh_tesh!W13=0,0,SER_hh_tesh!W13/SER_summary!W$26)</f>
        <v>80.537818588296233</v>
      </c>
      <c r="X13" s="132">
        <f>IF(SER_hh_tesh!X13=0,0,SER_hh_tesh!X13/SER_summary!X$26)</f>
        <v>82.977246123483411</v>
      </c>
      <c r="Y13" s="132">
        <f>IF(SER_hh_tesh!Y13=0,0,SER_hh_tesh!Y13/SER_summary!Y$26)</f>
        <v>90.556582458688126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28.306448627720762</v>
      </c>
      <c r="C14" s="65">
        <f>IF(SER_hh_tesh!C14=0,0,SER_hh_tesh!C14/SER_summary!C$26)</f>
        <v>32.680917407746307</v>
      </c>
      <c r="D14" s="65">
        <f>IF(SER_hh_tesh!D14=0,0,SER_hh_tesh!D14/SER_summary!D$26)</f>
        <v>33.198120377758364</v>
      </c>
      <c r="E14" s="65">
        <f>IF(SER_hh_tesh!E14=0,0,SER_hh_tesh!E14/SER_summary!E$26)</f>
        <v>38.128981556501842</v>
      </c>
      <c r="F14" s="65">
        <f>IF(SER_hh_tesh!F14=0,0,SER_hh_tesh!F14/SER_summary!F$26)</f>
        <v>46.076110845995288</v>
      </c>
      <c r="G14" s="65">
        <f>IF(SER_hh_tesh!G14=0,0,SER_hh_tesh!G14/SER_summary!G$26)</f>
        <v>45.287335843641962</v>
      </c>
      <c r="H14" s="65">
        <f>IF(SER_hh_tesh!H14=0,0,SER_hh_tesh!H14/SER_summary!H$26)</f>
        <v>52.770140028966765</v>
      </c>
      <c r="I14" s="65">
        <f>IF(SER_hh_tesh!I14=0,0,SER_hh_tesh!I14/SER_summary!I$26)</f>
        <v>55.896712590317598</v>
      </c>
      <c r="J14" s="65">
        <f>IF(SER_hh_tesh!J14=0,0,SER_hh_tesh!J14/SER_summary!J$26)</f>
        <v>62.004541618306462</v>
      </c>
      <c r="K14" s="65">
        <f>IF(SER_hh_tesh!K14=0,0,SER_hh_tesh!K14/SER_summary!K$26)</f>
        <v>65.599343438787443</v>
      </c>
      <c r="L14" s="65">
        <f>IF(SER_hh_tesh!L14=0,0,SER_hh_tesh!L14/SER_summary!L$26)</f>
        <v>46.800301048242943</v>
      </c>
      <c r="M14" s="65">
        <f>IF(SER_hh_tesh!M14=0,0,SER_hh_tesh!M14/SER_summary!M$26)</f>
        <v>32.933757208979422</v>
      </c>
      <c r="N14" s="65">
        <f>IF(SER_hh_tesh!N14=0,0,SER_hh_tesh!N14/SER_summary!N$26)</f>
        <v>71.552988025508512</v>
      </c>
      <c r="O14" s="65">
        <f>IF(SER_hh_tesh!O14=0,0,SER_hh_tesh!O14/SER_summary!O$26)</f>
        <v>48.341401617558226</v>
      </c>
      <c r="P14" s="65">
        <f>IF(SER_hh_tesh!P14=0,0,SER_hh_tesh!P14/SER_summary!P$26)</f>
        <v>31.302348083599167</v>
      </c>
      <c r="Q14" s="65">
        <f>IF(SER_hh_tesh!Q14=0,0,SER_hh_tesh!Q14/SER_summary!Q$26)</f>
        <v>56.119101993187684</v>
      </c>
      <c r="R14" s="65">
        <f>IF(SER_hh_tesh!R14=0,0,SER_hh_tesh!R14/SER_summary!R$26)</f>
        <v>90.638448340324786</v>
      </c>
      <c r="S14" s="65">
        <f>IF(SER_hh_tesh!S14=0,0,SER_hh_tesh!S14/SER_summary!S$26)</f>
        <v>87.576841805304852</v>
      </c>
      <c r="T14" s="65">
        <f>IF(SER_hh_tesh!T14=0,0,SER_hh_tesh!T14/SER_summary!T$26)</f>
        <v>59.344879635306292</v>
      </c>
      <c r="U14" s="65">
        <f>IF(SER_hh_tesh!U14=0,0,SER_hh_tesh!U14/SER_summary!U$26)</f>
        <v>83.454240881175608</v>
      </c>
      <c r="V14" s="65">
        <f>IF(SER_hh_tesh!V14=0,0,SER_hh_tesh!V14/SER_summary!V$26)</f>
        <v>49.847439806620642</v>
      </c>
      <c r="W14" s="65">
        <f>IF(SER_hh_tesh!W14=0,0,SER_hh_tesh!W14/SER_summary!W$26)</f>
        <v>67.48585450301205</v>
      </c>
      <c r="X14" s="65">
        <f>IF(SER_hh_tesh!X14=0,0,SER_hh_tesh!X14/SER_summary!X$26)</f>
        <v>96.147591235454982</v>
      </c>
      <c r="Y14" s="65">
        <f>IF(SER_hh_tesh!Y14=0,0,SER_hh_tesh!Y14/SER_summary!Y$26)</f>
        <v>86.226007959752692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0.53918236737574088</v>
      </c>
      <c r="C15" s="134">
        <f>IF(SER_hh_tesh!C15=0,0,SER_hh_tesh!C15/SER_summary!C$26)</f>
        <v>0.65238005631715235</v>
      </c>
      <c r="D15" s="134">
        <f>IF(SER_hh_tesh!D15=0,0,SER_hh_tesh!D15/SER_summary!D$26)</f>
        <v>0.66708933603511489</v>
      </c>
      <c r="E15" s="134">
        <f>IF(SER_hh_tesh!E15=0,0,SER_hh_tesh!E15/SER_summary!E$26)</f>
        <v>0.71084635343253366</v>
      </c>
      <c r="F15" s="134">
        <f>IF(SER_hh_tesh!F15=0,0,SER_hh_tesh!F15/SER_summary!F$26)</f>
        <v>0.71715881664212311</v>
      </c>
      <c r="G15" s="134">
        <f>IF(SER_hh_tesh!G15=0,0,SER_hh_tesh!G15/SER_summary!G$26)</f>
        <v>0.90567007092268648</v>
      </c>
      <c r="H15" s="134">
        <f>IF(SER_hh_tesh!H15=0,0,SER_hh_tesh!H15/SER_summary!H$26)</f>
        <v>0.96758707551859779</v>
      </c>
      <c r="I15" s="134">
        <f>IF(SER_hh_tesh!I15=0,0,SER_hh_tesh!I15/SER_summary!I$26)</f>
        <v>0.94997959023717859</v>
      </c>
      <c r="J15" s="134">
        <f>IF(SER_hh_tesh!J15=0,0,SER_hh_tesh!J15/SER_summary!J$26)</f>
        <v>1.0350546456116727</v>
      </c>
      <c r="K15" s="134">
        <f>IF(SER_hh_tesh!K15=0,0,SER_hh_tesh!K15/SER_summary!K$26)</f>
        <v>0.88828020790870643</v>
      </c>
      <c r="L15" s="134">
        <f>IF(SER_hh_tesh!L15=0,0,SER_hh_tesh!L15/SER_summary!L$26)</f>
        <v>0.78550744340710688</v>
      </c>
      <c r="M15" s="134">
        <f>IF(SER_hh_tesh!M15=0,0,SER_hh_tesh!M15/SER_summary!M$26)</f>
        <v>0.88805457845395142</v>
      </c>
      <c r="N15" s="134">
        <f>IF(SER_hh_tesh!N15=0,0,SER_hh_tesh!N15/SER_summary!N$26)</f>
        <v>0.58464592224127654</v>
      </c>
      <c r="O15" s="134">
        <f>IF(SER_hh_tesh!O15=0,0,SER_hh_tesh!O15/SER_summary!O$26)</f>
        <v>0.79271014902637671</v>
      </c>
      <c r="P15" s="134">
        <f>IF(SER_hh_tesh!P15=0,0,SER_hh_tesh!P15/SER_summary!P$26)</f>
        <v>0.6242992996878971</v>
      </c>
      <c r="Q15" s="134">
        <f>IF(SER_hh_tesh!Q15=0,0,SER_hh_tesh!Q15/SER_summary!Q$26)</f>
        <v>0.91122566926012916</v>
      </c>
      <c r="R15" s="134">
        <f>IF(SER_hh_tesh!R15=0,0,SER_hh_tesh!R15/SER_summary!R$26)</f>
        <v>1.1224104004290119</v>
      </c>
      <c r="S15" s="134">
        <f>IF(SER_hh_tesh!S15=0,0,SER_hh_tesh!S15/SER_summary!S$26)</f>
        <v>0.87307285033331239</v>
      </c>
      <c r="T15" s="134">
        <f>IF(SER_hh_tesh!T15=0,0,SER_hh_tesh!T15/SER_summary!T$26)</f>
        <v>0.89043045232020179</v>
      </c>
      <c r="U15" s="134">
        <f>IF(SER_hh_tesh!U15=0,0,SER_hh_tesh!U15/SER_summary!U$26)</f>
        <v>1.0186029338051432</v>
      </c>
      <c r="V15" s="134">
        <f>IF(SER_hh_tesh!V15=0,0,SER_hh_tesh!V15/SER_summary!V$26)</f>
        <v>0.92553269459698551</v>
      </c>
      <c r="W15" s="134">
        <f>IF(SER_hh_tesh!W15=0,0,SER_hh_tesh!W15/SER_summary!W$26)</f>
        <v>0.93239241188525079</v>
      </c>
      <c r="X15" s="134">
        <f>IF(SER_hh_tesh!X15=0,0,SER_hh_tesh!X15/SER_summary!X$26)</f>
        <v>0.97973293934850014</v>
      </c>
      <c r="Y15" s="134">
        <f>IF(SER_hh_tesh!Y15=0,0,SER_hh_tesh!Y15/SER_summary!Y$26)</f>
        <v>1.013649291017038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34.863689965229376</v>
      </c>
      <c r="C16" s="130">
        <f>IF(SER_hh_tesh!C16=0,0,SER_hh_tesh!C16/SER_summary!C$26)</f>
        <v>43.266346263903181</v>
      </c>
      <c r="D16" s="130">
        <f>IF(SER_hh_tesh!D16=0,0,SER_hh_tesh!D16/SER_summary!D$26)</f>
        <v>35.373015888634448</v>
      </c>
      <c r="E16" s="130">
        <f>IF(SER_hh_tesh!E16=0,0,SER_hh_tesh!E16/SER_summary!E$26)</f>
        <v>47.679436766210344</v>
      </c>
      <c r="F16" s="130">
        <f>IF(SER_hh_tesh!F16=0,0,SER_hh_tesh!F16/SER_summary!F$26)</f>
        <v>29.904224432546343</v>
      </c>
      <c r="G16" s="130">
        <f>IF(SER_hh_tesh!G16=0,0,SER_hh_tesh!G16/SER_summary!G$26)</f>
        <v>30.94743250770906</v>
      </c>
      <c r="H16" s="130">
        <f>IF(SER_hh_tesh!H16=0,0,SER_hh_tesh!H16/SER_summary!H$26)</f>
        <v>36.769767631771103</v>
      </c>
      <c r="I16" s="130">
        <f>IF(SER_hh_tesh!I16=0,0,SER_hh_tesh!I16/SER_summary!I$26)</f>
        <v>54.413590350632958</v>
      </c>
      <c r="J16" s="130">
        <f>IF(SER_hh_tesh!J16=0,0,SER_hh_tesh!J16/SER_summary!J$26)</f>
        <v>53.282706293838537</v>
      </c>
      <c r="K16" s="130">
        <f>IF(SER_hh_tesh!K16=0,0,SER_hh_tesh!K16/SER_summary!K$26)</f>
        <v>36.534149934946427</v>
      </c>
      <c r="L16" s="130">
        <f>IF(SER_hh_tesh!L16=0,0,SER_hh_tesh!L16/SER_summary!L$26)</f>
        <v>47.508255355052029</v>
      </c>
      <c r="M16" s="130">
        <f>IF(SER_hh_tesh!M16=0,0,SER_hh_tesh!M16/SER_summary!M$26)</f>
        <v>41.5593818059955</v>
      </c>
      <c r="N16" s="130">
        <f>IF(SER_hh_tesh!N16=0,0,SER_hh_tesh!N16/SER_summary!N$26)</f>
        <v>69.045182873837618</v>
      </c>
      <c r="O16" s="130">
        <f>IF(SER_hh_tesh!O16=0,0,SER_hh_tesh!O16/SER_summary!O$26)</f>
        <v>43.99569649224415</v>
      </c>
      <c r="P16" s="130">
        <f>IF(SER_hh_tesh!P16=0,0,SER_hh_tesh!P16/SER_summary!P$26)</f>
        <v>36.287123493929691</v>
      </c>
      <c r="Q16" s="130">
        <f>IF(SER_hh_tesh!Q16=0,0,SER_hh_tesh!Q16/SER_summary!Q$26)</f>
        <v>46.726855893628404</v>
      </c>
      <c r="R16" s="130">
        <f>IF(SER_hh_tesh!R16=0,0,SER_hh_tesh!R16/SER_summary!R$26)</f>
        <v>51.00123337375603</v>
      </c>
      <c r="S16" s="130">
        <f>IF(SER_hh_tesh!S16=0,0,SER_hh_tesh!S16/SER_summary!S$26)</f>
        <v>51.322301219575117</v>
      </c>
      <c r="T16" s="130">
        <f>IF(SER_hh_tesh!T16=0,0,SER_hh_tesh!T16/SER_summary!T$26)</f>
        <v>44.08911016333564</v>
      </c>
      <c r="U16" s="130">
        <f>IF(SER_hh_tesh!U16=0,0,SER_hh_tesh!U16/SER_summary!U$26)</f>
        <v>55.937365184488257</v>
      </c>
      <c r="V16" s="130">
        <f>IF(SER_hh_tesh!V16=0,0,SER_hh_tesh!V16/SER_summary!V$26)</f>
        <v>48.566944789331757</v>
      </c>
      <c r="W16" s="130">
        <f>IF(SER_hh_tesh!W16=0,0,SER_hh_tesh!W16/SER_summary!W$26)</f>
        <v>65.172372021090311</v>
      </c>
      <c r="X16" s="130">
        <f>IF(SER_hh_tesh!X16=0,0,SER_hh_tesh!X16/SER_summary!X$26)</f>
        <v>58.156610931265078</v>
      </c>
      <c r="Y16" s="130">
        <f>IF(SER_hh_tesh!Y16=0,0,SER_hh_tesh!Y16/SER_summary!Y$26)</f>
        <v>60.561050043271095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34.863689965229376</v>
      </c>
      <c r="C17" s="132">
        <f>IF(SER_hh_tesh!C17=0,0,SER_hh_tesh!C17/SER_summary!C$26)</f>
        <v>43.266346263903337</v>
      </c>
      <c r="D17" s="132">
        <f>IF(SER_hh_tesh!D17=0,0,SER_hh_tesh!D17/SER_summary!D$26)</f>
        <v>35.373015888634498</v>
      </c>
      <c r="E17" s="132">
        <f>IF(SER_hh_tesh!E17=0,0,SER_hh_tesh!E17/SER_summary!E$26)</f>
        <v>47.679436766210344</v>
      </c>
      <c r="F17" s="132">
        <f>IF(SER_hh_tesh!F17=0,0,SER_hh_tesh!F17/SER_summary!F$26)</f>
        <v>29.904224432546329</v>
      </c>
      <c r="G17" s="132">
        <f>IF(SER_hh_tesh!G17=0,0,SER_hh_tesh!G17/SER_summary!G$26)</f>
        <v>30.947432507709014</v>
      </c>
      <c r="H17" s="132">
        <f>IF(SER_hh_tesh!H17=0,0,SER_hh_tesh!H17/SER_summary!H$26)</f>
        <v>36.769767631771188</v>
      </c>
      <c r="I17" s="132">
        <f>IF(SER_hh_tesh!I17=0,0,SER_hh_tesh!I17/SER_summary!I$26)</f>
        <v>54.413590350632845</v>
      </c>
      <c r="J17" s="132">
        <f>IF(SER_hh_tesh!J17=0,0,SER_hh_tesh!J17/SER_summary!J$26)</f>
        <v>52.021609085117042</v>
      </c>
      <c r="K17" s="132">
        <f>IF(SER_hh_tesh!K17=0,0,SER_hh_tesh!K17/SER_summary!K$26)</f>
        <v>45.262485233925972</v>
      </c>
      <c r="L17" s="132">
        <f>IF(SER_hh_tesh!L17=0,0,SER_hh_tesh!L17/SER_summary!L$26)</f>
        <v>47.726529587378202</v>
      </c>
      <c r="M17" s="132">
        <f>IF(SER_hh_tesh!M17=0,0,SER_hh_tesh!M17/SER_summary!M$26)</f>
        <v>42.497546200314808</v>
      </c>
      <c r="N17" s="132">
        <f>IF(SER_hh_tesh!N17=0,0,SER_hh_tesh!N17/SER_summary!N$26)</f>
        <v>62.401854134974059</v>
      </c>
      <c r="O17" s="132">
        <f>IF(SER_hh_tesh!O17=0,0,SER_hh_tesh!O17/SER_summary!O$26)</f>
        <v>43.99569648293491</v>
      </c>
      <c r="P17" s="132">
        <f>IF(SER_hh_tesh!P17=0,0,SER_hh_tesh!P17/SER_summary!P$26)</f>
        <v>37.911030197377023</v>
      </c>
      <c r="Q17" s="132">
        <f>IF(SER_hh_tesh!Q17=0,0,SER_hh_tesh!Q17/SER_summary!Q$26)</f>
        <v>46.726855877504931</v>
      </c>
      <c r="R17" s="132">
        <f>IF(SER_hh_tesh!R17=0,0,SER_hh_tesh!R17/SER_summary!R$26)</f>
        <v>51.001233367676086</v>
      </c>
      <c r="S17" s="132">
        <f>IF(SER_hh_tesh!S17=0,0,SER_hh_tesh!S17/SER_summary!S$26)</f>
        <v>51.32230122157106</v>
      </c>
      <c r="T17" s="132">
        <f>IF(SER_hh_tesh!T17=0,0,SER_hh_tesh!T17/SER_summary!T$26)</f>
        <v>44.089110167661147</v>
      </c>
      <c r="U17" s="132">
        <f>IF(SER_hh_tesh!U17=0,0,SER_hh_tesh!U17/SER_summary!U$26)</f>
        <v>55.937365190975335</v>
      </c>
      <c r="V17" s="132">
        <f>IF(SER_hh_tesh!V17=0,0,SER_hh_tesh!V17/SER_summary!V$26)</f>
        <v>46.475949712536071</v>
      </c>
      <c r="W17" s="132">
        <f>IF(SER_hh_tesh!W17=0,0,SER_hh_tesh!W17/SER_summary!W$26)</f>
        <v>61.992414728074614</v>
      </c>
      <c r="X17" s="132">
        <f>IF(SER_hh_tesh!X17=0,0,SER_hh_tesh!X17/SER_summary!X$26)</f>
        <v>58.156610944209312</v>
      </c>
      <c r="Y17" s="132">
        <f>IF(SER_hh_tesh!Y17=0,0,SER_hh_tesh!Y17/SER_summary!Y$26)</f>
        <v>60.561050042349272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34.863689965229376</v>
      </c>
      <c r="C18" s="132">
        <f>IF(SER_hh_tesh!C18=0,0,SER_hh_tesh!C18/SER_summary!C$26)</f>
        <v>43.266346263903181</v>
      </c>
      <c r="D18" s="132">
        <f>IF(SER_hh_tesh!D18=0,0,SER_hh_tesh!D18/SER_summary!D$26)</f>
        <v>35.373015888634448</v>
      </c>
      <c r="E18" s="132">
        <f>IF(SER_hh_tesh!E18=0,0,SER_hh_tesh!E18/SER_summary!E$26)</f>
        <v>47.679436766210344</v>
      </c>
      <c r="F18" s="132">
        <f>IF(SER_hh_tesh!F18=0,0,SER_hh_tesh!F18/SER_summary!F$26)</f>
        <v>29.904224432546346</v>
      </c>
      <c r="G18" s="132">
        <f>IF(SER_hh_tesh!G18=0,0,SER_hh_tesh!G18/SER_summary!G$26)</f>
        <v>30.947432507709053</v>
      </c>
      <c r="H18" s="132">
        <f>IF(SER_hh_tesh!H18=0,0,SER_hh_tesh!H18/SER_summary!H$26)</f>
        <v>36.769767631771103</v>
      </c>
      <c r="I18" s="132">
        <f>IF(SER_hh_tesh!I18=0,0,SER_hh_tesh!I18/SER_summary!I$26)</f>
        <v>54.413590350632965</v>
      </c>
      <c r="J18" s="132">
        <f>IF(SER_hh_tesh!J18=0,0,SER_hh_tesh!J18/SER_summary!J$26)</f>
        <v>53.287342761358552</v>
      </c>
      <c r="K18" s="132">
        <f>IF(SER_hh_tesh!K18=0,0,SER_hh_tesh!K18/SER_summary!K$26)</f>
        <v>36.492028492155889</v>
      </c>
      <c r="L18" s="132">
        <f>IF(SER_hh_tesh!L18=0,0,SER_hh_tesh!L18/SER_summary!L$26)</f>
        <v>47.506898486677798</v>
      </c>
      <c r="M18" s="132">
        <f>IF(SER_hh_tesh!M18=0,0,SER_hh_tesh!M18/SER_summary!M$26)</f>
        <v>41.551352740155956</v>
      </c>
      <c r="N18" s="132">
        <f>IF(SER_hh_tesh!N18=0,0,SER_hh_tesh!N18/SER_summary!N$26)</f>
        <v>69.11765313051832</v>
      </c>
      <c r="O18" s="132">
        <f>IF(SER_hh_tesh!O18=0,0,SER_hh_tesh!O18/SER_summary!O$26)</f>
        <v>43.995696492387921</v>
      </c>
      <c r="P18" s="132">
        <f>IF(SER_hh_tesh!P18=0,0,SER_hh_tesh!P18/SER_summary!P$26)</f>
        <v>36.253907293769515</v>
      </c>
      <c r="Q18" s="132">
        <f>IF(SER_hh_tesh!Q18=0,0,SER_hh_tesh!Q18/SER_summary!Q$26)</f>
        <v>46.726855893997588</v>
      </c>
      <c r="R18" s="132">
        <f>IF(SER_hh_tesh!R18=0,0,SER_hh_tesh!R18/SER_summary!R$26)</f>
        <v>51.001233373903474</v>
      </c>
      <c r="S18" s="132">
        <f>IF(SER_hh_tesh!S18=0,0,SER_hh_tesh!S18/SER_summary!S$26)</f>
        <v>51.322301219523254</v>
      </c>
      <c r="T18" s="132">
        <f>IF(SER_hh_tesh!T18=0,0,SER_hh_tesh!T18/SER_summary!T$26)</f>
        <v>44.089110163207813</v>
      </c>
      <c r="U18" s="132">
        <f>IF(SER_hh_tesh!U18=0,0,SER_hh_tesh!U18/SER_summary!U$26)</f>
        <v>55.937365184294691</v>
      </c>
      <c r="V18" s="132">
        <f>IF(SER_hh_tesh!V18=0,0,SER_hh_tesh!V18/SER_summary!V$26)</f>
        <v>48.630008345170296</v>
      </c>
      <c r="W18" s="132">
        <f>IF(SER_hh_tesh!W18=0,0,SER_hh_tesh!W18/SER_summary!W$26)</f>
        <v>65.268249231697354</v>
      </c>
      <c r="X18" s="132">
        <f>IF(SER_hh_tesh!X18=0,0,SER_hh_tesh!X18/SER_summary!X$26)</f>
        <v>58.156610930874265</v>
      </c>
      <c r="Y18" s="132">
        <f>IF(SER_hh_tesh!Y18=0,0,SER_hh_tesh!Y18/SER_summary!Y$26)</f>
        <v>60.561050043299311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20.590706598088563</v>
      </c>
      <c r="C19" s="130">
        <f>IF(SER_hh_tesh!C19=0,0,SER_hh_tesh!C19/SER_summary!C$26)</f>
        <v>21.473499517418091</v>
      </c>
      <c r="D19" s="130">
        <f>IF(SER_hh_tesh!D19=0,0,SER_hh_tesh!D19/SER_summary!D$26)</f>
        <v>22.509876706636142</v>
      </c>
      <c r="E19" s="130">
        <f>IF(SER_hh_tesh!E19=0,0,SER_hh_tesh!E19/SER_summary!E$26)</f>
        <v>22.72984042086901</v>
      </c>
      <c r="F19" s="130">
        <f>IF(SER_hh_tesh!F19=0,0,SER_hh_tesh!F19/SER_summary!F$26)</f>
        <v>23.125732925192967</v>
      </c>
      <c r="G19" s="130">
        <f>IF(SER_hh_tesh!G19=0,0,SER_hh_tesh!G19/SER_summary!G$26)</f>
        <v>24.4330797477526</v>
      </c>
      <c r="H19" s="130">
        <f>IF(SER_hh_tesh!H19=0,0,SER_hh_tesh!H19/SER_summary!H$26)</f>
        <v>24.125535841783115</v>
      </c>
      <c r="I19" s="130">
        <f>IF(SER_hh_tesh!I19=0,0,SER_hh_tesh!I19/SER_summary!I$26)</f>
        <v>23.693348019538021</v>
      </c>
      <c r="J19" s="130">
        <f>IF(SER_hh_tesh!J19=0,0,SER_hh_tesh!J19/SER_summary!J$26)</f>
        <v>23.997764241303582</v>
      </c>
      <c r="K19" s="130">
        <f>IF(SER_hh_tesh!K19=0,0,SER_hh_tesh!K19/SER_summary!K$26)</f>
        <v>24.550923671647048</v>
      </c>
      <c r="L19" s="130">
        <f>IF(SER_hh_tesh!L19=0,0,SER_hh_tesh!L19/SER_summary!L$26)</f>
        <v>25.859630610234625</v>
      </c>
      <c r="M19" s="130">
        <f>IF(SER_hh_tesh!M19=0,0,SER_hh_tesh!M19/SER_summary!M$26)</f>
        <v>26.704492919664222</v>
      </c>
      <c r="N19" s="130">
        <f>IF(SER_hh_tesh!N19=0,0,SER_hh_tesh!N19/SER_summary!N$26)</f>
        <v>26.696897714965328</v>
      </c>
      <c r="O19" s="130">
        <f>IF(SER_hh_tesh!O19=0,0,SER_hh_tesh!O19/SER_summary!O$26)</f>
        <v>27.132037931605939</v>
      </c>
      <c r="P19" s="130">
        <f>IF(SER_hh_tesh!P19=0,0,SER_hh_tesh!P19/SER_summary!P$26)</f>
        <v>27.921905398784087</v>
      </c>
      <c r="Q19" s="130">
        <f>IF(SER_hh_tesh!Q19=0,0,SER_hh_tesh!Q19/SER_summary!Q$26)</f>
        <v>28.317196323767142</v>
      </c>
      <c r="R19" s="130">
        <f>IF(SER_hh_tesh!R19=0,0,SER_hh_tesh!R19/SER_summary!R$26)</f>
        <v>28.434940360649836</v>
      </c>
      <c r="S19" s="130">
        <f>IF(SER_hh_tesh!S19=0,0,SER_hh_tesh!S19/SER_summary!S$26)</f>
        <v>28.559061962838712</v>
      </c>
      <c r="T19" s="130">
        <f>IF(SER_hh_tesh!T19=0,0,SER_hh_tesh!T19/SER_summary!T$26)</f>
        <v>28.629573237578292</v>
      </c>
      <c r="U19" s="130">
        <f>IF(SER_hh_tesh!U19=0,0,SER_hh_tesh!U19/SER_summary!U$26)</f>
        <v>28.246534800792908</v>
      </c>
      <c r="V19" s="130">
        <f>IF(SER_hh_tesh!V19=0,0,SER_hh_tesh!V19/SER_summary!V$26)</f>
        <v>25.295763179447583</v>
      </c>
      <c r="W19" s="130">
        <f>IF(SER_hh_tesh!W19=0,0,SER_hh_tesh!W19/SER_summary!W$26)</f>
        <v>25.670945138292598</v>
      </c>
      <c r="X19" s="130">
        <f>IF(SER_hh_tesh!X19=0,0,SER_hh_tesh!X19/SER_summary!X$26)</f>
        <v>27.259951288005755</v>
      </c>
      <c r="Y19" s="130">
        <f>IF(SER_hh_tesh!Y19=0,0,SER_hh_tesh!Y19/SER_summary!Y$26)</f>
        <v>27.539752770856019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0</v>
      </c>
      <c r="C20" s="132">
        <f>IF(SER_hh_tesh!C20=0,0,SER_hh_tesh!C20/SER_summary!C$26)</f>
        <v>0</v>
      </c>
      <c r="D20" s="132">
        <f>IF(SER_hh_tesh!D20=0,0,SER_hh_tesh!D20/SER_summary!D$26)</f>
        <v>0</v>
      </c>
      <c r="E20" s="132">
        <f>IF(SER_hh_tesh!E20=0,0,SER_hh_tesh!E20/SER_summary!E$26)</f>
        <v>0</v>
      </c>
      <c r="F20" s="132">
        <f>IF(SER_hh_tesh!F20=0,0,SER_hh_tesh!F20/SER_summary!F$26)</f>
        <v>0</v>
      </c>
      <c r="G20" s="132">
        <f>IF(SER_hh_tesh!G20=0,0,SER_hh_tesh!G20/SER_summary!G$26)</f>
        <v>0</v>
      </c>
      <c r="H20" s="132">
        <f>IF(SER_hh_tesh!H20=0,0,SER_hh_tesh!H20/SER_summary!H$26)</f>
        <v>0</v>
      </c>
      <c r="I20" s="132">
        <f>IF(SER_hh_tesh!I20=0,0,SER_hh_tesh!I20/SER_summary!I$26)</f>
        <v>0</v>
      </c>
      <c r="J20" s="132">
        <f>IF(SER_hh_tesh!J20=0,0,SER_hh_tesh!J20/SER_summary!J$26)</f>
        <v>0</v>
      </c>
      <c r="K20" s="132">
        <f>IF(SER_hh_tesh!K20=0,0,SER_hh_tesh!K20/SER_summary!K$26)</f>
        <v>0</v>
      </c>
      <c r="L20" s="132">
        <f>IF(SER_hh_tesh!L20=0,0,SER_hh_tesh!L20/SER_summary!L$26)</f>
        <v>0</v>
      </c>
      <c r="M20" s="132">
        <f>IF(SER_hh_tesh!M20=0,0,SER_hh_tesh!M20/SER_summary!M$26)</f>
        <v>0</v>
      </c>
      <c r="N20" s="132">
        <f>IF(SER_hh_tesh!N20=0,0,SER_hh_tesh!N20/SER_summary!N$26)</f>
        <v>0</v>
      </c>
      <c r="O20" s="132">
        <f>IF(SER_hh_tesh!O20=0,0,SER_hh_tesh!O20/SER_summary!O$26)</f>
        <v>0</v>
      </c>
      <c r="P20" s="132">
        <f>IF(SER_hh_tesh!P20=0,0,SER_hh_tesh!P20/SER_summary!P$26)</f>
        <v>0</v>
      </c>
      <c r="Q20" s="132">
        <f>IF(SER_hh_tesh!Q20=0,0,SER_hh_tesh!Q20/SER_summary!Q$26)</f>
        <v>0</v>
      </c>
      <c r="R20" s="132">
        <f>IF(SER_hh_tesh!R20=0,0,SER_hh_tesh!R20/SER_summary!R$26)</f>
        <v>0</v>
      </c>
      <c r="S20" s="132">
        <f>IF(SER_hh_tesh!S20=0,0,SER_hh_tesh!S20/SER_summary!S$26)</f>
        <v>0</v>
      </c>
      <c r="T20" s="132">
        <f>IF(SER_hh_tesh!T20=0,0,SER_hh_tesh!T20/SER_summary!T$26)</f>
        <v>0</v>
      </c>
      <c r="U20" s="132">
        <f>IF(SER_hh_tesh!U20=0,0,SER_hh_tesh!U20/SER_summary!U$26)</f>
        <v>0</v>
      </c>
      <c r="V20" s="132">
        <f>IF(SER_hh_tesh!V20=0,0,SER_hh_tesh!V20/SER_summary!V$26)</f>
        <v>0</v>
      </c>
      <c r="W20" s="132">
        <f>IF(SER_hh_tesh!W20=0,0,SER_hh_tesh!W20/SER_summary!W$26)</f>
        <v>0</v>
      </c>
      <c r="X20" s="132">
        <f>IF(SER_hh_tesh!X20=0,0,SER_hh_tesh!X20/SER_summary!X$26)</f>
        <v>0</v>
      </c>
      <c r="Y20" s="132">
        <f>IF(SER_hh_tesh!Y20=0,0,SER_hh_tesh!Y20/SER_summary!Y$26)</f>
        <v>0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19.981840076600989</v>
      </c>
      <c r="C21" s="132">
        <f>IF(SER_hh_tesh!C21=0,0,SER_hh_tesh!C21/SER_summary!C$26)</f>
        <v>21.720234886191545</v>
      </c>
      <c r="D21" s="132">
        <f>IF(SER_hh_tesh!D21=0,0,SER_hh_tesh!D21/SER_summary!D$26)</f>
        <v>22.419291172323707</v>
      </c>
      <c r="E21" s="132">
        <f>IF(SER_hh_tesh!E21=0,0,SER_hh_tesh!E21/SER_summary!E$26)</f>
        <v>21.858814039093829</v>
      </c>
      <c r="F21" s="132">
        <f>IF(SER_hh_tesh!F21=0,0,SER_hh_tesh!F21/SER_summary!F$26)</f>
        <v>22.400556348922972</v>
      </c>
      <c r="G21" s="132">
        <f>IF(SER_hh_tesh!G21=0,0,SER_hh_tesh!G21/SER_summary!G$26)</f>
        <v>23.73692683060915</v>
      </c>
      <c r="H21" s="132">
        <f>IF(SER_hh_tesh!H21=0,0,SER_hh_tesh!H21/SER_summary!H$26)</f>
        <v>23.346351179177688</v>
      </c>
      <c r="I21" s="132">
        <f>IF(SER_hh_tesh!I21=0,0,SER_hh_tesh!I21/SER_summary!I$26)</f>
        <v>24.940409479702005</v>
      </c>
      <c r="J21" s="132">
        <f>IF(SER_hh_tesh!J21=0,0,SER_hh_tesh!J21/SER_summary!J$26)</f>
        <v>24.63777137587779</v>
      </c>
      <c r="K21" s="132">
        <f>IF(SER_hh_tesh!K21=0,0,SER_hh_tesh!K21/SER_summary!K$26)</f>
        <v>24.750952655577453</v>
      </c>
      <c r="L21" s="132">
        <f>IF(SER_hh_tesh!L21=0,0,SER_hh_tesh!L21/SER_summary!L$26)</f>
        <v>25.526851577806443</v>
      </c>
      <c r="M21" s="132">
        <f>IF(SER_hh_tesh!M21=0,0,SER_hh_tesh!M21/SER_summary!M$26)</f>
        <v>25.621229233289945</v>
      </c>
      <c r="N21" s="132">
        <f>IF(SER_hh_tesh!N21=0,0,SER_hh_tesh!N21/SER_summary!N$26)</f>
        <v>27.151226737830157</v>
      </c>
      <c r="O21" s="132">
        <f>IF(SER_hh_tesh!O21=0,0,SER_hh_tesh!O21/SER_summary!O$26)</f>
        <v>27.241251212441291</v>
      </c>
      <c r="P21" s="132">
        <f>IF(SER_hh_tesh!P21=0,0,SER_hh_tesh!P21/SER_summary!P$26)</f>
        <v>26.848534660758144</v>
      </c>
      <c r="Q21" s="132">
        <f>IF(SER_hh_tesh!Q21=0,0,SER_hh_tesh!Q21/SER_summary!Q$26)</f>
        <v>26.172275310530576</v>
      </c>
      <c r="R21" s="132">
        <f>IF(SER_hh_tesh!R21=0,0,SER_hh_tesh!R21/SER_summary!R$26)</f>
        <v>28.739505542774619</v>
      </c>
      <c r="S21" s="132">
        <f>IF(SER_hh_tesh!S21=0,0,SER_hh_tesh!S21/SER_summary!S$26)</f>
        <v>29.418819557005296</v>
      </c>
      <c r="T21" s="132">
        <f>IF(SER_hh_tesh!T21=0,0,SER_hh_tesh!T21/SER_summary!T$26)</f>
        <v>29.264613753364841</v>
      </c>
      <c r="U21" s="132">
        <f>IF(SER_hh_tesh!U21=0,0,SER_hh_tesh!U21/SER_summary!U$26)</f>
        <v>31.210352553017543</v>
      </c>
      <c r="V21" s="132">
        <f>IF(SER_hh_tesh!V21=0,0,SER_hh_tesh!V21/SER_summary!V$26)</f>
        <v>17.409316686327596</v>
      </c>
      <c r="W21" s="132">
        <f>IF(SER_hh_tesh!W21=0,0,SER_hh_tesh!W21/SER_summary!W$26)</f>
        <v>22.370034955850191</v>
      </c>
      <c r="X21" s="132">
        <f>IF(SER_hh_tesh!X21=0,0,SER_hh_tesh!X21/SER_summary!X$26)</f>
        <v>27.634703317409691</v>
      </c>
      <c r="Y21" s="132">
        <f>IF(SER_hh_tesh!Y21=0,0,SER_hh_tesh!Y21/SER_summary!Y$26)</f>
        <v>28.428553378060936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19.808622557048341</v>
      </c>
      <c r="C22" s="132">
        <f>IF(SER_hh_tesh!C22=0,0,SER_hh_tesh!C22/SER_summary!C$26)</f>
        <v>21.689781054003959</v>
      </c>
      <c r="D22" s="132">
        <f>IF(SER_hh_tesh!D22=0,0,SER_hh_tesh!D22/SER_summary!D$26)</f>
        <v>22.482801094967886</v>
      </c>
      <c r="E22" s="132">
        <f>IF(SER_hh_tesh!E22=0,0,SER_hh_tesh!E22/SER_summary!E$26)</f>
        <v>22.550518333007581</v>
      </c>
      <c r="F22" s="132">
        <f>IF(SER_hh_tesh!F22=0,0,SER_hh_tesh!F22/SER_summary!F$26)</f>
        <v>23.014966857673329</v>
      </c>
      <c r="G22" s="132">
        <f>IF(SER_hh_tesh!G22=0,0,SER_hh_tesh!G22/SER_summary!G$26)</f>
        <v>24.163783917704876</v>
      </c>
      <c r="H22" s="132">
        <f>IF(SER_hh_tesh!H22=0,0,SER_hh_tesh!H22/SER_summary!H$26)</f>
        <v>24.134406952925701</v>
      </c>
      <c r="I22" s="132">
        <f>IF(SER_hh_tesh!I22=0,0,SER_hh_tesh!I22/SER_summary!I$26)</f>
        <v>24.156691602680567</v>
      </c>
      <c r="J22" s="132">
        <f>IF(SER_hh_tesh!J22=0,0,SER_hh_tesh!J22/SER_summary!J$26)</f>
        <v>24.393663278500554</v>
      </c>
      <c r="K22" s="132">
        <f>IF(SER_hh_tesh!K22=0,0,SER_hh_tesh!K22/SER_summary!K$26)</f>
        <v>24.519440753612624</v>
      </c>
      <c r="L22" s="132">
        <f>IF(SER_hh_tesh!L22=0,0,SER_hh_tesh!L22/SER_summary!L$26)</f>
        <v>25.373826833346758</v>
      </c>
      <c r="M22" s="132">
        <f>IF(SER_hh_tesh!M22=0,0,SER_hh_tesh!M22/SER_summary!M$26)</f>
        <v>26.136908373483241</v>
      </c>
      <c r="N22" s="132">
        <f>IF(SER_hh_tesh!N22=0,0,SER_hh_tesh!N22/SER_summary!N$26)</f>
        <v>26.329378471062949</v>
      </c>
      <c r="O22" s="132">
        <f>IF(SER_hh_tesh!O22=0,0,SER_hh_tesh!O22/SER_summary!O$26)</f>
        <v>27.054086395316958</v>
      </c>
      <c r="P22" s="132">
        <f>IF(SER_hh_tesh!P22=0,0,SER_hh_tesh!P22/SER_summary!P$26)</f>
        <v>27.81325463733263</v>
      </c>
      <c r="Q22" s="132">
        <f>IF(SER_hh_tesh!Q22=0,0,SER_hh_tesh!Q22/SER_summary!Q$26)</f>
        <v>28.358574959814202</v>
      </c>
      <c r="R22" s="132">
        <f>IF(SER_hh_tesh!R22=0,0,SER_hh_tesh!R22/SER_summary!R$26)</f>
        <v>28.983743946870508</v>
      </c>
      <c r="S22" s="132">
        <f>IF(SER_hh_tesh!S22=0,0,SER_hh_tesh!S22/SER_summary!S$26)</f>
        <v>29.690502675860373</v>
      </c>
      <c r="T22" s="132">
        <f>IF(SER_hh_tesh!T22=0,0,SER_hh_tesh!T22/SER_summary!T$26)</f>
        <v>28.699326243429326</v>
      </c>
      <c r="U22" s="132">
        <f>IF(SER_hh_tesh!U22=0,0,SER_hh_tesh!U22/SER_summary!U$26)</f>
        <v>29.642353973180828</v>
      </c>
      <c r="V22" s="132">
        <f>IF(SER_hh_tesh!V22=0,0,SER_hh_tesh!V22/SER_summary!V$26)</f>
        <v>22.82202081807937</v>
      </c>
      <c r="W22" s="132">
        <f>IF(SER_hh_tesh!W22=0,0,SER_hh_tesh!W22/SER_summary!W$26)</f>
        <v>21.45195252918457</v>
      </c>
      <c r="X22" s="132">
        <f>IF(SER_hh_tesh!X22=0,0,SER_hh_tesh!X22/SER_summary!X$26)</f>
        <v>31.566453732385639</v>
      </c>
      <c r="Y22" s="132">
        <f>IF(SER_hh_tesh!Y22=0,0,SER_hh_tesh!Y22/SER_summary!Y$26)</f>
        <v>23.686118616008827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18.37079379628333</v>
      </c>
      <c r="C23" s="132">
        <f>IF(SER_hh_tesh!C23=0,0,SER_hh_tesh!C23/SER_summary!C$26)</f>
        <v>21.85902680512131</v>
      </c>
      <c r="D23" s="132">
        <f>IF(SER_hh_tesh!D23=0,0,SER_hh_tesh!D23/SER_summary!D$26)</f>
        <v>22.163255136286519</v>
      </c>
      <c r="E23" s="132">
        <f>IF(SER_hh_tesh!E23=0,0,SER_hh_tesh!E23/SER_summary!E$26)</f>
        <v>21.971839729834151</v>
      </c>
      <c r="F23" s="132">
        <f>IF(SER_hh_tesh!F23=0,0,SER_hh_tesh!F23/SER_summary!F$26)</f>
        <v>19.266130701304071</v>
      </c>
      <c r="G23" s="132">
        <f>IF(SER_hh_tesh!G23=0,0,SER_hh_tesh!G23/SER_summary!G$26)</f>
        <v>25.079939102437582</v>
      </c>
      <c r="H23" s="132">
        <f>IF(SER_hh_tesh!H23=0,0,SER_hh_tesh!H23/SER_summary!H$26)</f>
        <v>24.146751251774006</v>
      </c>
      <c r="I23" s="132">
        <f>IF(SER_hh_tesh!I23=0,0,SER_hh_tesh!I23/SER_summary!I$26)</f>
        <v>24.536418514228178</v>
      </c>
      <c r="J23" s="132">
        <f>IF(SER_hh_tesh!J23=0,0,SER_hh_tesh!J23/SER_summary!J$26)</f>
        <v>23.901696080107421</v>
      </c>
      <c r="K23" s="132">
        <f>IF(SER_hh_tesh!K23=0,0,SER_hh_tesh!K23/SER_summary!K$26)</f>
        <v>24.164689932707986</v>
      </c>
      <c r="L23" s="132">
        <f>IF(SER_hh_tesh!L23=0,0,SER_hh_tesh!L23/SER_summary!L$26)</f>
        <v>26.513273104542044</v>
      </c>
      <c r="M23" s="132">
        <f>IF(SER_hh_tesh!M23=0,0,SER_hh_tesh!M23/SER_summary!M$26)</f>
        <v>26.405044900092946</v>
      </c>
      <c r="N23" s="132">
        <f>IF(SER_hh_tesh!N23=0,0,SER_hh_tesh!N23/SER_summary!N$26)</f>
        <v>27.250777495870576</v>
      </c>
      <c r="O23" s="132">
        <f>IF(SER_hh_tesh!O23=0,0,SER_hh_tesh!O23/SER_summary!O$26)</f>
        <v>28.023471644830277</v>
      </c>
      <c r="P23" s="132">
        <f>IF(SER_hh_tesh!P23=0,0,SER_hh_tesh!P23/SER_summary!P$26)</f>
        <v>26.826065724431249</v>
      </c>
      <c r="Q23" s="132">
        <f>IF(SER_hh_tesh!Q23=0,0,SER_hh_tesh!Q23/SER_summary!Q$26)</f>
        <v>28.690796246313582</v>
      </c>
      <c r="R23" s="132">
        <f>IF(SER_hh_tesh!R23=0,0,SER_hh_tesh!R23/SER_summary!R$26)</f>
        <v>27.36598695902337</v>
      </c>
      <c r="S23" s="132">
        <f>IF(SER_hh_tesh!S23=0,0,SER_hh_tesh!S23/SER_summary!S$26)</f>
        <v>28.222878607916009</v>
      </c>
      <c r="T23" s="132">
        <f>IF(SER_hh_tesh!T23=0,0,SER_hh_tesh!T23/SER_summary!T$26)</f>
        <v>28.57117183368041</v>
      </c>
      <c r="U23" s="132">
        <f>IF(SER_hh_tesh!U23=0,0,SER_hh_tesh!U23/SER_summary!U$26)</f>
        <v>27.89291115555784</v>
      </c>
      <c r="V23" s="132">
        <f>IF(SER_hh_tesh!V23=0,0,SER_hh_tesh!V23/SER_summary!V$26)</f>
        <v>26.982190779427103</v>
      </c>
      <c r="W23" s="132">
        <f>IF(SER_hh_tesh!W23=0,0,SER_hh_tesh!W23/SER_summary!W$26)</f>
        <v>31.321669715680084</v>
      </c>
      <c r="X23" s="132">
        <f>IF(SER_hh_tesh!X23=0,0,SER_hh_tesh!X23/SER_summary!X$26)</f>
        <v>20.674965291752958</v>
      </c>
      <c r="Y23" s="132">
        <f>IF(SER_hh_tesh!Y23=0,0,SER_hh_tesh!Y23/SER_summary!Y$26)</f>
        <v>26.43485690489371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0</v>
      </c>
      <c r="C24" s="132">
        <f>IF(SER_hh_tesh!C24=0,0,SER_hh_tesh!C24/SER_summary!C$26)</f>
        <v>0</v>
      </c>
      <c r="D24" s="132">
        <f>IF(SER_hh_tesh!D24=0,0,SER_hh_tesh!D24/SER_summary!D$26)</f>
        <v>0</v>
      </c>
      <c r="E24" s="132">
        <f>IF(SER_hh_tesh!E24=0,0,SER_hh_tesh!E24/SER_summary!E$26)</f>
        <v>0</v>
      </c>
      <c r="F24" s="132">
        <f>IF(SER_hh_tesh!F24=0,0,SER_hh_tesh!F24/SER_summary!F$26)</f>
        <v>0</v>
      </c>
      <c r="G24" s="132">
        <f>IF(SER_hh_tesh!G24=0,0,SER_hh_tesh!G24/SER_summary!G$26)</f>
        <v>0</v>
      </c>
      <c r="H24" s="132">
        <f>IF(SER_hh_tesh!H24=0,0,SER_hh_tesh!H24/SER_summary!H$26)</f>
        <v>0</v>
      </c>
      <c r="I24" s="132">
        <f>IF(SER_hh_tesh!I24=0,0,SER_hh_tesh!I24/SER_summary!I$26)</f>
        <v>0</v>
      </c>
      <c r="J24" s="132">
        <f>IF(SER_hh_tesh!J24=0,0,SER_hh_tesh!J24/SER_summary!J$26)</f>
        <v>0</v>
      </c>
      <c r="K24" s="132">
        <f>IF(SER_hh_tesh!K24=0,0,SER_hh_tesh!K24/SER_summary!K$26)</f>
        <v>0</v>
      </c>
      <c r="L24" s="132">
        <f>IF(SER_hh_tesh!L24=0,0,SER_hh_tesh!L24/SER_summary!L$26)</f>
        <v>0</v>
      </c>
      <c r="M24" s="132">
        <f>IF(SER_hh_tesh!M24=0,0,SER_hh_tesh!M24/SER_summary!M$26)</f>
        <v>0</v>
      </c>
      <c r="N24" s="132">
        <f>IF(SER_hh_tesh!N24=0,0,SER_hh_tesh!N24/SER_summary!N$26)</f>
        <v>0</v>
      </c>
      <c r="O24" s="132">
        <f>IF(SER_hh_tesh!O24=0,0,SER_hh_tesh!O24/SER_summary!O$26)</f>
        <v>0</v>
      </c>
      <c r="P24" s="132">
        <f>IF(SER_hh_tesh!P24=0,0,SER_hh_tesh!P24/SER_summary!P$26)</f>
        <v>0</v>
      </c>
      <c r="Q24" s="132">
        <f>IF(SER_hh_tesh!Q24=0,0,SER_hh_tesh!Q24/SER_summary!Q$26)</f>
        <v>0</v>
      </c>
      <c r="R24" s="132">
        <f>IF(SER_hh_tesh!R24=0,0,SER_hh_tesh!R24/SER_summary!R$26)</f>
        <v>0</v>
      </c>
      <c r="S24" s="132">
        <f>IF(SER_hh_tesh!S24=0,0,SER_hh_tesh!S24/SER_summary!S$26)</f>
        <v>0</v>
      </c>
      <c r="T24" s="132">
        <f>IF(SER_hh_tesh!T24=0,0,SER_hh_tesh!T24/SER_summary!T$26)</f>
        <v>0</v>
      </c>
      <c r="U24" s="132">
        <f>IF(SER_hh_tesh!U24=0,0,SER_hh_tesh!U24/SER_summary!U$26)</f>
        <v>0</v>
      </c>
      <c r="V24" s="132">
        <f>IF(SER_hh_tesh!V24=0,0,SER_hh_tesh!V24/SER_summary!V$26)</f>
        <v>0</v>
      </c>
      <c r="W24" s="132">
        <f>IF(SER_hh_tesh!W24=0,0,SER_hh_tesh!W24/SER_summary!W$26)</f>
        <v>0</v>
      </c>
      <c r="X24" s="132">
        <f>IF(SER_hh_tesh!X24=0,0,SER_hh_tesh!X24/SER_summary!X$26)</f>
        <v>0</v>
      </c>
      <c r="Y24" s="132">
        <f>IF(SER_hh_tesh!Y24=0,0,SER_hh_tesh!Y24/SER_summary!Y$26)</f>
        <v>0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0</v>
      </c>
      <c r="C25" s="132">
        <f>IF(SER_hh_tesh!C25=0,0,SER_hh_tesh!C25/SER_summary!C$26)</f>
        <v>0</v>
      </c>
      <c r="D25" s="132">
        <f>IF(SER_hh_tesh!D25=0,0,SER_hh_tesh!D25/SER_summary!D$26)</f>
        <v>0</v>
      </c>
      <c r="E25" s="132">
        <f>IF(SER_hh_tesh!E25=0,0,SER_hh_tesh!E25/SER_summary!E$26)</f>
        <v>0</v>
      </c>
      <c r="F25" s="132">
        <f>IF(SER_hh_tesh!F25=0,0,SER_hh_tesh!F25/SER_summary!F$26)</f>
        <v>0</v>
      </c>
      <c r="G25" s="132">
        <f>IF(SER_hh_tesh!G25=0,0,SER_hh_tesh!G25/SER_summary!G$26)</f>
        <v>0</v>
      </c>
      <c r="H25" s="132">
        <f>IF(SER_hh_tesh!H25=0,0,SER_hh_tesh!H25/SER_summary!H$26)</f>
        <v>0</v>
      </c>
      <c r="I25" s="132">
        <f>IF(SER_hh_tesh!I25=0,0,SER_hh_tesh!I25/SER_summary!I$26)</f>
        <v>0</v>
      </c>
      <c r="J25" s="132">
        <f>IF(SER_hh_tesh!J25=0,0,SER_hh_tesh!J25/SER_summary!J$26)</f>
        <v>0</v>
      </c>
      <c r="K25" s="132">
        <f>IF(SER_hh_tesh!K25=0,0,SER_hh_tesh!K25/SER_summary!K$26)</f>
        <v>0</v>
      </c>
      <c r="L25" s="132">
        <f>IF(SER_hh_tesh!L25=0,0,SER_hh_tesh!L25/SER_summary!L$26)</f>
        <v>0</v>
      </c>
      <c r="M25" s="132">
        <f>IF(SER_hh_tesh!M25=0,0,SER_hh_tesh!M25/SER_summary!M$26)</f>
        <v>0</v>
      </c>
      <c r="N25" s="132">
        <f>IF(SER_hh_tesh!N25=0,0,SER_hh_tesh!N25/SER_summary!N$26)</f>
        <v>0</v>
      </c>
      <c r="O25" s="132">
        <f>IF(SER_hh_tesh!O25=0,0,SER_hh_tesh!O25/SER_summary!O$26)</f>
        <v>0</v>
      </c>
      <c r="P25" s="132">
        <f>IF(SER_hh_tesh!P25=0,0,SER_hh_tesh!P25/SER_summary!P$26)</f>
        <v>0</v>
      </c>
      <c r="Q25" s="132">
        <f>IF(SER_hh_tesh!Q25=0,0,SER_hh_tesh!Q25/SER_summary!Q$26)</f>
        <v>0</v>
      </c>
      <c r="R25" s="132">
        <f>IF(SER_hh_tesh!R25=0,0,SER_hh_tesh!R25/SER_summary!R$26)</f>
        <v>0</v>
      </c>
      <c r="S25" s="132">
        <f>IF(SER_hh_tesh!S25=0,0,SER_hh_tesh!S25/SER_summary!S$26)</f>
        <v>0</v>
      </c>
      <c r="T25" s="132">
        <f>IF(SER_hh_tesh!T25=0,0,SER_hh_tesh!T25/SER_summary!T$26)</f>
        <v>0</v>
      </c>
      <c r="U25" s="132">
        <f>IF(SER_hh_tesh!U25=0,0,SER_hh_tesh!U25/SER_summary!U$26)</f>
        <v>0</v>
      </c>
      <c r="V25" s="132">
        <f>IF(SER_hh_tesh!V25=0,0,SER_hh_tesh!V25/SER_summary!V$26)</f>
        <v>0</v>
      </c>
      <c r="W25" s="132">
        <f>IF(SER_hh_tesh!W25=0,0,SER_hh_tesh!W25/SER_summary!W$26)</f>
        <v>0</v>
      </c>
      <c r="X25" s="132">
        <f>IF(SER_hh_tesh!X25=0,0,SER_hh_tesh!X25/SER_summary!X$26)</f>
        <v>0</v>
      </c>
      <c r="Y25" s="132">
        <f>IF(SER_hh_tesh!Y25=0,0,SER_hh_tesh!Y25/SER_summary!Y$26)</f>
        <v>0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19.695322616726131</v>
      </c>
      <c r="C26" s="65">
        <f>IF(SER_hh_tesh!C26=0,0,SER_hh_tesh!C26/SER_summary!C$26)</f>
        <v>20.505408334001526</v>
      </c>
      <c r="D26" s="65">
        <f>IF(SER_hh_tesh!D26=0,0,SER_hh_tesh!D26/SER_summary!D$26)</f>
        <v>21.581066177349811</v>
      </c>
      <c r="E26" s="65">
        <f>IF(SER_hh_tesh!E26=0,0,SER_hh_tesh!E26/SER_summary!E$26)</f>
        <v>21.84245467506458</v>
      </c>
      <c r="F26" s="65">
        <f>IF(SER_hh_tesh!F26=0,0,SER_hh_tesh!F26/SER_summary!F$26)</f>
        <v>22.337340889657977</v>
      </c>
      <c r="G26" s="65">
        <f>IF(SER_hh_tesh!G26=0,0,SER_hh_tesh!G26/SER_summary!G$26)</f>
        <v>23.571430854198571</v>
      </c>
      <c r="H26" s="65">
        <f>IF(SER_hh_tesh!H26=0,0,SER_hh_tesh!H26/SER_summary!H$26)</f>
        <v>23.241655579231399</v>
      </c>
      <c r="I26" s="65">
        <f>IF(SER_hh_tesh!I26=0,0,SER_hh_tesh!I26/SER_summary!I$26)</f>
        <v>22.63961730424149</v>
      </c>
      <c r="J26" s="65">
        <f>IF(SER_hh_tesh!J26=0,0,SER_hh_tesh!J26/SER_summary!J$26)</f>
        <v>22.880385813379071</v>
      </c>
      <c r="K26" s="65">
        <f>IF(SER_hh_tesh!K26=0,0,SER_hh_tesh!K26/SER_summary!K$26)</f>
        <v>23.369329958184466</v>
      </c>
      <c r="L26" s="65">
        <f>IF(SER_hh_tesh!L26=0,0,SER_hh_tesh!L26/SER_summary!L$26)</f>
        <v>24.569144580416832</v>
      </c>
      <c r="M26" s="65">
        <f>IF(SER_hh_tesh!M26=0,0,SER_hh_tesh!M26/SER_summary!M$26)</f>
        <v>25.479584419046422</v>
      </c>
      <c r="N26" s="65">
        <f>IF(SER_hh_tesh!N26=0,0,SER_hh_tesh!N26/SER_summary!N$26)</f>
        <v>25.329643669569151</v>
      </c>
      <c r="O26" s="65">
        <f>IF(SER_hh_tesh!O26=0,0,SER_hh_tesh!O26/SER_summary!O$26)</f>
        <v>25.705770958369509</v>
      </c>
      <c r="P26" s="65">
        <f>IF(SER_hh_tesh!P26=0,0,SER_hh_tesh!P26/SER_summary!P$26)</f>
        <v>26.685920377939787</v>
      </c>
      <c r="Q26" s="65">
        <f>IF(SER_hh_tesh!Q26=0,0,SER_hh_tesh!Q26/SER_summary!Q$26)</f>
        <v>26.943709916769844</v>
      </c>
      <c r="R26" s="65">
        <f>IF(SER_hh_tesh!R26=0,0,SER_hh_tesh!R26/SER_summary!R$26)</f>
        <v>27.064623591761556</v>
      </c>
      <c r="S26" s="65">
        <f>IF(SER_hh_tesh!S26=0,0,SER_hh_tesh!S26/SER_summary!S$26)</f>
        <v>27.044735609202533</v>
      </c>
      <c r="T26" s="65">
        <f>IF(SER_hh_tesh!T26=0,0,SER_hh_tesh!T26/SER_summary!T$26)</f>
        <v>27.126611366012153</v>
      </c>
      <c r="U26" s="65">
        <f>IF(SER_hh_tesh!U26=0,0,SER_hh_tesh!U26/SER_summary!U$26)</f>
        <v>26.628940442149922</v>
      </c>
      <c r="V26" s="65">
        <f>IF(SER_hh_tesh!V26=0,0,SER_hh_tesh!V26/SER_summary!V$26)</f>
        <v>24.022769993441479</v>
      </c>
      <c r="W26" s="65">
        <f>IF(SER_hh_tesh!W26=0,0,SER_hh_tesh!W26/SER_summary!W$26)</f>
        <v>23.930242030493069</v>
      </c>
      <c r="X26" s="65">
        <f>IF(SER_hh_tesh!X26=0,0,SER_hh_tesh!X26/SER_summary!X$26)</f>
        <v>25.931126510184022</v>
      </c>
      <c r="Y26" s="65">
        <f>IF(SER_hh_tesh!Y26=0,0,SER_hh_tesh!Y26/SER_summary!Y$26)</f>
        <v>25.981937862524553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0.90731217304121592</v>
      </c>
      <c r="C27" s="145">
        <f>IF(SER_hh_tesh!C27=0,0,SER_hh_tesh!C27/SER_summary!C$26)</f>
        <v>0.88269589397568526</v>
      </c>
      <c r="D27" s="145">
        <f>IF(SER_hh_tesh!D27=0,0,SER_hh_tesh!D27/SER_summary!D$26)</f>
        <v>0.8709007195638705</v>
      </c>
      <c r="E27" s="145">
        <f>IF(SER_hh_tesh!E27=0,0,SER_hh_tesh!E27/SER_summary!E$26)</f>
        <v>0.85760591343800874</v>
      </c>
      <c r="F27" s="145">
        <f>IF(SER_hh_tesh!F27=0,0,SER_hh_tesh!F27/SER_summary!F$26)</f>
        <v>0.85200562524986556</v>
      </c>
      <c r="G27" s="145">
        <f>IF(SER_hh_tesh!G27=0,0,SER_hh_tesh!G27/SER_summary!G$26)</f>
        <v>0.77850546804935272</v>
      </c>
      <c r="H27" s="145">
        <f>IF(SER_hh_tesh!H27=0,0,SER_hh_tesh!H27/SER_summary!H$26)</f>
        <v>0.80633787749984775</v>
      </c>
      <c r="I27" s="145">
        <f>IF(SER_hh_tesh!I27=0,0,SER_hh_tesh!I27/SER_summary!I$26)</f>
        <v>0.8489766631089426</v>
      </c>
      <c r="J27" s="145">
        <f>IF(SER_hh_tesh!J27=0,0,SER_hh_tesh!J27/SER_summary!J$26)</f>
        <v>0.96393440390194274</v>
      </c>
      <c r="K27" s="145">
        <f>IF(SER_hh_tesh!K27=0,0,SER_hh_tesh!K27/SER_summary!K$26)</f>
        <v>1.0584918051316579</v>
      </c>
      <c r="L27" s="145">
        <f>IF(SER_hh_tesh!L27=0,0,SER_hh_tesh!L27/SER_summary!L$26)</f>
        <v>1.0979854143314216</v>
      </c>
      <c r="M27" s="145">
        <f>IF(SER_hh_tesh!M27=0,0,SER_hh_tesh!M27/SER_summary!M$26)</f>
        <v>1.1242225941570796</v>
      </c>
      <c r="N27" s="145">
        <f>IF(SER_hh_tesh!N27=0,0,SER_hh_tesh!N27/SER_summary!N$26)</f>
        <v>1.1314410230604075</v>
      </c>
      <c r="O27" s="145">
        <f>IF(SER_hh_tesh!O27=0,0,SER_hh_tesh!O27/SER_summary!O$26)</f>
        <v>1.1483857189558013</v>
      </c>
      <c r="P27" s="145">
        <f>IF(SER_hh_tesh!P27=0,0,SER_hh_tesh!P27/SER_summary!P$26)</f>
        <v>1.1770258034158896</v>
      </c>
      <c r="Q27" s="145">
        <f>IF(SER_hh_tesh!Q27=0,0,SER_hh_tesh!Q27/SER_summary!Q$26)</f>
        <v>1.2003080256023897</v>
      </c>
      <c r="R27" s="145">
        <f>IF(SER_hh_tesh!R27=0,0,SER_hh_tesh!R27/SER_summary!R$26)</f>
        <v>1.2237672218012163</v>
      </c>
      <c r="S27" s="145">
        <f>IF(SER_hh_tesh!S27=0,0,SER_hh_tesh!S27/SER_summary!S$26)</f>
        <v>1.2483418107406037</v>
      </c>
      <c r="T27" s="145">
        <f>IF(SER_hh_tesh!T27=0,0,SER_hh_tesh!T27/SER_summary!T$26)</f>
        <v>1.2662624204325945</v>
      </c>
      <c r="U27" s="145">
        <f>IF(SER_hh_tesh!U27=0,0,SER_hh_tesh!U27/SER_summary!U$26)</f>
        <v>1.2796286507723023</v>
      </c>
      <c r="V27" s="145">
        <f>IF(SER_hh_tesh!V27=0,0,SER_hh_tesh!V27/SER_summary!V$26)</f>
        <v>1.3015980550923598</v>
      </c>
      <c r="W27" s="145">
        <f>IF(SER_hh_tesh!W27=0,0,SER_hh_tesh!W27/SER_summary!W$26)</f>
        <v>1.3401022627927996</v>
      </c>
      <c r="X27" s="145">
        <f>IF(SER_hh_tesh!X27=0,0,SER_hh_tesh!X27/SER_summary!X$26)</f>
        <v>1.4010511469242148</v>
      </c>
      <c r="Y27" s="145">
        <f>IF(SER_hh_tesh!Y27=0,0,SER_hh_tesh!Y27/SER_summary!Y$26)</f>
        <v>1.4714181918562468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16.453573082818757</v>
      </c>
      <c r="C28" s="146">
        <f>IF(SER_hh_tesh!C28=0,0,SER_hh_tesh!C28/SER_summary!C$26)</f>
        <v>17.203087309954</v>
      </c>
      <c r="D28" s="146">
        <f>IF(SER_hh_tesh!D28=0,0,SER_hh_tesh!D28/SER_summary!D$26)</f>
        <v>17.923284466016387</v>
      </c>
      <c r="E28" s="146">
        <f>IF(SER_hh_tesh!E28=0,0,SER_hh_tesh!E28/SER_summary!E$26)</f>
        <v>18.257872812059738</v>
      </c>
      <c r="F28" s="146">
        <f>IF(SER_hh_tesh!F28=0,0,SER_hh_tesh!F28/SER_summary!F$26)</f>
        <v>18.47728495218745</v>
      </c>
      <c r="G28" s="146">
        <f>IF(SER_hh_tesh!G28=0,0,SER_hh_tesh!G28/SER_summary!G$26)</f>
        <v>18.877598252231934</v>
      </c>
      <c r="H28" s="146">
        <f>IF(SER_hh_tesh!H28=0,0,SER_hh_tesh!H28/SER_summary!H$26)</f>
        <v>19.190093781849129</v>
      </c>
      <c r="I28" s="146">
        <f>IF(SER_hh_tesh!I28=0,0,SER_hh_tesh!I28/SER_summary!I$26)</f>
        <v>18.79076277866664</v>
      </c>
      <c r="J28" s="146">
        <f>IF(SER_hh_tesh!J28=0,0,SER_hh_tesh!J28/SER_summary!J$26)</f>
        <v>19.121231996215318</v>
      </c>
      <c r="K28" s="146">
        <f>IF(SER_hh_tesh!K28=0,0,SER_hh_tesh!K28/SER_summary!K$26)</f>
        <v>19.519423335815219</v>
      </c>
      <c r="L28" s="146">
        <f>IF(SER_hh_tesh!L28=0,0,SER_hh_tesh!L28/SER_summary!L$26)</f>
        <v>20.522460065895725</v>
      </c>
      <c r="M28" s="146">
        <f>IF(SER_hh_tesh!M28=0,0,SER_hh_tesh!M28/SER_summary!M$26)</f>
        <v>21.313231843594455</v>
      </c>
      <c r="N28" s="146">
        <f>IF(SER_hh_tesh!N28=0,0,SER_hh_tesh!N28/SER_summary!N$26)</f>
        <v>22.201292795191812</v>
      </c>
      <c r="O28" s="146">
        <f>IF(SER_hh_tesh!O28=0,0,SER_hh_tesh!O28/SER_summary!O$26)</f>
        <v>22.142149228121987</v>
      </c>
      <c r="P28" s="146">
        <f>IF(SER_hh_tesh!P28=0,0,SER_hh_tesh!P28/SER_summary!P$26)</f>
        <v>22.879672568815277</v>
      </c>
      <c r="Q28" s="146">
        <f>IF(SER_hh_tesh!Q28=0,0,SER_hh_tesh!Q28/SER_summary!Q$26)</f>
        <v>23.422959737607517</v>
      </c>
      <c r="R28" s="146">
        <f>IF(SER_hh_tesh!R28=0,0,SER_hh_tesh!R28/SER_summary!R$26)</f>
        <v>22.91066888402661</v>
      </c>
      <c r="S28" s="146">
        <f>IF(SER_hh_tesh!S28=0,0,SER_hh_tesh!S28/SER_summary!S$26)</f>
        <v>22.984791499679023</v>
      </c>
      <c r="T28" s="146">
        <f>IF(SER_hh_tesh!T28=0,0,SER_hh_tesh!T28/SER_summary!T$26)</f>
        <v>23.489649828680413</v>
      </c>
      <c r="U28" s="146">
        <f>IF(SER_hh_tesh!U28=0,0,SER_hh_tesh!U28/SER_summary!U$26)</f>
        <v>23.630487663393573</v>
      </c>
      <c r="V28" s="146">
        <f>IF(SER_hh_tesh!V28=0,0,SER_hh_tesh!V28/SER_summary!V$26)</f>
        <v>21.405749093732858</v>
      </c>
      <c r="W28" s="146">
        <f>IF(SER_hh_tesh!W28=0,0,SER_hh_tesh!W28/SER_summary!W$26)</f>
        <v>20.840490656996145</v>
      </c>
      <c r="X28" s="146">
        <f>IF(SER_hh_tesh!X28=0,0,SER_hh_tesh!X28/SER_summary!X$26)</f>
        <v>22.060123135368222</v>
      </c>
      <c r="Y28" s="146">
        <f>IF(SER_hh_tesh!Y28=0,0,SER_hh_tesh!Y28/SER_summary!Y$26)</f>
        <v>23.237268898733959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27.569684930054223</v>
      </c>
      <c r="C29" s="130">
        <f>IF(SER_hh_tesh!C29=0,0,SER_hh_tesh!C29/SER_summary!C$26)</f>
        <v>28.169265444259302</v>
      </c>
      <c r="D29" s="130">
        <f>IF(SER_hh_tesh!D29=0,0,SER_hh_tesh!D29/SER_summary!D$26)</f>
        <v>29.247249500677846</v>
      </c>
      <c r="E29" s="130">
        <f>IF(SER_hh_tesh!E29=0,0,SER_hh_tesh!E29/SER_summary!E$26)</f>
        <v>28.761301544524205</v>
      </c>
      <c r="F29" s="130">
        <f>IF(SER_hh_tesh!F29=0,0,SER_hh_tesh!F29/SER_summary!F$26)</f>
        <v>29.399008805743385</v>
      </c>
      <c r="G29" s="130">
        <f>IF(SER_hh_tesh!G29=0,0,SER_hh_tesh!G29/SER_summary!G$26)</f>
        <v>29.798139117286453</v>
      </c>
      <c r="H29" s="130">
        <f>IF(SER_hh_tesh!H29=0,0,SER_hh_tesh!H29/SER_summary!H$26)</f>
        <v>29.131447595016446</v>
      </c>
      <c r="I29" s="130">
        <f>IF(SER_hh_tesh!I29=0,0,SER_hh_tesh!I29/SER_summary!I$26)</f>
        <v>28.369693499716593</v>
      </c>
      <c r="J29" s="130">
        <f>IF(SER_hh_tesh!J29=0,0,SER_hh_tesh!J29/SER_summary!J$26)</f>
        <v>28.130467017857384</v>
      </c>
      <c r="K29" s="130">
        <f>IF(SER_hh_tesh!K29=0,0,SER_hh_tesh!K29/SER_summary!K$26)</f>
        <v>28.916183653980504</v>
      </c>
      <c r="L29" s="130">
        <f>IF(SER_hh_tesh!L29=0,0,SER_hh_tesh!L29/SER_summary!L$26)</f>
        <v>30.238772228870737</v>
      </c>
      <c r="M29" s="130">
        <f>IF(SER_hh_tesh!M29=0,0,SER_hh_tesh!M29/SER_summary!M$26)</f>
        <v>31.218226543265224</v>
      </c>
      <c r="N29" s="130">
        <f>IF(SER_hh_tesh!N29=0,0,SER_hh_tesh!N29/SER_summary!N$26)</f>
        <v>31.076061983926273</v>
      </c>
      <c r="O29" s="130">
        <f>IF(SER_hh_tesh!O29=0,0,SER_hh_tesh!O29/SER_summary!O$26)</f>
        <v>31.723686062366173</v>
      </c>
      <c r="P29" s="130">
        <f>IF(SER_hh_tesh!P29=0,0,SER_hh_tesh!P29/SER_summary!P$26)</f>
        <v>31.955621255210559</v>
      </c>
      <c r="Q29" s="130">
        <f>IF(SER_hh_tesh!Q29=0,0,SER_hh_tesh!Q29/SER_summary!Q$26)</f>
        <v>31.488636916694389</v>
      </c>
      <c r="R29" s="130">
        <f>IF(SER_hh_tesh!R29=0,0,SER_hh_tesh!R29/SER_summary!R$26)</f>
        <v>31.723213436549077</v>
      </c>
      <c r="S29" s="130">
        <f>IF(SER_hh_tesh!S29=0,0,SER_hh_tesh!S29/SER_summary!S$26)</f>
        <v>31.712284575636886</v>
      </c>
      <c r="T29" s="130">
        <f>IF(SER_hh_tesh!T29=0,0,SER_hh_tesh!T29/SER_summary!T$26)</f>
        <v>31.629243969406513</v>
      </c>
      <c r="U29" s="130">
        <f>IF(SER_hh_tesh!U29=0,0,SER_hh_tesh!U29/SER_summary!U$26)</f>
        <v>30.941265733625048</v>
      </c>
      <c r="V29" s="130">
        <f>IF(SER_hh_tesh!V29=0,0,SER_hh_tesh!V29/SER_summary!V$26)</f>
        <v>26.583687230360415</v>
      </c>
      <c r="W29" s="130">
        <f>IF(SER_hh_tesh!W29=0,0,SER_hh_tesh!W29/SER_summary!W$26)</f>
        <v>29.842808694254558</v>
      </c>
      <c r="X29" s="130">
        <f>IF(SER_hh_tesh!X29=0,0,SER_hh_tesh!X29/SER_summary!X$26)</f>
        <v>29.688863110812967</v>
      </c>
      <c r="Y29" s="130">
        <f>IF(SER_hh_tesh!Y29=0,0,SER_hh_tesh!Y29/SER_summary!Y$26)</f>
        <v>30.003818539527206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27.521922581798933</v>
      </c>
      <c r="C30" s="132">
        <f>IF(SER_hh_tesh!C30=0,0,SER_hh_tesh!C30/SER_summary!C$26)</f>
        <v>31.509165016329899</v>
      </c>
      <c r="D30" s="132">
        <f>IF(SER_hh_tesh!D30=0,0,SER_hh_tesh!D30/SER_summary!D$26)</f>
        <v>19.320466224391971</v>
      </c>
      <c r="E30" s="132">
        <f>IF(SER_hh_tesh!E30=0,0,SER_hh_tesh!E30/SER_summary!E$26)</f>
        <v>19.491372094742648</v>
      </c>
      <c r="F30" s="132">
        <f>IF(SER_hh_tesh!F30=0,0,SER_hh_tesh!F30/SER_summary!F$26)</f>
        <v>38.876452476563031</v>
      </c>
      <c r="G30" s="132">
        <f>IF(SER_hh_tesh!G30=0,0,SER_hh_tesh!G30/SER_summary!G$26)</f>
        <v>30.896110130728669</v>
      </c>
      <c r="H30" s="132">
        <f>IF(SER_hh_tesh!H30=0,0,SER_hh_tesh!H30/SER_summary!H$26)</f>
        <v>29.111179447232786</v>
      </c>
      <c r="I30" s="132">
        <f>IF(SER_hh_tesh!I30=0,0,SER_hh_tesh!I30/SER_summary!I$26)</f>
        <v>28.225194678857136</v>
      </c>
      <c r="J30" s="132">
        <f>IF(SER_hh_tesh!J30=0,0,SER_hh_tesh!J30/SER_summary!J$26)</f>
        <v>26.751740727017552</v>
      </c>
      <c r="K30" s="132">
        <f>IF(SER_hh_tesh!K30=0,0,SER_hh_tesh!K30/SER_summary!K$26)</f>
        <v>25.005625500285579</v>
      </c>
      <c r="L30" s="132">
        <f>IF(SER_hh_tesh!L30=0,0,SER_hh_tesh!L30/SER_summary!L$26)</f>
        <v>26.695697109307758</v>
      </c>
      <c r="M30" s="132">
        <f>IF(SER_hh_tesh!M30=0,0,SER_hh_tesh!M30/SER_summary!M$26)</f>
        <v>19.197931617511095</v>
      </c>
      <c r="N30" s="132">
        <f>IF(SER_hh_tesh!N30=0,0,SER_hh_tesh!N30/SER_summary!N$26)</f>
        <v>52.877775849646589</v>
      </c>
      <c r="O30" s="132">
        <f>IF(SER_hh_tesh!O30=0,0,SER_hh_tesh!O30/SER_summary!O$26)</f>
        <v>36.322212251791285</v>
      </c>
      <c r="P30" s="132">
        <f>IF(SER_hh_tesh!P30=0,0,SER_hh_tesh!P30/SER_summary!P$26)</f>
        <v>21.555489652389838</v>
      </c>
      <c r="Q30" s="132">
        <f>IF(SER_hh_tesh!Q30=0,0,SER_hh_tesh!Q30/SER_summary!Q$26)</f>
        <v>25.496796119778828</v>
      </c>
      <c r="R30" s="132">
        <f>IF(SER_hh_tesh!R30=0,0,SER_hh_tesh!R30/SER_summary!R$26)</f>
        <v>28.856458038076692</v>
      </c>
      <c r="S30" s="132">
        <f>IF(SER_hh_tesh!S30=0,0,SER_hh_tesh!S30/SER_summary!S$26)</f>
        <v>31.612231910799771</v>
      </c>
      <c r="T30" s="132">
        <f>IF(SER_hh_tesh!T30=0,0,SER_hh_tesh!T30/SER_summary!T$26)</f>
        <v>32.13936030984722</v>
      </c>
      <c r="U30" s="132">
        <f>IF(SER_hh_tesh!U30=0,0,SER_hh_tesh!U30/SER_summary!U$26)</f>
        <v>34.582164072173789</v>
      </c>
      <c r="V30" s="132">
        <f>IF(SER_hh_tesh!V30=0,0,SER_hh_tesh!V30/SER_summary!V$26)</f>
        <v>21.52170354980872</v>
      </c>
      <c r="W30" s="132">
        <f>IF(SER_hh_tesh!W30=0,0,SER_hh_tesh!W30/SER_summary!W$26)</f>
        <v>27.868212813342645</v>
      </c>
      <c r="X30" s="132">
        <f>IF(SER_hh_tesh!X30=0,0,SER_hh_tesh!X30/SER_summary!X$26)</f>
        <v>29.628729902372353</v>
      </c>
      <c r="Y30" s="132">
        <f>IF(SER_hh_tesh!Y30=0,0,SER_hh_tesh!Y30/SER_summary!Y$26)</f>
        <v>32.091353504469531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24.716849054241809</v>
      </c>
      <c r="C31" s="132">
        <f>IF(SER_hh_tesh!C31=0,0,SER_hh_tesh!C31/SER_summary!C$26)</f>
        <v>26.921783538489475</v>
      </c>
      <c r="D31" s="132">
        <f>IF(SER_hh_tesh!D31=0,0,SER_hh_tesh!D31/SER_summary!D$26)</f>
        <v>25.886318110637252</v>
      </c>
      <c r="E31" s="132">
        <f>IF(SER_hh_tesh!E31=0,0,SER_hh_tesh!E31/SER_summary!E$26)</f>
        <v>27.187007261085363</v>
      </c>
      <c r="F31" s="132">
        <f>IF(SER_hh_tesh!F31=0,0,SER_hh_tesh!F31/SER_summary!F$26)</f>
        <v>27.789526162445604</v>
      </c>
      <c r="G31" s="132">
        <f>IF(SER_hh_tesh!G31=0,0,SER_hh_tesh!G31/SER_summary!G$26)</f>
        <v>31.087996037821199</v>
      </c>
      <c r="H31" s="132">
        <f>IF(SER_hh_tesh!H31=0,0,SER_hh_tesh!H31/SER_summary!H$26)</f>
        <v>28.942713751338069</v>
      </c>
      <c r="I31" s="132">
        <f>IF(SER_hh_tesh!I31=0,0,SER_hh_tesh!I31/SER_summary!I$26)</f>
        <v>27.746132303239403</v>
      </c>
      <c r="J31" s="132">
        <f>IF(SER_hh_tesh!J31=0,0,SER_hh_tesh!J31/SER_summary!J$26)</f>
        <v>27.556493564757591</v>
      </c>
      <c r="K31" s="132">
        <f>IF(SER_hh_tesh!K31=0,0,SER_hh_tesh!K31/SER_summary!K$26)</f>
        <v>29.432197784771244</v>
      </c>
      <c r="L31" s="132">
        <f>IF(SER_hh_tesh!L31=0,0,SER_hh_tesh!L31/SER_summary!L$26)</f>
        <v>30.74660960041356</v>
      </c>
      <c r="M31" s="132">
        <f>IF(SER_hh_tesh!M31=0,0,SER_hh_tesh!M31/SER_summary!M$26)</f>
        <v>32.029151566058601</v>
      </c>
      <c r="N31" s="132">
        <f>IF(SER_hh_tesh!N31=0,0,SER_hh_tesh!N31/SER_summary!N$26)</f>
        <v>31.634572338373161</v>
      </c>
      <c r="O31" s="132">
        <f>IF(SER_hh_tesh!O31=0,0,SER_hh_tesh!O31/SER_summary!O$26)</f>
        <v>31.237014518565424</v>
      </c>
      <c r="P31" s="132">
        <f>IF(SER_hh_tesh!P31=0,0,SER_hh_tesh!P31/SER_summary!P$26)</f>
        <v>32.339485649420972</v>
      </c>
      <c r="Q31" s="132">
        <f>IF(SER_hh_tesh!Q31=0,0,SER_hh_tesh!Q31/SER_summary!Q$26)</f>
        <v>32.301091816049869</v>
      </c>
      <c r="R31" s="132">
        <f>IF(SER_hh_tesh!R31=0,0,SER_hh_tesh!R31/SER_summary!R$26)</f>
        <v>31.690122963567532</v>
      </c>
      <c r="S31" s="132">
        <f>IF(SER_hh_tesh!S31=0,0,SER_hh_tesh!S31/SER_summary!S$26)</f>
        <v>31.249226353948359</v>
      </c>
      <c r="T31" s="132">
        <f>IF(SER_hh_tesh!T31=0,0,SER_hh_tesh!T31/SER_summary!T$26)</f>
        <v>30.697221404968829</v>
      </c>
      <c r="U31" s="132">
        <f>IF(SER_hh_tesh!U31=0,0,SER_hh_tesh!U31/SER_summary!U$26)</f>
        <v>30.511590013930309</v>
      </c>
      <c r="V31" s="132">
        <f>IF(SER_hh_tesh!V31=0,0,SER_hh_tesh!V31/SER_summary!V$26)</f>
        <v>28.474587516518994</v>
      </c>
      <c r="W31" s="132">
        <f>IF(SER_hh_tesh!W31=0,0,SER_hh_tesh!W31/SER_summary!W$26)</f>
        <v>32.341949642898904</v>
      </c>
      <c r="X31" s="132">
        <f>IF(SER_hh_tesh!X31=0,0,SER_hh_tesh!X31/SER_summary!X$26)</f>
        <v>28.186541760642527</v>
      </c>
      <c r="Y31" s="132">
        <f>IF(SER_hh_tesh!Y31=0,0,SER_hh_tesh!Y31/SER_summary!Y$26)</f>
        <v>28.917584118151527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0</v>
      </c>
      <c r="C32" s="132">
        <f>IF(SER_hh_tesh!C32=0,0,SER_hh_tesh!C32/SER_summary!C$26)</f>
        <v>0</v>
      </c>
      <c r="D32" s="132">
        <f>IF(SER_hh_tesh!D32=0,0,SER_hh_tesh!D32/SER_summary!D$26)</f>
        <v>0</v>
      </c>
      <c r="E32" s="132">
        <f>IF(SER_hh_tesh!E32=0,0,SER_hh_tesh!E32/SER_summary!E$26)</f>
        <v>0</v>
      </c>
      <c r="F32" s="132">
        <f>IF(SER_hh_tesh!F32=0,0,SER_hh_tesh!F32/SER_summary!F$26)</f>
        <v>0</v>
      </c>
      <c r="G32" s="132">
        <f>IF(SER_hh_tesh!G32=0,0,SER_hh_tesh!G32/SER_summary!G$26)</f>
        <v>0</v>
      </c>
      <c r="H32" s="132">
        <f>IF(SER_hh_tesh!H32=0,0,SER_hh_tesh!H32/SER_summary!H$26)</f>
        <v>0</v>
      </c>
      <c r="I32" s="132">
        <f>IF(SER_hh_tesh!I32=0,0,SER_hh_tesh!I32/SER_summary!I$26)</f>
        <v>0</v>
      </c>
      <c r="J32" s="132">
        <f>IF(SER_hh_tesh!J32=0,0,SER_hh_tesh!J32/SER_summary!J$26)</f>
        <v>0</v>
      </c>
      <c r="K32" s="132">
        <f>IF(SER_hh_tesh!K32=0,0,SER_hh_tesh!K32/SER_summary!K$26)</f>
        <v>0</v>
      </c>
      <c r="L32" s="132">
        <f>IF(SER_hh_tesh!L32=0,0,SER_hh_tesh!L32/SER_summary!L$26)</f>
        <v>0</v>
      </c>
      <c r="M32" s="132">
        <f>IF(SER_hh_tesh!M32=0,0,SER_hh_tesh!M32/SER_summary!M$26)</f>
        <v>0</v>
      </c>
      <c r="N32" s="132">
        <f>IF(SER_hh_tesh!N32=0,0,SER_hh_tesh!N32/SER_summary!N$26)</f>
        <v>0</v>
      </c>
      <c r="O32" s="132">
        <f>IF(SER_hh_tesh!O32=0,0,SER_hh_tesh!O32/SER_summary!O$26)</f>
        <v>0</v>
      </c>
      <c r="P32" s="132">
        <f>IF(SER_hh_tesh!P32=0,0,SER_hh_tesh!P32/SER_summary!P$26)</f>
        <v>0</v>
      </c>
      <c r="Q32" s="132">
        <f>IF(SER_hh_tesh!Q32=0,0,SER_hh_tesh!Q32/SER_summary!Q$26)</f>
        <v>0</v>
      </c>
      <c r="R32" s="132">
        <f>IF(SER_hh_tesh!R32=0,0,SER_hh_tesh!R32/SER_summary!R$26)</f>
        <v>0</v>
      </c>
      <c r="S32" s="132">
        <f>IF(SER_hh_tesh!S32=0,0,SER_hh_tesh!S32/SER_summary!S$26)</f>
        <v>0</v>
      </c>
      <c r="T32" s="132">
        <f>IF(SER_hh_tesh!T32=0,0,SER_hh_tesh!T32/SER_summary!T$26)</f>
        <v>0</v>
      </c>
      <c r="U32" s="132">
        <f>IF(SER_hh_tesh!U32=0,0,SER_hh_tesh!U32/SER_summary!U$26)</f>
        <v>0</v>
      </c>
      <c r="V32" s="132">
        <f>IF(SER_hh_tesh!V32=0,0,SER_hh_tesh!V32/SER_summary!V$26)</f>
        <v>0</v>
      </c>
      <c r="W32" s="132">
        <f>IF(SER_hh_tesh!W32=0,0,SER_hh_tesh!W32/SER_summary!W$26)</f>
        <v>0</v>
      </c>
      <c r="X32" s="132">
        <f>IF(SER_hh_tesh!X32=0,0,SER_hh_tesh!X32/SER_summary!X$26)</f>
        <v>0</v>
      </c>
      <c r="Y32" s="132">
        <f>IF(SER_hh_tesh!Y32=0,0,SER_hh_tesh!Y32/SER_summary!Y$26)</f>
        <v>0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27.590966344051662</v>
      </c>
      <c r="C33" s="68">
        <f>IF(SER_hh_tesh!C33=0,0,SER_hh_tesh!C33/SER_summary!C$26)</f>
        <v>27.979426951386714</v>
      </c>
      <c r="D33" s="68">
        <f>IF(SER_hh_tesh!D33=0,0,SER_hh_tesh!D33/SER_summary!D$26)</f>
        <v>29.849462093740549</v>
      </c>
      <c r="E33" s="68">
        <f>IF(SER_hh_tesh!E33=0,0,SER_hh_tesh!E33/SER_summary!E$26)</f>
        <v>29.417996665106564</v>
      </c>
      <c r="F33" s="68">
        <f>IF(SER_hh_tesh!F33=0,0,SER_hh_tesh!F33/SER_summary!F$26)</f>
        <v>28.540777432537826</v>
      </c>
      <c r="G33" s="68">
        <f>IF(SER_hh_tesh!G33=0,0,SER_hh_tesh!G33/SER_summary!G$26)</f>
        <v>29.648355020622052</v>
      </c>
      <c r="H33" s="68">
        <f>IF(SER_hh_tesh!H33=0,0,SER_hh_tesh!H33/SER_summary!H$26)</f>
        <v>29.140193434174478</v>
      </c>
      <c r="I33" s="68">
        <f>IF(SER_hh_tesh!I33=0,0,SER_hh_tesh!I33/SER_summary!I$26)</f>
        <v>28.408688293314565</v>
      </c>
      <c r="J33" s="68">
        <f>IF(SER_hh_tesh!J33=0,0,SER_hh_tesh!J33/SER_summary!J$26)</f>
        <v>28.282307706433926</v>
      </c>
      <c r="K33" s="68">
        <f>IF(SER_hh_tesh!K33=0,0,SER_hh_tesh!K33/SER_summary!K$26)</f>
        <v>29.238804968115922</v>
      </c>
      <c r="L33" s="68">
        <f>IF(SER_hh_tesh!L33=0,0,SER_hh_tesh!L33/SER_summary!L$26)</f>
        <v>30.536779537003934</v>
      </c>
      <c r="M33" s="68">
        <f>IF(SER_hh_tesh!M33=0,0,SER_hh_tesh!M33/SER_summary!M$26)</f>
        <v>32.544349868028355</v>
      </c>
      <c r="N33" s="68">
        <f>IF(SER_hh_tesh!N33=0,0,SER_hh_tesh!N33/SER_summary!N$26)</f>
        <v>28.012732666676992</v>
      </c>
      <c r="O33" s="68">
        <f>IF(SER_hh_tesh!O33=0,0,SER_hh_tesh!O33/SER_summary!O$26)</f>
        <v>31.145993414967226</v>
      </c>
      <c r="P33" s="68">
        <f>IF(SER_hh_tesh!P33=0,0,SER_hh_tesh!P33/SER_summary!P$26)</f>
        <v>33.089923430313092</v>
      </c>
      <c r="Q33" s="68">
        <f>IF(SER_hh_tesh!Q33=0,0,SER_hh_tesh!Q33/SER_summary!Q$26)</f>
        <v>32.080882960674892</v>
      </c>
      <c r="R33" s="68">
        <f>IF(SER_hh_tesh!R33=0,0,SER_hh_tesh!R33/SER_summary!R$26)</f>
        <v>32.06064031285284</v>
      </c>
      <c r="S33" s="68">
        <f>IF(SER_hh_tesh!S33=0,0,SER_hh_tesh!S33/SER_summary!S$26)</f>
        <v>31.763232683486265</v>
      </c>
      <c r="T33" s="68">
        <f>IF(SER_hh_tesh!T33=0,0,SER_hh_tesh!T33/SER_summary!T$26)</f>
        <v>31.642718149394668</v>
      </c>
      <c r="U33" s="68">
        <f>IF(SER_hh_tesh!U33=0,0,SER_hh_tesh!U33/SER_summary!U$26)</f>
        <v>30.476446603941035</v>
      </c>
      <c r="V33" s="68">
        <f>IF(SER_hh_tesh!V33=0,0,SER_hh_tesh!V33/SER_summary!V$26)</f>
        <v>27.123397295799364</v>
      </c>
      <c r="W33" s="68">
        <f>IF(SER_hh_tesh!W33=0,0,SER_hh_tesh!W33/SER_summary!W$26)</f>
        <v>29.958272759976875</v>
      </c>
      <c r="X33" s="68">
        <f>IF(SER_hh_tesh!X33=0,0,SER_hh_tesh!X33/SER_summary!X$26)</f>
        <v>29.81447172959313</v>
      </c>
      <c r="Y33" s="68">
        <f>IF(SER_hh_tesh!Y33=0,0,SER_hh_tesh!Y33/SER_summary!Y$26)</f>
        <v>29.567388382311769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10.518361395115026</v>
      </c>
      <c r="C3" s="125">
        <f>IF(SER_hh_emih!C3=0,0,SER_hh_emih!C3/SER_summary!C$26)</f>
        <v>13.092932920040335</v>
      </c>
      <c r="D3" s="125">
        <f>IF(SER_hh_emih!D3=0,0,SER_hh_emih!D3/SER_summary!D$26)</f>
        <v>12.895166930972774</v>
      </c>
      <c r="E3" s="125">
        <f>IF(SER_hh_emih!E3=0,0,SER_hh_emih!E3/SER_summary!E$26)</f>
        <v>13.566722837689486</v>
      </c>
      <c r="F3" s="125">
        <f>IF(SER_hh_emih!F3=0,0,SER_hh_emih!F3/SER_summary!F$26)</f>
        <v>14.077792088689996</v>
      </c>
      <c r="G3" s="125">
        <f>IF(SER_hh_emih!G3=0,0,SER_hh_emih!G3/SER_summary!G$26)</f>
        <v>17.19284369076184</v>
      </c>
      <c r="H3" s="125">
        <f>IF(SER_hh_emih!H3=0,0,SER_hh_emih!H3/SER_summary!H$26)</f>
        <v>17.230441144913016</v>
      </c>
      <c r="I3" s="125">
        <f>IF(SER_hh_emih!I3=0,0,SER_hh_emih!I3/SER_summary!I$26)</f>
        <v>15.743705418176228</v>
      </c>
      <c r="J3" s="125">
        <f>IF(SER_hh_emih!J3=0,0,SER_hh_emih!J3/SER_summary!J$26)</f>
        <v>15.417133656997986</v>
      </c>
      <c r="K3" s="125">
        <f>IF(SER_hh_emih!K3=0,0,SER_hh_emih!K3/SER_summary!K$26)</f>
        <v>12.590117722213709</v>
      </c>
      <c r="L3" s="125">
        <f>IF(SER_hh_emih!L3=0,0,SER_hh_emih!L3/SER_summary!L$26)</f>
        <v>11.582344371478483</v>
      </c>
      <c r="M3" s="125">
        <f>IF(SER_hh_emih!M3=0,0,SER_hh_emih!M3/SER_summary!M$26)</f>
        <v>11.675661591867712</v>
      </c>
      <c r="N3" s="125">
        <f>IF(SER_hh_emih!N3=0,0,SER_hh_emih!N3/SER_summary!N$26)</f>
        <v>8.6812199962142351</v>
      </c>
      <c r="O3" s="125">
        <f>IF(SER_hh_emih!O3=0,0,SER_hh_emih!O3/SER_summary!O$26)</f>
        <v>9.2887206537871609</v>
      </c>
      <c r="P3" s="125">
        <f>IF(SER_hh_emih!P3=0,0,SER_hh_emih!P3/SER_summary!P$26)</f>
        <v>6.6438219063413735</v>
      </c>
      <c r="Q3" s="125">
        <f>IF(SER_hh_emih!Q3=0,0,SER_hh_emih!Q3/SER_summary!Q$26)</f>
        <v>7.8975741765303082</v>
      </c>
      <c r="R3" s="125">
        <f>IF(SER_hh_emih!R3=0,0,SER_hh_emih!R3/SER_summary!R$26)</f>
        <v>9.340639025950729</v>
      </c>
      <c r="S3" s="125">
        <f>IF(SER_hh_emih!S3=0,0,SER_hh_emih!S3/SER_summary!S$26)</f>
        <v>7.5779625827556893</v>
      </c>
      <c r="T3" s="125">
        <f>IF(SER_hh_emih!T3=0,0,SER_hh_emih!T3/SER_summary!T$26)</f>
        <v>7.2334715112159147</v>
      </c>
      <c r="U3" s="125">
        <f>IF(SER_hh_emih!U3=0,0,SER_hh_emih!U3/SER_summary!U$26)</f>
        <v>7.5363691519865945</v>
      </c>
      <c r="V3" s="125">
        <f>IF(SER_hh_emih!V3=0,0,SER_hh_emih!V3/SER_summary!V$26)</f>
        <v>5.9679655152100324</v>
      </c>
      <c r="W3" s="125">
        <f>IF(SER_hh_emih!W3=0,0,SER_hh_emih!W3/SER_summary!W$26)</f>
        <v>6.352732275517317</v>
      </c>
      <c r="X3" s="125">
        <f>IF(SER_hh_emih!X3=0,0,SER_hh_emih!X3/SER_summary!X$26)</f>
        <v>6.2585751614292642</v>
      </c>
      <c r="Y3" s="125">
        <f>IF(SER_hh_emih!Y3=0,0,SER_hh_emih!Y3/SER_summary!Y$26)</f>
        <v>6.7506920515509714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8.9172992965510662</v>
      </c>
      <c r="C4" s="130">
        <f>IF(SER_hh_emih!C4=0,0,SER_hh_emih!C4/SER_summary!C$26)</f>
        <v>11.391491246635479</v>
      </c>
      <c r="D4" s="130">
        <f>IF(SER_hh_emih!D4=0,0,SER_hh_emih!D4/SER_summary!D$26)</f>
        <v>11.440311650174724</v>
      </c>
      <c r="E4" s="130">
        <f>IF(SER_hh_emih!E4=0,0,SER_hh_emih!E4/SER_summary!E$26)</f>
        <v>11.969026789399859</v>
      </c>
      <c r="F4" s="130">
        <f>IF(SER_hh_emih!F4=0,0,SER_hh_emih!F4/SER_summary!F$26)</f>
        <v>11.463526940862764</v>
      </c>
      <c r="G4" s="130">
        <f>IF(SER_hh_emih!G4=0,0,SER_hh_emih!G4/SER_summary!G$26)</f>
        <v>14.501612611192884</v>
      </c>
      <c r="H4" s="130">
        <f>IF(SER_hh_emih!H4=0,0,SER_hh_emih!H4/SER_summary!H$26)</f>
        <v>14.542447860938561</v>
      </c>
      <c r="I4" s="130">
        <f>IF(SER_hh_emih!I4=0,0,SER_hh_emih!I4/SER_summary!I$26)</f>
        <v>13.005867062574607</v>
      </c>
      <c r="J4" s="130">
        <f>IF(SER_hh_emih!J4=0,0,SER_hh_emih!J4/SER_summary!J$26)</f>
        <v>12.62187312768712</v>
      </c>
      <c r="K4" s="130">
        <f>IF(SER_hh_emih!K4=0,0,SER_hh_emih!K4/SER_summary!K$26)</f>
        <v>9.693830879076117</v>
      </c>
      <c r="L4" s="130">
        <f>IF(SER_hh_emih!L4=0,0,SER_hh_emih!L4/SER_summary!L$26)</f>
        <v>8.2994078092658423</v>
      </c>
      <c r="M4" s="130">
        <f>IF(SER_hh_emih!M4=0,0,SER_hh_emih!M4/SER_summary!M$26)</f>
        <v>8.4500283959908025</v>
      </c>
      <c r="N4" s="130">
        <f>IF(SER_hh_emih!N4=0,0,SER_hh_emih!N4/SER_summary!N$26)</f>
        <v>3.6041458043537351</v>
      </c>
      <c r="O4" s="130">
        <f>IF(SER_hh_emih!O4=0,0,SER_hh_emih!O4/SER_summary!O$26)</f>
        <v>5.0312773351417448</v>
      </c>
      <c r="P4" s="130">
        <f>IF(SER_hh_emih!P4=0,0,SER_hh_emih!P4/SER_summary!P$26)</f>
        <v>3.2040125525678143</v>
      </c>
      <c r="Q4" s="130">
        <f>IF(SER_hh_emih!Q4=0,0,SER_hh_emih!Q4/SER_summary!Q$26)</f>
        <v>4.2377134399508432</v>
      </c>
      <c r="R4" s="130">
        <f>IF(SER_hh_emih!R4=0,0,SER_hh_emih!R4/SER_summary!R$26)</f>
        <v>5.491906015370831</v>
      </c>
      <c r="S4" s="130">
        <f>IF(SER_hh_emih!S4=0,0,SER_hh_emih!S4/SER_summary!S$26)</f>
        <v>3.5564250981302177</v>
      </c>
      <c r="T4" s="130">
        <f>IF(SER_hh_emih!T4=0,0,SER_hh_emih!T4/SER_summary!T$26)</f>
        <v>3.2578412010590037</v>
      </c>
      <c r="U4" s="130">
        <f>IF(SER_hh_emih!U4=0,0,SER_hh_emih!U4/SER_summary!U$26)</f>
        <v>3.4512629553666105</v>
      </c>
      <c r="V4" s="130">
        <f>IF(SER_hh_emih!V4=0,0,SER_hh_emih!V4/SER_summary!V$26)</f>
        <v>2.9554386573251352</v>
      </c>
      <c r="W4" s="130">
        <f>IF(SER_hh_emih!W4=0,0,SER_hh_emih!W4/SER_summary!W$26)</f>
        <v>2.6881721948628905</v>
      </c>
      <c r="X4" s="130">
        <f>IF(SER_hh_emih!X4=0,0,SER_hh_emih!X4/SER_summary!X$26)</f>
        <v>2.5541216046664879</v>
      </c>
      <c r="Y4" s="130">
        <f>IF(SER_hh_emih!Y4=0,0,SER_hh_emih!Y4/SER_summary!Y$26)</f>
        <v>2.7058843383673805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0</v>
      </c>
      <c r="C5" s="132">
        <f>IF(SER_hh_emih!C5=0,0,SER_hh_emih!C5/SER_summary!C$26)</f>
        <v>0</v>
      </c>
      <c r="D5" s="132">
        <f>IF(SER_hh_emih!D5=0,0,SER_hh_emih!D5/SER_summary!D$26)</f>
        <v>0</v>
      </c>
      <c r="E5" s="132">
        <f>IF(SER_hh_emih!E5=0,0,SER_hh_emih!E5/SER_summary!E$26)</f>
        <v>0</v>
      </c>
      <c r="F5" s="132">
        <f>IF(SER_hh_emih!F5=0,0,SER_hh_emih!F5/SER_summary!F$26)</f>
        <v>0</v>
      </c>
      <c r="G5" s="132">
        <f>IF(SER_hh_emih!G5=0,0,SER_hh_emih!G5/SER_summary!G$26)</f>
        <v>0</v>
      </c>
      <c r="H5" s="132">
        <f>IF(SER_hh_emih!H5=0,0,SER_hh_emih!H5/SER_summary!H$26)</f>
        <v>0</v>
      </c>
      <c r="I5" s="132">
        <f>IF(SER_hh_emih!I5=0,0,SER_hh_emih!I5/SER_summary!I$26)</f>
        <v>0</v>
      </c>
      <c r="J5" s="132">
        <f>IF(SER_hh_emih!J5=0,0,SER_hh_emih!J5/SER_summary!J$26)</f>
        <v>0</v>
      </c>
      <c r="K5" s="132">
        <f>IF(SER_hh_emih!K5=0,0,SER_hh_emih!K5/SER_summary!K$26)</f>
        <v>0</v>
      </c>
      <c r="L5" s="132">
        <f>IF(SER_hh_emih!L5=0,0,SER_hh_emih!L5/SER_summary!L$26)</f>
        <v>0</v>
      </c>
      <c r="M5" s="132">
        <f>IF(SER_hh_emih!M5=0,0,SER_hh_emih!M5/SER_summary!M$26)</f>
        <v>0</v>
      </c>
      <c r="N5" s="132">
        <f>IF(SER_hh_emih!N5=0,0,SER_hh_emih!N5/SER_summary!N$26)</f>
        <v>0</v>
      </c>
      <c r="O5" s="132">
        <f>IF(SER_hh_emih!O5=0,0,SER_hh_emih!O5/SER_summary!O$26)</f>
        <v>0</v>
      </c>
      <c r="P5" s="132">
        <f>IF(SER_hh_emih!P5=0,0,SER_hh_emih!P5/SER_summary!P$26)</f>
        <v>0</v>
      </c>
      <c r="Q5" s="132">
        <f>IF(SER_hh_emih!Q5=0,0,SER_hh_emih!Q5/SER_summary!Q$26)</f>
        <v>0</v>
      </c>
      <c r="R5" s="132">
        <f>IF(SER_hh_emih!R5=0,0,SER_hh_emih!R5/SER_summary!R$26)</f>
        <v>0</v>
      </c>
      <c r="S5" s="132">
        <f>IF(SER_hh_emih!S5=0,0,SER_hh_emih!S5/SER_summary!S$26)</f>
        <v>0</v>
      </c>
      <c r="T5" s="132">
        <f>IF(SER_hh_emih!T5=0,0,SER_hh_emih!T5/SER_summary!T$26)</f>
        <v>0</v>
      </c>
      <c r="U5" s="132">
        <f>IF(SER_hh_emih!U5=0,0,SER_hh_emih!U5/SER_summary!U$26)</f>
        <v>0</v>
      </c>
      <c r="V5" s="132">
        <f>IF(SER_hh_emih!V5=0,0,SER_hh_emih!V5/SER_summary!V$26)</f>
        <v>0</v>
      </c>
      <c r="W5" s="132">
        <f>IF(SER_hh_emih!W5=0,0,SER_hh_emih!W5/SER_summary!W$26)</f>
        <v>0</v>
      </c>
      <c r="X5" s="132">
        <f>IF(SER_hh_emih!X5=0,0,SER_hh_emih!X5/SER_summary!X$26)</f>
        <v>36.690448374975809</v>
      </c>
      <c r="Y5" s="132">
        <f>IF(SER_hh_emih!Y5=0,0,SER_hh_emih!Y5/SER_summary!Y$26)</f>
        <v>59.414005254222985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0</v>
      </c>
      <c r="C6" s="132">
        <f>IF(SER_hh_emih!C6=0,0,SER_hh_emih!C6/SER_summary!C$26)</f>
        <v>0</v>
      </c>
      <c r="D6" s="132">
        <f>IF(SER_hh_emih!D6=0,0,SER_hh_emih!D6/SER_summary!D$26)</f>
        <v>0</v>
      </c>
      <c r="E6" s="132">
        <f>IF(SER_hh_emih!E6=0,0,SER_hh_emih!E6/SER_summary!E$26)</f>
        <v>0</v>
      </c>
      <c r="F6" s="132">
        <f>IF(SER_hh_emih!F6=0,0,SER_hh_emih!F6/SER_summary!F$26)</f>
        <v>0</v>
      </c>
      <c r="G6" s="132">
        <f>IF(SER_hh_emih!G6=0,0,SER_hh_emih!G6/SER_summary!G$26)</f>
        <v>0</v>
      </c>
      <c r="H6" s="132">
        <f>IF(SER_hh_emih!H6=0,0,SER_hh_emih!H6/SER_summary!H$26)</f>
        <v>0</v>
      </c>
      <c r="I6" s="132">
        <f>IF(SER_hh_emih!I6=0,0,SER_hh_emih!I6/SER_summary!I$26)</f>
        <v>0</v>
      </c>
      <c r="J6" s="132">
        <f>IF(SER_hh_emih!J6=0,0,SER_hh_emih!J6/SER_summary!J$26)</f>
        <v>0</v>
      </c>
      <c r="K6" s="132">
        <f>IF(SER_hh_emih!K6=0,0,SER_hh_emih!K6/SER_summary!K$26)</f>
        <v>0</v>
      </c>
      <c r="L6" s="132">
        <f>IF(SER_hh_emih!L6=0,0,SER_hh_emih!L6/SER_summary!L$26)</f>
        <v>0</v>
      </c>
      <c r="M6" s="132">
        <f>IF(SER_hh_emih!M6=0,0,SER_hh_emih!M6/SER_summary!M$26)</f>
        <v>0</v>
      </c>
      <c r="N6" s="132">
        <f>IF(SER_hh_emih!N6=0,0,SER_hh_emih!N6/SER_summary!N$26)</f>
        <v>0</v>
      </c>
      <c r="O6" s="132">
        <f>IF(SER_hh_emih!O6=0,0,SER_hh_emih!O6/SER_summary!O$26)</f>
        <v>0</v>
      </c>
      <c r="P6" s="132">
        <f>IF(SER_hh_emih!P6=0,0,SER_hh_emih!P6/SER_summary!P$26)</f>
        <v>0</v>
      </c>
      <c r="Q6" s="132">
        <f>IF(SER_hh_emih!Q6=0,0,SER_hh_emih!Q6/SER_summary!Q$26)</f>
        <v>0</v>
      </c>
      <c r="R6" s="132">
        <f>IF(SER_hh_emih!R6=0,0,SER_hh_emih!R6/SER_summary!R$26)</f>
        <v>0</v>
      </c>
      <c r="S6" s="132">
        <f>IF(SER_hh_emih!S6=0,0,SER_hh_emih!S6/SER_summary!S$26)</f>
        <v>0</v>
      </c>
      <c r="T6" s="132">
        <f>IF(SER_hh_emih!T6=0,0,SER_hh_emih!T6/SER_summary!T$26)</f>
        <v>0</v>
      </c>
      <c r="U6" s="132">
        <f>IF(SER_hh_emih!U6=0,0,SER_hh_emih!U6/SER_summary!U$26)</f>
        <v>0</v>
      </c>
      <c r="V6" s="132">
        <f>IF(SER_hh_emih!V6=0,0,SER_hh_emih!V6/SER_summary!V$26)</f>
        <v>0</v>
      </c>
      <c r="W6" s="132">
        <f>IF(SER_hh_emih!W6=0,0,SER_hh_emih!W6/SER_summary!W$26)</f>
        <v>0</v>
      </c>
      <c r="X6" s="132">
        <f>IF(SER_hh_emih!X6=0,0,SER_hh_emih!X6/SER_summary!X$26)</f>
        <v>0</v>
      </c>
      <c r="Y6" s="132">
        <f>IF(SER_hh_emih!Y6=0,0,SER_hh_emih!Y6/SER_summary!Y$26)</f>
        <v>0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19.221178689986207</v>
      </c>
      <c r="C7" s="132">
        <f>IF(SER_hh_emih!C7=0,0,SER_hh_emih!C7/SER_summary!C$26)</f>
        <v>23.413315045576034</v>
      </c>
      <c r="D7" s="132">
        <f>IF(SER_hh_emih!D7=0,0,SER_hh_emih!D7/SER_summary!D$26)</f>
        <v>24.35863575529909</v>
      </c>
      <c r="E7" s="132">
        <f>IF(SER_hh_emih!E7=0,0,SER_hh_emih!E7/SER_summary!E$26)</f>
        <v>26.189676582813114</v>
      </c>
      <c r="F7" s="132">
        <f>IF(SER_hh_emih!F7=0,0,SER_hh_emih!F7/SER_summary!F$26)</f>
        <v>26.787077447552246</v>
      </c>
      <c r="G7" s="132">
        <f>IF(SER_hh_emih!G7=0,0,SER_hh_emih!G7/SER_summary!G$26)</f>
        <v>34.219172841277953</v>
      </c>
      <c r="H7" s="132">
        <f>IF(SER_hh_emih!H7=0,0,SER_hh_emih!H7/SER_summary!H$26)</f>
        <v>37.217295220552387</v>
      </c>
      <c r="I7" s="132">
        <f>IF(SER_hh_emih!I7=0,0,SER_hh_emih!I7/SER_summary!I$26)</f>
        <v>37.146151460861709</v>
      </c>
      <c r="J7" s="132">
        <f>IF(SER_hh_emih!J7=0,0,SER_hh_emih!J7/SER_summary!J$26)</f>
        <v>40.827031713237105</v>
      </c>
      <c r="K7" s="132">
        <f>IF(SER_hh_emih!K7=0,0,SER_hh_emih!K7/SER_summary!K$26)</f>
        <v>34.052051546998896</v>
      </c>
      <c r="L7" s="132">
        <f>IF(SER_hh_emih!L7=0,0,SER_hh_emih!L7/SER_summary!L$26)</f>
        <v>32.693034944342386</v>
      </c>
      <c r="M7" s="132">
        <f>IF(SER_hh_emih!M7=0,0,SER_hh_emih!M7/SER_summary!M$26)</f>
        <v>32.829783110652635</v>
      </c>
      <c r="N7" s="132">
        <f>IF(SER_hh_emih!N7=0,0,SER_hh_emih!N7/SER_summary!N$26)</f>
        <v>15.10038420320687</v>
      </c>
      <c r="O7" s="132">
        <f>IF(SER_hh_emih!O7=0,0,SER_hh_emih!O7/SER_summary!O$26)</f>
        <v>36.488844850613788</v>
      </c>
      <c r="P7" s="132">
        <f>IF(SER_hh_emih!P7=0,0,SER_hh_emih!P7/SER_summary!P$26)</f>
        <v>24.068162419343363</v>
      </c>
      <c r="Q7" s="132">
        <f>IF(SER_hh_emih!Q7=0,0,SER_hh_emih!Q7/SER_summary!Q$26)</f>
        <v>28.67272487467412</v>
      </c>
      <c r="R7" s="132">
        <f>IF(SER_hh_emih!R7=0,0,SER_hh_emih!R7/SER_summary!R$26)</f>
        <v>60.442645827912102</v>
      </c>
      <c r="S7" s="132">
        <f>IF(SER_hh_emih!S7=0,0,SER_hh_emih!S7/SER_summary!S$26)</f>
        <v>32.615426108215168</v>
      </c>
      <c r="T7" s="132">
        <f>IF(SER_hh_emih!T7=0,0,SER_hh_emih!T7/SER_summary!T$26)</f>
        <v>33.015707566655358</v>
      </c>
      <c r="U7" s="132">
        <f>IF(SER_hh_emih!U7=0,0,SER_hh_emih!U7/SER_summary!U$26)</f>
        <v>38.619799097104135</v>
      </c>
      <c r="V7" s="132">
        <f>IF(SER_hh_emih!V7=0,0,SER_hh_emih!V7/SER_summary!V$26)</f>
        <v>38.972632815265889</v>
      </c>
      <c r="W7" s="132">
        <f>IF(SER_hh_emih!W7=0,0,SER_hh_emih!W7/SER_summary!W$26)</f>
        <v>24.610003670493764</v>
      </c>
      <c r="X7" s="132">
        <f>IF(SER_hh_emih!X7=0,0,SER_hh_emih!X7/SER_summary!X$26)</f>
        <v>37.979926503546402</v>
      </c>
      <c r="Y7" s="132">
        <f>IF(SER_hh_emih!Y7=0,0,SER_hh_emih!Y7/SER_summary!Y$26)</f>
        <v>34.66185344617373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4.9344744903198308</v>
      </c>
      <c r="C8" s="132">
        <f>IF(SER_hh_emih!C8=0,0,SER_hh_emih!C8/SER_summary!C$26)</f>
        <v>5.0188174427482473</v>
      </c>
      <c r="D8" s="132">
        <f>IF(SER_hh_emih!D8=0,0,SER_hh_emih!D8/SER_summary!D$26)</f>
        <v>5.0206198989126634</v>
      </c>
      <c r="E8" s="132">
        <f>IF(SER_hh_emih!E8=0,0,SER_hh_emih!E8/SER_summary!E$26)</f>
        <v>5.0931180827377265</v>
      </c>
      <c r="F8" s="132">
        <f>IF(SER_hh_emih!F8=0,0,SER_hh_emih!F8/SER_summary!F$26)</f>
        <v>5.9448016256326355</v>
      </c>
      <c r="G8" s="132">
        <f>IF(SER_hh_emih!G8=0,0,SER_hh_emih!G8/SER_summary!G$26)</f>
        <v>7.1549539607681139</v>
      </c>
      <c r="H8" s="132">
        <f>IF(SER_hh_emih!H8=0,0,SER_hh_emih!H8/SER_summary!H$26)</f>
        <v>7.1416594874301724</v>
      </c>
      <c r="I8" s="132">
        <f>IF(SER_hh_emih!I8=0,0,SER_hh_emih!I8/SER_summary!I$26)</f>
        <v>7.2456508952129477</v>
      </c>
      <c r="J8" s="132">
        <f>IF(SER_hh_emih!J8=0,0,SER_hh_emih!J8/SER_summary!J$26)</f>
        <v>7.1268655952053033</v>
      </c>
      <c r="K8" s="132">
        <f>IF(SER_hh_emih!K8=0,0,SER_hh_emih!K8/SER_summary!K$26)</f>
        <v>6.2576396480584684</v>
      </c>
      <c r="L8" s="132">
        <f>IF(SER_hh_emih!L8=0,0,SER_hh_emih!L8/SER_summary!L$26)</f>
        <v>4.8777203068530337</v>
      </c>
      <c r="M8" s="132">
        <f>IF(SER_hh_emih!M8=0,0,SER_hh_emih!M8/SER_summary!M$26)</f>
        <v>3.3717560081480733</v>
      </c>
      <c r="N8" s="132">
        <f>IF(SER_hh_emih!N8=0,0,SER_hh_emih!N8/SER_summary!N$26)</f>
        <v>2.1595756466171285</v>
      </c>
      <c r="O8" s="132">
        <f>IF(SER_hh_emih!O8=0,0,SER_hh_emih!O8/SER_summary!O$26)</f>
        <v>2.5308289293668085</v>
      </c>
      <c r="P8" s="132">
        <f>IF(SER_hh_emih!P8=0,0,SER_hh_emih!P8/SER_summary!P$26)</f>
        <v>3.8290828301780584</v>
      </c>
      <c r="Q8" s="132">
        <f>IF(SER_hh_emih!Q8=0,0,SER_hh_emih!Q8/SER_summary!Q$26)</f>
        <v>6.2084276352850702</v>
      </c>
      <c r="R8" s="132">
        <f>IF(SER_hh_emih!R8=0,0,SER_hh_emih!R8/SER_summary!R$26)</f>
        <v>5.5478997314772558</v>
      </c>
      <c r="S8" s="132">
        <f>IF(SER_hh_emih!S8=0,0,SER_hh_emih!S8/SER_summary!S$26)</f>
        <v>5.2650732051211762</v>
      </c>
      <c r="T8" s="132">
        <f>IF(SER_hh_emih!T8=0,0,SER_hh_emih!T8/SER_summary!T$26)</f>
        <v>5.0825732066108511</v>
      </c>
      <c r="U8" s="132">
        <f>IF(SER_hh_emih!U8=0,0,SER_hh_emih!U8/SER_summary!U$26)</f>
        <v>4.7858299301933274</v>
      </c>
      <c r="V8" s="132">
        <f>IF(SER_hh_emih!V8=0,0,SER_hh_emih!V8/SER_summary!V$26)</f>
        <v>5.1523661897665294</v>
      </c>
      <c r="W8" s="132">
        <f>IF(SER_hh_emih!W8=0,0,SER_hh_emih!W8/SER_summary!W$26)</f>
        <v>5.4501903627299155</v>
      </c>
      <c r="X8" s="132">
        <f>IF(SER_hh_emih!X8=0,0,SER_hh_emih!X8/SER_summary!X$26)</f>
        <v>5.5132837961715291</v>
      </c>
      <c r="Y8" s="132">
        <f>IF(SER_hh_emih!Y8=0,0,SER_hh_emih!Y8/SER_summary!Y$26)</f>
        <v>6.1519037358917261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11.424845658093592</v>
      </c>
      <c r="C9" s="132">
        <f>IF(SER_hh_emih!C9=0,0,SER_hh_emih!C9/SER_summary!C$26)</f>
        <v>12.608998501417608</v>
      </c>
      <c r="D9" s="132">
        <f>IF(SER_hh_emih!D9=0,0,SER_hh_emih!D9/SER_summary!D$26)</f>
        <v>12.318689809504809</v>
      </c>
      <c r="E9" s="132">
        <f>IF(SER_hh_emih!E9=0,0,SER_hh_emih!E9/SER_summary!E$26)</f>
        <v>13.788099829071458</v>
      </c>
      <c r="F9" s="132">
        <f>IF(SER_hh_emih!F9=0,0,SER_hh_emih!F9/SER_summary!F$26)</f>
        <v>16.966597628197771</v>
      </c>
      <c r="G9" s="132">
        <f>IF(SER_hh_emih!G9=0,0,SER_hh_emih!G9/SER_summary!G$26)</f>
        <v>21.756844205228909</v>
      </c>
      <c r="H9" s="132">
        <f>IF(SER_hh_emih!H9=0,0,SER_hh_emih!H9/SER_summary!H$26)</f>
        <v>22.662395648313517</v>
      </c>
      <c r="I9" s="132">
        <f>IF(SER_hh_emih!I9=0,0,SER_hh_emih!I9/SER_summary!I$26)</f>
        <v>22.887553120981089</v>
      </c>
      <c r="J9" s="132">
        <f>IF(SER_hh_emih!J9=0,0,SER_hh_emih!J9/SER_summary!J$26)</f>
        <v>26.104195929272297</v>
      </c>
      <c r="K9" s="132">
        <f>IF(SER_hh_emih!K9=0,0,SER_hh_emih!K9/SER_summary!K$26)</f>
        <v>24.769832322040564</v>
      </c>
      <c r="L9" s="132">
        <f>IF(SER_hh_emih!L9=0,0,SER_hh_emih!L9/SER_summary!L$26)</f>
        <v>18.916561667983906</v>
      </c>
      <c r="M9" s="132">
        <f>IF(SER_hh_emih!M9=0,0,SER_hh_emih!M9/SER_summary!M$26)</f>
        <v>24.879243525310709</v>
      </c>
      <c r="N9" s="132">
        <f>IF(SER_hh_emih!N9=0,0,SER_hh_emih!N9/SER_summary!N$26)</f>
        <v>18.811346180833048</v>
      </c>
      <c r="O9" s="132">
        <f>IF(SER_hh_emih!O9=0,0,SER_hh_emih!O9/SER_summary!O$26)</f>
        <v>16.875082116583808</v>
      </c>
      <c r="P9" s="132">
        <f>IF(SER_hh_emih!P9=0,0,SER_hh_emih!P9/SER_summary!P$26)</f>
        <v>18.349001462829818</v>
      </c>
      <c r="Q9" s="132">
        <f>IF(SER_hh_emih!Q9=0,0,SER_hh_emih!Q9/SER_summary!Q$26)</f>
        <v>29.27296209827227</v>
      </c>
      <c r="R9" s="132">
        <f>IF(SER_hh_emih!R9=0,0,SER_hh_emih!R9/SER_summary!R$26)</f>
        <v>26.645405285394709</v>
      </c>
      <c r="S9" s="132">
        <f>IF(SER_hh_emih!S9=0,0,SER_hh_emih!S9/SER_summary!S$26)</f>
        <v>27.088795905751976</v>
      </c>
      <c r="T9" s="132">
        <f>IF(SER_hh_emih!T9=0,0,SER_hh_emih!T9/SER_summary!T$26)</f>
        <v>24.761747506807939</v>
      </c>
      <c r="U9" s="132">
        <f>IF(SER_hh_emih!U9=0,0,SER_hh_emih!U9/SER_summary!U$26)</f>
        <v>26.839851042619433</v>
      </c>
      <c r="V9" s="132">
        <f>IF(SER_hh_emih!V9=0,0,SER_hh_emih!V9/SER_summary!V$26)</f>
        <v>23.756632244701631</v>
      </c>
      <c r="W9" s="132">
        <f>IF(SER_hh_emih!W9=0,0,SER_hh_emih!W9/SER_summary!W$26)</f>
        <v>25.95961532412807</v>
      </c>
      <c r="X9" s="132">
        <f>IF(SER_hh_emih!X9=0,0,SER_hh_emih!X9/SER_summary!X$26)</f>
        <v>25.594607679137873</v>
      </c>
      <c r="Y9" s="132">
        <f>IF(SER_hh_emih!Y9=0,0,SER_hh_emih!Y9/SER_summary!Y$26)</f>
        <v>26.682173656932463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0</v>
      </c>
      <c r="C10" s="132">
        <f>IF(SER_hh_emih!C10=0,0,SER_hh_emih!C10/SER_summary!C$26)</f>
        <v>0</v>
      </c>
      <c r="D10" s="132">
        <f>IF(SER_hh_emih!D10=0,0,SER_hh_emih!D10/SER_summary!D$26)</f>
        <v>0</v>
      </c>
      <c r="E10" s="132">
        <f>IF(SER_hh_emih!E10=0,0,SER_hh_emih!E10/SER_summary!E$26)</f>
        <v>0</v>
      </c>
      <c r="F10" s="132">
        <f>IF(SER_hh_emih!F10=0,0,SER_hh_emih!F10/SER_summary!F$26)</f>
        <v>0</v>
      </c>
      <c r="G10" s="132">
        <f>IF(SER_hh_emih!G10=0,0,SER_hh_emih!G10/SER_summary!G$26)</f>
        <v>0</v>
      </c>
      <c r="H10" s="132">
        <f>IF(SER_hh_emih!H10=0,0,SER_hh_emih!H10/SER_summary!H$26)</f>
        <v>0</v>
      </c>
      <c r="I10" s="132">
        <f>IF(SER_hh_emih!I10=0,0,SER_hh_emih!I10/SER_summary!I$26)</f>
        <v>0</v>
      </c>
      <c r="J10" s="132">
        <f>IF(SER_hh_emih!J10=0,0,SER_hh_emih!J10/SER_summary!J$26)</f>
        <v>0</v>
      </c>
      <c r="K10" s="132">
        <f>IF(SER_hh_emih!K10=0,0,SER_hh_emih!K10/SER_summary!K$26)</f>
        <v>0</v>
      </c>
      <c r="L10" s="132">
        <f>IF(SER_hh_emih!L10=0,0,SER_hh_emih!L10/SER_summary!L$26)</f>
        <v>0</v>
      </c>
      <c r="M10" s="132">
        <f>IF(SER_hh_emih!M10=0,0,SER_hh_emih!M10/SER_summary!M$26)</f>
        <v>0</v>
      </c>
      <c r="N10" s="132">
        <f>IF(SER_hh_emih!N10=0,0,SER_hh_emih!N10/SER_summary!N$26)</f>
        <v>0</v>
      </c>
      <c r="O10" s="132">
        <f>IF(SER_hh_emih!O10=0,0,SER_hh_emih!O10/SER_summary!O$26)</f>
        <v>0</v>
      </c>
      <c r="P10" s="132">
        <f>IF(SER_hh_emih!P10=0,0,SER_hh_emih!P10/SER_summary!P$26)</f>
        <v>0</v>
      </c>
      <c r="Q10" s="132">
        <f>IF(SER_hh_emih!Q10=0,0,SER_hh_emih!Q10/SER_summary!Q$26)</f>
        <v>0</v>
      </c>
      <c r="R10" s="132">
        <f>IF(SER_hh_emih!R10=0,0,SER_hh_emih!R10/SER_summary!R$26)</f>
        <v>0</v>
      </c>
      <c r="S10" s="132">
        <f>IF(SER_hh_emih!S10=0,0,SER_hh_emih!S10/SER_summary!S$26)</f>
        <v>0</v>
      </c>
      <c r="T10" s="132">
        <f>IF(SER_hh_emih!T10=0,0,SER_hh_emih!T10/SER_summary!T$26)</f>
        <v>0</v>
      </c>
      <c r="U10" s="132">
        <f>IF(SER_hh_emih!U10=0,0,SER_hh_emih!U10/SER_summary!U$26)</f>
        <v>0</v>
      </c>
      <c r="V10" s="132">
        <f>IF(SER_hh_emih!V10=0,0,SER_hh_emih!V10/SER_summary!V$26)</f>
        <v>0</v>
      </c>
      <c r="W10" s="132">
        <f>IF(SER_hh_emih!W10=0,0,SER_hh_emih!W10/SER_summary!W$26)</f>
        <v>0</v>
      </c>
      <c r="X10" s="132">
        <f>IF(SER_hh_emih!X10=0,0,SER_hh_emih!X10/SER_summary!X$26)</f>
        <v>0</v>
      </c>
      <c r="Y10" s="132">
        <f>IF(SER_hh_emih!Y10=0,0,SER_hh_emih!Y10/SER_summary!Y$26)</f>
        <v>0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4.2221578075102139E-3</v>
      </c>
      <c r="C16" s="130">
        <f>IF(SER_hh_emih!C16=0,0,SER_hh_emih!C16/SER_summary!C$26)</f>
        <v>5.2328682104448255E-3</v>
      </c>
      <c r="D16" s="130">
        <f>IF(SER_hh_emih!D16=0,0,SER_hh_emih!D16/SER_summary!D$26)</f>
        <v>5.601616514546515E-3</v>
      </c>
      <c r="E16" s="130">
        <f>IF(SER_hh_emih!E16=0,0,SER_hh_emih!E16/SER_summary!E$26)</f>
        <v>6.247932066976887E-3</v>
      </c>
      <c r="F16" s="130">
        <f>IF(SER_hh_emih!F16=0,0,SER_hh_emih!F16/SER_summary!F$26)</f>
        <v>7.9633062537770444E-3</v>
      </c>
      <c r="G16" s="130">
        <f>IF(SER_hh_emih!G16=0,0,SER_hh_emih!G16/SER_summary!G$26)</f>
        <v>1.2131188656037194E-2</v>
      </c>
      <c r="H16" s="130">
        <f>IF(SER_hh_emih!H16=0,0,SER_hh_emih!H16/SER_summary!H$26)</f>
        <v>1.8353392094391761E-2</v>
      </c>
      <c r="I16" s="130">
        <f>IF(SER_hh_emih!I16=0,0,SER_hh_emih!I16/SER_summary!I$26)</f>
        <v>2.4753776973046756E-2</v>
      </c>
      <c r="J16" s="130">
        <f>IF(SER_hh_emih!J16=0,0,SER_hh_emih!J16/SER_summary!J$26)</f>
        <v>3.1288727953562273E-2</v>
      </c>
      <c r="K16" s="130">
        <f>IF(SER_hh_emih!K16=0,0,SER_hh_emih!K16/SER_summary!K$26)</f>
        <v>3.508950377689881E-2</v>
      </c>
      <c r="L16" s="130">
        <f>IF(SER_hh_emih!L16=0,0,SER_hh_emih!L16/SER_summary!L$26)</f>
        <v>4.6928764733518813E-2</v>
      </c>
      <c r="M16" s="130">
        <f>IF(SER_hh_emih!M16=0,0,SER_hh_emih!M16/SER_summary!M$26)</f>
        <v>5.2600837553614929E-2</v>
      </c>
      <c r="N16" s="130">
        <f>IF(SER_hh_emih!N16=0,0,SER_hh_emih!N16/SER_summary!N$26)</f>
        <v>9.5620179609894121E-2</v>
      </c>
      <c r="O16" s="130">
        <f>IF(SER_hh_emih!O16=0,0,SER_hh_emih!O16/SER_summary!O$26)</f>
        <v>9.1639244790456778E-2</v>
      </c>
      <c r="P16" s="130">
        <f>IF(SER_hh_emih!P16=0,0,SER_hh_emih!P16/SER_summary!P$26)</f>
        <v>0.10339803317782083</v>
      </c>
      <c r="Q16" s="130">
        <f>IF(SER_hh_emih!Q16=0,0,SER_hh_emih!Q16/SER_summary!Q$26)</f>
        <v>0.14363675775408441</v>
      </c>
      <c r="R16" s="130">
        <f>IF(SER_hh_emih!R16=0,0,SER_hh_emih!R16/SER_summary!R$26)</f>
        <v>0.16519061479804364</v>
      </c>
      <c r="S16" s="130">
        <f>IF(SER_hh_emih!S16=0,0,SER_hh_emih!S16/SER_summary!S$26)</f>
        <v>0.17811240856619032</v>
      </c>
      <c r="T16" s="130">
        <f>IF(SER_hh_emih!T16=0,0,SER_hh_emih!T16/SER_summary!T$26)</f>
        <v>0.16732920969974435</v>
      </c>
      <c r="U16" s="130">
        <f>IF(SER_hh_emih!U16=0,0,SER_hh_emih!U16/SER_summary!U$26)</f>
        <v>0.20437984517169738</v>
      </c>
      <c r="V16" s="130">
        <f>IF(SER_hh_emih!V16=0,0,SER_hh_emih!V16/SER_summary!V$26)</f>
        <v>0.17338487553263571</v>
      </c>
      <c r="W16" s="130">
        <f>IF(SER_hh_emih!W16=0,0,SER_hh_emih!W16/SER_summary!W$26)</f>
        <v>0.23114821403012292</v>
      </c>
      <c r="X16" s="130">
        <f>IF(SER_hh_emih!X16=0,0,SER_hh_emih!X16/SER_summary!X$26)</f>
        <v>0.21160544604989501</v>
      </c>
      <c r="Y16" s="130">
        <f>IF(SER_hh_emih!Y16=0,0,SER_hh_emih!Y16/SER_summary!Y$26)</f>
        <v>0.21811749996382157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6.0454058031313949</v>
      </c>
      <c r="C17" s="132">
        <f>IF(SER_hh_emih!C17=0,0,SER_hh_emih!C17/SER_summary!C$26)</f>
        <v>7.5511528888281898</v>
      </c>
      <c r="D17" s="132">
        <f>IF(SER_hh_emih!D17=0,0,SER_hh_emih!D17/SER_summary!D$26)</f>
        <v>6.0589236171446341</v>
      </c>
      <c r="E17" s="132">
        <f>IF(SER_hh_emih!E17=0,0,SER_hh_emih!E17/SER_summary!E$26)</f>
        <v>7.7424125895884428</v>
      </c>
      <c r="F17" s="132">
        <f>IF(SER_hh_emih!F17=0,0,SER_hh_emih!F17/SER_summary!F$26)</f>
        <v>4.787875697979767</v>
      </c>
      <c r="G17" s="132">
        <f>IF(SER_hh_emih!G17=0,0,SER_hh_emih!G17/SER_summary!G$26)</f>
        <v>4.9426703085733941</v>
      </c>
      <c r="H17" s="132">
        <f>IF(SER_hh_emih!H17=0,0,SER_hh_emih!H17/SER_summary!H$26)</f>
        <v>5.8128818675117628</v>
      </c>
      <c r="I17" s="132">
        <f>IF(SER_hh_emih!I17=0,0,SER_hh_emih!I17/SER_summary!I$26)</f>
        <v>8.9344948534060151</v>
      </c>
      <c r="J17" s="132">
        <f>IF(SER_hh_emih!J17=0,0,SER_hh_emih!J17/SER_summary!J$26)</f>
        <v>8.5416745586151741</v>
      </c>
      <c r="K17" s="132">
        <f>IF(SER_hh_emih!K17=0,0,SER_hh_emih!K17/SER_summary!K$26)</f>
        <v>7.3062780991587086</v>
      </c>
      <c r="L17" s="132">
        <f>IF(SER_hh_emih!L17=0,0,SER_hh_emih!L17/SER_summary!L$26)</f>
        <v>7.5961798864186409</v>
      </c>
      <c r="M17" s="132">
        <f>IF(SER_hh_emih!M17=0,0,SER_hh_emih!M17/SER_summary!M$26)</f>
        <v>6.1987993979199798</v>
      </c>
      <c r="N17" s="132">
        <f>IF(SER_hh_emih!N17=0,0,SER_hh_emih!N17/SER_summary!N$26)</f>
        <v>8.8610960632736369</v>
      </c>
      <c r="O17" s="132">
        <f>IF(SER_hh_emih!O17=0,0,SER_hh_emih!O17/SER_summary!O$26)</f>
        <v>6.0257368277975942</v>
      </c>
      <c r="P17" s="132">
        <f>IF(SER_hh_emih!P17=0,0,SER_hh_emih!P17/SER_summary!P$26)</f>
        <v>5.158424146671158</v>
      </c>
      <c r="Q17" s="132">
        <f>IF(SER_hh_emih!Q17=0,0,SER_hh_emih!Q17/SER_summary!Q$26)</f>
        <v>6.4168489567603393</v>
      </c>
      <c r="R17" s="132">
        <f>IF(SER_hh_emih!R17=0,0,SER_hh_emih!R17/SER_summary!R$26)</f>
        <v>6.9767219607481632</v>
      </c>
      <c r="S17" s="132">
        <f>IF(SER_hh_emih!S17=0,0,SER_hh_emih!S17/SER_summary!S$26)</f>
        <v>7.0320536918909236</v>
      </c>
      <c r="T17" s="132">
        <f>IF(SER_hh_emih!T17=0,0,SER_hh_emih!T17/SER_summary!T$26)</f>
        <v>5.8299158663537956</v>
      </c>
      <c r="U17" s="132">
        <f>IF(SER_hh_emih!U17=0,0,SER_hh_emih!U17/SER_summary!U$26)</f>
        <v>7.0538553420668348</v>
      </c>
      <c r="V17" s="132">
        <f>IF(SER_hh_emih!V17=0,0,SER_hh_emih!V17/SER_summary!V$26)</f>
        <v>5.922298274227618</v>
      </c>
      <c r="W17" s="132">
        <f>IF(SER_hh_emih!W17=0,0,SER_hh_emih!W17/SER_summary!W$26)</f>
        <v>7.8976358425170456</v>
      </c>
      <c r="X17" s="132">
        <f>IF(SER_hh_emih!X17=0,0,SER_hh_emih!X17/SER_summary!X$26)</f>
        <v>7.2202972564467158</v>
      </c>
      <c r="Y17" s="132">
        <f>IF(SER_hh_emih!Y17=0,0,SER_hh_emih!Y17/SER_summary!Y$26)</f>
        <v>7.3454807764940604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0.73623154272213398</v>
      </c>
      <c r="C19" s="130">
        <f>IF(SER_hh_emih!C19=0,0,SER_hh_emih!C19/SER_summary!C$26)</f>
        <v>0.83259025088162553</v>
      </c>
      <c r="D19" s="130">
        <f>IF(SER_hh_emih!D19=0,0,SER_hh_emih!D19/SER_summary!D$26)</f>
        <v>0.88669041900204704</v>
      </c>
      <c r="E19" s="130">
        <f>IF(SER_hh_emih!E19=0,0,SER_hh_emih!E19/SER_summary!E$26)</f>
        <v>0.90013941148586951</v>
      </c>
      <c r="F19" s="130">
        <f>IF(SER_hh_emih!F19=0,0,SER_hh_emih!F19/SER_summary!F$26)</f>
        <v>0.93231920839086446</v>
      </c>
      <c r="G19" s="130">
        <f>IF(SER_hh_emih!G19=0,0,SER_hh_emih!G19/SER_summary!G$26)</f>
        <v>1.1465748050651554</v>
      </c>
      <c r="H19" s="130">
        <f>IF(SER_hh_emih!H19=0,0,SER_hh_emih!H19/SER_summary!H$26)</f>
        <v>1.2107445692422441</v>
      </c>
      <c r="I19" s="130">
        <f>IF(SER_hh_emih!I19=0,0,SER_hh_emih!I19/SER_summary!I$26)</f>
        <v>1.3361991860052049</v>
      </c>
      <c r="J19" s="130">
        <f>IF(SER_hh_emih!J19=0,0,SER_hh_emih!J19/SER_summary!J$26)</f>
        <v>1.3807076815186112</v>
      </c>
      <c r="K19" s="130">
        <f>IF(SER_hh_emih!K19=0,0,SER_hh_emih!K19/SER_summary!K$26)</f>
        <v>1.4306221619924699</v>
      </c>
      <c r="L19" s="130">
        <f>IF(SER_hh_emih!L19=0,0,SER_hh_emih!L19/SER_summary!L$26)</f>
        <v>1.6012737551930039</v>
      </c>
      <c r="M19" s="130">
        <f>IF(SER_hh_emih!M19=0,0,SER_hh_emih!M19/SER_summary!M$26)</f>
        <v>1.6189180653585429</v>
      </c>
      <c r="N19" s="130">
        <f>IF(SER_hh_emih!N19=0,0,SER_hh_emih!N19/SER_summary!N$26)</f>
        <v>1.6047296832744411</v>
      </c>
      <c r="O19" s="130">
        <f>IF(SER_hh_emih!O19=0,0,SER_hh_emih!O19/SER_summary!O$26)</f>
        <v>1.6641225416582559</v>
      </c>
      <c r="P19" s="130">
        <f>IF(SER_hh_emih!P19=0,0,SER_hh_emih!P19/SER_summary!P$26)</f>
        <v>1.6674913116511314</v>
      </c>
      <c r="Q19" s="130">
        <f>IF(SER_hh_emih!Q19=0,0,SER_hh_emih!Q19/SER_summary!Q$26)</f>
        <v>1.6982033076979215</v>
      </c>
      <c r="R19" s="130">
        <f>IF(SER_hh_emih!R19=0,0,SER_hh_emih!R19/SER_summary!R$26)</f>
        <v>1.704587767062631</v>
      </c>
      <c r="S19" s="130">
        <f>IF(SER_hh_emih!S19=0,0,SER_hh_emih!S19/SER_summary!S$26)</f>
        <v>1.7469767455428322</v>
      </c>
      <c r="T19" s="130">
        <f>IF(SER_hh_emih!T19=0,0,SER_hh_emih!T19/SER_summary!T$26)</f>
        <v>1.6209473513932309</v>
      </c>
      <c r="U19" s="130">
        <f>IF(SER_hh_emih!U19=0,0,SER_hh_emih!U19/SER_summary!U$26)</f>
        <v>1.5255835294826816</v>
      </c>
      <c r="V19" s="130">
        <f>IF(SER_hh_emih!V19=0,0,SER_hh_emih!V19/SER_summary!V$26)</f>
        <v>1.1418742359566108</v>
      </c>
      <c r="W19" s="130">
        <f>IF(SER_hh_emih!W19=0,0,SER_hh_emih!W19/SER_summary!W$26)</f>
        <v>1.1808001683890801</v>
      </c>
      <c r="X19" s="130">
        <f>IF(SER_hh_emih!X19=0,0,SER_hh_emih!X19/SER_summary!X$26)</f>
        <v>0.99832269010554042</v>
      </c>
      <c r="Y19" s="130">
        <f>IF(SER_hh_emih!Y19=0,0,SER_hh_emih!Y19/SER_summary!Y$26)</f>
        <v>0.91458630223947934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0</v>
      </c>
      <c r="C20" s="132">
        <f>IF(SER_hh_emih!C20=0,0,SER_hh_emih!C20/SER_summary!C$26)</f>
        <v>0</v>
      </c>
      <c r="D20" s="132">
        <f>IF(SER_hh_emih!D20=0,0,SER_hh_emih!D20/SER_summary!D$26)</f>
        <v>0</v>
      </c>
      <c r="E20" s="132">
        <f>IF(SER_hh_emih!E20=0,0,SER_hh_emih!E20/SER_summary!E$26)</f>
        <v>0</v>
      </c>
      <c r="F20" s="132">
        <f>IF(SER_hh_emih!F20=0,0,SER_hh_emih!F20/SER_summary!F$26)</f>
        <v>0</v>
      </c>
      <c r="G20" s="132">
        <f>IF(SER_hh_emih!G20=0,0,SER_hh_emih!G20/SER_summary!G$26)</f>
        <v>0</v>
      </c>
      <c r="H20" s="132">
        <f>IF(SER_hh_emih!H20=0,0,SER_hh_emih!H20/SER_summary!H$26)</f>
        <v>0</v>
      </c>
      <c r="I20" s="132">
        <f>IF(SER_hh_emih!I20=0,0,SER_hh_emih!I20/SER_summary!I$26)</f>
        <v>0</v>
      </c>
      <c r="J20" s="132">
        <f>IF(SER_hh_emih!J20=0,0,SER_hh_emih!J20/SER_summary!J$26)</f>
        <v>0</v>
      </c>
      <c r="K20" s="132">
        <f>IF(SER_hh_emih!K20=0,0,SER_hh_emih!K20/SER_summary!K$26)</f>
        <v>0</v>
      </c>
      <c r="L20" s="132">
        <f>IF(SER_hh_emih!L20=0,0,SER_hh_emih!L20/SER_summary!L$26)</f>
        <v>0</v>
      </c>
      <c r="M20" s="132">
        <f>IF(SER_hh_emih!M20=0,0,SER_hh_emih!M20/SER_summary!M$26)</f>
        <v>0</v>
      </c>
      <c r="N20" s="132">
        <f>IF(SER_hh_emih!N20=0,0,SER_hh_emih!N20/SER_summary!N$26)</f>
        <v>0</v>
      </c>
      <c r="O20" s="132">
        <f>IF(SER_hh_emih!O20=0,0,SER_hh_emih!O20/SER_summary!O$26)</f>
        <v>0</v>
      </c>
      <c r="P20" s="132">
        <f>IF(SER_hh_emih!P20=0,0,SER_hh_emih!P20/SER_summary!P$26)</f>
        <v>0</v>
      </c>
      <c r="Q20" s="132">
        <f>IF(SER_hh_emih!Q20=0,0,SER_hh_emih!Q20/SER_summary!Q$26)</f>
        <v>0</v>
      </c>
      <c r="R20" s="132">
        <f>IF(SER_hh_emih!R20=0,0,SER_hh_emih!R20/SER_summary!R$26)</f>
        <v>0</v>
      </c>
      <c r="S20" s="132">
        <f>IF(SER_hh_emih!S20=0,0,SER_hh_emih!S20/SER_summary!S$26)</f>
        <v>0</v>
      </c>
      <c r="T20" s="132">
        <f>IF(SER_hh_emih!T20=0,0,SER_hh_emih!T20/SER_summary!T$26)</f>
        <v>0</v>
      </c>
      <c r="U20" s="132">
        <f>IF(SER_hh_emih!U20=0,0,SER_hh_emih!U20/SER_summary!U$26)</f>
        <v>0</v>
      </c>
      <c r="V20" s="132">
        <f>IF(SER_hh_emih!V20=0,0,SER_hh_emih!V20/SER_summary!V$26)</f>
        <v>0</v>
      </c>
      <c r="W20" s="132">
        <f>IF(SER_hh_emih!W20=0,0,SER_hh_emih!W20/SER_summary!W$26)</f>
        <v>0</v>
      </c>
      <c r="X20" s="132">
        <f>IF(SER_hh_emih!X20=0,0,SER_hh_emih!X20/SER_summary!X$26)</f>
        <v>0</v>
      </c>
      <c r="Y20" s="132">
        <f>IF(SER_hh_emih!Y20=0,0,SER_hh_emih!Y20/SER_summary!Y$26)</f>
        <v>0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10.185961383429408</v>
      </c>
      <c r="C21" s="132">
        <f>IF(SER_hh_emih!C21=0,0,SER_hh_emih!C21/SER_summary!C$26)</f>
        <v>11.026507719726908</v>
      </c>
      <c r="D21" s="132">
        <f>IF(SER_hh_emih!D21=0,0,SER_hh_emih!D21/SER_summary!D$26)</f>
        <v>11.335424717796146</v>
      </c>
      <c r="E21" s="132">
        <f>IF(SER_hh_emih!E21=0,0,SER_hh_emih!E21/SER_summary!E$26)</f>
        <v>10.998304540204936</v>
      </c>
      <c r="F21" s="132">
        <f>IF(SER_hh_emih!F21=0,0,SER_hh_emih!F21/SER_summary!F$26)</f>
        <v>11.201489898579583</v>
      </c>
      <c r="G21" s="132">
        <f>IF(SER_hh_emih!G21=0,0,SER_hh_emih!G21/SER_summary!G$26)</f>
        <v>11.779723173162424</v>
      </c>
      <c r="H21" s="132">
        <f>IF(SER_hh_emih!H21=0,0,SER_hh_emih!H21/SER_summary!H$26)</f>
        <v>11.495793175546845</v>
      </c>
      <c r="I21" s="132">
        <f>IF(SER_hh_emih!I21=0,0,SER_hh_emih!I21/SER_summary!I$26)</f>
        <v>12.188580805170197</v>
      </c>
      <c r="J21" s="132">
        <f>IF(SER_hh_emih!J21=0,0,SER_hh_emih!J21/SER_summary!J$26)</f>
        <v>11.971385531758585</v>
      </c>
      <c r="K21" s="132">
        <f>IF(SER_hh_emih!K21=0,0,SER_hh_emih!K21/SER_summary!K$26)</f>
        <v>11.968512730779578</v>
      </c>
      <c r="L21" s="132">
        <f>IF(SER_hh_emih!L21=0,0,SER_hh_emih!L21/SER_summary!L$26)</f>
        <v>12.28420066151668</v>
      </c>
      <c r="M21" s="132">
        <f>IF(SER_hh_emih!M21=0,0,SER_hh_emih!M21/SER_summary!M$26)</f>
        <v>12.248655317569368</v>
      </c>
      <c r="N21" s="132">
        <f>IF(SER_hh_emih!N21=0,0,SER_hh_emih!N21/SER_summary!N$26)</f>
        <v>12.837492494756436</v>
      </c>
      <c r="O21" s="132">
        <f>IF(SER_hh_emih!O21=0,0,SER_hh_emih!O21/SER_summary!O$26)</f>
        <v>12.71297518459747</v>
      </c>
      <c r="P21" s="132">
        <f>IF(SER_hh_emih!P21=0,0,SER_hh_emih!P21/SER_summary!P$26)</f>
        <v>12.369758689658314</v>
      </c>
      <c r="Q21" s="132">
        <f>IF(SER_hh_emih!Q21=0,0,SER_hh_emih!Q21/SER_summary!Q$26)</f>
        <v>11.781435543313535</v>
      </c>
      <c r="R21" s="132">
        <f>IF(SER_hh_emih!R21=0,0,SER_hh_emih!R21/SER_summary!R$26)</f>
        <v>12.503885855930523</v>
      </c>
      <c r="S21" s="132">
        <f>IF(SER_hh_emih!S21=0,0,SER_hh_emih!S21/SER_summary!S$26)</f>
        <v>12.363870920074069</v>
      </c>
      <c r="T21" s="132">
        <f>IF(SER_hh_emih!T21=0,0,SER_hh_emih!T21/SER_summary!T$26)</f>
        <v>12.008697247773018</v>
      </c>
      <c r="U21" s="132">
        <f>IF(SER_hh_emih!U21=0,0,SER_hh_emih!U21/SER_summary!U$26)</f>
        <v>12.523552348758878</v>
      </c>
      <c r="V21" s="132">
        <f>IF(SER_hh_emih!V21=0,0,SER_hh_emih!V21/SER_summary!V$26)</f>
        <v>6.7604480866737235</v>
      </c>
      <c r="W21" s="132">
        <f>IF(SER_hh_emih!W21=0,0,SER_hh_emih!W21/SER_summary!W$26)</f>
        <v>8.4038523574307114</v>
      </c>
      <c r="X21" s="132">
        <f>IF(SER_hh_emih!X21=0,0,SER_hh_emih!X21/SER_summary!X$26)</f>
        <v>10.11026271716602</v>
      </c>
      <c r="Y21" s="132">
        <f>IF(SER_hh_emih!Y21=0,0,SER_hh_emih!Y21/SER_summary!Y$26)</f>
        <v>10.161665710872281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12.614667985854403</v>
      </c>
      <c r="C22" s="132">
        <f>IF(SER_hh_emih!C22=0,0,SER_hh_emih!C22/SER_summary!C$26)</f>
        <v>13.744142223670856</v>
      </c>
      <c r="D22" s="132">
        <f>IF(SER_hh_emih!D22=0,0,SER_hh_emih!D22/SER_summary!D$26)</f>
        <v>14.177946072396256</v>
      </c>
      <c r="E22" s="132">
        <f>IF(SER_hh_emih!E22=0,0,SER_hh_emih!E22/SER_summary!E$26)</f>
        <v>14.146056559494086</v>
      </c>
      <c r="F22" s="132">
        <f>IF(SER_hh_emih!F22=0,0,SER_hh_emih!F22/SER_summary!F$26)</f>
        <v>14.373928539876783</v>
      </c>
      <c r="G22" s="132">
        <f>IF(SER_hh_emih!G22=0,0,SER_hh_emih!G22/SER_summary!G$26)</f>
        <v>14.997689970792973</v>
      </c>
      <c r="H22" s="132">
        <f>IF(SER_hh_emih!H22=0,0,SER_hh_emih!H22/SER_summary!H$26)</f>
        <v>14.896665284287932</v>
      </c>
      <c r="I22" s="132">
        <f>IF(SER_hh_emih!I22=0,0,SER_hh_emih!I22/SER_summary!I$26)</f>
        <v>14.827922387828544</v>
      </c>
      <c r="J22" s="132">
        <f>IF(SER_hh_emih!J22=0,0,SER_hh_emih!J22/SER_summary!J$26)</f>
        <v>14.883414719011178</v>
      </c>
      <c r="K22" s="132">
        <f>IF(SER_hh_emih!K22=0,0,SER_hh_emih!K22/SER_summary!K$26)</f>
        <v>14.882864438786211</v>
      </c>
      <c r="L22" s="132">
        <f>IF(SER_hh_emih!L22=0,0,SER_hh_emih!L22/SER_summary!L$26)</f>
        <v>15.273257181676005</v>
      </c>
      <c r="M22" s="132">
        <f>IF(SER_hh_emih!M22=0,0,SER_hh_emih!M22/SER_summary!M$26)</f>
        <v>15.595250618910232</v>
      </c>
      <c r="N22" s="132">
        <f>IF(SER_hh_emih!N22=0,0,SER_hh_emih!N22/SER_summary!N$26)</f>
        <v>13.747491365672651</v>
      </c>
      <c r="O22" s="132">
        <f>IF(SER_hh_emih!O22=0,0,SER_hh_emih!O22/SER_summary!O$26)</f>
        <v>14.773269270679048</v>
      </c>
      <c r="P22" s="132">
        <f>IF(SER_hh_emih!P22=0,0,SER_hh_emih!P22/SER_summary!P$26)</f>
        <v>15.891622477735936</v>
      </c>
      <c r="Q22" s="132">
        <f>IF(SER_hh_emih!Q22=0,0,SER_hh_emih!Q22/SER_summary!Q$26)</f>
        <v>15.175053039752438</v>
      </c>
      <c r="R22" s="132">
        <f>IF(SER_hh_emih!R22=0,0,SER_hh_emih!R22/SER_summary!R$26)</f>
        <v>15.463896048918125</v>
      </c>
      <c r="S22" s="132">
        <f>IF(SER_hh_emih!S22=0,0,SER_hh_emih!S22/SER_summary!S$26)</f>
        <v>15.946335522319675</v>
      </c>
      <c r="T22" s="132">
        <f>IF(SER_hh_emih!T22=0,0,SER_hh_emih!T22/SER_summary!T$26)</f>
        <v>14.576514153864128</v>
      </c>
      <c r="U22" s="132">
        <f>IF(SER_hh_emih!U22=0,0,SER_hh_emih!U22/SER_summary!U$26)</f>
        <v>14.932772406168839</v>
      </c>
      <c r="V22" s="132">
        <f>IF(SER_hh_emih!V22=0,0,SER_hh_emih!V22/SER_summary!V$26)</f>
        <v>11.42120386905918</v>
      </c>
      <c r="W22" s="132">
        <f>IF(SER_hh_emih!W22=0,0,SER_hh_emih!W22/SER_summary!W$26)</f>
        <v>10.497311339476113</v>
      </c>
      <c r="X22" s="132">
        <f>IF(SER_hh_emih!X22=0,0,SER_hh_emih!X22/SER_summary!X$26)</f>
        <v>15.89393734257248</v>
      </c>
      <c r="Y22" s="132">
        <f>IF(SER_hh_emih!Y22=0,0,SER_hh_emih!Y22/SER_summary!Y$26)</f>
        <v>11.724087027376671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7.7961418675471554</v>
      </c>
      <c r="C23" s="132">
        <f>IF(SER_hh_emih!C23=0,0,SER_hh_emih!C23/SER_summary!C$26)</f>
        <v>9.2690230135927152</v>
      </c>
      <c r="D23" s="132">
        <f>IF(SER_hh_emih!D23=0,0,SER_hh_emih!D23/SER_summary!D$26)</f>
        <v>9.3322284192574152</v>
      </c>
      <c r="E23" s="132">
        <f>IF(SER_hh_emih!E23=0,0,SER_hh_emih!E23/SER_summary!E$26)</f>
        <v>8.6423704242807204</v>
      </c>
      <c r="F23" s="132">
        <f>IF(SER_hh_emih!F23=0,0,SER_hh_emih!F23/SER_summary!F$26)</f>
        <v>7.6734984872623055</v>
      </c>
      <c r="G23" s="132">
        <f>IF(SER_hh_emih!G23=0,0,SER_hh_emih!G23/SER_summary!G$26)</f>
        <v>9.949979385525209</v>
      </c>
      <c r="H23" s="132">
        <f>IF(SER_hh_emih!H23=0,0,SER_hh_emih!H23/SER_summary!H$26)</f>
        <v>9.4778991974849571</v>
      </c>
      <c r="I23" s="132">
        <f>IF(SER_hh_emih!I23=0,0,SER_hh_emih!I23/SER_summary!I$26)</f>
        <v>9.9094030605642338</v>
      </c>
      <c r="J23" s="132">
        <f>IF(SER_hh_emih!J23=0,0,SER_hh_emih!J23/SER_summary!J$26)</f>
        <v>9.7252557973766347</v>
      </c>
      <c r="K23" s="132">
        <f>IF(SER_hh_emih!K23=0,0,SER_hh_emih!K23/SER_summary!K$26)</f>
        <v>9.7070019204644442</v>
      </c>
      <c r="L23" s="132">
        <f>IF(SER_hh_emih!L23=0,0,SER_hh_emih!L23/SER_summary!L$26)</f>
        <v>10.524834575345343</v>
      </c>
      <c r="M23" s="132">
        <f>IF(SER_hh_emih!M23=0,0,SER_hh_emih!M23/SER_summary!M$26)</f>
        <v>9.6699311580480263</v>
      </c>
      <c r="N23" s="132">
        <f>IF(SER_hh_emih!N23=0,0,SER_hh_emih!N23/SER_summary!N$26)</f>
        <v>9.7560783783075724</v>
      </c>
      <c r="O23" s="132">
        <f>IF(SER_hh_emih!O23=0,0,SER_hh_emih!O23/SER_summary!O$26)</f>
        <v>9.7666355819902115</v>
      </c>
      <c r="P23" s="132">
        <f>IF(SER_hh_emih!P23=0,0,SER_hh_emih!P23/SER_summary!P$26)</f>
        <v>9.4093060162180677</v>
      </c>
      <c r="Q23" s="132">
        <f>IF(SER_hh_emih!Q23=0,0,SER_hh_emih!Q23/SER_summary!Q$26)</f>
        <v>10.143879465234955</v>
      </c>
      <c r="R23" s="132">
        <f>IF(SER_hh_emih!R23=0,0,SER_hh_emih!R23/SER_summary!R$26)</f>
        <v>9.5793383265624588</v>
      </c>
      <c r="S23" s="132">
        <f>IF(SER_hh_emih!S23=0,0,SER_hh_emih!S23/SER_summary!S$26)</f>
        <v>9.7408137082677015</v>
      </c>
      <c r="T23" s="132">
        <f>IF(SER_hh_emih!T23=0,0,SER_hh_emih!T23/SER_summary!T$26)</f>
        <v>9.3826057800343285</v>
      </c>
      <c r="U23" s="132">
        <f>IF(SER_hh_emih!U23=0,0,SER_hh_emih!U23/SER_summary!U$26)</f>
        <v>8.5382306843426097</v>
      </c>
      <c r="V23" s="132">
        <f>IF(SER_hh_emih!V23=0,0,SER_hh_emih!V23/SER_summary!V$26)</f>
        <v>8.222738561906187</v>
      </c>
      <c r="W23" s="132">
        <f>IF(SER_hh_emih!W23=0,0,SER_hh_emih!W23/SER_summary!W$26)</f>
        <v>9.4959329625443392</v>
      </c>
      <c r="X23" s="132">
        <f>IF(SER_hh_emih!X23=0,0,SER_hh_emih!X23/SER_summary!X$26)</f>
        <v>6.0775888433884351</v>
      </c>
      <c r="Y23" s="132">
        <f>IF(SER_hh_emih!Y23=0,0,SER_hh_emih!Y23/SER_summary!Y$26)</f>
        <v>7.633617728569412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0</v>
      </c>
      <c r="C24" s="132">
        <f>IF(SER_hh_emih!C24=0,0,SER_hh_emih!C24/SER_summary!C$26)</f>
        <v>0</v>
      </c>
      <c r="D24" s="132">
        <f>IF(SER_hh_emih!D24=0,0,SER_hh_emih!D24/SER_summary!D$26)</f>
        <v>0</v>
      </c>
      <c r="E24" s="132">
        <f>IF(SER_hh_emih!E24=0,0,SER_hh_emih!E24/SER_summary!E$26)</f>
        <v>0</v>
      </c>
      <c r="F24" s="132">
        <f>IF(SER_hh_emih!F24=0,0,SER_hh_emih!F24/SER_summary!F$26)</f>
        <v>0</v>
      </c>
      <c r="G24" s="132">
        <f>IF(SER_hh_emih!G24=0,0,SER_hh_emih!G24/SER_summary!G$26)</f>
        <v>0</v>
      </c>
      <c r="H24" s="132">
        <f>IF(SER_hh_emih!H24=0,0,SER_hh_emih!H24/SER_summary!H$26)</f>
        <v>0</v>
      </c>
      <c r="I24" s="132">
        <f>IF(SER_hh_emih!I24=0,0,SER_hh_emih!I24/SER_summary!I$26)</f>
        <v>0</v>
      </c>
      <c r="J24" s="132">
        <f>IF(SER_hh_emih!J24=0,0,SER_hh_emih!J24/SER_summary!J$26)</f>
        <v>0</v>
      </c>
      <c r="K24" s="132">
        <f>IF(SER_hh_emih!K24=0,0,SER_hh_emih!K24/SER_summary!K$26)</f>
        <v>0</v>
      </c>
      <c r="L24" s="132">
        <f>IF(SER_hh_emih!L24=0,0,SER_hh_emih!L24/SER_summary!L$26)</f>
        <v>0</v>
      </c>
      <c r="M24" s="132">
        <f>IF(SER_hh_emih!M24=0,0,SER_hh_emih!M24/SER_summary!M$26)</f>
        <v>0</v>
      </c>
      <c r="N24" s="132">
        <f>IF(SER_hh_emih!N24=0,0,SER_hh_emih!N24/SER_summary!N$26)</f>
        <v>0</v>
      </c>
      <c r="O24" s="132">
        <f>IF(SER_hh_emih!O24=0,0,SER_hh_emih!O24/SER_summary!O$26)</f>
        <v>0</v>
      </c>
      <c r="P24" s="132">
        <f>IF(SER_hh_emih!P24=0,0,SER_hh_emih!P24/SER_summary!P$26)</f>
        <v>0</v>
      </c>
      <c r="Q24" s="132">
        <f>IF(SER_hh_emih!Q24=0,0,SER_hh_emih!Q24/SER_summary!Q$26)</f>
        <v>0</v>
      </c>
      <c r="R24" s="132">
        <f>IF(SER_hh_emih!R24=0,0,SER_hh_emih!R24/SER_summary!R$26)</f>
        <v>0</v>
      </c>
      <c r="S24" s="132">
        <f>IF(SER_hh_emih!S24=0,0,SER_hh_emih!S24/SER_summary!S$26)</f>
        <v>0</v>
      </c>
      <c r="T24" s="132">
        <f>IF(SER_hh_emih!T24=0,0,SER_hh_emih!T24/SER_summary!T$26)</f>
        <v>0</v>
      </c>
      <c r="U24" s="132">
        <f>IF(SER_hh_emih!U24=0,0,SER_hh_emih!U24/SER_summary!U$26)</f>
        <v>0</v>
      </c>
      <c r="V24" s="132">
        <f>IF(SER_hh_emih!V24=0,0,SER_hh_emih!V24/SER_summary!V$26)</f>
        <v>0</v>
      </c>
      <c r="W24" s="132">
        <f>IF(SER_hh_emih!W24=0,0,SER_hh_emih!W24/SER_summary!W$26)</f>
        <v>0</v>
      </c>
      <c r="X24" s="132">
        <f>IF(SER_hh_emih!X24=0,0,SER_hh_emih!X24/SER_summary!X$26)</f>
        <v>0</v>
      </c>
      <c r="Y24" s="132">
        <f>IF(SER_hh_emih!Y24=0,0,SER_hh_emih!Y24/SER_summary!Y$26)</f>
        <v>0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0.86360761574901768</v>
      </c>
      <c r="C29" s="130">
        <f>IF(SER_hh_emih!C29=0,0,SER_hh_emih!C29/SER_summary!C$26)</f>
        <v>0.86731631210726878</v>
      </c>
      <c r="D29" s="130">
        <f>IF(SER_hh_emih!D29=0,0,SER_hh_emih!D29/SER_summary!D$26)</f>
        <v>0.56648277780112932</v>
      </c>
      <c r="E29" s="130">
        <f>IF(SER_hh_emih!E29=0,0,SER_hh_emih!E29/SER_summary!E$26)</f>
        <v>0.69561172093746848</v>
      </c>
      <c r="F29" s="130">
        <f>IF(SER_hh_emih!F29=0,0,SER_hh_emih!F29/SER_summary!F$26)</f>
        <v>1.6794202599077956</v>
      </c>
      <c r="G29" s="130">
        <f>IF(SER_hh_emih!G29=0,0,SER_hh_emih!G29/SER_summary!G$26)</f>
        <v>1.5407562764413345</v>
      </c>
      <c r="H29" s="130">
        <f>IF(SER_hh_emih!H29=0,0,SER_hh_emih!H29/SER_summary!H$26)</f>
        <v>1.4710121374070309</v>
      </c>
      <c r="I29" s="130">
        <f>IF(SER_hh_emih!I29=0,0,SER_hh_emih!I29/SER_summary!I$26)</f>
        <v>1.3926385330067881</v>
      </c>
      <c r="J29" s="130">
        <f>IF(SER_hh_emih!J29=0,0,SER_hh_emih!J29/SER_summary!J$26)</f>
        <v>1.4026968327411975</v>
      </c>
      <c r="K29" s="130">
        <f>IF(SER_hh_emih!K29=0,0,SER_hh_emih!K29/SER_summary!K$26)</f>
        <v>1.4516892201737512</v>
      </c>
      <c r="L29" s="130">
        <f>IF(SER_hh_emih!L29=0,0,SER_hh_emih!L29/SER_summary!L$26)</f>
        <v>1.6621420787793475</v>
      </c>
      <c r="M29" s="130">
        <f>IF(SER_hh_emih!M29=0,0,SER_hh_emih!M29/SER_summary!M$26)</f>
        <v>1.5835089952966626</v>
      </c>
      <c r="N29" s="130">
        <f>IF(SER_hh_emih!N29=0,0,SER_hh_emih!N29/SER_summary!N$26)</f>
        <v>3.4280055749989282</v>
      </c>
      <c r="O29" s="130">
        <f>IF(SER_hh_emih!O29=0,0,SER_hh_emih!O29/SER_summary!O$26)</f>
        <v>2.5481390193632962</v>
      </c>
      <c r="P29" s="130">
        <f>IF(SER_hh_emih!P29=0,0,SER_hh_emih!P29/SER_summary!P$26)</f>
        <v>1.7174231884023028</v>
      </c>
      <c r="Q29" s="130">
        <f>IF(SER_hh_emih!Q29=0,0,SER_hh_emih!Q29/SER_summary!Q$26)</f>
        <v>1.881096169740371</v>
      </c>
      <c r="R29" s="130">
        <f>IF(SER_hh_emih!R29=0,0,SER_hh_emih!R29/SER_summary!R$26)</f>
        <v>2.0471923463845032</v>
      </c>
      <c r="S29" s="130">
        <f>IF(SER_hh_emih!S29=0,0,SER_hh_emih!S29/SER_summary!S$26)</f>
        <v>2.1646758621284974</v>
      </c>
      <c r="T29" s="130">
        <f>IF(SER_hh_emih!T29=0,0,SER_hh_emih!T29/SER_summary!T$26)</f>
        <v>2.2468059100855293</v>
      </c>
      <c r="U29" s="130">
        <f>IF(SER_hh_emih!U29=0,0,SER_hh_emih!U29/SER_summary!U$26)</f>
        <v>2.4227121421410511</v>
      </c>
      <c r="V29" s="130">
        <f>IF(SER_hh_emih!V29=0,0,SER_hh_emih!V29/SER_summary!V$26)</f>
        <v>1.7543937451199234</v>
      </c>
      <c r="W29" s="130">
        <f>IF(SER_hh_emih!W29=0,0,SER_hh_emih!W29/SER_summary!W$26)</f>
        <v>2.3282828262991311</v>
      </c>
      <c r="X29" s="130">
        <f>IF(SER_hh_emih!X29=0,0,SER_hh_emih!X29/SER_summary!X$26)</f>
        <v>2.564986169079972</v>
      </c>
      <c r="Y29" s="130">
        <f>IF(SER_hh_emih!Y29=0,0,SER_hh_emih!Y29/SER_summary!Y$26)</f>
        <v>2.98452558528881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12.468752119530903</v>
      </c>
      <c r="C30" s="132">
        <f>IF(SER_hh_emih!C30=0,0,SER_hh_emih!C30/SER_summary!C$26)</f>
        <v>14.274933851897122</v>
      </c>
      <c r="D30" s="132">
        <f>IF(SER_hh_emih!D30=0,0,SER_hh_emih!D30/SER_summary!D$26)</f>
        <v>8.7414818376520547</v>
      </c>
      <c r="E30" s="132">
        <f>IF(SER_hh_emih!E30=0,0,SER_hh_emih!E30/SER_summary!E$26)</f>
        <v>8.785180242279047</v>
      </c>
      <c r="F30" s="132">
        <f>IF(SER_hh_emih!F30=0,0,SER_hh_emih!F30/SER_summary!F$26)</f>
        <v>17.449965057372459</v>
      </c>
      <c r="G30" s="132">
        <f>IF(SER_hh_emih!G30=0,0,SER_hh_emih!G30/SER_summary!G$26)</f>
        <v>13.843840407639989</v>
      </c>
      <c r="H30" s="132">
        <f>IF(SER_hh_emih!H30=0,0,SER_hh_emih!H30/SER_summary!H$26)</f>
        <v>13.027081067642767</v>
      </c>
      <c r="I30" s="132">
        <f>IF(SER_hh_emih!I30=0,0,SER_hh_emih!I30/SER_summary!I$26)</f>
        <v>12.61969842960802</v>
      </c>
      <c r="J30" s="132">
        <f>IF(SER_hh_emih!J30=0,0,SER_hh_emih!J30/SER_summary!J$26)</f>
        <v>11.941278356556628</v>
      </c>
      <c r="K30" s="132">
        <f>IF(SER_hh_emih!K30=0,0,SER_hh_emih!K30/SER_summary!K$26)</f>
        <v>11.142731940006307</v>
      </c>
      <c r="L30" s="132">
        <f>IF(SER_hh_emih!L30=0,0,SER_hh_emih!L30/SER_summary!L$26)</f>
        <v>11.879860217406208</v>
      </c>
      <c r="M30" s="132">
        <f>IF(SER_hh_emih!M30=0,0,SER_hh_emih!M30/SER_summary!M$26)</f>
        <v>8.5290976263621463</v>
      </c>
      <c r="N30" s="132">
        <f>IF(SER_hh_emih!N30=0,0,SER_hh_emih!N30/SER_summary!N$26)</f>
        <v>23.45404063245903</v>
      </c>
      <c r="O30" s="132">
        <f>IF(SER_hh_emih!O30=0,0,SER_hh_emih!O30/SER_summary!O$26)</f>
        <v>16.098630530670221</v>
      </c>
      <c r="P30" s="132">
        <f>IF(SER_hh_emih!P30=0,0,SER_hh_emih!P30/SER_summary!P$26)</f>
        <v>9.5471290875106352</v>
      </c>
      <c r="Q30" s="132">
        <f>IF(SER_hh_emih!Q30=0,0,SER_hh_emih!Q30/SER_summary!Q$26)</f>
        <v>11.272617076017619</v>
      </c>
      <c r="R30" s="132">
        <f>IF(SER_hh_emih!R30=0,0,SER_hh_emih!R30/SER_summary!R$26)</f>
        <v>12.708134895388003</v>
      </c>
      <c r="S30" s="132">
        <f>IF(SER_hh_emih!S30=0,0,SER_hh_emih!S30/SER_summary!S$26)</f>
        <v>13.870130540834877</v>
      </c>
      <c r="T30" s="132">
        <f>IF(SER_hh_emih!T30=0,0,SER_hh_emih!T30/SER_summary!T$26)</f>
        <v>14.008992396963729</v>
      </c>
      <c r="U30" s="132">
        <f>IF(SER_hh_emih!U30=0,0,SER_hh_emih!U30/SER_summary!U$26)</f>
        <v>14.961065941875667</v>
      </c>
      <c r="V30" s="132">
        <f>IF(SER_hh_emih!V30=0,0,SER_hh_emih!V30/SER_summary!V$26)</f>
        <v>9.2437138664332839</v>
      </c>
      <c r="W30" s="132">
        <f>IF(SER_hh_emih!W30=0,0,SER_hh_emih!W30/SER_summary!W$26)</f>
        <v>11.810910048671078</v>
      </c>
      <c r="X30" s="132">
        <f>IF(SER_hh_emih!X30=0,0,SER_hh_emih!X30/SER_summary!X$26)</f>
        <v>12.407662107435989</v>
      </c>
      <c r="Y30" s="132">
        <f>IF(SER_hh_emih!Y30=0,0,SER_hh_emih!Y30/SER_summary!Y$26)</f>
        <v>13.325864214340738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8.8728715901727302</v>
      </c>
      <c r="C31" s="132">
        <f>IF(SER_hh_emih!C31=0,0,SER_hh_emih!C31/SER_summary!C$26)</f>
        <v>9.8283937323730211</v>
      </c>
      <c r="D31" s="132">
        <f>IF(SER_hh_emih!D31=0,0,SER_hh_emih!D31/SER_summary!D$26)</f>
        <v>9.5454237228451611</v>
      </c>
      <c r="E31" s="132">
        <f>IF(SER_hh_emih!E31=0,0,SER_hh_emih!E31/SER_summary!E$26)</f>
        <v>9.5380025305913048</v>
      </c>
      <c r="F31" s="132">
        <f>IF(SER_hh_emih!F31=0,0,SER_hh_emih!F31/SER_summary!F$26)</f>
        <v>10.045876358487998</v>
      </c>
      <c r="G31" s="132">
        <f>IF(SER_hh_emih!G31=0,0,SER_hh_emih!G31/SER_summary!G$26)</f>
        <v>11.413036619274278</v>
      </c>
      <c r="H31" s="132">
        <f>IF(SER_hh_emih!H31=0,0,SER_hh_emih!H31/SER_summary!H$26)</f>
        <v>10.658968536746174</v>
      </c>
      <c r="I31" s="132">
        <f>IF(SER_hh_emih!I31=0,0,SER_hh_emih!I31/SER_summary!I$26)</f>
        <v>10.634522756462459</v>
      </c>
      <c r="J31" s="132">
        <f>IF(SER_hh_emih!J31=0,0,SER_hh_emih!J31/SER_summary!J$26)</f>
        <v>10.733429541448034</v>
      </c>
      <c r="K31" s="132">
        <f>IF(SER_hh_emih!K31=0,0,SER_hh_emih!K31/SER_summary!K$26)</f>
        <v>11.408374299927129</v>
      </c>
      <c r="L31" s="132">
        <f>IF(SER_hh_emih!L31=0,0,SER_hh_emih!L31/SER_summary!L$26)</f>
        <v>11.879464830416891</v>
      </c>
      <c r="M31" s="132">
        <f>IF(SER_hh_emih!M31=0,0,SER_hh_emih!M31/SER_summary!M$26)</f>
        <v>11.514483030373766</v>
      </c>
      <c r="N31" s="132">
        <f>IF(SER_hh_emih!N31=0,0,SER_hh_emih!N31/SER_summary!N$26)</f>
        <v>11.224680641083259</v>
      </c>
      <c r="O31" s="132">
        <f>IF(SER_hh_emih!O31=0,0,SER_hh_emih!O31/SER_summary!O$26)</f>
        <v>10.883712562180914</v>
      </c>
      <c r="P31" s="132">
        <f>IF(SER_hh_emih!P31=0,0,SER_hh_emih!P31/SER_summary!P$26)</f>
        <v>11.376068258410397</v>
      </c>
      <c r="Q31" s="132">
        <f>IF(SER_hh_emih!Q31=0,0,SER_hh_emih!Q31/SER_summary!Q$26)</f>
        <v>11.5648372438261</v>
      </c>
      <c r="R31" s="132">
        <f>IF(SER_hh_emih!R31=0,0,SER_hh_emih!R31/SER_summary!R$26)</f>
        <v>11.37277829248505</v>
      </c>
      <c r="S31" s="132">
        <f>IF(SER_hh_emih!S31=0,0,SER_hh_emih!S31/SER_summary!S$26)</f>
        <v>11.317612229100888</v>
      </c>
      <c r="T31" s="132">
        <f>IF(SER_hh_emih!T31=0,0,SER_hh_emih!T31/SER_summary!T$26)</f>
        <v>10.849630211885886</v>
      </c>
      <c r="U31" s="132">
        <f>IF(SER_hh_emih!U31=0,0,SER_hh_emih!U31/SER_summary!U$26)</f>
        <v>10.3159874571984</v>
      </c>
      <c r="V31" s="132">
        <f>IF(SER_hh_emih!V31=0,0,SER_hh_emih!V31/SER_summary!V$26)</f>
        <v>9.7542638896954319</v>
      </c>
      <c r="W31" s="132">
        <f>IF(SER_hh_emih!W31=0,0,SER_hh_emih!W31/SER_summary!W$26)</f>
        <v>11.157288663366844</v>
      </c>
      <c r="X31" s="132">
        <f>IF(SER_hh_emih!X31=0,0,SER_hh_emih!X31/SER_summary!X$26)</f>
        <v>9.573601274944231</v>
      </c>
      <c r="Y31" s="132">
        <f>IF(SER_hh_emih!Y31=0,0,SER_hh_emih!Y31/SER_summary!Y$26)</f>
        <v>9.7114472164235295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0</v>
      </c>
      <c r="C32" s="132">
        <f>IF(SER_hh_emih!C32=0,0,SER_hh_emih!C32/SER_summary!C$26)</f>
        <v>0</v>
      </c>
      <c r="D32" s="132">
        <f>IF(SER_hh_emih!D32=0,0,SER_hh_emih!D32/SER_summary!D$26)</f>
        <v>0</v>
      </c>
      <c r="E32" s="132">
        <f>IF(SER_hh_emih!E32=0,0,SER_hh_emih!E32/SER_summary!E$26)</f>
        <v>0</v>
      </c>
      <c r="F32" s="132">
        <f>IF(SER_hh_emih!F32=0,0,SER_hh_emih!F32/SER_summary!F$26)</f>
        <v>0</v>
      </c>
      <c r="G32" s="132">
        <f>IF(SER_hh_emih!G32=0,0,SER_hh_emih!G32/SER_summary!G$26)</f>
        <v>0</v>
      </c>
      <c r="H32" s="132">
        <f>IF(SER_hh_emih!H32=0,0,SER_hh_emih!H32/SER_summary!H$26)</f>
        <v>0</v>
      </c>
      <c r="I32" s="132">
        <f>IF(SER_hh_emih!I32=0,0,SER_hh_emih!I32/SER_summary!I$26)</f>
        <v>0</v>
      </c>
      <c r="J32" s="132">
        <f>IF(SER_hh_emih!J32=0,0,SER_hh_emih!J32/SER_summary!J$26)</f>
        <v>0</v>
      </c>
      <c r="K32" s="132">
        <f>IF(SER_hh_emih!K32=0,0,SER_hh_emih!K32/SER_summary!K$26)</f>
        <v>0</v>
      </c>
      <c r="L32" s="132">
        <f>IF(SER_hh_emih!L32=0,0,SER_hh_emih!L32/SER_summary!L$26)</f>
        <v>0</v>
      </c>
      <c r="M32" s="132">
        <f>IF(SER_hh_emih!M32=0,0,SER_hh_emih!M32/SER_summary!M$26)</f>
        <v>0</v>
      </c>
      <c r="N32" s="132">
        <f>IF(SER_hh_emih!N32=0,0,SER_hh_emih!N32/SER_summary!N$26)</f>
        <v>0</v>
      </c>
      <c r="O32" s="132">
        <f>IF(SER_hh_emih!O32=0,0,SER_hh_emih!O32/SER_summary!O$26)</f>
        <v>0</v>
      </c>
      <c r="P32" s="132">
        <f>IF(SER_hh_emih!P32=0,0,SER_hh_emih!P32/SER_summary!P$26)</f>
        <v>0</v>
      </c>
      <c r="Q32" s="132">
        <f>IF(SER_hh_emih!Q32=0,0,SER_hh_emih!Q32/SER_summary!Q$26)</f>
        <v>0</v>
      </c>
      <c r="R32" s="132">
        <f>IF(SER_hh_emih!R32=0,0,SER_hh_emih!R32/SER_summary!R$26)</f>
        <v>0</v>
      </c>
      <c r="S32" s="132">
        <f>IF(SER_hh_emih!S32=0,0,SER_hh_emih!S32/SER_summary!S$26)</f>
        <v>0</v>
      </c>
      <c r="T32" s="132">
        <f>IF(SER_hh_emih!T32=0,0,SER_hh_emih!T32/SER_summary!T$26)</f>
        <v>0</v>
      </c>
      <c r="U32" s="132">
        <f>IF(SER_hh_emih!U32=0,0,SER_hh_emih!U32/SER_summary!U$26)</f>
        <v>0</v>
      </c>
      <c r="V32" s="132">
        <f>IF(SER_hh_emih!V32=0,0,SER_hh_emih!V32/SER_summary!V$26)</f>
        <v>0</v>
      </c>
      <c r="W32" s="132">
        <f>IF(SER_hh_emih!W32=0,0,SER_hh_emih!W32/SER_summary!W$26)</f>
        <v>0</v>
      </c>
      <c r="X32" s="132">
        <f>IF(SER_hh_emih!X32=0,0,SER_hh_emih!X32/SER_summary!X$26)</f>
        <v>0</v>
      </c>
      <c r="Y32" s="132">
        <f>IF(SER_hh_emih!Y32=0,0,SER_hh_emih!Y32/SER_summary!Y$26)</f>
        <v>0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4023.6967024973301</v>
      </c>
      <c r="D3" s="124">
        <f t="shared" si="0"/>
        <v>3281.1194586577071</v>
      </c>
      <c r="E3" s="124">
        <f t="shared" si="0"/>
        <v>4254.5352447404821</v>
      </c>
      <c r="F3" s="124">
        <f t="shared" si="0"/>
        <v>4241.9426557344887</v>
      </c>
      <c r="G3" s="124">
        <f t="shared" si="0"/>
        <v>3174.6993667920738</v>
      </c>
      <c r="H3" s="124">
        <f t="shared" si="0"/>
        <v>4619.1231463454715</v>
      </c>
      <c r="I3" s="124">
        <f t="shared" si="0"/>
        <v>3567.0385708578469</v>
      </c>
      <c r="J3" s="124">
        <f t="shared" si="0"/>
        <v>2408.5329325555667</v>
      </c>
      <c r="K3" s="124">
        <f t="shared" si="0"/>
        <v>435.28989012621861</v>
      </c>
      <c r="L3" s="124">
        <f t="shared" si="0"/>
        <v>434.91592973951202</v>
      </c>
      <c r="M3" s="124">
        <f t="shared" si="0"/>
        <v>420.70543504467014</v>
      </c>
      <c r="N3" s="124">
        <f t="shared" si="0"/>
        <v>573.57434857483236</v>
      </c>
      <c r="O3" s="124">
        <f t="shared" si="0"/>
        <v>411.35642537701068</v>
      </c>
      <c r="P3" s="124">
        <f t="shared" si="0"/>
        <v>534.88805731556488</v>
      </c>
      <c r="Q3" s="124">
        <f t="shared" si="0"/>
        <v>731.37733565008079</v>
      </c>
      <c r="R3" s="124">
        <f t="shared" si="0"/>
        <v>569.61480206735928</v>
      </c>
      <c r="S3" s="124">
        <f t="shared" si="0"/>
        <v>1218.4043651598677</v>
      </c>
      <c r="T3" s="124">
        <f t="shared" si="0"/>
        <v>1256.5978436087375</v>
      </c>
      <c r="U3" s="124">
        <f t="shared" si="0"/>
        <v>1373.382534069862</v>
      </c>
      <c r="V3" s="124">
        <f t="shared" si="0"/>
        <v>1346.3097591159099</v>
      </c>
      <c r="W3" s="124">
        <f t="shared" si="0"/>
        <v>1292.9152736423946</v>
      </c>
      <c r="X3" s="124">
        <f t="shared" si="0"/>
        <v>1182.926345470501</v>
      </c>
      <c r="Y3" s="124">
        <f t="shared" si="0"/>
        <v>1053.3059835394965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4023.6967024973301</v>
      </c>
      <c r="D4" s="139">
        <f t="shared" si="1"/>
        <v>3281.1194586577071</v>
      </c>
      <c r="E4" s="139">
        <f t="shared" si="1"/>
        <v>4254.5352447404821</v>
      </c>
      <c r="F4" s="139">
        <f t="shared" si="1"/>
        <v>4241.9426557344887</v>
      </c>
      <c r="G4" s="139">
        <f t="shared" si="1"/>
        <v>3174.6993667920738</v>
      </c>
      <c r="H4" s="139">
        <f t="shared" si="1"/>
        <v>4619.1231463454715</v>
      </c>
      <c r="I4" s="139">
        <f t="shared" si="1"/>
        <v>3567.0385708578469</v>
      </c>
      <c r="J4" s="139">
        <f t="shared" si="1"/>
        <v>2408.5329325555667</v>
      </c>
      <c r="K4" s="139">
        <f t="shared" si="1"/>
        <v>435.28989012621861</v>
      </c>
      <c r="L4" s="139">
        <f t="shared" si="1"/>
        <v>434.91592973951202</v>
      </c>
      <c r="M4" s="139">
        <f t="shared" si="1"/>
        <v>420.70543504467014</v>
      </c>
      <c r="N4" s="139">
        <f t="shared" si="1"/>
        <v>573.57434857483236</v>
      </c>
      <c r="O4" s="139">
        <f t="shared" si="1"/>
        <v>411.35642537701068</v>
      </c>
      <c r="P4" s="139">
        <f t="shared" si="1"/>
        <v>534.88805731556488</v>
      </c>
      <c r="Q4" s="139">
        <f t="shared" si="1"/>
        <v>731.37733565008079</v>
      </c>
      <c r="R4" s="139">
        <f t="shared" ref="R4:W4" si="2">SUM(R5:R14)</f>
        <v>569.61480206735928</v>
      </c>
      <c r="S4" s="139">
        <f t="shared" si="2"/>
        <v>1218.4043651598677</v>
      </c>
      <c r="T4" s="139">
        <f t="shared" si="2"/>
        <v>1256.5978436087375</v>
      </c>
      <c r="U4" s="139">
        <f t="shared" si="2"/>
        <v>1373.382534069862</v>
      </c>
      <c r="V4" s="139">
        <f t="shared" si="2"/>
        <v>1346.3097591159099</v>
      </c>
      <c r="W4" s="139">
        <f t="shared" si="2"/>
        <v>1292.9152736423946</v>
      </c>
      <c r="X4" s="139">
        <f t="shared" ref="X4:Y4" si="3">SUM(X5:X14)</f>
        <v>1182.926345470501</v>
      </c>
      <c r="Y4" s="139">
        <f t="shared" si="3"/>
        <v>1053.3059835394965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54.710858246422475</v>
      </c>
      <c r="Y5" s="140">
        <v>52.540273906649205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2594.673135734457</v>
      </c>
      <c r="D7" s="140">
        <v>878.51956389941768</v>
      </c>
      <c r="E7" s="140">
        <v>1233.1639893651679</v>
      </c>
      <c r="F7" s="140">
        <v>310.25099824313401</v>
      </c>
      <c r="G7" s="140">
        <v>968.21437750040923</v>
      </c>
      <c r="H7" s="140">
        <v>404.67392990631544</v>
      </c>
      <c r="I7" s="140">
        <v>0</v>
      </c>
      <c r="J7" s="140">
        <v>0</v>
      </c>
      <c r="K7" s="140">
        <v>0</v>
      </c>
      <c r="L7" s="140">
        <v>0</v>
      </c>
      <c r="M7" s="140">
        <v>9.605699735740405</v>
      </c>
      <c r="N7" s="140">
        <v>0</v>
      </c>
      <c r="O7" s="140">
        <v>0</v>
      </c>
      <c r="P7" s="140">
        <v>0</v>
      </c>
      <c r="Q7" s="140">
        <v>0</v>
      </c>
      <c r="R7" s="140">
        <v>54.619642600262019</v>
      </c>
      <c r="S7" s="140">
        <v>89.699266763775441</v>
      </c>
      <c r="T7" s="140">
        <v>62.185264908865456</v>
      </c>
      <c r="U7" s="140">
        <v>37.546290519766742</v>
      </c>
      <c r="V7" s="140">
        <v>23.759920518441522</v>
      </c>
      <c r="W7" s="140">
        <v>163.46636565210855</v>
      </c>
      <c r="X7" s="140">
        <v>0</v>
      </c>
      <c r="Y7" s="140">
        <v>0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0.34549308874781959</v>
      </c>
      <c r="D8" s="140">
        <v>0.90104034567220781</v>
      </c>
      <c r="E8" s="140">
        <v>1.3480759610566808</v>
      </c>
      <c r="F8" s="140">
        <v>1.62980638720129</v>
      </c>
      <c r="G8" s="140">
        <v>1.4278878450317385</v>
      </c>
      <c r="H8" s="140">
        <v>1.3502720752635808</v>
      </c>
      <c r="I8" s="140">
        <v>1.1941449058973392</v>
      </c>
      <c r="J8" s="140">
        <v>1.2628113610961442</v>
      </c>
      <c r="K8" s="140">
        <v>0.55915549783097851</v>
      </c>
      <c r="L8" s="140">
        <v>0.90205318385584377</v>
      </c>
      <c r="M8" s="140">
        <v>2.6312380288170649</v>
      </c>
      <c r="N8" s="140">
        <v>7.5174409748312581</v>
      </c>
      <c r="O8" s="140">
        <v>12.759299094039759</v>
      </c>
      <c r="P8" s="140">
        <v>27.017296463664213</v>
      </c>
      <c r="Q8" s="140">
        <v>103.27031114039357</v>
      </c>
      <c r="R8" s="140">
        <v>23.613211212468368</v>
      </c>
      <c r="S8" s="140">
        <v>23.493218510353977</v>
      </c>
      <c r="T8" s="140">
        <v>23.519831775928427</v>
      </c>
      <c r="U8" s="140">
        <v>26.798075311746885</v>
      </c>
      <c r="V8" s="140">
        <v>31.996918644388291</v>
      </c>
      <c r="W8" s="140">
        <v>20.106806861017798</v>
      </c>
      <c r="X8" s="140">
        <v>11.846848806183859</v>
      </c>
      <c r="Y8" s="140">
        <v>20.582430949870663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110.285230868526</v>
      </c>
      <c r="D9" s="140">
        <v>297.17599929485783</v>
      </c>
      <c r="E9" s="140">
        <v>478.22514102847737</v>
      </c>
      <c r="F9" s="140">
        <v>593.25568286047587</v>
      </c>
      <c r="G9" s="140">
        <v>520.03278993395043</v>
      </c>
      <c r="H9" s="140">
        <v>475.66536368219226</v>
      </c>
      <c r="I9" s="140">
        <v>319.3628933436741</v>
      </c>
      <c r="J9" s="140">
        <v>232.49144799592241</v>
      </c>
      <c r="K9" s="140">
        <v>78.341648495568649</v>
      </c>
      <c r="L9" s="140">
        <v>58.630329385192077</v>
      </c>
      <c r="M9" s="140">
        <v>16.255408288895485</v>
      </c>
      <c r="N9" s="140">
        <v>0</v>
      </c>
      <c r="O9" s="140">
        <v>0</v>
      </c>
      <c r="P9" s="140">
        <v>0</v>
      </c>
      <c r="Q9" s="140">
        <v>19.930273323325263</v>
      </c>
      <c r="R9" s="140">
        <v>0</v>
      </c>
      <c r="S9" s="140">
        <v>120.86652726947446</v>
      </c>
      <c r="T9" s="140">
        <v>148.09336475806185</v>
      </c>
      <c r="U9" s="140">
        <v>208.71002947783228</v>
      </c>
      <c r="V9" s="140">
        <v>98.094171805120027</v>
      </c>
      <c r="W9" s="140">
        <v>46.601440753485832</v>
      </c>
      <c r="X9" s="140">
        <v>0</v>
      </c>
      <c r="Y9" s="140">
        <v>14.588877181500052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0</v>
      </c>
      <c r="D10" s="140">
        <v>0</v>
      </c>
      <c r="E10" s="140">
        <v>0</v>
      </c>
      <c r="F10" s="140">
        <v>0</v>
      </c>
      <c r="G10" s="140">
        <v>0</v>
      </c>
      <c r="H10" s="140">
        <v>0</v>
      </c>
      <c r="I10" s="140">
        <v>0</v>
      </c>
      <c r="J10" s="140">
        <v>0</v>
      </c>
      <c r="K10" s="140">
        <v>0</v>
      </c>
      <c r="L10" s="140">
        <v>0</v>
      </c>
      <c r="M10" s="140">
        <v>0</v>
      </c>
      <c r="N10" s="140">
        <v>38.431099176052676</v>
      </c>
      <c r="O10" s="140">
        <v>7.3699542364839381</v>
      </c>
      <c r="P10" s="140">
        <v>3.7642110195279179</v>
      </c>
      <c r="Q10" s="140">
        <v>0.87463188595605468</v>
      </c>
      <c r="R10" s="140">
        <v>0</v>
      </c>
      <c r="S10" s="140">
        <v>0</v>
      </c>
      <c r="T10" s="140">
        <v>0</v>
      </c>
      <c r="U10" s="140">
        <v>0</v>
      </c>
      <c r="V10" s="140">
        <v>0</v>
      </c>
      <c r="W10" s="140">
        <v>0</v>
      </c>
      <c r="X10" s="140">
        <v>0</v>
      </c>
      <c r="Y10" s="140">
        <v>0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0</v>
      </c>
      <c r="D11" s="140">
        <v>0</v>
      </c>
      <c r="E11" s="140">
        <v>0</v>
      </c>
      <c r="F11" s="140">
        <v>348.34746115469511</v>
      </c>
      <c r="G11" s="140">
        <v>50.352736517295149</v>
      </c>
      <c r="H11" s="140">
        <v>9.8108880510579493</v>
      </c>
      <c r="I11" s="140">
        <v>0</v>
      </c>
      <c r="J11" s="140">
        <v>6.4269810761385244</v>
      </c>
      <c r="K11" s="140">
        <v>7.9116540527028691</v>
      </c>
      <c r="L11" s="140">
        <v>7.4492069821203675</v>
      </c>
      <c r="M11" s="140">
        <v>5.3549081789365314</v>
      </c>
      <c r="N11" s="140">
        <v>0.46386207262998025</v>
      </c>
      <c r="O11" s="140">
        <v>1.125990290683142</v>
      </c>
      <c r="P11" s="140">
        <v>1.3004374940807362</v>
      </c>
      <c r="Q11" s="140">
        <v>0</v>
      </c>
      <c r="R11" s="140">
        <v>0</v>
      </c>
      <c r="S11" s="140">
        <v>8.059897346554008</v>
      </c>
      <c r="T11" s="140">
        <v>16.269730172250267</v>
      </c>
      <c r="U11" s="140">
        <v>17.088515888275548</v>
      </c>
      <c r="V11" s="140">
        <v>23.943580885006732</v>
      </c>
      <c r="W11" s="140">
        <v>7.9315458193294788</v>
      </c>
      <c r="X11" s="140">
        <v>4.1772425517268328</v>
      </c>
      <c r="Y11" s="140">
        <v>6.3703152378766044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0</v>
      </c>
      <c r="D12" s="140">
        <v>0</v>
      </c>
      <c r="E12" s="140">
        <v>0</v>
      </c>
      <c r="F12" s="140">
        <v>0</v>
      </c>
      <c r="G12" s="140">
        <v>0</v>
      </c>
      <c r="H12" s="140">
        <v>0</v>
      </c>
      <c r="I12" s="140">
        <v>0</v>
      </c>
      <c r="J12" s="140">
        <v>0</v>
      </c>
      <c r="K12" s="140">
        <v>0</v>
      </c>
      <c r="L12" s="140">
        <v>0</v>
      </c>
      <c r="M12" s="140">
        <v>0</v>
      </c>
      <c r="N12" s="140">
        <v>0</v>
      </c>
      <c r="O12" s="140">
        <v>0</v>
      </c>
      <c r="P12" s="140">
        <v>0</v>
      </c>
      <c r="Q12" s="140">
        <v>0</v>
      </c>
      <c r="R12" s="140">
        <v>0</v>
      </c>
      <c r="S12" s="140">
        <v>0</v>
      </c>
      <c r="T12" s="140">
        <v>0</v>
      </c>
      <c r="U12" s="140">
        <v>0</v>
      </c>
      <c r="V12" s="140">
        <v>0</v>
      </c>
      <c r="W12" s="140">
        <v>0</v>
      </c>
      <c r="X12" s="140">
        <v>0</v>
      </c>
      <c r="Y12" s="140">
        <v>0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355.74002430371951</v>
      </c>
      <c r="D13" s="140">
        <v>573.0536976399211</v>
      </c>
      <c r="E13" s="140">
        <v>685.38678558658569</v>
      </c>
      <c r="F13" s="140">
        <v>808.21968327922843</v>
      </c>
      <c r="G13" s="140">
        <v>633.93514556656442</v>
      </c>
      <c r="H13" s="140">
        <v>1060.0615947692743</v>
      </c>
      <c r="I13" s="140">
        <v>1149.875645591148</v>
      </c>
      <c r="J13" s="140">
        <v>1016.8858353352385</v>
      </c>
      <c r="K13" s="140">
        <v>304.37620228233379</v>
      </c>
      <c r="L13" s="140">
        <v>367.93434018834375</v>
      </c>
      <c r="M13" s="140">
        <v>386.85818081228064</v>
      </c>
      <c r="N13" s="140">
        <v>527.16194635131842</v>
      </c>
      <c r="O13" s="140">
        <v>390.10118175580385</v>
      </c>
      <c r="P13" s="140">
        <v>502.806112338292</v>
      </c>
      <c r="Q13" s="140">
        <v>607.30211930040593</v>
      </c>
      <c r="R13" s="140">
        <v>60.076416737975549</v>
      </c>
      <c r="S13" s="140">
        <v>526.91787887269732</v>
      </c>
      <c r="T13" s="140">
        <v>1006.5296519936315</v>
      </c>
      <c r="U13" s="140">
        <v>1083.2396228722405</v>
      </c>
      <c r="V13" s="140">
        <v>1168.5151672629534</v>
      </c>
      <c r="W13" s="140">
        <v>736.17518676348016</v>
      </c>
      <c r="X13" s="140">
        <v>608.49612448297353</v>
      </c>
      <c r="Y13" s="140">
        <v>664.14354759810874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962.65281850187955</v>
      </c>
      <c r="D14" s="141">
        <v>1531.4691574778385</v>
      </c>
      <c r="E14" s="141">
        <v>1856.4112527991945</v>
      </c>
      <c r="F14" s="141">
        <v>2180.2390238097541</v>
      </c>
      <c r="G14" s="141">
        <v>1000.7364294288228</v>
      </c>
      <c r="H14" s="141">
        <v>2667.5610978613681</v>
      </c>
      <c r="I14" s="141">
        <v>2096.6058870171273</v>
      </c>
      <c r="J14" s="141">
        <v>1151.4658567871711</v>
      </c>
      <c r="K14" s="141">
        <v>44.10122979778231</v>
      </c>
      <c r="L14" s="141">
        <v>0</v>
      </c>
      <c r="M14" s="141">
        <v>0</v>
      </c>
      <c r="N14" s="141">
        <v>0</v>
      </c>
      <c r="O14" s="141">
        <v>0</v>
      </c>
      <c r="P14" s="141">
        <v>0</v>
      </c>
      <c r="Q14" s="141">
        <v>0</v>
      </c>
      <c r="R14" s="141">
        <v>431.30553151665328</v>
      </c>
      <c r="S14" s="141">
        <v>449.36757639701256</v>
      </c>
      <c r="T14" s="141">
        <v>0</v>
      </c>
      <c r="U14" s="141">
        <v>0</v>
      </c>
      <c r="V14" s="141">
        <v>0</v>
      </c>
      <c r="W14" s="141">
        <v>318.63392779297283</v>
      </c>
      <c r="X14" s="141">
        <v>503.69527138319438</v>
      </c>
      <c r="Y14" s="141">
        <v>295.08053866549142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2705.3038596917308</v>
      </c>
      <c r="D15" s="143">
        <f t="shared" si="4"/>
        <v>1176.5966035399476</v>
      </c>
      <c r="E15" s="143">
        <f t="shared" si="4"/>
        <v>1712.737206354702</v>
      </c>
      <c r="F15" s="143">
        <f t="shared" si="4"/>
        <v>1253.4839486455062</v>
      </c>
      <c r="G15" s="143">
        <f t="shared" si="4"/>
        <v>1540.0277917966866</v>
      </c>
      <c r="H15" s="143">
        <f t="shared" si="4"/>
        <v>891.50045371482929</v>
      </c>
      <c r="I15" s="143">
        <f t="shared" si="4"/>
        <v>320.55703824957146</v>
      </c>
      <c r="J15" s="143">
        <f t="shared" si="4"/>
        <v>240.18124043315709</v>
      </c>
      <c r="K15" s="143">
        <f t="shared" si="4"/>
        <v>86.812458046102492</v>
      </c>
      <c r="L15" s="143">
        <f t="shared" si="4"/>
        <v>66.981589551168284</v>
      </c>
      <c r="M15" s="143">
        <f t="shared" si="4"/>
        <v>33.847254232389488</v>
      </c>
      <c r="N15" s="143">
        <f t="shared" si="4"/>
        <v>46.412402223513915</v>
      </c>
      <c r="O15" s="143">
        <f t="shared" si="4"/>
        <v>21.255243621206837</v>
      </c>
      <c r="P15" s="143">
        <f t="shared" si="4"/>
        <v>32.081944977272869</v>
      </c>
      <c r="Q15" s="143">
        <f t="shared" si="4"/>
        <v>124.07521634967489</v>
      </c>
      <c r="R15" s="143">
        <f t="shared" ref="R15:W15" si="5">SUM(R5:R12)</f>
        <v>78.232853812730383</v>
      </c>
      <c r="S15" s="143">
        <f t="shared" si="5"/>
        <v>242.11890989015788</v>
      </c>
      <c r="T15" s="143">
        <f t="shared" si="5"/>
        <v>250.068191615106</v>
      </c>
      <c r="U15" s="143">
        <f t="shared" si="5"/>
        <v>290.14291119762146</v>
      </c>
      <c r="V15" s="143">
        <f t="shared" si="5"/>
        <v>177.79459185295656</v>
      </c>
      <c r="W15" s="143">
        <f t="shared" si="5"/>
        <v>238.10615908594164</v>
      </c>
      <c r="X15" s="143">
        <f t="shared" ref="X15:Y15" si="6">SUM(X5:X12)</f>
        <v>70.734949604333167</v>
      </c>
      <c r="Y15" s="143">
        <f t="shared" si="6"/>
        <v>94.081897275896537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4023.6967024973301</v>
      </c>
      <c r="D16" s="139">
        <f t="shared" si="7"/>
        <v>3281.1194586577071</v>
      </c>
      <c r="E16" s="139">
        <f t="shared" si="7"/>
        <v>4254.535244740483</v>
      </c>
      <c r="F16" s="139">
        <f t="shared" si="7"/>
        <v>4241.9426557344887</v>
      </c>
      <c r="G16" s="139">
        <f t="shared" si="7"/>
        <v>3174.6993667920738</v>
      </c>
      <c r="H16" s="139">
        <f t="shared" si="7"/>
        <v>4619.1231463454706</v>
      </c>
      <c r="I16" s="139">
        <f t="shared" si="7"/>
        <v>3567.0385708578465</v>
      </c>
      <c r="J16" s="139">
        <f t="shared" si="7"/>
        <v>2408.5329325555672</v>
      </c>
      <c r="K16" s="139">
        <f t="shared" si="7"/>
        <v>435.28989012621867</v>
      </c>
      <c r="L16" s="139">
        <f t="shared" si="7"/>
        <v>434.91592973951208</v>
      </c>
      <c r="M16" s="139">
        <f t="shared" si="7"/>
        <v>420.70543504467008</v>
      </c>
      <c r="N16" s="139">
        <f t="shared" si="7"/>
        <v>573.57434857483224</v>
      </c>
      <c r="O16" s="139">
        <f t="shared" si="7"/>
        <v>411.35642537701079</v>
      </c>
      <c r="P16" s="139">
        <f t="shared" si="7"/>
        <v>534.88805731556488</v>
      </c>
      <c r="Q16" s="139">
        <f t="shared" si="7"/>
        <v>731.37733565008079</v>
      </c>
      <c r="R16" s="139">
        <f t="shared" ref="R16:W16" si="8">SUM(R17:R18)</f>
        <v>569.61480206735939</v>
      </c>
      <c r="S16" s="139">
        <f t="shared" si="8"/>
        <v>1218.4043651598679</v>
      </c>
      <c r="T16" s="139">
        <f t="shared" si="8"/>
        <v>1256.5978436087373</v>
      </c>
      <c r="U16" s="139">
        <f t="shared" si="8"/>
        <v>1373.3825340698622</v>
      </c>
      <c r="V16" s="139">
        <f t="shared" si="8"/>
        <v>1346.3097591159103</v>
      </c>
      <c r="W16" s="139">
        <f t="shared" si="8"/>
        <v>1292.9152736423948</v>
      </c>
      <c r="X16" s="139">
        <f t="shared" ref="X16:Y16" si="9">SUM(X17:X18)</f>
        <v>1182.9263454705008</v>
      </c>
      <c r="Y16" s="139">
        <f t="shared" si="9"/>
        <v>1053.305983539497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2.6842847446287603</v>
      </c>
      <c r="D17" s="140">
        <v>6.8327326562376758</v>
      </c>
      <c r="E17" s="140">
        <v>0.60514503418892485</v>
      </c>
      <c r="F17" s="140">
        <v>26.027803199691263</v>
      </c>
      <c r="G17" s="140">
        <v>20.71238330649749</v>
      </c>
      <c r="H17" s="140">
        <v>24.177433377406913</v>
      </c>
      <c r="I17" s="140">
        <v>6.4177345759184809E-2</v>
      </c>
      <c r="J17" s="140">
        <v>16.828806794472516</v>
      </c>
      <c r="K17" s="140">
        <v>6.0266845953746406</v>
      </c>
      <c r="L17" s="140">
        <v>7.784937086988081</v>
      </c>
      <c r="M17" s="140">
        <v>8.2376884577291065</v>
      </c>
      <c r="N17" s="140">
        <v>11.223978324954301</v>
      </c>
      <c r="O17" s="140">
        <v>13.589437497922113</v>
      </c>
      <c r="P17" s="140">
        <v>19.970309588548648</v>
      </c>
      <c r="Q17" s="140">
        <v>19.1749339632774</v>
      </c>
      <c r="R17" s="140">
        <v>11.887948524858167</v>
      </c>
      <c r="S17" s="140">
        <v>31.625087663531399</v>
      </c>
      <c r="T17" s="140">
        <v>55.05388903185677</v>
      </c>
      <c r="U17" s="140">
        <v>36.316068668309029</v>
      </c>
      <c r="V17" s="140">
        <v>37.601208015596036</v>
      </c>
      <c r="W17" s="140">
        <v>34.247204059995425</v>
      </c>
      <c r="X17" s="140">
        <v>33.896007992139239</v>
      </c>
      <c r="Y17" s="140">
        <v>35.541962517278414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4021.0124177527014</v>
      </c>
      <c r="D18" s="140">
        <v>3274.2867260014696</v>
      </c>
      <c r="E18" s="140">
        <v>4253.9300997062937</v>
      </c>
      <c r="F18" s="140">
        <v>4215.9148525347973</v>
      </c>
      <c r="G18" s="140">
        <v>3153.9869834855763</v>
      </c>
      <c r="H18" s="140">
        <v>4594.9457129680641</v>
      </c>
      <c r="I18" s="140">
        <v>3566.9743935120873</v>
      </c>
      <c r="J18" s="140">
        <v>2391.7041257610945</v>
      </c>
      <c r="K18" s="140">
        <v>429.263205530844</v>
      </c>
      <c r="L18" s="140">
        <v>427.13099265252401</v>
      </c>
      <c r="M18" s="140">
        <v>412.46774658694096</v>
      </c>
      <c r="N18" s="140">
        <v>562.35037024987798</v>
      </c>
      <c r="O18" s="140">
        <v>397.76698787908867</v>
      </c>
      <c r="P18" s="140">
        <v>514.91774772701626</v>
      </c>
      <c r="Q18" s="140">
        <v>712.20240168680334</v>
      </c>
      <c r="R18" s="140">
        <v>557.7268535425012</v>
      </c>
      <c r="S18" s="140">
        <v>1186.7792774963366</v>
      </c>
      <c r="T18" s="140">
        <v>1201.5439545768807</v>
      </c>
      <c r="U18" s="140">
        <v>1337.0664654015532</v>
      </c>
      <c r="V18" s="140">
        <v>1308.7085511003143</v>
      </c>
      <c r="W18" s="140">
        <v>1258.6680695823993</v>
      </c>
      <c r="X18" s="140">
        <v>1149.0303374783616</v>
      </c>
      <c r="Y18" s="140">
        <v>1017.7640210222186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4023.6967024973301</v>
      </c>
      <c r="D19" s="139">
        <f t="shared" si="10"/>
        <v>3281.119458657708</v>
      </c>
      <c r="E19" s="139">
        <f t="shared" si="10"/>
        <v>4254.5352447404821</v>
      </c>
      <c r="F19" s="139">
        <f t="shared" si="10"/>
        <v>4241.9426557344887</v>
      </c>
      <c r="G19" s="139">
        <f t="shared" si="10"/>
        <v>3174.6993667920742</v>
      </c>
      <c r="H19" s="139">
        <f t="shared" si="10"/>
        <v>4619.1231463454724</v>
      </c>
      <c r="I19" s="139">
        <f t="shared" si="10"/>
        <v>3567.0385708578469</v>
      </c>
      <c r="J19" s="139">
        <f t="shared" si="10"/>
        <v>2408.5329325555672</v>
      </c>
      <c r="K19" s="139">
        <f t="shared" si="10"/>
        <v>435.28989012621855</v>
      </c>
      <c r="L19" s="139">
        <f t="shared" si="10"/>
        <v>434.91592973951208</v>
      </c>
      <c r="M19" s="139">
        <f t="shared" si="10"/>
        <v>420.70543504467003</v>
      </c>
      <c r="N19" s="139">
        <f t="shared" si="10"/>
        <v>573.57434857483236</v>
      </c>
      <c r="O19" s="139">
        <f t="shared" si="10"/>
        <v>411.35642537701074</v>
      </c>
      <c r="P19" s="139">
        <f t="shared" si="10"/>
        <v>534.88805731556477</v>
      </c>
      <c r="Q19" s="139">
        <f t="shared" si="10"/>
        <v>731.37733565008079</v>
      </c>
      <c r="R19" s="139">
        <f t="shared" ref="R19:W19" si="11">SUM(R20:R26)</f>
        <v>569.61480206735928</v>
      </c>
      <c r="S19" s="139">
        <f t="shared" si="11"/>
        <v>1218.4043651598677</v>
      </c>
      <c r="T19" s="139">
        <f t="shared" si="11"/>
        <v>1256.5978436087375</v>
      </c>
      <c r="U19" s="139">
        <f t="shared" si="11"/>
        <v>1373.382534069862</v>
      </c>
      <c r="V19" s="139">
        <f t="shared" si="11"/>
        <v>1346.3097591159103</v>
      </c>
      <c r="W19" s="139">
        <f t="shared" si="11"/>
        <v>1292.9152736423948</v>
      </c>
      <c r="X19" s="139">
        <f t="shared" ref="X19:Y19" si="12">SUM(X20:X26)</f>
        <v>1182.926345470501</v>
      </c>
      <c r="Y19" s="139">
        <f t="shared" si="12"/>
        <v>1053.305983539497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55.309886689372334</v>
      </c>
      <c r="D21" s="140">
        <v>44.883672662930053</v>
      </c>
      <c r="E21" s="140">
        <v>61.554951197640221</v>
      </c>
      <c r="F21" s="140">
        <v>81.306643414810893</v>
      </c>
      <c r="G21" s="140">
        <v>92.909722149736965</v>
      </c>
      <c r="H21" s="140">
        <v>135.84861393622222</v>
      </c>
      <c r="I21" s="140">
        <v>122.80615064412304</v>
      </c>
      <c r="J21" s="140">
        <v>63.457286851504435</v>
      </c>
      <c r="K21" s="140">
        <v>9.3080560196638</v>
      </c>
      <c r="L21" s="140">
        <v>11.901258218576409</v>
      </c>
      <c r="M21" s="140">
        <v>9.8060026323875853</v>
      </c>
      <c r="N21" s="140">
        <v>12.834980468594191</v>
      </c>
      <c r="O21" s="140">
        <v>8.9265689969055817</v>
      </c>
      <c r="P21" s="140">
        <v>18.466445336042764</v>
      </c>
      <c r="Q21" s="140">
        <v>32.773801150922054</v>
      </c>
      <c r="R21" s="140">
        <v>34.480479892938298</v>
      </c>
      <c r="S21" s="140">
        <v>61.995334129702066</v>
      </c>
      <c r="T21" s="140">
        <v>39.175020027219873</v>
      </c>
      <c r="U21" s="140">
        <v>34.863588225368424</v>
      </c>
      <c r="V21" s="140">
        <v>67.650931328002173</v>
      </c>
      <c r="W21" s="140">
        <v>84.724796373933202</v>
      </c>
      <c r="X21" s="140">
        <v>64.368103904889765</v>
      </c>
      <c r="Y21" s="140">
        <v>80.282123125644446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154.43555089783163</v>
      </c>
      <c r="D22" s="140">
        <v>134.97965905997503</v>
      </c>
      <c r="E22" s="140">
        <v>158.34849131492095</v>
      </c>
      <c r="F22" s="140">
        <v>158.80095877147511</v>
      </c>
      <c r="G22" s="140">
        <v>137.33869933417924</v>
      </c>
      <c r="H22" s="140">
        <v>176.93006716387563</v>
      </c>
      <c r="I22" s="140">
        <v>134.57168334828236</v>
      </c>
      <c r="J22" s="140">
        <v>74.090951606081845</v>
      </c>
      <c r="K22" s="140">
        <v>11.555521267998092</v>
      </c>
      <c r="L22" s="140">
        <v>18.32265642167577</v>
      </c>
      <c r="M22" s="140">
        <v>17.784722782883431</v>
      </c>
      <c r="N22" s="140">
        <v>21.92189843521038</v>
      </c>
      <c r="O22" s="140">
        <v>18.776824619617788</v>
      </c>
      <c r="P22" s="140">
        <v>27.502719690012206</v>
      </c>
      <c r="Q22" s="140">
        <v>32.778827604743597</v>
      </c>
      <c r="R22" s="140">
        <v>19.514098452041456</v>
      </c>
      <c r="S22" s="140">
        <v>24.725047026540953</v>
      </c>
      <c r="T22" s="140">
        <v>0</v>
      </c>
      <c r="U22" s="140">
        <v>0</v>
      </c>
      <c r="V22" s="140">
        <v>0</v>
      </c>
      <c r="W22" s="140">
        <v>0</v>
      </c>
      <c r="X22" s="140">
        <v>8.8089224640128343</v>
      </c>
      <c r="Y22" s="140">
        <v>3.6922715657573599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130.32477081319772</v>
      </c>
      <c r="D23" s="140">
        <v>144.17356322315749</v>
      </c>
      <c r="E23" s="140">
        <v>223.02892223946338</v>
      </c>
      <c r="F23" s="140">
        <v>277.67377063001663</v>
      </c>
      <c r="G23" s="140">
        <v>370.84007294941404</v>
      </c>
      <c r="H23" s="140">
        <v>449.5229449143979</v>
      </c>
      <c r="I23" s="140">
        <v>375.25653804154683</v>
      </c>
      <c r="J23" s="140">
        <v>222.25707908242865</v>
      </c>
      <c r="K23" s="140">
        <v>45.679927717405718</v>
      </c>
      <c r="L23" s="140">
        <v>76.822563054581749</v>
      </c>
      <c r="M23" s="140">
        <v>43.538549992513111</v>
      </c>
      <c r="N23" s="140">
        <v>34.311842702341274</v>
      </c>
      <c r="O23" s="140">
        <v>17.94253672014316</v>
      </c>
      <c r="P23" s="140">
        <v>10.727217096316146</v>
      </c>
      <c r="Q23" s="140">
        <v>36.665906927766436</v>
      </c>
      <c r="R23" s="140">
        <v>28.549681953474604</v>
      </c>
      <c r="S23" s="140">
        <v>93.938454321662419</v>
      </c>
      <c r="T23" s="140">
        <v>114.82300254804474</v>
      </c>
      <c r="U23" s="140">
        <v>139.17999195880327</v>
      </c>
      <c r="V23" s="140">
        <v>76.894870245584855</v>
      </c>
      <c r="W23" s="140">
        <v>0</v>
      </c>
      <c r="X23" s="140">
        <v>0</v>
      </c>
      <c r="Y23" s="140">
        <v>0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0</v>
      </c>
      <c r="D25" s="140">
        <v>0</v>
      </c>
      <c r="E25" s="140">
        <v>0</v>
      </c>
      <c r="F25" s="140">
        <v>0</v>
      </c>
      <c r="G25" s="140">
        <v>0</v>
      </c>
      <c r="H25" s="140">
        <v>0</v>
      </c>
      <c r="I25" s="140">
        <v>0</v>
      </c>
      <c r="J25" s="140">
        <v>0</v>
      </c>
      <c r="K25" s="140">
        <v>0</v>
      </c>
      <c r="L25" s="140">
        <v>0</v>
      </c>
      <c r="M25" s="140">
        <v>0</v>
      </c>
      <c r="N25" s="140">
        <v>0</v>
      </c>
      <c r="O25" s="140">
        <v>0</v>
      </c>
      <c r="P25" s="140">
        <v>0</v>
      </c>
      <c r="Q25" s="140">
        <v>0</v>
      </c>
      <c r="R25" s="140">
        <v>0</v>
      </c>
      <c r="S25" s="140">
        <v>0</v>
      </c>
      <c r="T25" s="140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3683.6264940969281</v>
      </c>
      <c r="D26" s="141">
        <v>2957.0825637116454</v>
      </c>
      <c r="E26" s="141">
        <v>3811.602879988458</v>
      </c>
      <c r="F26" s="141">
        <v>3724.1612829181863</v>
      </c>
      <c r="G26" s="141">
        <v>2573.610872358744</v>
      </c>
      <c r="H26" s="141">
        <v>3856.8215203309765</v>
      </c>
      <c r="I26" s="141">
        <v>2934.4041988238946</v>
      </c>
      <c r="J26" s="141">
        <v>2048.7276150155521</v>
      </c>
      <c r="K26" s="141">
        <v>368.74638512115098</v>
      </c>
      <c r="L26" s="141">
        <v>327.86945204467816</v>
      </c>
      <c r="M26" s="141">
        <v>349.5761596368859</v>
      </c>
      <c r="N26" s="141">
        <v>504.5056269686865</v>
      </c>
      <c r="O26" s="141">
        <v>365.7104950403442</v>
      </c>
      <c r="P26" s="141">
        <v>478.1916751931937</v>
      </c>
      <c r="Q26" s="141">
        <v>629.15879996664864</v>
      </c>
      <c r="R26" s="141">
        <v>487.07054176890489</v>
      </c>
      <c r="S26" s="141">
        <v>1037.7455296819624</v>
      </c>
      <c r="T26" s="141">
        <v>1102.5998210334728</v>
      </c>
      <c r="U26" s="141">
        <v>1199.3389538856902</v>
      </c>
      <c r="V26" s="141">
        <v>1201.7639575423232</v>
      </c>
      <c r="W26" s="141">
        <v>1208.1904772684616</v>
      </c>
      <c r="X26" s="141">
        <v>1109.7493191015983</v>
      </c>
      <c r="Y26" s="141">
        <v>969.33158884809507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221.89615910458858</v>
      </c>
      <c r="D27" s="150">
        <v>254.03902641759453</v>
      </c>
      <c r="E27" s="150">
        <v>383.2795821380613</v>
      </c>
      <c r="F27" s="150">
        <v>442.03412860843451</v>
      </c>
      <c r="G27" s="150">
        <v>2.4230586869742901</v>
      </c>
      <c r="H27" s="150">
        <v>601.40672675241444</v>
      </c>
      <c r="I27" s="150">
        <v>810.17808170137494</v>
      </c>
      <c r="J27" s="150">
        <v>982.07237078024923</v>
      </c>
      <c r="K27" s="150">
        <v>379.8337354147132</v>
      </c>
      <c r="L27" s="150">
        <v>116.11419901617289</v>
      </c>
      <c r="M27" s="150">
        <v>177.82563299688891</v>
      </c>
      <c r="N27" s="150">
        <v>223.03763489880086</v>
      </c>
      <c r="O27" s="150">
        <v>365.73380964969562</v>
      </c>
      <c r="P27" s="150">
        <v>140.98115392218349</v>
      </c>
      <c r="Q27" s="150">
        <v>218.9635111340998</v>
      </c>
      <c r="R27" s="150">
        <v>436.58762940322026</v>
      </c>
      <c r="S27" s="150">
        <v>460.50899410406583</v>
      </c>
      <c r="T27" s="150">
        <v>380.88067086133617</v>
      </c>
      <c r="U27" s="150">
        <v>482.65603040383974</v>
      </c>
      <c r="V27" s="150">
        <v>1097.943790668302</v>
      </c>
      <c r="W27" s="150">
        <v>800.82238945770007</v>
      </c>
      <c r="X27" s="150">
        <v>471.96329214127348</v>
      </c>
      <c r="Y27" s="150">
        <v>510.33858128669596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4023.6967024973296</v>
      </c>
      <c r="D29" s="139">
        <f t="shared" si="13"/>
        <v>3281.119458657708</v>
      </c>
      <c r="E29" s="139">
        <f t="shared" si="13"/>
        <v>4254.5352447404821</v>
      </c>
      <c r="F29" s="139">
        <f t="shared" si="13"/>
        <v>4241.9426557344887</v>
      </c>
      <c r="G29" s="139">
        <f t="shared" si="13"/>
        <v>3174.6993667920742</v>
      </c>
      <c r="H29" s="139">
        <f t="shared" si="13"/>
        <v>4619.1231463454724</v>
      </c>
      <c r="I29" s="139">
        <f t="shared" si="13"/>
        <v>3567.0385708578465</v>
      </c>
      <c r="J29" s="139">
        <f t="shared" si="13"/>
        <v>2408.5329325555672</v>
      </c>
      <c r="K29" s="139">
        <f t="shared" si="13"/>
        <v>435.28989012621855</v>
      </c>
      <c r="L29" s="139">
        <f t="shared" si="13"/>
        <v>434.91592973951208</v>
      </c>
      <c r="M29" s="139">
        <f t="shared" si="13"/>
        <v>420.70543504467003</v>
      </c>
      <c r="N29" s="139">
        <f t="shared" si="13"/>
        <v>573.57434857483224</v>
      </c>
      <c r="O29" s="139">
        <f t="shared" si="13"/>
        <v>411.35642537701074</v>
      </c>
      <c r="P29" s="139">
        <f t="shared" si="13"/>
        <v>534.88805731556488</v>
      </c>
      <c r="Q29" s="139">
        <f t="shared" si="13"/>
        <v>731.37733565008079</v>
      </c>
      <c r="R29" s="139">
        <f t="shared" ref="R29:W29" si="14">SUM(R30:R33)</f>
        <v>569.61480206735928</v>
      </c>
      <c r="S29" s="139">
        <f t="shared" si="14"/>
        <v>1218.4043651598681</v>
      </c>
      <c r="T29" s="139">
        <f t="shared" si="14"/>
        <v>1256.5978436087375</v>
      </c>
      <c r="U29" s="139">
        <f t="shared" si="14"/>
        <v>1373.382534069862</v>
      </c>
      <c r="V29" s="139">
        <f t="shared" si="14"/>
        <v>1346.3097591159103</v>
      </c>
      <c r="W29" s="139">
        <f t="shared" si="14"/>
        <v>1292.9152736423948</v>
      </c>
      <c r="X29" s="139">
        <f t="shared" ref="X29:Y29" si="15">SUM(X30:X33)</f>
        <v>1182.926345470501</v>
      </c>
      <c r="Y29" s="139">
        <f t="shared" si="15"/>
        <v>1053.305983539497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2.2261198179062918</v>
      </c>
      <c r="D30" s="140">
        <v>137.26727526077826</v>
      </c>
      <c r="E30" s="140">
        <v>561.51503129213734</v>
      </c>
      <c r="F30" s="140">
        <v>976.67012276376852</v>
      </c>
      <c r="G30" s="140">
        <v>347.77873466812571</v>
      </c>
      <c r="H30" s="140">
        <v>251.56570204484041</v>
      </c>
      <c r="I30" s="140">
        <v>21.104401116250937</v>
      </c>
      <c r="J30" s="140">
        <v>154.33283450825596</v>
      </c>
      <c r="K30" s="140">
        <v>28.125057260533406</v>
      </c>
      <c r="L30" s="140">
        <v>44.236245599862841</v>
      </c>
      <c r="M30" s="140">
        <v>179.97889689710414</v>
      </c>
      <c r="N30" s="140">
        <v>144.91216250440618</v>
      </c>
      <c r="O30" s="140">
        <v>22.498129446057643</v>
      </c>
      <c r="P30" s="140">
        <v>0</v>
      </c>
      <c r="Q30" s="140">
        <v>62.144071446167167</v>
      </c>
      <c r="R30" s="140">
        <v>81.760201371832139</v>
      </c>
      <c r="S30" s="140">
        <v>108.81831287816681</v>
      </c>
      <c r="T30" s="140">
        <v>165.24486384754891</v>
      </c>
      <c r="U30" s="140">
        <v>187.11835997341302</v>
      </c>
      <c r="V30" s="140">
        <v>155.97619331120399</v>
      </c>
      <c r="W30" s="140">
        <v>408.99839859302779</v>
      </c>
      <c r="X30" s="140">
        <v>527.50738632293587</v>
      </c>
      <c r="Y30" s="140">
        <v>422.25925502760072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57.874612661914767</v>
      </c>
      <c r="D31" s="140">
        <v>110.74289108757966</v>
      </c>
      <c r="E31" s="140">
        <v>173.15416257607905</v>
      </c>
      <c r="F31" s="140">
        <v>207.88368973343378</v>
      </c>
      <c r="G31" s="140">
        <v>197.11659182477774</v>
      </c>
      <c r="H31" s="140">
        <v>235.15231003440616</v>
      </c>
      <c r="I31" s="140">
        <v>208.26600391212963</v>
      </c>
      <c r="J31" s="140">
        <v>160.25287477264135</v>
      </c>
      <c r="K31" s="140">
        <v>35.590424067722147</v>
      </c>
      <c r="L31" s="140">
        <v>60.444284495899907</v>
      </c>
      <c r="M31" s="140">
        <v>73.108045000959834</v>
      </c>
      <c r="N31" s="140">
        <v>42.107345895169907</v>
      </c>
      <c r="O31" s="140">
        <v>23.409117445310191</v>
      </c>
      <c r="P31" s="140">
        <v>32.56543340563168</v>
      </c>
      <c r="Q31" s="140">
        <v>43.877693972990947</v>
      </c>
      <c r="R31" s="140">
        <v>30.776678532781872</v>
      </c>
      <c r="S31" s="140">
        <v>67.068838175420467</v>
      </c>
      <c r="T31" s="140">
        <v>86.76689564390233</v>
      </c>
      <c r="U31" s="140">
        <v>122.88209933155863</v>
      </c>
      <c r="V31" s="140">
        <v>116.34052105383147</v>
      </c>
      <c r="W31" s="140">
        <v>57.000117252443019</v>
      </c>
      <c r="X31" s="140">
        <v>0</v>
      </c>
      <c r="Y31" s="140">
        <v>0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3963.5959700175085</v>
      </c>
      <c r="D33" s="152">
        <v>3033.1092923093502</v>
      </c>
      <c r="E33" s="152">
        <v>3519.8660508722655</v>
      </c>
      <c r="F33" s="152">
        <v>3057.3888432372864</v>
      </c>
      <c r="G33" s="152">
        <v>2629.8040402991705</v>
      </c>
      <c r="H33" s="152">
        <v>4132.405134266226</v>
      </c>
      <c r="I33" s="152">
        <v>3337.668165829466</v>
      </c>
      <c r="J33" s="152">
        <v>2093.9472232746698</v>
      </c>
      <c r="K33" s="152">
        <v>371.57440879796303</v>
      </c>
      <c r="L33" s="152">
        <v>330.23539964374936</v>
      </c>
      <c r="M33" s="152">
        <v>167.61849314660606</v>
      </c>
      <c r="N33" s="152">
        <v>386.55484017525612</v>
      </c>
      <c r="O33" s="152">
        <v>365.4491784856429</v>
      </c>
      <c r="P33" s="152">
        <v>502.32262390993321</v>
      </c>
      <c r="Q33" s="152">
        <v>625.35557023092269</v>
      </c>
      <c r="R33" s="152">
        <v>457.07792216274521</v>
      </c>
      <c r="S33" s="152">
        <v>1042.5172141062808</v>
      </c>
      <c r="T33" s="152">
        <v>1004.5860841172862</v>
      </c>
      <c r="U33" s="152">
        <v>1063.3820747648904</v>
      </c>
      <c r="V33" s="152">
        <v>1073.9930447508748</v>
      </c>
      <c r="W33" s="152">
        <v>826.916757796924</v>
      </c>
      <c r="X33" s="152">
        <v>655.41895914756515</v>
      </c>
      <c r="Y33" s="152">
        <v>631.04672851189628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52.284967901210827</v>
      </c>
      <c r="D3" s="125">
        <f t="shared" si="0"/>
        <v>39.536436202623591</v>
      </c>
      <c r="E3" s="125">
        <f t="shared" si="0"/>
        <v>54.649379176697835</v>
      </c>
      <c r="F3" s="125">
        <f t="shared" si="0"/>
        <v>55.355682798428305</v>
      </c>
      <c r="G3" s="125">
        <f t="shared" si="0"/>
        <v>44.409120406918362</v>
      </c>
      <c r="H3" s="125">
        <f t="shared" si="0"/>
        <v>61.215104033124646</v>
      </c>
      <c r="I3" s="125">
        <f t="shared" si="0"/>
        <v>45.603705089895975</v>
      </c>
      <c r="J3" s="125">
        <f t="shared" si="0"/>
        <v>29.738911880145963</v>
      </c>
      <c r="K3" s="125">
        <f t="shared" si="0"/>
        <v>4.3597939649228383</v>
      </c>
      <c r="L3" s="125">
        <f t="shared" si="0"/>
        <v>4.3071815284176909</v>
      </c>
      <c r="M3" s="125">
        <f t="shared" si="0"/>
        <v>3.770043012191564</v>
      </c>
      <c r="N3" s="125">
        <f t="shared" si="0"/>
        <v>6.0893498693468793</v>
      </c>
      <c r="O3" s="125">
        <f t="shared" si="0"/>
        <v>3.2517221542725498</v>
      </c>
      <c r="P3" s="125">
        <f t="shared" si="0"/>
        <v>4.43846673675543</v>
      </c>
      <c r="Q3" s="125">
        <f t="shared" si="0"/>
        <v>6.227189553200609</v>
      </c>
      <c r="R3" s="125">
        <f t="shared" ref="R3:W3" si="1">SUM(R4,R16,R19,R29)</f>
        <v>7.4506748365292559</v>
      </c>
      <c r="S3" s="125">
        <f t="shared" si="1"/>
        <v>12.719913533836863</v>
      </c>
      <c r="T3" s="125">
        <f t="shared" si="1"/>
        <v>10.36049653498711</v>
      </c>
      <c r="U3" s="125">
        <f t="shared" si="1"/>
        <v>11.268782597663503</v>
      </c>
      <c r="V3" s="125">
        <f t="shared" si="1"/>
        <v>8.643670653750533</v>
      </c>
      <c r="W3" s="125">
        <f t="shared" si="1"/>
        <v>9.7477781584107781</v>
      </c>
      <c r="X3" s="125">
        <f t="shared" ref="X3:Y3" si="2">SUM(X4,X16,X19,X29)</f>
        <v>9.2050102368494198</v>
      </c>
      <c r="Y3" s="125">
        <f t="shared" si="2"/>
        <v>7.9714144746980358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21.113235970405931</v>
      </c>
      <c r="D4" s="130">
        <f t="shared" si="3"/>
        <v>14.241026365624286</v>
      </c>
      <c r="E4" s="130">
        <f t="shared" si="3"/>
        <v>20.766170931023119</v>
      </c>
      <c r="F4" s="130">
        <f t="shared" si="3"/>
        <v>21.700340993775143</v>
      </c>
      <c r="G4" s="130">
        <f t="shared" si="3"/>
        <v>19.18106980483369</v>
      </c>
      <c r="H4" s="130">
        <f t="shared" si="3"/>
        <v>25.871477541564783</v>
      </c>
      <c r="I4" s="130">
        <f t="shared" si="3"/>
        <v>17.944419118378619</v>
      </c>
      <c r="J4" s="130">
        <f t="shared" si="3"/>
        <v>11.711367842722764</v>
      </c>
      <c r="K4" s="130">
        <f t="shared" si="3"/>
        <v>1.4684358509869027</v>
      </c>
      <c r="L4" s="130">
        <f t="shared" si="3"/>
        <v>0.86308185376792235</v>
      </c>
      <c r="M4" s="130">
        <f t="shared" si="3"/>
        <v>0.64691660050323929</v>
      </c>
      <c r="N4" s="130">
        <f t="shared" si="3"/>
        <v>1.0485878168640534</v>
      </c>
      <c r="O4" s="130">
        <f t="shared" si="3"/>
        <v>0.43445268006578258</v>
      </c>
      <c r="P4" s="130">
        <f t="shared" si="3"/>
        <v>0.54519865920687582</v>
      </c>
      <c r="Q4" s="130">
        <f t="shared" si="3"/>
        <v>0.99189237369818228</v>
      </c>
      <c r="R4" s="130">
        <f t="shared" ref="R4:W4" si="4">SUM(R5:R15)</f>
        <v>3.5739508960751376</v>
      </c>
      <c r="S4" s="130">
        <f t="shared" si="4"/>
        <v>4.3752048444462304</v>
      </c>
      <c r="T4" s="130">
        <f t="shared" si="4"/>
        <v>1.9723078387897393</v>
      </c>
      <c r="U4" s="130">
        <f t="shared" si="4"/>
        <v>2.259878826110937</v>
      </c>
      <c r="V4" s="130">
        <f t="shared" si="4"/>
        <v>1.4615190289640363</v>
      </c>
      <c r="W4" s="130">
        <f t="shared" si="4"/>
        <v>2.0546029751142729</v>
      </c>
      <c r="X4" s="130">
        <f t="shared" ref="X4:Y4" si="5">SUM(X5:X15)</f>
        <v>1.9363993451729631</v>
      </c>
      <c r="Y4" s="130">
        <f t="shared" si="5"/>
        <v>1.4384666496164371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0.10910368617690437</v>
      </c>
      <c r="Y5" s="132">
        <v>0.20441410018310727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15.869197326603681</v>
      </c>
      <c r="D7" s="132">
        <v>5.5083441782742009</v>
      </c>
      <c r="E7" s="132">
        <v>8.1976720065075757</v>
      </c>
      <c r="F7" s="132">
        <v>2.0642247581120401</v>
      </c>
      <c r="G7" s="132">
        <v>8.1074277840121454</v>
      </c>
      <c r="H7" s="132">
        <v>3.6022863028134013</v>
      </c>
      <c r="I7" s="132">
        <v>0</v>
      </c>
      <c r="J7" s="132">
        <v>0</v>
      </c>
      <c r="K7" s="132">
        <v>0</v>
      </c>
      <c r="L7" s="132">
        <v>0</v>
      </c>
      <c r="M7" s="132">
        <v>6.3621190480117454E-2</v>
      </c>
      <c r="N7" s="132">
        <v>0</v>
      </c>
      <c r="O7" s="132">
        <v>0</v>
      </c>
      <c r="P7" s="132">
        <v>0</v>
      </c>
      <c r="Q7" s="132">
        <v>0</v>
      </c>
      <c r="R7" s="132">
        <v>0.47389449404395462</v>
      </c>
      <c r="S7" s="132">
        <v>0.40599638133619537</v>
      </c>
      <c r="T7" s="132">
        <v>0.29329054028254298</v>
      </c>
      <c r="U7" s="132">
        <v>0.20188628376816684</v>
      </c>
      <c r="V7" s="132">
        <v>0.12340525950292104</v>
      </c>
      <c r="W7" s="132">
        <v>0.49721944607314145</v>
      </c>
      <c r="X7" s="132">
        <v>0</v>
      </c>
      <c r="Y7" s="132">
        <v>0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6.0076281742966065E-4</v>
      </c>
      <c r="D8" s="132">
        <v>1.5829390733637714E-3</v>
      </c>
      <c r="E8" s="132">
        <v>2.5287325028794509E-3</v>
      </c>
      <c r="F8" s="132">
        <v>3.4307220232905182E-3</v>
      </c>
      <c r="G8" s="132">
        <v>3.4883402585057697E-3</v>
      </c>
      <c r="H8" s="132">
        <v>3.1728206674729352E-3</v>
      </c>
      <c r="I8" s="132">
        <v>2.6443953595533449E-3</v>
      </c>
      <c r="J8" s="132">
        <v>2.6368724005997159E-3</v>
      </c>
      <c r="K8" s="132">
        <v>1.0159003939666374E-3</v>
      </c>
      <c r="L8" s="132">
        <v>1.2700874204929224E-3</v>
      </c>
      <c r="M8" s="132">
        <v>2.7597274968130308E-3</v>
      </c>
      <c r="N8" s="132">
        <v>5.0760718937342148E-3</v>
      </c>
      <c r="O8" s="132">
        <v>9.9815837874303089E-3</v>
      </c>
      <c r="P8" s="132">
        <v>3.0067655714134521E-2</v>
      </c>
      <c r="Q8" s="132">
        <v>0.17446260056105423</v>
      </c>
      <c r="R8" s="132">
        <v>3.2701333244465801E-2</v>
      </c>
      <c r="S8" s="132">
        <v>2.8263008592654744E-2</v>
      </c>
      <c r="T8" s="132">
        <v>2.5867324633945539E-2</v>
      </c>
      <c r="U8" s="132">
        <v>2.6592774056846742E-2</v>
      </c>
      <c r="V8" s="132">
        <v>3.0602562299124603E-2</v>
      </c>
      <c r="W8" s="132">
        <v>1.6485008491981923E-2</v>
      </c>
      <c r="X8" s="132">
        <v>7.635400206482036E-3</v>
      </c>
      <c r="Y8" s="132">
        <v>1.5071876910063727E-2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0.5354152161864717</v>
      </c>
      <c r="D9" s="132">
        <v>1.4199029295867913</v>
      </c>
      <c r="E9" s="132">
        <v>2.6888507319936696</v>
      </c>
      <c r="F9" s="132">
        <v>3.9520299192435462</v>
      </c>
      <c r="G9" s="132">
        <v>4.3094532068911198</v>
      </c>
      <c r="H9" s="132">
        <v>4.0145312046245403</v>
      </c>
      <c r="I9" s="132">
        <v>2.5538572336914802</v>
      </c>
      <c r="J9" s="132">
        <v>2.0297915040279366</v>
      </c>
      <c r="K9" s="132">
        <v>0.63177618837951355</v>
      </c>
      <c r="L9" s="132">
        <v>0.34966163272645029</v>
      </c>
      <c r="M9" s="132">
        <v>0.13004990339015135</v>
      </c>
      <c r="N9" s="132">
        <v>0</v>
      </c>
      <c r="O9" s="132">
        <v>0</v>
      </c>
      <c r="P9" s="132">
        <v>0</v>
      </c>
      <c r="Q9" s="132">
        <v>0.13317707021611855</v>
      </c>
      <c r="R9" s="132">
        <v>0</v>
      </c>
      <c r="S9" s="132">
        <v>0.65078650955876238</v>
      </c>
      <c r="T9" s="132">
        <v>0.71398475418975194</v>
      </c>
      <c r="U9" s="132">
        <v>1.0892679033848403</v>
      </c>
      <c r="V9" s="132">
        <v>0.41465936940240339</v>
      </c>
      <c r="W9" s="132">
        <v>0.17862621855871066</v>
      </c>
      <c r="X9" s="132">
        <v>0</v>
      </c>
      <c r="Y9" s="132">
        <v>4.720455143637553E-2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0.43346106504807069</v>
      </c>
      <c r="O10" s="132">
        <v>4.3887644587019721E-2</v>
      </c>
      <c r="P10" s="132">
        <v>1.6248005816369922E-2</v>
      </c>
      <c r="Q10" s="132">
        <v>1.0907206394566283E-2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2.0118009145973041</v>
      </c>
      <c r="G11" s="132">
        <v>0.22422990126175796</v>
      </c>
      <c r="H11" s="132">
        <v>4.1779086263254051E-2</v>
      </c>
      <c r="I11" s="132">
        <v>0</v>
      </c>
      <c r="J11" s="132">
        <v>2.5943951251282089E-2</v>
      </c>
      <c r="K11" s="132">
        <v>3.4700538705521998E-2</v>
      </c>
      <c r="L11" s="132">
        <v>2.7979542849614791E-2</v>
      </c>
      <c r="M11" s="132">
        <v>1.8311831757211926E-2</v>
      </c>
      <c r="N11" s="132">
        <v>1.5602579205588527E-3</v>
      </c>
      <c r="O11" s="132">
        <v>3.5457994652845349E-3</v>
      </c>
      <c r="P11" s="132">
        <v>4.5464844820071841E-3</v>
      </c>
      <c r="Q11" s="132">
        <v>0</v>
      </c>
      <c r="R11" s="132">
        <v>0</v>
      </c>
      <c r="S11" s="132">
        <v>2.8698949928470989E-2</v>
      </c>
      <c r="T11" s="132">
        <v>5.5371031716825579E-2</v>
      </c>
      <c r="U11" s="132">
        <v>7.5814308170286573E-2</v>
      </c>
      <c r="V11" s="132">
        <v>3.325271263083085E-2</v>
      </c>
      <c r="W11" s="132">
        <v>8.7735644155389775E-3</v>
      </c>
      <c r="X11" s="132">
        <v>9.3678042298697504E-3</v>
      </c>
      <c r="Y11" s="132">
        <v>1.4421928991591429E-2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0.57671614782570257</v>
      </c>
      <c r="D13" s="132">
        <v>0.90659076142253303</v>
      </c>
      <c r="E13" s="132">
        <v>1.1094026283915062</v>
      </c>
      <c r="F13" s="132">
        <v>1.5246682786902366</v>
      </c>
      <c r="G13" s="132">
        <v>1.0978826587255435</v>
      </c>
      <c r="H13" s="132">
        <v>1.9082552310728746</v>
      </c>
      <c r="I13" s="132">
        <v>2.1569247742524071</v>
      </c>
      <c r="J13" s="132">
        <v>1.8008072824535224</v>
      </c>
      <c r="K13" s="132">
        <v>0.48765596812911172</v>
      </c>
      <c r="L13" s="132">
        <v>0.48115885413281317</v>
      </c>
      <c r="M13" s="132">
        <v>0.43047621439318839</v>
      </c>
      <c r="N13" s="132">
        <v>0.60671184782539955</v>
      </c>
      <c r="O13" s="132">
        <v>0.37675098381429661</v>
      </c>
      <c r="P13" s="132">
        <v>0.49393944690102287</v>
      </c>
      <c r="Q13" s="132">
        <v>0.67009302929259673</v>
      </c>
      <c r="R13" s="132">
        <v>6.1754494146448326E-2</v>
      </c>
      <c r="S13" s="132">
        <v>0.48787813937941799</v>
      </c>
      <c r="T13" s="132">
        <v>0.87321934198842088</v>
      </c>
      <c r="U13" s="132">
        <v>0.85268462008091028</v>
      </c>
      <c r="V13" s="132">
        <v>0.85367901863808648</v>
      </c>
      <c r="W13" s="132">
        <v>0.48214078748771716</v>
      </c>
      <c r="X13" s="132">
        <v>0.3133802452960886</v>
      </c>
      <c r="Y13" s="132">
        <v>0.37288840619545277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3.9963992542167057</v>
      </c>
      <c r="D14" s="65">
        <v>6.3475232168064464</v>
      </c>
      <c r="E14" s="65">
        <v>8.6785356834316101</v>
      </c>
      <c r="F14" s="65">
        <v>12.085932663749483</v>
      </c>
      <c r="G14" s="65">
        <v>5.3368052685224043</v>
      </c>
      <c r="H14" s="65">
        <v>16.239139661020129</v>
      </c>
      <c r="I14" s="65">
        <v>13.209752004748609</v>
      </c>
      <c r="J14" s="65">
        <v>7.8352608731337385</v>
      </c>
      <c r="K14" s="65">
        <v>0.30792123308753067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3.0006387676865112</v>
      </c>
      <c r="S14" s="65">
        <v>2.7626621280586989</v>
      </c>
      <c r="T14" s="65">
        <v>0</v>
      </c>
      <c r="U14" s="65">
        <v>0</v>
      </c>
      <c r="V14" s="65">
        <v>0</v>
      </c>
      <c r="W14" s="65">
        <v>0.86445817511262912</v>
      </c>
      <c r="X14" s="65">
        <v>1.4961225148254205</v>
      </c>
      <c r="Y14" s="65">
        <v>0.78248560819235091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0.13490726275594234</v>
      </c>
      <c r="D15" s="134">
        <v>5.7082340460951723E-2</v>
      </c>
      <c r="E15" s="134">
        <v>8.9181148195875803E-2</v>
      </c>
      <c r="F15" s="134">
        <v>5.8253737359239402E-2</v>
      </c>
      <c r="G15" s="134">
        <v>0.10178264516220903</v>
      </c>
      <c r="H15" s="134">
        <v>6.231323510310665E-2</v>
      </c>
      <c r="I15" s="134">
        <v>2.124071032657146E-2</v>
      </c>
      <c r="J15" s="134">
        <v>1.6927359455683282E-2</v>
      </c>
      <c r="K15" s="134">
        <v>5.3660222912580409E-3</v>
      </c>
      <c r="L15" s="134">
        <v>3.0117366385510953E-3</v>
      </c>
      <c r="M15" s="134">
        <v>1.6977329857571812E-3</v>
      </c>
      <c r="N15" s="134">
        <v>1.778574176290158E-3</v>
      </c>
      <c r="O15" s="134">
        <v>2.8666841175138967E-4</v>
      </c>
      <c r="P15" s="134">
        <v>3.9706629334130465E-4</v>
      </c>
      <c r="Q15" s="134">
        <v>3.2524672338464589E-3</v>
      </c>
      <c r="R15" s="134">
        <v>4.9618069537579182E-3</v>
      </c>
      <c r="S15" s="134">
        <v>1.0919727592030318E-2</v>
      </c>
      <c r="T15" s="134">
        <v>1.0574845978252305E-2</v>
      </c>
      <c r="U15" s="134">
        <v>1.3632936649886343E-2</v>
      </c>
      <c r="V15" s="134">
        <v>5.9201064906700285E-3</v>
      </c>
      <c r="W15" s="134">
        <v>6.8997749745534406E-3</v>
      </c>
      <c r="X15" s="134">
        <v>7.8969443819800042E-4</v>
      </c>
      <c r="Y15" s="134">
        <v>1.9801777074955262E-3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6.1160926896030476</v>
      </c>
      <c r="D16" s="130">
        <f t="shared" si="6"/>
        <v>3.8951983426968435</v>
      </c>
      <c r="E16" s="130">
        <f t="shared" si="6"/>
        <v>6.4922753920387839</v>
      </c>
      <c r="F16" s="130">
        <f t="shared" si="6"/>
        <v>3.9080647697858311</v>
      </c>
      <c r="G16" s="130">
        <f t="shared" si="6"/>
        <v>2.8947616286846807</v>
      </c>
      <c r="H16" s="130">
        <f t="shared" si="6"/>
        <v>4.7853746850005745</v>
      </c>
      <c r="I16" s="130">
        <f t="shared" si="6"/>
        <v>5.1903389755034786</v>
      </c>
      <c r="J16" s="130">
        <f t="shared" si="6"/>
        <v>3.2971794597681727</v>
      </c>
      <c r="K16" s="130">
        <f t="shared" si="6"/>
        <v>0.39306838800558319</v>
      </c>
      <c r="L16" s="130">
        <f t="shared" si="6"/>
        <v>0.48347887653808169</v>
      </c>
      <c r="M16" s="130">
        <f t="shared" si="6"/>
        <v>0.38630403852023071</v>
      </c>
      <c r="N16" s="130">
        <f t="shared" si="6"/>
        <v>0.81495478597760695</v>
      </c>
      <c r="O16" s="130">
        <f t="shared" si="6"/>
        <v>0.35405708198557778</v>
      </c>
      <c r="P16" s="130">
        <f t="shared" si="6"/>
        <v>0.35574721311159047</v>
      </c>
      <c r="Q16" s="130">
        <f t="shared" si="6"/>
        <v>0.57446337147331561</v>
      </c>
      <c r="R16" s="130">
        <f t="shared" ref="R16:W16" si="7">SUM(R17:R18)</f>
        <v>0.45218132627616953</v>
      </c>
      <c r="S16" s="130">
        <f t="shared" si="7"/>
        <v>0.92746098584171199</v>
      </c>
      <c r="T16" s="130">
        <f t="shared" si="7"/>
        <v>0.79862802526275556</v>
      </c>
      <c r="U16" s="130">
        <f t="shared" si="7"/>
        <v>1.0156365199963255</v>
      </c>
      <c r="V16" s="130">
        <f t="shared" si="7"/>
        <v>0.8105839666861645</v>
      </c>
      <c r="W16" s="130">
        <f t="shared" si="7"/>
        <v>0.92030456888976842</v>
      </c>
      <c r="X16" s="130">
        <f t="shared" ref="X16:Y16" si="8">SUM(X17:X18)</f>
        <v>0.65107503498108044</v>
      </c>
      <c r="Y16" s="130">
        <f t="shared" si="8"/>
        <v>0.61107149915077696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7.7982391322088786E-3</v>
      </c>
      <c r="D17" s="132">
        <v>1.5907364940368967E-2</v>
      </c>
      <c r="E17" s="132">
        <v>1.8537655597802318E-3</v>
      </c>
      <c r="F17" s="132">
        <v>4.9535330554829095E-2</v>
      </c>
      <c r="G17" s="132">
        <v>3.9945619020612388E-2</v>
      </c>
      <c r="H17" s="132">
        <v>5.4202277507192018E-2</v>
      </c>
      <c r="I17" s="132">
        <v>2.0696909868654084E-4</v>
      </c>
      <c r="J17" s="132">
        <v>5.0384564259763273E-2</v>
      </c>
      <c r="K17" s="132">
        <v>1.513045341071155E-2</v>
      </c>
      <c r="L17" s="132">
        <v>1.9920176587221165E-2</v>
      </c>
      <c r="M17" s="132">
        <v>1.8025288018958752E-2</v>
      </c>
      <c r="N17" s="132">
        <v>3.4562463075603407E-2</v>
      </c>
      <c r="O17" s="132">
        <v>2.814172443779377E-2</v>
      </c>
      <c r="P17" s="132">
        <v>3.3931202645773276E-2</v>
      </c>
      <c r="Q17" s="132">
        <v>3.8317213418748698E-2</v>
      </c>
      <c r="R17" s="132">
        <v>2.4535746378498709E-2</v>
      </c>
      <c r="S17" s="132">
        <v>6.1810450329546171E-2</v>
      </c>
      <c r="T17" s="132">
        <v>8.6612556907069163E-2</v>
      </c>
      <c r="U17" s="132">
        <v>6.7505319889082246E-2</v>
      </c>
      <c r="V17" s="132">
        <v>5.3892488537395616E-2</v>
      </c>
      <c r="W17" s="132">
        <v>5.7431522786413725E-2</v>
      </c>
      <c r="X17" s="132">
        <v>4.5966903200722699E-2</v>
      </c>
      <c r="Y17" s="132">
        <v>5.0621533040241778E-2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6.1082944504708392</v>
      </c>
      <c r="D18" s="132">
        <v>3.8792909777564746</v>
      </c>
      <c r="E18" s="132">
        <v>6.4904216264790033</v>
      </c>
      <c r="F18" s="132">
        <v>3.8585294392310021</v>
      </c>
      <c r="G18" s="132">
        <v>2.8548160096640682</v>
      </c>
      <c r="H18" s="132">
        <v>4.7311724074933821</v>
      </c>
      <c r="I18" s="132">
        <v>5.1901320064047924</v>
      </c>
      <c r="J18" s="132">
        <v>3.2467948955084096</v>
      </c>
      <c r="K18" s="132">
        <v>0.37793793459487163</v>
      </c>
      <c r="L18" s="132">
        <v>0.46355869995086052</v>
      </c>
      <c r="M18" s="132">
        <v>0.36827875050127196</v>
      </c>
      <c r="N18" s="132">
        <v>0.78039232290200355</v>
      </c>
      <c r="O18" s="132">
        <v>0.325915357547784</v>
      </c>
      <c r="P18" s="132">
        <v>0.3218160104658172</v>
      </c>
      <c r="Q18" s="132">
        <v>0.53614615805456689</v>
      </c>
      <c r="R18" s="132">
        <v>0.42764557989767082</v>
      </c>
      <c r="S18" s="132">
        <v>0.86565053551216586</v>
      </c>
      <c r="T18" s="132">
        <v>0.71201546835568641</v>
      </c>
      <c r="U18" s="132">
        <v>0.94813120010724339</v>
      </c>
      <c r="V18" s="132">
        <v>0.75669147814876891</v>
      </c>
      <c r="W18" s="132">
        <v>0.86287304610335469</v>
      </c>
      <c r="X18" s="132">
        <v>0.60510813178035772</v>
      </c>
      <c r="Y18" s="132">
        <v>0.56044996611053521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12.102259548068719</v>
      </c>
      <c r="D19" s="130">
        <f t="shared" si="9"/>
        <v>10.215037936103627</v>
      </c>
      <c r="E19" s="130">
        <f t="shared" si="9"/>
        <v>13.211028677705785</v>
      </c>
      <c r="F19" s="130">
        <f t="shared" si="9"/>
        <v>13.187085211195051</v>
      </c>
      <c r="G19" s="130">
        <f t="shared" si="9"/>
        <v>10.93970186698326</v>
      </c>
      <c r="H19" s="130">
        <f t="shared" si="9"/>
        <v>14.80618357940274</v>
      </c>
      <c r="I19" s="130">
        <f t="shared" si="9"/>
        <v>10.817500409759237</v>
      </c>
      <c r="J19" s="130">
        <f t="shared" si="9"/>
        <v>6.7861654467219239</v>
      </c>
      <c r="K19" s="130">
        <f t="shared" si="9"/>
        <v>1.0180084662774593</v>
      </c>
      <c r="L19" s="130">
        <f t="shared" si="9"/>
        <v>1.3795627690526615</v>
      </c>
      <c r="M19" s="130">
        <f t="shared" si="9"/>
        <v>1.2625515282672319</v>
      </c>
      <c r="N19" s="130">
        <f t="shared" si="9"/>
        <v>1.6803864567189017</v>
      </c>
      <c r="O19" s="130">
        <f t="shared" si="9"/>
        <v>0.9870522649618938</v>
      </c>
      <c r="P19" s="130">
        <f t="shared" si="9"/>
        <v>1.5859208535020157</v>
      </c>
      <c r="Q19" s="130">
        <f t="shared" si="9"/>
        <v>2.0815390151355517</v>
      </c>
      <c r="R19" s="130">
        <f t="shared" ref="R19:W19" si="10">SUM(R20:R27)</f>
        <v>1.4074605181805606</v>
      </c>
      <c r="S19" s="130">
        <f t="shared" si="10"/>
        <v>3.2547076544265101</v>
      </c>
      <c r="T19" s="130">
        <f t="shared" si="10"/>
        <v>3.3115629219735041</v>
      </c>
      <c r="U19" s="130">
        <f t="shared" si="10"/>
        <v>3.4341067036333159</v>
      </c>
      <c r="V19" s="130">
        <f t="shared" si="10"/>
        <v>2.6955183757704551</v>
      </c>
      <c r="W19" s="130">
        <f t="shared" si="10"/>
        <v>2.6300180797397883</v>
      </c>
      <c r="X19" s="130">
        <f t="shared" ref="X19:Y19" si="11">SUM(X20:X27)</f>
        <v>2.6428638348096918</v>
      </c>
      <c r="Y19" s="130">
        <f t="shared" si="11"/>
        <v>2.3309987733464563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0.19942809590641464</v>
      </c>
      <c r="D21" s="132">
        <v>0.16669246161651469</v>
      </c>
      <c r="E21" s="132">
        <v>0.22106671466657907</v>
      </c>
      <c r="F21" s="132">
        <v>0.29558552660241666</v>
      </c>
      <c r="G21" s="132">
        <v>0.35759554989235398</v>
      </c>
      <c r="H21" s="132">
        <v>0.5044173711552149</v>
      </c>
      <c r="I21" s="132">
        <v>0.47825663594360796</v>
      </c>
      <c r="J21" s="132">
        <v>0.23951064530985161</v>
      </c>
      <c r="K21" s="132">
        <v>3.0984667829564546E-2</v>
      </c>
      <c r="L21" s="132">
        <v>4.6733972035540298E-2</v>
      </c>
      <c r="M21" s="132">
        <v>3.7645636082470811E-2</v>
      </c>
      <c r="N21" s="132">
        <v>5.0204883835959557E-2</v>
      </c>
      <c r="O21" s="132">
        <v>3.320026451561376E-2</v>
      </c>
      <c r="P21" s="132">
        <v>6.3696616744800899E-2</v>
      </c>
      <c r="Q21" s="132">
        <v>0.10445280625623811</v>
      </c>
      <c r="R21" s="132">
        <v>0.10560424395193317</v>
      </c>
      <c r="S21" s="132">
        <v>0.19713117263684565</v>
      </c>
      <c r="T21" s="132">
        <v>0.12240026076377655</v>
      </c>
      <c r="U21" s="132">
        <v>0.10719458858465192</v>
      </c>
      <c r="V21" s="132">
        <v>0.12303071739621138</v>
      </c>
      <c r="W21" s="132">
        <v>0.18203561350057174</v>
      </c>
      <c r="X21" s="132">
        <v>0.16424928016916776</v>
      </c>
      <c r="Y21" s="132">
        <v>0.21410555801212741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0.58911646986899902</v>
      </c>
      <c r="D22" s="132">
        <v>0.53183937769195111</v>
      </c>
      <c r="E22" s="132">
        <v>0.61987896676463727</v>
      </c>
      <c r="F22" s="132">
        <v>0.62798992869867865</v>
      </c>
      <c r="G22" s="132">
        <v>0.56978180354514596</v>
      </c>
      <c r="H22" s="132">
        <v>0.71658308078151067</v>
      </c>
      <c r="I22" s="132">
        <v>0.53416334930159093</v>
      </c>
      <c r="J22" s="132">
        <v>0.28780725159101839</v>
      </c>
      <c r="K22" s="132">
        <v>3.910960601221946E-2</v>
      </c>
      <c r="L22" s="132">
        <v>7.5134813982738496E-2</v>
      </c>
      <c r="M22" s="132">
        <v>7.2978153855394079E-2</v>
      </c>
      <c r="N22" s="132">
        <v>8.6764471543128802E-2</v>
      </c>
      <c r="O22" s="132">
        <v>7.1903429574565289E-2</v>
      </c>
      <c r="P22" s="132">
        <v>9.8929847933390089E-2</v>
      </c>
      <c r="Q22" s="132">
        <v>0.11144859024708401</v>
      </c>
      <c r="R22" s="132">
        <v>6.1141629408962277E-2</v>
      </c>
      <c r="S22" s="132">
        <v>7.9810830019355697E-2</v>
      </c>
      <c r="T22" s="132">
        <v>0</v>
      </c>
      <c r="U22" s="132">
        <v>0</v>
      </c>
      <c r="V22" s="132">
        <v>0</v>
      </c>
      <c r="W22" s="132">
        <v>0</v>
      </c>
      <c r="X22" s="132">
        <v>2.1163230211310294E-2</v>
      </c>
      <c r="Y22" s="132">
        <v>8.746580969369885E-3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0.45955623282912073</v>
      </c>
      <c r="D23" s="132">
        <v>0.51117059778951313</v>
      </c>
      <c r="E23" s="132">
        <v>0.77230979517729748</v>
      </c>
      <c r="F23" s="132">
        <v>0.83419015639489091</v>
      </c>
      <c r="G23" s="132">
        <v>1.4263535579092514</v>
      </c>
      <c r="H23" s="132">
        <v>1.6202960191427891</v>
      </c>
      <c r="I23" s="132">
        <v>1.3511815470077244</v>
      </c>
      <c r="J23" s="132">
        <v>0.7602531200409105</v>
      </c>
      <c r="K23" s="132">
        <v>0.14019729257216906</v>
      </c>
      <c r="L23" s="132">
        <v>0.2878128901787948</v>
      </c>
      <c r="M23" s="132">
        <v>0.15764705570285162</v>
      </c>
      <c r="N23" s="132">
        <v>0.1232065018414992</v>
      </c>
      <c r="O23" s="132">
        <v>6.2963199758388294E-2</v>
      </c>
      <c r="P23" s="132">
        <v>3.4080951920350232E-2</v>
      </c>
      <c r="Q23" s="132">
        <v>0.11871067984857916</v>
      </c>
      <c r="R23" s="132">
        <v>8.5353492121346283E-2</v>
      </c>
      <c r="S23" s="132">
        <v>0.27706505159978395</v>
      </c>
      <c r="T23" s="132">
        <v>0.32666514633992777</v>
      </c>
      <c r="U23" s="132">
        <v>0.37855712719641305</v>
      </c>
      <c r="V23" s="132">
        <v>0.17630213006455447</v>
      </c>
      <c r="W23" s="132">
        <v>0</v>
      </c>
      <c r="X23" s="132">
        <v>0</v>
      </c>
      <c r="Y23" s="132">
        <v>0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10.559231296407457</v>
      </c>
      <c r="D26" s="65">
        <v>8.6543712302214448</v>
      </c>
      <c r="E26" s="65">
        <v>11.059446130055017</v>
      </c>
      <c r="F26" s="65">
        <v>10.80218514509966</v>
      </c>
      <c r="G26" s="65">
        <v>8.582340519212508</v>
      </c>
      <c r="H26" s="65">
        <v>11.082481197190209</v>
      </c>
      <c r="I26" s="65">
        <v>7.2906063803201535</v>
      </c>
      <c r="J26" s="65">
        <v>4.0651819247696039</v>
      </c>
      <c r="K26" s="65">
        <v>0.24383643110184458</v>
      </c>
      <c r="L26" s="65">
        <v>0.78927671352050643</v>
      </c>
      <c r="M26" s="65">
        <v>0.70792110949324194</v>
      </c>
      <c r="N26" s="65">
        <v>1.0477015514129182</v>
      </c>
      <c r="O26" s="65">
        <v>0.21193177980137481</v>
      </c>
      <c r="P26" s="65">
        <v>1.1484928517751123</v>
      </c>
      <c r="Q26" s="65">
        <v>1.3663859882858083</v>
      </c>
      <c r="R26" s="65">
        <v>0.41578437697870785</v>
      </c>
      <c r="S26" s="65">
        <v>1.9211139633763874</v>
      </c>
      <c r="T26" s="65">
        <v>2.206571681387254</v>
      </c>
      <c r="U26" s="65">
        <v>2.1149715924933354</v>
      </c>
      <c r="V26" s="65">
        <v>0.67389803426007333</v>
      </c>
      <c r="W26" s="65">
        <v>1.2401648004762016</v>
      </c>
      <c r="X26" s="65">
        <v>1.709800328329363</v>
      </c>
      <c r="Y26" s="65">
        <v>1.2500066283335258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0.2949274530567278</v>
      </c>
      <c r="D27" s="147">
        <v>0.35096426878420373</v>
      </c>
      <c r="E27" s="147">
        <v>0.53832707104225486</v>
      </c>
      <c r="F27" s="147">
        <v>0.62713445439940374</v>
      </c>
      <c r="G27" s="147">
        <v>3.6304364240010282E-3</v>
      </c>
      <c r="H27" s="147">
        <v>0.88240591113301581</v>
      </c>
      <c r="I27" s="147">
        <v>1.1632924971861591</v>
      </c>
      <c r="J27" s="147">
        <v>1.4334125050105389</v>
      </c>
      <c r="K27" s="147">
        <v>0.56388046876166165</v>
      </c>
      <c r="L27" s="147">
        <v>0.18060437933508142</v>
      </c>
      <c r="M27" s="147">
        <v>0.28635957313327359</v>
      </c>
      <c r="N27" s="147">
        <v>0.3725090480853962</v>
      </c>
      <c r="O27" s="147">
        <v>0.60705359131195169</v>
      </c>
      <c r="P27" s="147">
        <v>0.24072058512836217</v>
      </c>
      <c r="Q27" s="147">
        <v>0.38054095049784192</v>
      </c>
      <c r="R27" s="147">
        <v>0.73957677571961089</v>
      </c>
      <c r="S27" s="147">
        <v>0.77958663679413764</v>
      </c>
      <c r="T27" s="147">
        <v>0.65592583348254607</v>
      </c>
      <c r="U27" s="147">
        <v>0.83338339535891559</v>
      </c>
      <c r="V27" s="147">
        <v>1.7222874940496158</v>
      </c>
      <c r="W27" s="147">
        <v>1.2078176657630149</v>
      </c>
      <c r="X27" s="147">
        <v>0.74765099609985064</v>
      </c>
      <c r="Y27" s="147">
        <v>0.85814000603143303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12.953379693133131</v>
      </c>
      <c r="D29" s="130">
        <f t="shared" si="12"/>
        <v>11.185173558198832</v>
      </c>
      <c r="E29" s="130">
        <f t="shared" si="12"/>
        <v>14.179904175930147</v>
      </c>
      <c r="F29" s="130">
        <f t="shared" si="12"/>
        <v>16.56019182367228</v>
      </c>
      <c r="G29" s="130">
        <f t="shared" si="12"/>
        <v>11.393587106416735</v>
      </c>
      <c r="H29" s="130">
        <f t="shared" si="12"/>
        <v>15.752068227156547</v>
      </c>
      <c r="I29" s="130">
        <f t="shared" si="12"/>
        <v>11.651446586254643</v>
      </c>
      <c r="J29" s="130">
        <f t="shared" si="12"/>
        <v>7.9441991309331037</v>
      </c>
      <c r="K29" s="130">
        <f t="shared" si="12"/>
        <v>1.4802812596528927</v>
      </c>
      <c r="L29" s="130">
        <f t="shared" si="12"/>
        <v>1.581058029059025</v>
      </c>
      <c r="M29" s="130">
        <f t="shared" si="12"/>
        <v>1.4742708449008624</v>
      </c>
      <c r="N29" s="130">
        <f t="shared" si="12"/>
        <v>2.5454208097863176</v>
      </c>
      <c r="O29" s="130">
        <f t="shared" si="12"/>
        <v>1.4761601272592957</v>
      </c>
      <c r="P29" s="130">
        <f t="shared" si="12"/>
        <v>1.9516000109349478</v>
      </c>
      <c r="Q29" s="130">
        <f t="shared" si="12"/>
        <v>2.5792947928935592</v>
      </c>
      <c r="R29" s="130">
        <f t="shared" ref="R29:W29" si="13">SUM(R30:R33)</f>
        <v>2.0170820959973876</v>
      </c>
      <c r="S29" s="130">
        <f t="shared" si="13"/>
        <v>4.1625400491224083</v>
      </c>
      <c r="T29" s="130">
        <f t="shared" si="13"/>
        <v>4.2779977489611101</v>
      </c>
      <c r="U29" s="130">
        <f t="shared" si="13"/>
        <v>4.5591605479229242</v>
      </c>
      <c r="V29" s="130">
        <f t="shared" si="13"/>
        <v>3.6760492823298785</v>
      </c>
      <c r="W29" s="130">
        <f t="shared" si="13"/>
        <v>4.1428525346669485</v>
      </c>
      <c r="X29" s="130">
        <f t="shared" ref="X29:Y29" si="14">SUM(X30:X33)</f>
        <v>3.9746720218856839</v>
      </c>
      <c r="Y29" s="130">
        <f t="shared" si="14"/>
        <v>3.5908775525843657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1.0701999894405451E-2</v>
      </c>
      <c r="D30" s="132">
        <v>0.40404915438320449</v>
      </c>
      <c r="E30" s="132">
        <v>1.6650386403269553</v>
      </c>
      <c r="F30" s="132">
        <v>5.7680216448885968</v>
      </c>
      <c r="G30" s="132">
        <v>1.629940934040075</v>
      </c>
      <c r="H30" s="132">
        <v>1.1093020539140588</v>
      </c>
      <c r="I30" s="132">
        <v>9.0099619330462982E-2</v>
      </c>
      <c r="J30" s="132">
        <v>0.62358914468069859</v>
      </c>
      <c r="K30" s="132">
        <v>0.10607065559452014</v>
      </c>
      <c r="L30" s="132">
        <v>0.17785264815617646</v>
      </c>
      <c r="M30" s="132">
        <v>0.51980932607826202</v>
      </c>
      <c r="N30" s="132">
        <v>1.1520783801565024</v>
      </c>
      <c r="O30" s="132">
        <v>0.12281883825378896</v>
      </c>
      <c r="P30" s="132">
        <v>0</v>
      </c>
      <c r="Q30" s="132">
        <v>0.23692246027039418</v>
      </c>
      <c r="R30" s="132">
        <v>0.34902004188127789</v>
      </c>
      <c r="S30" s="132">
        <v>0.50134777715097212</v>
      </c>
      <c r="T30" s="132">
        <v>0.76162843825475335</v>
      </c>
      <c r="U30" s="132">
        <v>0.91465389799778751</v>
      </c>
      <c r="V30" s="132">
        <v>0.46969385654785928</v>
      </c>
      <c r="W30" s="132">
        <v>1.5871128061718744</v>
      </c>
      <c r="X30" s="132">
        <v>2.1748614991534039</v>
      </c>
      <c r="Y30" s="132">
        <v>1.8855087091234579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0.23482603546314723</v>
      </c>
      <c r="D31" s="132">
        <v>0.43144285169421659</v>
      </c>
      <c r="E31" s="132">
        <v>0.70748154094227211</v>
      </c>
      <c r="F31" s="132">
        <v>0.86697551913052895</v>
      </c>
      <c r="G31" s="132">
        <v>0.91834635886621352</v>
      </c>
      <c r="H31" s="132">
        <v>1.0185098741794552</v>
      </c>
      <c r="I31" s="132">
        <v>0.86354413335238966</v>
      </c>
      <c r="J31" s="132">
        <v>0.65899361333471018</v>
      </c>
      <c r="K31" s="132">
        <v>0.15609741956208617</v>
      </c>
      <c r="L31" s="132">
        <v>0.2765549918552031</v>
      </c>
      <c r="M31" s="132">
        <v>0.34807778563438319</v>
      </c>
      <c r="N31" s="132">
        <v>0.1978913340385807</v>
      </c>
      <c r="O31" s="132">
        <v>0.10859427221979005</v>
      </c>
      <c r="P31" s="132">
        <v>0.15624685573219757</v>
      </c>
      <c r="Q31" s="132">
        <v>0.20942680469683136</v>
      </c>
      <c r="R31" s="132">
        <v>0.14261109610163614</v>
      </c>
      <c r="S31" s="132">
        <v>0.30200257347762122</v>
      </c>
      <c r="T31" s="132">
        <v>0.37777585672049274</v>
      </c>
      <c r="U31" s="132">
        <v>0.52428057082477242</v>
      </c>
      <c r="V31" s="132">
        <v>0.45864094123807331</v>
      </c>
      <c r="W31" s="132">
        <v>0.25401682183206575</v>
      </c>
      <c r="X31" s="132">
        <v>0</v>
      </c>
      <c r="Y31" s="132">
        <v>0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12.707851657775578</v>
      </c>
      <c r="D33" s="68">
        <v>10.34968155212141</v>
      </c>
      <c r="E33" s="68">
        <v>11.80738399466092</v>
      </c>
      <c r="F33" s="68">
        <v>9.9251946596531546</v>
      </c>
      <c r="G33" s="68">
        <v>8.8452998135104455</v>
      </c>
      <c r="H33" s="68">
        <v>13.624256299063033</v>
      </c>
      <c r="I33" s="68">
        <v>10.697802833571791</v>
      </c>
      <c r="J33" s="68">
        <v>6.6616163729176945</v>
      </c>
      <c r="K33" s="68">
        <v>1.2181131844962862</v>
      </c>
      <c r="L33" s="68">
        <v>1.1266503890476456</v>
      </c>
      <c r="M33" s="68">
        <v>0.60638373318821703</v>
      </c>
      <c r="N33" s="68">
        <v>1.1954510955912345</v>
      </c>
      <c r="O33" s="68">
        <v>1.2447470167857166</v>
      </c>
      <c r="P33" s="68">
        <v>1.7953531552027502</v>
      </c>
      <c r="Q33" s="68">
        <v>2.1329455279263336</v>
      </c>
      <c r="R33" s="68">
        <v>1.5254509580144735</v>
      </c>
      <c r="S33" s="68">
        <v>3.359189698493815</v>
      </c>
      <c r="T33" s="68">
        <v>3.1385934539858642</v>
      </c>
      <c r="U33" s="68">
        <v>3.1202260791003642</v>
      </c>
      <c r="V33" s="68">
        <v>2.7477144845439461</v>
      </c>
      <c r="W33" s="68">
        <v>2.3017229066630085</v>
      </c>
      <c r="X33" s="68">
        <v>1.79981052273228</v>
      </c>
      <c r="Y33" s="68">
        <v>1.705368843460908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39.071778149411351</v>
      </c>
      <c r="D3" s="125">
        <f t="shared" si="0"/>
        <v>30.329844349269635</v>
      </c>
      <c r="E3" s="125">
        <f t="shared" si="0"/>
        <v>44.066922787838962</v>
      </c>
      <c r="F3" s="125">
        <f t="shared" si="0"/>
        <v>41.912067486715173</v>
      </c>
      <c r="G3" s="125">
        <f t="shared" si="0"/>
        <v>31.887695943415871</v>
      </c>
      <c r="H3" s="125">
        <f t="shared" si="0"/>
        <v>49.069065085012554</v>
      </c>
      <c r="I3" s="125">
        <f t="shared" si="0"/>
        <v>42.633821906988814</v>
      </c>
      <c r="J3" s="125">
        <f t="shared" si="0"/>
        <v>28.913766709402186</v>
      </c>
      <c r="K3" s="125">
        <f t="shared" si="0"/>
        <v>4.6048139430757598</v>
      </c>
      <c r="L3" s="125">
        <f t="shared" si="0"/>
        <v>4.691472279977603</v>
      </c>
      <c r="M3" s="125">
        <f t="shared" si="0"/>
        <v>4.1450885553053318</v>
      </c>
      <c r="N3" s="125">
        <f t="shared" si="0"/>
        <v>7.2069025609575785</v>
      </c>
      <c r="O3" s="125">
        <f t="shared" si="0"/>
        <v>4.1752426532333189</v>
      </c>
      <c r="P3" s="125">
        <f t="shared" si="0"/>
        <v>5.3626045818133097</v>
      </c>
      <c r="Q3" s="125">
        <f t="shared" si="0"/>
        <v>8.1933735040654572</v>
      </c>
      <c r="R3" s="125">
        <f t="shared" ref="R3:W3" si="1">SUM(R4,R16,R19,R29)</f>
        <v>6.8747759277453921</v>
      </c>
      <c r="S3" s="125">
        <f t="shared" si="1"/>
        <v>13.450765423957124</v>
      </c>
      <c r="T3" s="125">
        <f t="shared" si="1"/>
        <v>12.61586525380943</v>
      </c>
      <c r="U3" s="125">
        <f t="shared" si="1"/>
        <v>14.117706655035123</v>
      </c>
      <c r="V3" s="125">
        <f t="shared" si="1"/>
        <v>12.052306416929637</v>
      </c>
      <c r="W3" s="125">
        <f t="shared" si="1"/>
        <v>11.819276976690528</v>
      </c>
      <c r="X3" s="125">
        <f t="shared" ref="X3:Y3" si="2">SUM(X4,X16,X19,X29)</f>
        <v>9.9964633788789268</v>
      </c>
      <c r="Y3" s="125">
        <f t="shared" si="2"/>
        <v>9.2061527271458843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10.306185706105557</v>
      </c>
      <c r="D4" s="130">
        <f t="shared" si="3"/>
        <v>8.3476093730060761</v>
      </c>
      <c r="E4" s="130">
        <f t="shared" si="3"/>
        <v>12.032435904782622</v>
      </c>
      <c r="F4" s="130">
        <f t="shared" si="3"/>
        <v>14.741540651135669</v>
      </c>
      <c r="G4" s="130">
        <f t="shared" si="3"/>
        <v>11.264166083680209</v>
      </c>
      <c r="H4" s="130">
        <f t="shared" si="3"/>
        <v>17.563519287182803</v>
      </c>
      <c r="I4" s="130">
        <f t="shared" si="3"/>
        <v>14.117347635284036</v>
      </c>
      <c r="J4" s="130">
        <f t="shared" si="3"/>
        <v>9.9978865857002361</v>
      </c>
      <c r="K4" s="130">
        <f t="shared" si="3"/>
        <v>1.6880590885100248</v>
      </c>
      <c r="L4" s="130">
        <f t="shared" si="3"/>
        <v>1.3921187281911716</v>
      </c>
      <c r="M4" s="130">
        <f t="shared" si="3"/>
        <v>1.246621147317384</v>
      </c>
      <c r="N4" s="130">
        <f t="shared" si="3"/>
        <v>1.9180301594225551</v>
      </c>
      <c r="O4" s="130">
        <f t="shared" si="3"/>
        <v>1.1821440395344927</v>
      </c>
      <c r="P4" s="130">
        <f t="shared" si="3"/>
        <v>1.6886974737706009</v>
      </c>
      <c r="Q4" s="130">
        <f t="shared" si="3"/>
        <v>2.848924417546304</v>
      </c>
      <c r="R4" s="130">
        <f t="shared" ref="R4:W4" si="4">SUM(R5:R15)</f>
        <v>2.620872905242023</v>
      </c>
      <c r="S4" s="130">
        <f t="shared" si="4"/>
        <v>4.4880742405562701</v>
      </c>
      <c r="T4" s="130">
        <f t="shared" si="4"/>
        <v>4.0382236121781547</v>
      </c>
      <c r="U4" s="130">
        <f t="shared" si="4"/>
        <v>4.2134157592810935</v>
      </c>
      <c r="V4" s="130">
        <f t="shared" si="4"/>
        <v>3.7409221497043608</v>
      </c>
      <c r="W4" s="130">
        <f t="shared" si="4"/>
        <v>3.0301200226950735</v>
      </c>
      <c r="X4" s="130">
        <f t="shared" ref="X4:Y4" si="5">SUM(X5:X15)</f>
        <v>2.5347810026910187</v>
      </c>
      <c r="Y4" s="130">
        <f t="shared" si="5"/>
        <v>2.3513280587097345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8.3317831339689188E-2</v>
      </c>
      <c r="Y5" s="132">
        <v>0.15725844334750022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6.6490273497083532</v>
      </c>
      <c r="D7" s="132">
        <v>2.3331150458907786</v>
      </c>
      <c r="E7" s="132">
        <v>3.5116702483329627</v>
      </c>
      <c r="F7" s="132">
        <v>0.89414316146904538</v>
      </c>
      <c r="G7" s="132">
        <v>3.552378877656523</v>
      </c>
      <c r="H7" s="132">
        <v>1.5970620344578212</v>
      </c>
      <c r="I7" s="132">
        <v>0</v>
      </c>
      <c r="J7" s="132">
        <v>0</v>
      </c>
      <c r="K7" s="132">
        <v>0</v>
      </c>
      <c r="L7" s="132">
        <v>0</v>
      </c>
      <c r="M7" s="132">
        <v>3.0645248977139675E-2</v>
      </c>
      <c r="N7" s="132">
        <v>0</v>
      </c>
      <c r="O7" s="132">
        <v>0</v>
      </c>
      <c r="P7" s="132">
        <v>0</v>
      </c>
      <c r="Q7" s="132">
        <v>0</v>
      </c>
      <c r="R7" s="132">
        <v>0.28483680459138944</v>
      </c>
      <c r="S7" s="132">
        <v>0.24595904737501254</v>
      </c>
      <c r="T7" s="132">
        <v>0.17814353423099757</v>
      </c>
      <c r="U7" s="132">
        <v>0.12271844892626228</v>
      </c>
      <c r="V7" s="132">
        <v>7.5177169776197289E-2</v>
      </c>
      <c r="W7" s="132">
        <v>0.30381589992142821</v>
      </c>
      <c r="X7" s="132">
        <v>0</v>
      </c>
      <c r="Y7" s="132">
        <v>0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7.5667940974429254E-4</v>
      </c>
      <c r="D8" s="132">
        <v>2.1145597757958349E-3</v>
      </c>
      <c r="E8" s="132">
        <v>3.5734229853640279E-3</v>
      </c>
      <c r="F8" s="132">
        <v>5.1138206695811777E-3</v>
      </c>
      <c r="G8" s="132">
        <v>5.4732032760951158E-3</v>
      </c>
      <c r="H8" s="132">
        <v>5.2296485766941941E-3</v>
      </c>
      <c r="I8" s="132">
        <v>4.5710730615646043E-3</v>
      </c>
      <c r="J8" s="132">
        <v>4.7746613565971497E-3</v>
      </c>
      <c r="K8" s="132">
        <v>1.925468463857212E-3</v>
      </c>
      <c r="L8" s="132">
        <v>2.5180561402443602E-3</v>
      </c>
      <c r="M8" s="132">
        <v>5.769496683248429E-3</v>
      </c>
      <c r="N8" s="132">
        <v>1.129727358107868E-2</v>
      </c>
      <c r="O8" s="132">
        <v>2.3855092321716596E-2</v>
      </c>
      <c r="P8" s="132">
        <v>7.7179086302620811E-2</v>
      </c>
      <c r="Q8" s="132">
        <v>0.47197034061159215</v>
      </c>
      <c r="R8" s="132">
        <v>9.2408024107237446E-2</v>
      </c>
      <c r="S8" s="132">
        <v>8.208962011264774E-2</v>
      </c>
      <c r="T8" s="132">
        <v>7.6421911855741986E-2</v>
      </c>
      <c r="U8" s="132">
        <v>7.9477338933319472E-2</v>
      </c>
      <c r="V8" s="132">
        <v>9.2425644853777869E-2</v>
      </c>
      <c r="W8" s="132">
        <v>5.0295010871052009E-2</v>
      </c>
      <c r="X8" s="132">
        <v>2.3488694370104084E-2</v>
      </c>
      <c r="Y8" s="132">
        <v>4.6689110084818811E-2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0.2393694410392882</v>
      </c>
      <c r="D9" s="132">
        <v>0.63998514327359313</v>
      </c>
      <c r="E9" s="132">
        <v>1.2223686566846372</v>
      </c>
      <c r="F9" s="132">
        <v>1.8119026400569773</v>
      </c>
      <c r="G9" s="132">
        <v>1.9933256280877105</v>
      </c>
      <c r="H9" s="132">
        <v>1.8739758424284569</v>
      </c>
      <c r="I9" s="132">
        <v>1.2035811254478055</v>
      </c>
      <c r="J9" s="132">
        <v>0.96661019611031651</v>
      </c>
      <c r="K9" s="132">
        <v>0.30437631886068572</v>
      </c>
      <c r="L9" s="132">
        <v>0.1706444366290564</v>
      </c>
      <c r="M9" s="132">
        <v>6.4971019649878128E-2</v>
      </c>
      <c r="N9" s="132">
        <v>0</v>
      </c>
      <c r="O9" s="132">
        <v>0</v>
      </c>
      <c r="P9" s="132">
        <v>0</v>
      </c>
      <c r="Q9" s="132">
        <v>7.9953568481630446E-2</v>
      </c>
      <c r="R9" s="132">
        <v>0</v>
      </c>
      <c r="S9" s="132">
        <v>0.40572832350326288</v>
      </c>
      <c r="T9" s="132">
        <v>0.450917652982192</v>
      </c>
      <c r="U9" s="132">
        <v>0.69559958589695159</v>
      </c>
      <c r="V9" s="132">
        <v>0.26744694465311919</v>
      </c>
      <c r="W9" s="132">
        <v>0.11605878468063165</v>
      </c>
      <c r="X9" s="132">
        <v>0</v>
      </c>
      <c r="Y9" s="132">
        <v>3.0911416120989119E-2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0.20787195229852001</v>
      </c>
      <c r="O10" s="132">
        <v>2.1281936335189967E-2</v>
      </c>
      <c r="P10" s="132">
        <v>7.9540089891631995E-3</v>
      </c>
      <c r="Q10" s="132">
        <v>5.3995993631976115E-3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1.7670816295055358</v>
      </c>
      <c r="G11" s="132">
        <v>0.1980102113331397</v>
      </c>
      <c r="H11" s="132">
        <v>3.7090559584352041E-2</v>
      </c>
      <c r="I11" s="132">
        <v>0</v>
      </c>
      <c r="J11" s="132">
        <v>2.3276952830689982E-2</v>
      </c>
      <c r="K11" s="132">
        <v>3.1296959176184767E-2</v>
      </c>
      <c r="L11" s="132">
        <v>2.5367140255101735E-2</v>
      </c>
      <c r="M11" s="132">
        <v>1.6689369069571462E-2</v>
      </c>
      <c r="N11" s="132">
        <v>1.4295599241450664E-3</v>
      </c>
      <c r="O11" s="132">
        <v>3.2660875078138873E-3</v>
      </c>
      <c r="P11" s="132">
        <v>4.2097741717578921E-3</v>
      </c>
      <c r="Q11" s="132">
        <v>0</v>
      </c>
      <c r="R11" s="132">
        <v>0</v>
      </c>
      <c r="S11" s="132">
        <v>2.6918061770850689E-2</v>
      </c>
      <c r="T11" s="132">
        <v>5.2120969576265677E-2</v>
      </c>
      <c r="U11" s="132">
        <v>7.1604998790520333E-2</v>
      </c>
      <c r="V11" s="132">
        <v>3.1508055593978568E-2</v>
      </c>
      <c r="W11" s="132">
        <v>8.3383031494301818E-3</v>
      </c>
      <c r="X11" s="132">
        <v>8.9157195260558229E-3</v>
      </c>
      <c r="Y11" s="132">
        <v>1.3744616466476555E-2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0.87125854366159916</v>
      </c>
      <c r="D13" s="132">
        <v>1.4605674024005906</v>
      </c>
      <c r="E13" s="132">
        <v>1.9004904457027085</v>
      </c>
      <c r="F13" s="132">
        <v>2.7684954391205374</v>
      </c>
      <c r="G13" s="132">
        <v>2.1080773877072514</v>
      </c>
      <c r="H13" s="132">
        <v>3.8660336897406773</v>
      </c>
      <c r="I13" s="132">
        <v>4.6017795979130725</v>
      </c>
      <c r="J13" s="132">
        <v>4.0403901537291089</v>
      </c>
      <c r="K13" s="132">
        <v>1.1495119057313974</v>
      </c>
      <c r="L13" s="132">
        <v>1.190577358528218</v>
      </c>
      <c r="M13" s="132">
        <v>1.1268482799517892</v>
      </c>
      <c r="N13" s="132">
        <v>1.6956527994425212</v>
      </c>
      <c r="O13" s="132">
        <v>1.1334542549580209</v>
      </c>
      <c r="P13" s="132">
        <v>1.5989575380137178</v>
      </c>
      <c r="Q13" s="132">
        <v>2.2883484418560371</v>
      </c>
      <c r="R13" s="132">
        <v>0.22081950516983151</v>
      </c>
      <c r="S13" s="132">
        <v>1.7953424045777406</v>
      </c>
      <c r="T13" s="132">
        <v>3.2700446975547055</v>
      </c>
      <c r="U13" s="132">
        <v>3.230382450084154</v>
      </c>
      <c r="V13" s="132">
        <v>3.2684442283366177</v>
      </c>
      <c r="W13" s="132">
        <v>1.8653318160886165</v>
      </c>
      <c r="X13" s="132">
        <v>1.2229785776045086</v>
      </c>
      <c r="Y13" s="132">
        <v>1.4659852532990407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2.4108664295306297</v>
      </c>
      <c r="D14" s="65">
        <v>3.8547448812043656</v>
      </c>
      <c r="E14" s="65">
        <v>5.3051519828810747</v>
      </c>
      <c r="F14" s="65">
        <v>7.436550222954752</v>
      </c>
      <c r="G14" s="65">
        <v>3.3051181304572785</v>
      </c>
      <c r="H14" s="65">
        <v>10.121814277291692</v>
      </c>
      <c r="I14" s="65">
        <v>8.2861751285350227</v>
      </c>
      <c r="J14" s="65">
        <v>4.9459072622178395</v>
      </c>
      <c r="K14" s="65">
        <v>0.19558241398664183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2.017846764419807</v>
      </c>
      <c r="S14" s="65">
        <v>1.9211170556247252</v>
      </c>
      <c r="T14" s="65">
        <v>0</v>
      </c>
      <c r="U14" s="65">
        <v>0</v>
      </c>
      <c r="V14" s="65">
        <v>0</v>
      </c>
      <c r="W14" s="65">
        <v>0.67938043300936157</v>
      </c>
      <c r="X14" s="65">
        <v>1.1952904854124629</v>
      </c>
      <c r="Y14" s="65">
        <v>0.63475904168341357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0.13490726275594234</v>
      </c>
      <c r="D15" s="134">
        <v>5.7082340460951723E-2</v>
      </c>
      <c r="E15" s="134">
        <v>8.9181148195875803E-2</v>
      </c>
      <c r="F15" s="134">
        <v>5.8253737359239402E-2</v>
      </c>
      <c r="G15" s="134">
        <v>0.10178264516220903</v>
      </c>
      <c r="H15" s="134">
        <v>6.231323510310665E-2</v>
      </c>
      <c r="I15" s="134">
        <v>2.124071032657146E-2</v>
      </c>
      <c r="J15" s="134">
        <v>1.6927359455683282E-2</v>
      </c>
      <c r="K15" s="134">
        <v>5.3660222912580409E-3</v>
      </c>
      <c r="L15" s="134">
        <v>3.0117366385510953E-3</v>
      </c>
      <c r="M15" s="134">
        <v>1.6977329857571812E-3</v>
      </c>
      <c r="N15" s="134">
        <v>1.778574176290158E-3</v>
      </c>
      <c r="O15" s="134">
        <v>2.8666841175138967E-4</v>
      </c>
      <c r="P15" s="134">
        <v>3.9706629334130465E-4</v>
      </c>
      <c r="Q15" s="134">
        <v>3.2524672338464589E-3</v>
      </c>
      <c r="R15" s="134">
        <v>4.9618069537579182E-3</v>
      </c>
      <c r="S15" s="134">
        <v>1.0919727592030318E-2</v>
      </c>
      <c r="T15" s="134">
        <v>1.0574845978252305E-2</v>
      </c>
      <c r="U15" s="134">
        <v>1.3632936649886343E-2</v>
      </c>
      <c r="V15" s="134">
        <v>5.9201064906700285E-3</v>
      </c>
      <c r="W15" s="134">
        <v>6.8997749745534406E-3</v>
      </c>
      <c r="X15" s="134">
        <v>7.8969443819800042E-4</v>
      </c>
      <c r="Y15" s="134">
        <v>1.9801777074955262E-3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13.381484535147505</v>
      </c>
      <c r="D16" s="130">
        <f t="shared" si="6"/>
        <v>8.8577178539599792</v>
      </c>
      <c r="E16" s="130">
        <f t="shared" si="6"/>
        <v>15.379488708668108</v>
      </c>
      <c r="F16" s="130">
        <f t="shared" si="6"/>
        <v>9.5536385932480137</v>
      </c>
      <c r="G16" s="130">
        <f t="shared" si="6"/>
        <v>7.3375649387485238</v>
      </c>
      <c r="H16" s="130">
        <f t="shared" si="6"/>
        <v>12.590476340490058</v>
      </c>
      <c r="I16" s="130">
        <f t="shared" si="6"/>
        <v>14.232619707671313</v>
      </c>
      <c r="J16" s="130">
        <f t="shared" si="6"/>
        <v>9.2815121354772447</v>
      </c>
      <c r="K16" s="130">
        <f t="shared" si="6"/>
        <v>1.1297783714995</v>
      </c>
      <c r="L16" s="130">
        <f t="shared" si="6"/>
        <v>1.4347486230217965</v>
      </c>
      <c r="M16" s="130">
        <f t="shared" si="6"/>
        <v>1.1857887464958707</v>
      </c>
      <c r="N16" s="130">
        <f t="shared" si="6"/>
        <v>2.6137244648281839</v>
      </c>
      <c r="O16" s="130">
        <f t="shared" si="6"/>
        <v>1.1603626805639957</v>
      </c>
      <c r="P16" s="130">
        <f t="shared" si="6"/>
        <v>1.205204471131851</v>
      </c>
      <c r="Q16" s="130">
        <f t="shared" si="6"/>
        <v>2.0476684934927478</v>
      </c>
      <c r="R16" s="130">
        <f t="shared" ref="R16:W16" si="7">SUM(R17:R18)</f>
        <v>1.673583531821033</v>
      </c>
      <c r="S16" s="130">
        <f t="shared" si="7"/>
        <v>3.4572589777384146</v>
      </c>
      <c r="T16" s="130">
        <f t="shared" si="7"/>
        <v>2.9249112487870552</v>
      </c>
      <c r="U16" s="130">
        <f t="shared" si="7"/>
        <v>3.8509802544242371</v>
      </c>
      <c r="V16" s="130">
        <f t="shared" si="7"/>
        <v>3.0943531557136437</v>
      </c>
      <c r="W16" s="130">
        <f t="shared" si="7"/>
        <v>3.5452398302573611</v>
      </c>
      <c r="X16" s="130">
        <f t="shared" ref="X16:Y16" si="8">SUM(X17:X18)</f>
        <v>2.5073955933237824</v>
      </c>
      <c r="Y16" s="130">
        <f t="shared" si="8"/>
        <v>2.3446685152430655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8.926617664745156E-3</v>
      </c>
      <c r="D17" s="132">
        <v>1.8488100831760175E-2</v>
      </c>
      <c r="E17" s="132">
        <v>2.1865386325068152E-3</v>
      </c>
      <c r="F17" s="132">
        <v>5.9264105797294311E-2</v>
      </c>
      <c r="G17" s="132">
        <v>4.8456265311177277E-2</v>
      </c>
      <c r="H17" s="132">
        <v>6.6640626115456528E-2</v>
      </c>
      <c r="I17" s="132">
        <v>2.5782539052057404E-4</v>
      </c>
      <c r="J17" s="132">
        <v>6.3580416513161875E-2</v>
      </c>
      <c r="K17" s="132">
        <v>1.9338750748471852E-2</v>
      </c>
      <c r="L17" s="132">
        <v>2.5785477598496385E-2</v>
      </c>
      <c r="M17" s="132">
        <v>2.3675257389751542E-2</v>
      </c>
      <c r="N17" s="132">
        <v>4.6145918644466023E-2</v>
      </c>
      <c r="O17" s="132">
        <v>3.824714464934191E-2</v>
      </c>
      <c r="P17" s="132">
        <v>4.6920429045347899E-2</v>
      </c>
      <c r="Q17" s="132">
        <v>5.3672150711969249E-2</v>
      </c>
      <c r="R17" s="132">
        <v>3.4927078277966109E-2</v>
      </c>
      <c r="S17" s="132">
        <v>8.9748373138014911E-2</v>
      </c>
      <c r="T17" s="132">
        <v>0.12838976303513322</v>
      </c>
      <c r="U17" s="132">
        <v>0.10193993451621883</v>
      </c>
      <c r="V17" s="132">
        <v>8.2735713172017902E-2</v>
      </c>
      <c r="W17" s="132">
        <v>8.9271829016820292E-2</v>
      </c>
      <c r="X17" s="132">
        <v>7.179396863941917E-2</v>
      </c>
      <c r="Y17" s="132">
        <v>7.9125230090659235E-2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13.37255791748276</v>
      </c>
      <c r="D18" s="132">
        <v>8.8392297531282189</v>
      </c>
      <c r="E18" s="132">
        <v>15.3773021700356</v>
      </c>
      <c r="F18" s="132">
        <v>9.4943744874507185</v>
      </c>
      <c r="G18" s="132">
        <v>7.2891086734373465</v>
      </c>
      <c r="H18" s="132">
        <v>12.523835714374602</v>
      </c>
      <c r="I18" s="132">
        <v>14.232361882280793</v>
      </c>
      <c r="J18" s="132">
        <v>9.217931718964083</v>
      </c>
      <c r="K18" s="132">
        <v>1.1104396207510281</v>
      </c>
      <c r="L18" s="132">
        <v>1.4089631454233</v>
      </c>
      <c r="M18" s="132">
        <v>1.1621134891061191</v>
      </c>
      <c r="N18" s="132">
        <v>2.5675785461837179</v>
      </c>
      <c r="O18" s="132">
        <v>1.1221155359146537</v>
      </c>
      <c r="P18" s="132">
        <v>1.158284042086503</v>
      </c>
      <c r="Q18" s="132">
        <v>1.9939963427807788</v>
      </c>
      <c r="R18" s="132">
        <v>1.638656453543067</v>
      </c>
      <c r="S18" s="132">
        <v>3.3675106046003997</v>
      </c>
      <c r="T18" s="132">
        <v>2.7965214857519221</v>
      </c>
      <c r="U18" s="132">
        <v>3.7490403199080182</v>
      </c>
      <c r="V18" s="132">
        <v>3.0116174425416258</v>
      </c>
      <c r="W18" s="132">
        <v>3.4559680012405409</v>
      </c>
      <c r="X18" s="132">
        <v>2.435601624684363</v>
      </c>
      <c r="Y18" s="132">
        <v>2.2655432851524062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6.676056541764825</v>
      </c>
      <c r="D19" s="130">
        <f t="shared" si="9"/>
        <v>5.6911614147729166</v>
      </c>
      <c r="E19" s="130">
        <f t="shared" si="9"/>
        <v>7.430605683432244</v>
      </c>
      <c r="F19" s="130">
        <f t="shared" si="9"/>
        <v>7.4787934863253405</v>
      </c>
      <c r="G19" s="130">
        <f t="shared" si="9"/>
        <v>5.9464893955294418</v>
      </c>
      <c r="H19" s="130">
        <f t="shared" si="9"/>
        <v>8.5028970817710263</v>
      </c>
      <c r="I19" s="130">
        <f t="shared" si="9"/>
        <v>6.452923882122783</v>
      </c>
      <c r="J19" s="130">
        <f t="shared" si="9"/>
        <v>4.3901973021652481</v>
      </c>
      <c r="K19" s="130">
        <f t="shared" si="9"/>
        <v>0.81073721845054958</v>
      </c>
      <c r="L19" s="130">
        <f t="shared" si="9"/>
        <v>0.84901336871349253</v>
      </c>
      <c r="M19" s="130">
        <f t="shared" si="9"/>
        <v>0.84194250627994727</v>
      </c>
      <c r="N19" s="130">
        <f t="shared" si="9"/>
        <v>1.1411131720637244</v>
      </c>
      <c r="O19" s="130">
        <f t="shared" si="9"/>
        <v>0.83208060785368909</v>
      </c>
      <c r="P19" s="130">
        <f t="shared" si="9"/>
        <v>1.1009064309001935</v>
      </c>
      <c r="Q19" s="130">
        <f t="shared" si="9"/>
        <v>1.5119690797917935</v>
      </c>
      <c r="R19" s="130">
        <f t="shared" ref="R19:W19" si="10">SUM(R20:R27)</f>
        <v>1.1882340509461495</v>
      </c>
      <c r="S19" s="130">
        <f t="shared" si="10"/>
        <v>2.5144949479809395</v>
      </c>
      <c r="T19" s="130">
        <f t="shared" si="10"/>
        <v>2.575689891799481</v>
      </c>
      <c r="U19" s="130">
        <f t="shared" si="10"/>
        <v>2.7544668087090547</v>
      </c>
      <c r="V19" s="130">
        <f t="shared" si="10"/>
        <v>2.4466127444698942</v>
      </c>
      <c r="W19" s="130">
        <f t="shared" si="10"/>
        <v>2.3021207004706277</v>
      </c>
      <c r="X19" s="130">
        <f t="shared" ref="X19:Y19" si="11">SUM(X20:X27)</f>
        <v>2.2325920700978479</v>
      </c>
      <c r="Y19" s="130">
        <f t="shared" si="11"/>
        <v>2.0176069477218137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9.2408433185016015E-2</v>
      </c>
      <c r="D21" s="132">
        <v>7.7577292540998641E-2</v>
      </c>
      <c r="E21" s="132">
        <v>0.10339239430190901</v>
      </c>
      <c r="F21" s="132">
        <v>0.13893762739454807</v>
      </c>
      <c r="G21" s="132">
        <v>0.16901595432082603</v>
      </c>
      <c r="H21" s="132">
        <v>0.23984100142253664</v>
      </c>
      <c r="I21" s="132">
        <v>0.22889528867937473</v>
      </c>
      <c r="J21" s="132">
        <v>0.11550044840201797</v>
      </c>
      <c r="K21" s="132">
        <v>1.5076077430734178E-2</v>
      </c>
      <c r="L21" s="132">
        <v>2.2976568188496929E-2</v>
      </c>
      <c r="M21" s="132">
        <v>1.8898196413980807E-2</v>
      </c>
      <c r="N21" s="132">
        <v>2.606003039549153E-2</v>
      </c>
      <c r="O21" s="132">
        <v>1.8061967869761233E-2</v>
      </c>
      <c r="P21" s="132">
        <v>3.6580596049223417E-2</v>
      </c>
      <c r="Q21" s="132">
        <v>6.2832762475763984E-2</v>
      </c>
      <c r="R21" s="132">
        <v>6.5392258244200682E-2</v>
      </c>
      <c r="S21" s="132">
        <v>0.1253122965923531</v>
      </c>
      <c r="T21" s="132">
        <v>7.9613550679831641E-2</v>
      </c>
      <c r="U21" s="132">
        <v>7.1070412394705698E-2</v>
      </c>
      <c r="V21" s="132">
        <v>8.2787033964589862E-2</v>
      </c>
      <c r="W21" s="132">
        <v>0.12359824295115988</v>
      </c>
      <c r="X21" s="132">
        <v>0.11200684955513152</v>
      </c>
      <c r="Y21" s="132">
        <v>0.1463256767195121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0.25741206424057678</v>
      </c>
      <c r="D22" s="132">
        <v>0.2335454599631179</v>
      </c>
      <c r="E22" s="132">
        <v>0.27374657078883829</v>
      </c>
      <c r="F22" s="132">
        <v>0.27891508425829803</v>
      </c>
      <c r="G22" s="132">
        <v>0.25466125175961485</v>
      </c>
      <c r="H22" s="132">
        <v>0.32246324444826391</v>
      </c>
      <c r="I22" s="132">
        <v>0.24217149861165849</v>
      </c>
      <c r="J22" s="132">
        <v>0.13160844308513675</v>
      </c>
      <c r="K22" s="132">
        <v>1.8066559046431761E-2</v>
      </c>
      <c r="L22" s="132">
        <v>3.5119646838340686E-2</v>
      </c>
      <c r="M22" s="132">
        <v>3.4926083257354502E-2</v>
      </c>
      <c r="N22" s="132">
        <v>4.3120233789112179E-2</v>
      </c>
      <c r="O22" s="132">
        <v>3.7668516856443013E-2</v>
      </c>
      <c r="P22" s="132">
        <v>5.505357289243E-2</v>
      </c>
      <c r="Q22" s="132">
        <v>6.5292814179971015E-2</v>
      </c>
      <c r="R22" s="132">
        <v>3.6985010672110928E-2</v>
      </c>
      <c r="S22" s="132">
        <v>4.9693873197585774E-2</v>
      </c>
      <c r="T22" s="132">
        <v>0</v>
      </c>
      <c r="U22" s="132">
        <v>0</v>
      </c>
      <c r="V22" s="132">
        <v>0</v>
      </c>
      <c r="W22" s="132">
        <v>0</v>
      </c>
      <c r="X22" s="132">
        <v>1.4226344347403988E-2</v>
      </c>
      <c r="Y22" s="132">
        <v>5.892521477938637E-3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0.21801129544596928</v>
      </c>
      <c r="D23" s="132">
        <v>0.24545227127001179</v>
      </c>
      <c r="E23" s="132">
        <v>0.3755126650062881</v>
      </c>
      <c r="F23" s="132">
        <v>0.41068036450346812</v>
      </c>
      <c r="G23" s="132">
        <v>0.71123628386389326</v>
      </c>
      <c r="H23" s="132">
        <v>0.81854525760928232</v>
      </c>
      <c r="I23" s="132">
        <v>0.69178426096389356</v>
      </c>
      <c r="J23" s="132">
        <v>0.39475138039750218</v>
      </c>
      <c r="K23" s="132">
        <v>7.3897761911613583E-2</v>
      </c>
      <c r="L23" s="132">
        <v>0.15415468963305942</v>
      </c>
      <c r="M23" s="132">
        <v>8.650647916698119E-2</v>
      </c>
      <c r="N23" s="132">
        <v>6.9945325856635349E-2</v>
      </c>
      <c r="O23" s="132">
        <v>3.7362447194258387E-2</v>
      </c>
      <c r="P23" s="132">
        <v>2.1241832052013524E-2</v>
      </c>
      <c r="Q23" s="132">
        <v>7.7094466130804118E-2</v>
      </c>
      <c r="R23" s="132">
        <v>5.679591562399687E-2</v>
      </c>
      <c r="S23" s="132">
        <v>0.18813709559384012</v>
      </c>
      <c r="T23" s="132">
        <v>0.22555998564468455</v>
      </c>
      <c r="U23" s="132">
        <v>0.26498805262459496</v>
      </c>
      <c r="V23" s="132">
        <v>0.12477255787243212</v>
      </c>
      <c r="W23" s="132">
        <v>0</v>
      </c>
      <c r="X23" s="132">
        <v>0</v>
      </c>
      <c r="Y23" s="132">
        <v>0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5.8132972958365352</v>
      </c>
      <c r="D26" s="65">
        <v>4.7836221222145845</v>
      </c>
      <c r="E26" s="65">
        <v>6.1396269822929543</v>
      </c>
      <c r="F26" s="65">
        <v>6.0231259557696228</v>
      </c>
      <c r="G26" s="65">
        <v>4.8079454691611065</v>
      </c>
      <c r="H26" s="65">
        <v>6.2396416671579278</v>
      </c>
      <c r="I26" s="65">
        <v>4.1267803366816969</v>
      </c>
      <c r="J26" s="65">
        <v>2.3149245252700523</v>
      </c>
      <c r="K26" s="65">
        <v>0.13981635130010844</v>
      </c>
      <c r="L26" s="65">
        <v>0.45615808471851399</v>
      </c>
      <c r="M26" s="65">
        <v>0.41525217430835726</v>
      </c>
      <c r="N26" s="65">
        <v>0.62947853393708908</v>
      </c>
      <c r="O26" s="65">
        <v>0.13193408462127473</v>
      </c>
      <c r="P26" s="65">
        <v>0.74730984477816442</v>
      </c>
      <c r="Q26" s="65">
        <v>0.9262080865074126</v>
      </c>
      <c r="R26" s="65">
        <v>0.2894840906862301</v>
      </c>
      <c r="S26" s="65">
        <v>1.3717650458030231</v>
      </c>
      <c r="T26" s="65">
        <v>1.614590521992419</v>
      </c>
      <c r="U26" s="65">
        <v>1.5850249483308385</v>
      </c>
      <c r="V26" s="65">
        <v>0.51676565858325629</v>
      </c>
      <c r="W26" s="65">
        <v>0.97070479175645286</v>
      </c>
      <c r="X26" s="65">
        <v>1.3587078800954617</v>
      </c>
      <c r="Y26" s="65">
        <v>1.00724874349293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0.2949274530567278</v>
      </c>
      <c r="D27" s="147">
        <v>0.35096426878420373</v>
      </c>
      <c r="E27" s="147">
        <v>0.53832707104225486</v>
      </c>
      <c r="F27" s="147">
        <v>0.62713445439940374</v>
      </c>
      <c r="G27" s="147">
        <v>3.6304364240010282E-3</v>
      </c>
      <c r="H27" s="147">
        <v>0.88240591113301581</v>
      </c>
      <c r="I27" s="147">
        <v>1.1632924971861591</v>
      </c>
      <c r="J27" s="147">
        <v>1.4334125050105389</v>
      </c>
      <c r="K27" s="147">
        <v>0.56388046876166165</v>
      </c>
      <c r="L27" s="147">
        <v>0.18060437933508142</v>
      </c>
      <c r="M27" s="147">
        <v>0.28635957313327359</v>
      </c>
      <c r="N27" s="147">
        <v>0.3725090480853962</v>
      </c>
      <c r="O27" s="147">
        <v>0.60705359131195169</v>
      </c>
      <c r="P27" s="147">
        <v>0.24072058512836217</v>
      </c>
      <c r="Q27" s="147">
        <v>0.38054095049784192</v>
      </c>
      <c r="R27" s="147">
        <v>0.73957677571961089</v>
      </c>
      <c r="S27" s="147">
        <v>0.77958663679413764</v>
      </c>
      <c r="T27" s="147">
        <v>0.65592583348254607</v>
      </c>
      <c r="U27" s="147">
        <v>0.83338339535891559</v>
      </c>
      <c r="V27" s="147">
        <v>1.7222874940496158</v>
      </c>
      <c r="W27" s="147">
        <v>1.2078176657630149</v>
      </c>
      <c r="X27" s="147">
        <v>0.74765099609985064</v>
      </c>
      <c r="Y27" s="147">
        <v>0.85814000603143303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8.7080513663934607</v>
      </c>
      <c r="D29" s="130">
        <f t="shared" si="12"/>
        <v>7.4333557075306604</v>
      </c>
      <c r="E29" s="130">
        <f t="shared" si="12"/>
        <v>9.2243924909559887</v>
      </c>
      <c r="F29" s="130">
        <f t="shared" si="12"/>
        <v>10.138094756006151</v>
      </c>
      <c r="G29" s="130">
        <f t="shared" si="12"/>
        <v>7.3394755254576918</v>
      </c>
      <c r="H29" s="130">
        <f t="shared" si="12"/>
        <v>10.412172375568668</v>
      </c>
      <c r="I29" s="130">
        <f t="shared" si="12"/>
        <v>7.8309306819106821</v>
      </c>
      <c r="J29" s="130">
        <f t="shared" si="12"/>
        <v>5.2441706860594586</v>
      </c>
      <c r="K29" s="130">
        <f t="shared" si="12"/>
        <v>0.97623926461568522</v>
      </c>
      <c r="L29" s="130">
        <f t="shared" si="12"/>
        <v>1.0155915600511427</v>
      </c>
      <c r="M29" s="130">
        <f t="shared" si="12"/>
        <v>0.87073615521212999</v>
      </c>
      <c r="N29" s="130">
        <f t="shared" si="12"/>
        <v>1.5340347646431154</v>
      </c>
      <c r="O29" s="130">
        <f t="shared" si="12"/>
        <v>1.0006553252811408</v>
      </c>
      <c r="P29" s="130">
        <f t="shared" si="12"/>
        <v>1.3677962060106641</v>
      </c>
      <c r="Q29" s="130">
        <f t="shared" si="12"/>
        <v>1.7848115132346116</v>
      </c>
      <c r="R29" s="130">
        <f t="shared" ref="R29:W29" si="13">SUM(R30:R33)</f>
        <v>1.3920854397361861</v>
      </c>
      <c r="S29" s="130">
        <f t="shared" si="13"/>
        <v>2.9909372576814994</v>
      </c>
      <c r="T29" s="130">
        <f t="shared" si="13"/>
        <v>3.0770405010447379</v>
      </c>
      <c r="U29" s="130">
        <f t="shared" si="13"/>
        <v>3.2988438326207379</v>
      </c>
      <c r="V29" s="130">
        <f t="shared" si="13"/>
        <v>2.770418367041739</v>
      </c>
      <c r="W29" s="130">
        <f t="shared" si="13"/>
        <v>2.9417964232674652</v>
      </c>
      <c r="X29" s="130">
        <f t="shared" ref="X29:Y29" si="14">SUM(X30:X33)</f>
        <v>2.7216947127662769</v>
      </c>
      <c r="Y29" s="130">
        <f t="shared" si="14"/>
        <v>2.4925492054712697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5.4281048168253188E-3</v>
      </c>
      <c r="D30" s="132">
        <v>0.2052331023087845</v>
      </c>
      <c r="E30" s="132">
        <v>0.84696720296951855</v>
      </c>
      <c r="F30" s="132">
        <v>2.9383080525893521</v>
      </c>
      <c r="G30" s="132">
        <v>0.83151410822774652</v>
      </c>
      <c r="H30" s="132">
        <v>0.56672715954400699</v>
      </c>
      <c r="I30" s="132">
        <v>4.6097011786602325E-2</v>
      </c>
      <c r="J30" s="132">
        <v>0.31950170051483345</v>
      </c>
      <c r="K30" s="132">
        <v>5.4424435436619734E-2</v>
      </c>
      <c r="L30" s="132">
        <v>9.1386558246620592E-2</v>
      </c>
      <c r="M30" s="132">
        <v>0.26738609627713822</v>
      </c>
      <c r="N30" s="132">
        <v>0.59298104575373978</v>
      </c>
      <c r="O30" s="132">
        <v>6.3238490946447401E-2</v>
      </c>
      <c r="P30" s="132">
        <v>0</v>
      </c>
      <c r="Q30" s="132">
        <v>0.12261627237698229</v>
      </c>
      <c r="R30" s="132">
        <v>0.18257771608459802</v>
      </c>
      <c r="S30" s="132">
        <v>0.26620728878434369</v>
      </c>
      <c r="T30" s="132">
        <v>0.41098691287130035</v>
      </c>
      <c r="U30" s="132">
        <v>0.5007619985352515</v>
      </c>
      <c r="V30" s="132">
        <v>0.25977524109580835</v>
      </c>
      <c r="W30" s="132">
        <v>0.88205064239691799</v>
      </c>
      <c r="X30" s="132">
        <v>1.2094958283561297</v>
      </c>
      <c r="Y30" s="132">
        <v>1.048648660469665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0.12057429191850325</v>
      </c>
      <c r="D31" s="132">
        <v>0.2218446377013128</v>
      </c>
      <c r="E31" s="132">
        <v>0.36429829129137697</v>
      </c>
      <c r="F31" s="132">
        <v>0.44705849622817567</v>
      </c>
      <c r="G31" s="132">
        <v>0.47421873113273955</v>
      </c>
      <c r="H31" s="132">
        <v>0.52668541681535241</v>
      </c>
      <c r="I31" s="132">
        <v>0.44718129741458551</v>
      </c>
      <c r="J31" s="132">
        <v>0.34173745323865667</v>
      </c>
      <c r="K31" s="132">
        <v>8.1062249386463767E-2</v>
      </c>
      <c r="L31" s="132">
        <v>0.14381867035035159</v>
      </c>
      <c r="M31" s="132">
        <v>0.18120634468018729</v>
      </c>
      <c r="N31" s="132">
        <v>0.10308195113739353</v>
      </c>
      <c r="O31" s="132">
        <v>5.6587089196505805E-2</v>
      </c>
      <c r="P31" s="132">
        <v>8.1499091114337036E-2</v>
      </c>
      <c r="Q31" s="132">
        <v>0.10967907820535745</v>
      </c>
      <c r="R31" s="132">
        <v>7.5475929011405124E-2</v>
      </c>
      <c r="S31" s="132">
        <v>0.16218954212347736</v>
      </c>
      <c r="T31" s="132">
        <v>0.20611800048000206</v>
      </c>
      <c r="U31" s="132">
        <v>0.290145779137577</v>
      </c>
      <c r="V31" s="132">
        <v>0.25636057726726341</v>
      </c>
      <c r="W31" s="132">
        <v>0.1426608279996612</v>
      </c>
      <c r="X31" s="132">
        <v>0</v>
      </c>
      <c r="Y31" s="132">
        <v>0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8.5820489696581319</v>
      </c>
      <c r="D33" s="68">
        <v>7.0062779675205631</v>
      </c>
      <c r="E33" s="68">
        <v>8.0131269966950924</v>
      </c>
      <c r="F33" s="68">
        <v>6.7527282071886239</v>
      </c>
      <c r="G33" s="68">
        <v>6.0337426860972059</v>
      </c>
      <c r="H33" s="68">
        <v>9.3187597992093085</v>
      </c>
      <c r="I33" s="68">
        <v>7.3376523727094947</v>
      </c>
      <c r="J33" s="68">
        <v>4.5829315323059685</v>
      </c>
      <c r="K33" s="68">
        <v>0.84075257979260176</v>
      </c>
      <c r="L33" s="68">
        <v>0.78038633145417058</v>
      </c>
      <c r="M33" s="68">
        <v>0.4221437142548044</v>
      </c>
      <c r="N33" s="68">
        <v>0.83797176775198212</v>
      </c>
      <c r="O33" s="68">
        <v>0.88082974513818746</v>
      </c>
      <c r="P33" s="68">
        <v>1.2862971148963271</v>
      </c>
      <c r="Q33" s="68">
        <v>1.5525161626522719</v>
      </c>
      <c r="R33" s="68">
        <v>1.134031794640183</v>
      </c>
      <c r="S33" s="68">
        <v>2.5625404267736784</v>
      </c>
      <c r="T33" s="68">
        <v>2.4599355876934355</v>
      </c>
      <c r="U33" s="68">
        <v>2.5079360549479093</v>
      </c>
      <c r="V33" s="68">
        <v>2.2542825486786673</v>
      </c>
      <c r="W33" s="68">
        <v>1.917084952870886</v>
      </c>
      <c r="X33" s="68">
        <v>1.5121988844101473</v>
      </c>
      <c r="Y33" s="68">
        <v>1.4439005450016049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0.74728511306031653</v>
      </c>
      <c r="D3" s="126">
        <f>IF(SER_hh_tes_in!D3=0,"",SER_hh_tes_in!D3/SER_hh_fec_in!D3)</f>
        <v>0.76713652676811028</v>
      </c>
      <c r="E3" s="126">
        <f>IF(SER_hh_tes_in!E3=0,"",SER_hh_tes_in!E3/SER_hh_fec_in!E3)</f>
        <v>0.8063572441574749</v>
      </c>
      <c r="F3" s="126">
        <f>IF(SER_hh_tes_in!F3=0,"",SER_hh_tes_in!F3/SER_hh_fec_in!F3)</f>
        <v>0.75714118890617621</v>
      </c>
      <c r="G3" s="126">
        <f>IF(SER_hh_tes_in!G3=0,"",SER_hh_tes_in!G3/SER_hh_fec_in!G3)</f>
        <v>0.71804385340737764</v>
      </c>
      <c r="H3" s="126">
        <f>IF(SER_hh_tes_in!H3=0,"",SER_hh_tes_in!H3/SER_hh_fec_in!H3)</f>
        <v>0.80158427989373926</v>
      </c>
      <c r="I3" s="126">
        <f>IF(SER_hh_tes_in!I3=0,"",SER_hh_tes_in!I3/SER_hh_fec_in!I3)</f>
        <v>0.93487627426208464</v>
      </c>
      <c r="J3" s="126">
        <f>IF(SER_hh_tes_in!J3=0,"",SER_hh_tes_in!J3/SER_hh_fec_in!J3)</f>
        <v>0.97225368654813982</v>
      </c>
      <c r="K3" s="126">
        <f>IF(SER_hh_tes_in!K3=0,"",SER_hh_tes_in!K3/SER_hh_fec_in!K3)</f>
        <v>1.0561998984640684</v>
      </c>
      <c r="L3" s="126">
        <f>IF(SER_hh_tes_in!L3=0,"",SER_hh_tes_in!L3/SER_hh_fec_in!L3)</f>
        <v>1.0892209323021236</v>
      </c>
      <c r="M3" s="126">
        <f>IF(SER_hh_tes_in!M3=0,"",SER_hh_tes_in!M3/SER_hh_fec_in!M3)</f>
        <v>1.0994804414434918</v>
      </c>
      <c r="N3" s="126">
        <f>IF(SER_hh_tes_in!N3=0,"",SER_hh_tes_in!N3/SER_hh_fec_in!N3)</f>
        <v>1.1835257811735103</v>
      </c>
      <c r="O3" s="126">
        <f>IF(SER_hh_tes_in!O3=0,"",SER_hh_tes_in!O3/SER_hh_fec_in!O3)</f>
        <v>1.2840096586196097</v>
      </c>
      <c r="P3" s="126">
        <f>IF(SER_hh_tes_in!P3=0,"",SER_hh_tes_in!P3/SER_hh_fec_in!P3)</f>
        <v>1.2082110557244898</v>
      </c>
      <c r="Q3" s="126">
        <f>IF(SER_hh_tes_in!Q3=0,"",SER_hh_tes_in!Q3/SER_hh_fec_in!Q3)</f>
        <v>1.3157417859320313</v>
      </c>
      <c r="R3" s="126">
        <f>IF(SER_hh_tes_in!R3=0,"",SER_hh_tes_in!R3/SER_hh_fec_in!R3)</f>
        <v>0.92270513457917402</v>
      </c>
      <c r="S3" s="126">
        <f>IF(SER_hh_tes_in!S3=0,"",SER_hh_tes_in!S3/SER_hh_fec_in!S3)</f>
        <v>1.057457300175515</v>
      </c>
      <c r="T3" s="126">
        <f>IF(SER_hh_tes_in!T3=0,"",SER_hh_tes_in!T3/SER_hh_fec_in!T3)</f>
        <v>1.2176892498545799</v>
      </c>
      <c r="U3" s="126">
        <f>IF(SER_hh_tes_in!U3=0,"",SER_hh_tes_in!U3/SER_hh_fec_in!U3)</f>
        <v>1.252815602100827</v>
      </c>
      <c r="V3" s="126">
        <f>IF(SER_hh_tes_in!V3=0,"",SER_hh_tes_in!V3/SER_hh_fec_in!V3)</f>
        <v>1.3943504906332913</v>
      </c>
      <c r="W3" s="126">
        <f>IF(SER_hh_tes_in!W3=0,"",SER_hh_tes_in!W3/SER_hh_fec_in!W3)</f>
        <v>1.2125098442553677</v>
      </c>
      <c r="X3" s="126">
        <f>IF(SER_hh_tes_in!X3=0,"",SER_hh_tes_in!X3/SER_hh_fec_in!X3)</f>
        <v>1.0859806911307028</v>
      </c>
      <c r="Y3" s="126">
        <f>IF(SER_hh_tes_in!Y3=0,"",SER_hh_tes_in!Y3/SER_hh_fec_in!Y3)</f>
        <v>1.1548957536165025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0.48813861222181026</v>
      </c>
      <c r="D4" s="135">
        <f>IF(SER_hh_tes_in!D4=0,"",SER_hh_tes_in!D4/SER_hh_fec_in!D4)</f>
        <v>0.5861662747255324</v>
      </c>
      <c r="E4" s="135">
        <f>IF(SER_hh_tes_in!E4=0,"",SER_hh_tes_in!E4/SER_hh_fec_in!E4)</f>
        <v>0.579424870610453</v>
      </c>
      <c r="F4" s="135">
        <f>IF(SER_hh_tes_in!F4=0,"",SER_hh_tes_in!F4/SER_hh_fec_in!F4)</f>
        <v>0.67932299567847143</v>
      </c>
      <c r="G4" s="135">
        <f>IF(SER_hh_tes_in!G4=0,"",SER_hh_tes_in!G4/SER_hh_fec_in!G4)</f>
        <v>0.58725431888275614</v>
      </c>
      <c r="H4" s="135">
        <f>IF(SER_hh_tes_in!H4=0,"",SER_hh_tes_in!H4/SER_hh_fec_in!H4)</f>
        <v>0.67887577193708704</v>
      </c>
      <c r="I4" s="135">
        <f>IF(SER_hh_tes_in!I4=0,"",SER_hh_tes_in!I4/SER_hh_fec_in!I4)</f>
        <v>0.78672636557095854</v>
      </c>
      <c r="J4" s="135">
        <f>IF(SER_hh_tes_in!J4=0,"",SER_hh_tes_in!J4/SER_hh_fec_in!J4)</f>
        <v>0.85369076609721084</v>
      </c>
      <c r="K4" s="135">
        <f>IF(SER_hh_tes_in!K4=0,"",SER_hh_tes_in!K4/SER_hh_fec_in!K4)</f>
        <v>1.1495627046803021</v>
      </c>
      <c r="L4" s="135">
        <f>IF(SER_hh_tes_in!L4=0,"",SER_hh_tes_in!L4/SER_hh_fec_in!L4)</f>
        <v>1.6129625737276874</v>
      </c>
      <c r="M4" s="135">
        <f>IF(SER_hh_tes_in!M4=0,"",SER_hh_tes_in!M4/SER_hh_fec_in!M4)</f>
        <v>1.9270198760514601</v>
      </c>
      <c r="N4" s="135">
        <f>IF(SER_hh_tes_in!N4=0,"",SER_hh_tes_in!N4/SER_hh_fec_in!N4)</f>
        <v>1.8291554875763185</v>
      </c>
      <c r="O4" s="135">
        <f>IF(SER_hh_tes_in!O4=0,"",SER_hh_tes_in!O4/SER_hh_fec_in!O4)</f>
        <v>2.7209960802992366</v>
      </c>
      <c r="P4" s="135">
        <f>IF(SER_hh_tes_in!P4=0,"",SER_hh_tes_in!P4/SER_hh_fec_in!P4)</f>
        <v>3.0973984349617116</v>
      </c>
      <c r="Q4" s="135">
        <f>IF(SER_hh_tes_in!Q4=0,"",SER_hh_tes_in!Q4/SER_hh_fec_in!Q4)</f>
        <v>2.8722112328823974</v>
      </c>
      <c r="R4" s="135">
        <f>IF(SER_hh_tes_in!R4=0,"",SER_hh_tes_in!R4/SER_hh_fec_in!R4)</f>
        <v>0.73332650096570395</v>
      </c>
      <c r="S4" s="135">
        <f>IF(SER_hh_tes_in!S4=0,"",SER_hh_tes_in!S4/SER_hh_fec_in!S4)</f>
        <v>1.0257975112304314</v>
      </c>
      <c r="T4" s="135">
        <f>IF(SER_hh_tes_in!T4=0,"",SER_hh_tes_in!T4/SER_hh_fec_in!T4)</f>
        <v>2.0474611177614732</v>
      </c>
      <c r="U4" s="135">
        <f>IF(SER_hh_tes_in!U4=0,"",SER_hh_tes_in!U4/SER_hh_fec_in!U4)</f>
        <v>1.8644432217332778</v>
      </c>
      <c r="V4" s="135">
        <f>IF(SER_hh_tes_in!V4=0,"",SER_hh_tes_in!V4/SER_hh_fec_in!V4)</f>
        <v>2.559612345489628</v>
      </c>
      <c r="W4" s="135">
        <f>IF(SER_hh_tes_in!W4=0,"",SER_hh_tes_in!W4/SER_hh_fec_in!W4)</f>
        <v>1.4747958897151623</v>
      </c>
      <c r="X4" s="135">
        <f>IF(SER_hh_tes_in!X4=0,"",SER_hh_tes_in!X4/SER_hh_fec_in!X4)</f>
        <v>1.3090176925589732</v>
      </c>
      <c r="Y4" s="135">
        <f>IF(SER_hh_tes_in!Y4=0,"",SER_hh_tes_in!Y4/SER_hh_fec_in!Y4)</f>
        <v>1.6346072808408239</v>
      </c>
      <c r="DA4" s="162" t="s">
        <v>663</v>
      </c>
    </row>
    <row r="5" spans="1:105" ht="12" customHeight="1" x14ac:dyDescent="0.25">
      <c r="A5" s="131" t="s">
        <v>29</v>
      </c>
      <c r="B5" s="136"/>
      <c r="C5" s="136" t="str">
        <f>IF(SER_hh_tes_in!C5=0,"",SER_hh_tes_in!C5/SER_hh_fec_in!C5)</f>
        <v/>
      </c>
      <c r="D5" s="136" t="str">
        <f>IF(SER_hh_tes_in!D5=0,"",SER_hh_tes_in!D5/SER_hh_fec_in!D5)</f>
        <v/>
      </c>
      <c r="E5" s="136" t="str">
        <f>IF(SER_hh_tes_in!E5=0,"",SER_hh_tes_in!E5/SER_hh_fec_in!E5)</f>
        <v/>
      </c>
      <c r="F5" s="136" t="str">
        <f>IF(SER_hh_tes_in!F5=0,"",SER_hh_tes_in!F5/SER_hh_fec_in!F5)</f>
        <v/>
      </c>
      <c r="G5" s="136" t="str">
        <f>IF(SER_hh_tes_in!G5=0,"",SER_hh_tes_in!G5/SER_hh_fec_in!G5)</f>
        <v/>
      </c>
      <c r="H5" s="136" t="str">
        <f>IF(SER_hh_tes_in!H5=0,"",SER_hh_tes_in!H5/SER_hh_fec_in!H5)</f>
        <v/>
      </c>
      <c r="I5" s="136" t="str">
        <f>IF(SER_hh_tes_in!I5=0,"",SER_hh_tes_in!I5/SER_hh_fec_in!I5)</f>
        <v/>
      </c>
      <c r="J5" s="136" t="str">
        <f>IF(SER_hh_tes_in!J5=0,"",SER_hh_tes_in!J5/SER_hh_fec_in!J5)</f>
        <v/>
      </c>
      <c r="K5" s="136" t="str">
        <f>IF(SER_hh_tes_in!K5=0,"",SER_hh_tes_in!K5/SER_hh_fec_in!K5)</f>
        <v/>
      </c>
      <c r="L5" s="136" t="str">
        <f>IF(SER_hh_tes_in!L5=0,"",SER_hh_tes_in!L5/SER_hh_fec_in!L5)</f>
        <v/>
      </c>
      <c r="M5" s="136" t="str">
        <f>IF(SER_hh_tes_in!M5=0,"",SER_hh_tes_in!M5/SER_hh_fec_in!M5)</f>
        <v/>
      </c>
      <c r="N5" s="136" t="str">
        <f>IF(SER_hh_tes_in!N5=0,"",SER_hh_tes_in!N5/SER_hh_fec_in!N5)</f>
        <v/>
      </c>
      <c r="O5" s="136" t="str">
        <f>IF(SER_hh_tes_in!O5=0,"",SER_hh_tes_in!O5/SER_hh_fec_in!O5)</f>
        <v/>
      </c>
      <c r="P5" s="136" t="str">
        <f>IF(SER_hh_tes_in!P5=0,"",SER_hh_tes_in!P5/SER_hh_fec_in!P5)</f>
        <v/>
      </c>
      <c r="Q5" s="136" t="str">
        <f>IF(SER_hh_tes_in!Q5=0,"",SER_hh_tes_in!Q5/SER_hh_fec_in!Q5)</f>
        <v/>
      </c>
      <c r="R5" s="136" t="str">
        <f>IF(SER_hh_tes_in!R5=0,"",SER_hh_tes_in!R5/SER_hh_fec_in!R5)</f>
        <v/>
      </c>
      <c r="S5" s="136" t="str">
        <f>IF(SER_hh_tes_in!S5=0,"",SER_hh_tes_in!S5/SER_hh_fec_in!S5)</f>
        <v/>
      </c>
      <c r="T5" s="136" t="str">
        <f>IF(SER_hh_tes_in!T5=0,"",SER_hh_tes_in!T5/SER_hh_fec_in!T5)</f>
        <v/>
      </c>
      <c r="U5" s="136" t="str">
        <f>IF(SER_hh_tes_in!U5=0,"",SER_hh_tes_in!U5/SER_hh_fec_in!U5)</f>
        <v/>
      </c>
      <c r="V5" s="136" t="str">
        <f>IF(SER_hh_tes_in!V5=0,"",SER_hh_tes_in!V5/SER_hh_fec_in!V5)</f>
        <v/>
      </c>
      <c r="W5" s="136" t="str">
        <f>IF(SER_hh_tes_in!W5=0,"",SER_hh_tes_in!W5/SER_hh_fec_in!W5)</f>
        <v/>
      </c>
      <c r="X5" s="136">
        <f>IF(SER_hh_tes_in!X5=0,"",SER_hh_tes_in!X5/SER_hh_fec_in!X5)</f>
        <v>0.76365734522108508</v>
      </c>
      <c r="Y5" s="136">
        <f>IF(SER_hh_tes_in!Y5=0,"",SER_hh_tes_in!Y5/SER_hh_fec_in!Y5)</f>
        <v>0.76931309144835602</v>
      </c>
      <c r="DA5" s="163" t="s">
        <v>664</v>
      </c>
    </row>
    <row r="6" spans="1:105" ht="12" customHeight="1" x14ac:dyDescent="0.25">
      <c r="A6" s="131" t="s">
        <v>52</v>
      </c>
      <c r="B6" s="136"/>
      <c r="C6" s="136" t="str">
        <f>IF(SER_hh_tes_in!C6=0,"",SER_hh_tes_in!C6/SER_hh_fec_in!C6)</f>
        <v/>
      </c>
      <c r="D6" s="136" t="str">
        <f>IF(SER_hh_tes_in!D6=0,"",SER_hh_tes_in!D6/SER_hh_fec_in!D6)</f>
        <v/>
      </c>
      <c r="E6" s="136" t="str">
        <f>IF(SER_hh_tes_in!E6=0,"",SER_hh_tes_in!E6/SER_hh_fec_in!E6)</f>
        <v/>
      </c>
      <c r="F6" s="136" t="str">
        <f>IF(SER_hh_tes_in!F6=0,"",SER_hh_tes_in!F6/SER_hh_fec_in!F6)</f>
        <v/>
      </c>
      <c r="G6" s="136" t="str">
        <f>IF(SER_hh_tes_in!G6=0,"",SER_hh_tes_in!G6/SER_hh_fec_in!G6)</f>
        <v/>
      </c>
      <c r="H6" s="136" t="str">
        <f>IF(SER_hh_tes_in!H6=0,"",SER_hh_tes_in!H6/SER_hh_fec_in!H6)</f>
        <v/>
      </c>
      <c r="I6" s="136" t="str">
        <f>IF(SER_hh_tes_in!I6=0,"",SER_hh_tes_in!I6/SER_hh_fec_in!I6)</f>
        <v/>
      </c>
      <c r="J6" s="136" t="str">
        <f>IF(SER_hh_tes_in!J6=0,"",SER_hh_tes_in!J6/SER_hh_fec_in!J6)</f>
        <v/>
      </c>
      <c r="K6" s="136" t="str">
        <f>IF(SER_hh_tes_in!K6=0,"",SER_hh_tes_in!K6/SER_hh_fec_in!K6)</f>
        <v/>
      </c>
      <c r="L6" s="136" t="str">
        <f>IF(SER_hh_tes_in!L6=0,"",SER_hh_tes_in!L6/SER_hh_fec_in!L6)</f>
        <v/>
      </c>
      <c r="M6" s="136" t="str">
        <f>IF(SER_hh_tes_in!M6=0,"",SER_hh_tes_in!M6/SER_hh_fec_in!M6)</f>
        <v/>
      </c>
      <c r="N6" s="136" t="str">
        <f>IF(SER_hh_tes_in!N6=0,"",SER_hh_tes_in!N6/SER_hh_fec_in!N6)</f>
        <v/>
      </c>
      <c r="O6" s="136" t="str">
        <f>IF(SER_hh_tes_in!O6=0,"",SER_hh_tes_in!O6/SER_hh_fec_in!O6)</f>
        <v/>
      </c>
      <c r="P6" s="136" t="str">
        <f>IF(SER_hh_tes_in!P6=0,"",SER_hh_tes_in!P6/SER_hh_fec_in!P6)</f>
        <v/>
      </c>
      <c r="Q6" s="136" t="str">
        <f>IF(SER_hh_tes_in!Q6=0,"",SER_hh_tes_in!Q6/SER_hh_fec_in!Q6)</f>
        <v/>
      </c>
      <c r="R6" s="136" t="str">
        <f>IF(SER_hh_tes_in!R6=0,"",SER_hh_tes_in!R6/SER_hh_fec_in!R6)</f>
        <v/>
      </c>
      <c r="S6" s="136" t="str">
        <f>IF(SER_hh_tes_in!S6=0,"",SER_hh_tes_in!S6/SER_hh_fec_in!S6)</f>
        <v/>
      </c>
      <c r="T6" s="136" t="str">
        <f>IF(SER_hh_tes_in!T6=0,"",SER_hh_tes_in!T6/SER_hh_fec_in!T6)</f>
        <v/>
      </c>
      <c r="U6" s="136" t="str">
        <f>IF(SER_hh_tes_in!U6=0,"",SER_hh_tes_in!U6/SER_hh_fec_in!U6)</f>
        <v/>
      </c>
      <c r="V6" s="136" t="str">
        <f>IF(SER_hh_tes_in!V6=0,"",SER_hh_tes_in!V6/SER_hh_fec_in!V6)</f>
        <v/>
      </c>
      <c r="W6" s="136" t="str">
        <f>IF(SER_hh_tes_in!W6=0,"",SER_hh_tes_in!W6/SER_hh_fec_in!W6)</f>
        <v/>
      </c>
      <c r="X6" s="136" t="str">
        <f>IF(SER_hh_tes_in!X6=0,"",SER_hh_tes_in!X6/SER_hh_fec_in!X6)</f>
        <v/>
      </c>
      <c r="Y6" s="136" t="str">
        <f>IF(SER_hh_tes_in!Y6=0,"",SER_hh_tes_in!Y6/SER_hh_fec_in!Y6)</f>
        <v/>
      </c>
      <c r="DA6" s="163" t="s">
        <v>665</v>
      </c>
    </row>
    <row r="7" spans="1:105" ht="12" customHeight="1" x14ac:dyDescent="0.25">
      <c r="A7" s="131" t="s">
        <v>161</v>
      </c>
      <c r="B7" s="136"/>
      <c r="C7" s="136">
        <f>IF(SER_hh_tes_in!C7=0,"",SER_hh_tes_in!C7/SER_hh_fec_in!C7)</f>
        <v>0.41898951867979423</v>
      </c>
      <c r="D7" s="136">
        <f>IF(SER_hh_tes_in!D7=0,"",SER_hh_tes_in!D7/SER_hh_fec_in!D7)</f>
        <v>0.42356014264558145</v>
      </c>
      <c r="E7" s="136">
        <f>IF(SER_hh_tes_in!E7=0,"",SER_hh_tes_in!E7/SER_hh_fec_in!E7)</f>
        <v>0.42837408541660194</v>
      </c>
      <c r="F7" s="136">
        <f>IF(SER_hh_tes_in!F7=0,"",SER_hh_tes_in!F7/SER_hh_fec_in!F7)</f>
        <v>0.43316172715941909</v>
      </c>
      <c r="G7" s="136">
        <f>IF(SER_hh_tes_in!G7=0,"",SER_hh_tes_in!G7/SER_hh_fec_in!G7)</f>
        <v>0.43816349307012237</v>
      </c>
      <c r="H7" s="136">
        <f>IF(SER_hh_tes_in!H7=0,"",SER_hh_tes_in!H7/SER_hh_fec_in!H7)</f>
        <v>0.44334678040735098</v>
      </c>
      <c r="I7" s="136" t="str">
        <f>IF(SER_hh_tes_in!I7=0,"",SER_hh_tes_in!I7/SER_hh_fec_in!I7)</f>
        <v/>
      </c>
      <c r="J7" s="136" t="str">
        <f>IF(SER_hh_tes_in!J7=0,"",SER_hh_tes_in!J7/SER_hh_fec_in!J7)</f>
        <v/>
      </c>
      <c r="K7" s="136" t="str">
        <f>IF(SER_hh_tes_in!K7=0,"",SER_hh_tes_in!K7/SER_hh_fec_in!K7)</f>
        <v/>
      </c>
      <c r="L7" s="136" t="str">
        <f>IF(SER_hh_tes_in!L7=0,"",SER_hh_tes_in!L7/SER_hh_fec_in!L7)</f>
        <v/>
      </c>
      <c r="M7" s="136">
        <f>IF(SER_hh_tes_in!M7=0,"",SER_hh_tes_in!M7/SER_hh_fec_in!M7)</f>
        <v>0.48168304846035159</v>
      </c>
      <c r="N7" s="136" t="str">
        <f>IF(SER_hh_tes_in!N7=0,"",SER_hh_tes_in!N7/SER_hh_fec_in!N7)</f>
        <v/>
      </c>
      <c r="O7" s="136" t="str">
        <f>IF(SER_hh_tes_in!O7=0,"",SER_hh_tes_in!O7/SER_hh_fec_in!O7)</f>
        <v/>
      </c>
      <c r="P7" s="136" t="str">
        <f>IF(SER_hh_tes_in!P7=0,"",SER_hh_tes_in!P7/SER_hh_fec_in!P7)</f>
        <v/>
      </c>
      <c r="Q7" s="136" t="str">
        <f>IF(SER_hh_tes_in!Q7=0,"",SER_hh_tes_in!Q7/SER_hh_fec_in!Q7)</f>
        <v/>
      </c>
      <c r="R7" s="136">
        <f>IF(SER_hh_tes_in!R7=0,"",SER_hh_tes_in!R7/SER_hh_fec_in!R7)</f>
        <v>0.6010553154157775</v>
      </c>
      <c r="S7" s="136">
        <f>IF(SER_hh_tes_in!S7=0,"",SER_hh_tes_in!S7/SER_hh_fec_in!S7)</f>
        <v>0.60581586113039776</v>
      </c>
      <c r="T7" s="136">
        <f>IF(SER_hh_tes_in!T7=0,"",SER_hh_tes_in!T7/SER_hh_fec_in!T7)</f>
        <v>0.6073961132854202</v>
      </c>
      <c r="U7" s="136">
        <f>IF(SER_hh_tes_in!U7=0,"",SER_hh_tes_in!U7/SER_hh_fec_in!U7)</f>
        <v>0.60785926926657496</v>
      </c>
      <c r="V7" s="136">
        <f>IF(SER_hh_tes_in!V7=0,"",SER_hh_tes_in!V7/SER_hh_fec_in!V7)</f>
        <v>0.6091893496193963</v>
      </c>
      <c r="W7" s="136">
        <f>IF(SER_hh_tes_in!W7=0,"",SER_hh_tes_in!W7/SER_hh_fec_in!W7)</f>
        <v>0.61102980247626237</v>
      </c>
      <c r="X7" s="136" t="str">
        <f>IF(SER_hh_tes_in!X7=0,"",SER_hh_tes_in!X7/SER_hh_fec_in!X7)</f>
        <v/>
      </c>
      <c r="Y7" s="136" t="str">
        <f>IF(SER_hh_tes_in!Y7=0,"",SER_hh_tes_in!Y7/SER_hh_fec_in!Y7)</f>
        <v/>
      </c>
      <c r="DA7" s="163" t="s">
        <v>666</v>
      </c>
    </row>
    <row r="8" spans="1:105" ht="12" customHeight="1" x14ac:dyDescent="0.25">
      <c r="A8" s="131" t="s">
        <v>73</v>
      </c>
      <c r="B8" s="136"/>
      <c r="C8" s="136">
        <f>IF(SER_hh_tes_in!C8=0,"",SER_hh_tes_in!C8/SER_hh_fec_in!C8)</f>
        <v>1.259531029203363</v>
      </c>
      <c r="D8" s="136">
        <f>IF(SER_hh_tes_in!D8=0,"",SER_hh_tes_in!D8/SER_hh_fec_in!D8)</f>
        <v>1.3358440709296289</v>
      </c>
      <c r="E8" s="136">
        <f>IF(SER_hh_tes_in!E8=0,"",SER_hh_tes_in!E8/SER_hh_fec_in!E8)</f>
        <v>1.4131281111367038</v>
      </c>
      <c r="F8" s="136">
        <f>IF(SER_hh_tes_in!F8=0,"",SER_hh_tes_in!F8/SER_hh_fec_in!F8)</f>
        <v>1.4905960421346944</v>
      </c>
      <c r="G8" s="136">
        <f>IF(SER_hh_tes_in!G8=0,"",SER_hh_tes_in!G8/SER_hh_fec_in!G8)</f>
        <v>1.5689992576697671</v>
      </c>
      <c r="H8" s="136">
        <f>IF(SER_hh_tes_in!H8=0,"",SER_hh_tes_in!H8/SER_hh_fec_in!H8)</f>
        <v>1.6482647854344272</v>
      </c>
      <c r="I8" s="136">
        <f>IF(SER_hh_tes_in!I8=0,"",SER_hh_tes_in!I8/SER_hh_fec_in!I8)</f>
        <v>1.728589125317739</v>
      </c>
      <c r="J8" s="136">
        <f>IF(SER_hh_tes_in!J8=0,"",SER_hh_tes_in!J8/SER_hh_fec_in!J8)</f>
        <v>1.8107290119579647</v>
      </c>
      <c r="K8" s="136">
        <f>IF(SER_hh_tes_in!K8=0,"",SER_hh_tes_in!K8/SER_hh_fec_in!K8)</f>
        <v>1.895331939324403</v>
      </c>
      <c r="L8" s="136">
        <f>IF(SER_hh_tes_in!L8=0,"",SER_hh_tes_in!L8/SER_hh_fec_in!L8)</f>
        <v>1.9825848989726231</v>
      </c>
      <c r="M8" s="136">
        <f>IF(SER_hh_tes_in!M8=0,"",SER_hh_tes_in!M8/SER_hh_fec_in!M8)</f>
        <v>2.0906037606651813</v>
      </c>
      <c r="N8" s="136">
        <f>IF(SER_hh_tes_in!N8=0,"",SER_hh_tes_in!N8/SER_hh_fec_in!N8)</f>
        <v>2.2255936908663116</v>
      </c>
      <c r="O8" s="136">
        <f>IF(SER_hh_tes_in!O8=0,"",SER_hh_tes_in!O8/SER_hh_fec_in!O8)</f>
        <v>2.3899105422284821</v>
      </c>
      <c r="P8" s="136">
        <f>IF(SER_hh_tes_in!P8=0,"",SER_hh_tes_in!P8/SER_hh_fec_in!P8)</f>
        <v>2.5668474801093208</v>
      </c>
      <c r="Q8" s="136">
        <f>IF(SER_hh_tes_in!Q8=0,"",SER_hh_tes_in!Q8/SER_hh_fec_in!Q8)</f>
        <v>2.7052808974174574</v>
      </c>
      <c r="R8" s="136">
        <f>IF(SER_hh_tes_in!R8=0,"",SER_hh_tes_in!R8/SER_hh_fec_in!R8)</f>
        <v>2.8258182446697671</v>
      </c>
      <c r="S8" s="136">
        <f>IF(SER_hh_tes_in!S8=0,"",SER_hh_tes_in!S8/SER_hh_fec_in!S8)</f>
        <v>2.9044897978052471</v>
      </c>
      <c r="T8" s="136">
        <f>IF(SER_hh_tes_in!T8=0,"",SER_hh_tes_in!T8/SER_hh_fec_in!T8)</f>
        <v>2.9543802050349637</v>
      </c>
      <c r="U8" s="136">
        <f>IF(SER_hh_tes_in!U8=0,"",SER_hh_tes_in!U8/SER_hh_fec_in!U8)</f>
        <v>2.988681766085127</v>
      </c>
      <c r="V8" s="136">
        <f>IF(SER_hh_tes_in!V8=0,"",SER_hh_tes_in!V8/SER_hh_fec_in!V8)</f>
        <v>3.0201930135902946</v>
      </c>
      <c r="W8" s="136">
        <f>IF(SER_hh_tes_in!W8=0,"",SER_hh_tes_in!W8/SER_hh_fec_in!W8)</f>
        <v>3.0509545018138629</v>
      </c>
      <c r="X8" s="136">
        <f>IF(SER_hh_tes_in!X8=0,"",SER_hh_tes_in!X8/SER_hh_fec_in!X8)</f>
        <v>3.076288568366524</v>
      </c>
      <c r="Y8" s="136">
        <f>IF(SER_hh_tes_in!Y8=0,"",SER_hh_tes_in!Y8/SER_hh_fec_in!Y8)</f>
        <v>3.0977634944486421</v>
      </c>
      <c r="DA8" s="163" t="s">
        <v>667</v>
      </c>
    </row>
    <row r="9" spans="1:105" ht="12" customHeight="1" x14ac:dyDescent="0.25">
      <c r="A9" s="131" t="s">
        <v>78</v>
      </c>
      <c r="B9" s="136"/>
      <c r="C9" s="136">
        <f>IF(SER_hh_tes_in!C9=0,"",SER_hh_tes_in!C9/SER_hh_fec_in!C9)</f>
        <v>0.44707254071748648</v>
      </c>
      <c r="D9" s="136">
        <f>IF(SER_hh_tes_in!D9=0,"",SER_hh_tes_in!D9/SER_hh_fec_in!D9)</f>
        <v>0.45072457415087974</v>
      </c>
      <c r="E9" s="136">
        <f>IF(SER_hh_tes_in!E9=0,"",SER_hh_tes_in!E9/SER_hh_fec_in!E9)</f>
        <v>0.45460636477142868</v>
      </c>
      <c r="F9" s="136">
        <f>IF(SER_hh_tes_in!F9=0,"",SER_hh_tes_in!F9/SER_hh_fec_in!F9)</f>
        <v>0.45847391772878876</v>
      </c>
      <c r="G9" s="136">
        <f>IF(SER_hh_tes_in!G9=0,"",SER_hh_tes_in!G9/SER_hh_fec_in!G9)</f>
        <v>0.46254722638599305</v>
      </c>
      <c r="H9" s="136">
        <f>IF(SER_hh_tes_in!H9=0,"",SER_hh_tes_in!H9/SER_hh_fec_in!H9)</f>
        <v>0.46679817565491333</v>
      </c>
      <c r="I9" s="136">
        <f>IF(SER_hh_tes_in!I9=0,"",SER_hh_tes_in!I9/SER_hh_fec_in!I9)</f>
        <v>0.47127972134451923</v>
      </c>
      <c r="J9" s="136">
        <f>IF(SER_hh_tes_in!J9=0,"",SER_hh_tes_in!J9/SER_hh_fec_in!J9)</f>
        <v>0.47621156862277059</v>
      </c>
      <c r="K9" s="136">
        <f>IF(SER_hh_tes_in!K9=0,"",SER_hh_tes_in!K9/SER_hh_fec_in!K9)</f>
        <v>0.48177871287204033</v>
      </c>
      <c r="L9" s="136">
        <f>IF(SER_hh_tes_in!L9=0,"",SER_hh_tes_in!L9/SER_hh_fec_in!L9)</f>
        <v>0.48802734031318828</v>
      </c>
      <c r="M9" s="136">
        <f>IF(SER_hh_tes_in!M9=0,"",SER_hh_tes_in!M9/SER_hh_fec_in!M9)</f>
        <v>0.49958529730671347</v>
      </c>
      <c r="N9" s="136" t="str">
        <f>IF(SER_hh_tes_in!N9=0,"",SER_hh_tes_in!N9/SER_hh_fec_in!N9)</f>
        <v/>
      </c>
      <c r="O9" s="136" t="str">
        <f>IF(SER_hh_tes_in!O9=0,"",SER_hh_tes_in!O9/SER_hh_fec_in!O9)</f>
        <v/>
      </c>
      <c r="P9" s="136" t="str">
        <f>IF(SER_hh_tes_in!P9=0,"",SER_hh_tes_in!P9/SER_hh_fec_in!P9)</f>
        <v/>
      </c>
      <c r="Q9" s="136">
        <f>IF(SER_hh_tes_in!Q9=0,"",SER_hh_tes_in!Q9/SER_hh_fec_in!Q9)</f>
        <v>0.60035536411697987</v>
      </c>
      <c r="R9" s="136" t="str">
        <f>IF(SER_hh_tes_in!R9=0,"",SER_hh_tes_in!R9/SER_hh_fec_in!R9)</f>
        <v/>
      </c>
      <c r="S9" s="136">
        <f>IF(SER_hh_tes_in!S9=0,"",SER_hh_tes_in!S9/SER_hh_fec_in!S9)</f>
        <v>0.62344304552094876</v>
      </c>
      <c r="T9" s="136">
        <f>IF(SER_hh_tes_in!T9=0,"",SER_hh_tes_in!T9/SER_hh_fec_in!T9)</f>
        <v>0.63155081440626115</v>
      </c>
      <c r="U9" s="136">
        <f>IF(SER_hh_tes_in!U9=0,"",SER_hh_tes_in!U9/SER_hh_fec_in!U9)</f>
        <v>0.63859366803649864</v>
      </c>
      <c r="V9" s="136">
        <f>IF(SER_hh_tes_in!V9=0,"",SER_hh_tes_in!V9/SER_hh_fec_in!V9)</f>
        <v>0.64497986633838023</v>
      </c>
      <c r="W9" s="136">
        <f>IF(SER_hh_tes_in!W9=0,"",SER_hh_tes_in!W9/SER_hh_fec_in!W9)</f>
        <v>0.64972984154890778</v>
      </c>
      <c r="X9" s="136" t="str">
        <f>IF(SER_hh_tes_in!X9=0,"",SER_hh_tes_in!X9/SER_hh_fec_in!X9)</f>
        <v/>
      </c>
      <c r="Y9" s="136">
        <f>IF(SER_hh_tes_in!Y9=0,"",SER_hh_tes_in!Y9/SER_hh_fec_in!Y9)</f>
        <v>0.65483973855048594</v>
      </c>
      <c r="DA9" s="163" t="s">
        <v>668</v>
      </c>
    </row>
    <row r="10" spans="1:105" ht="12" customHeight="1" x14ac:dyDescent="0.25">
      <c r="A10" s="131" t="s">
        <v>128</v>
      </c>
      <c r="B10" s="136"/>
      <c r="C10" s="136" t="str">
        <f>IF(SER_hh_tes_in!C10=0,"",SER_hh_tes_in!C10/SER_hh_fec_in!C10)</f>
        <v/>
      </c>
      <c r="D10" s="136" t="str">
        <f>IF(SER_hh_tes_in!D10=0,"",SER_hh_tes_in!D10/SER_hh_fec_in!D10)</f>
        <v/>
      </c>
      <c r="E10" s="136" t="str">
        <f>IF(SER_hh_tes_in!E10=0,"",SER_hh_tes_in!E10/SER_hh_fec_in!E10)</f>
        <v/>
      </c>
      <c r="F10" s="136" t="str">
        <f>IF(SER_hh_tes_in!F10=0,"",SER_hh_tes_in!F10/SER_hh_fec_in!F10)</f>
        <v/>
      </c>
      <c r="G10" s="136" t="str">
        <f>IF(SER_hh_tes_in!G10=0,"",SER_hh_tes_in!G10/SER_hh_fec_in!G10)</f>
        <v/>
      </c>
      <c r="H10" s="136" t="str">
        <f>IF(SER_hh_tes_in!H10=0,"",SER_hh_tes_in!H10/SER_hh_fec_in!H10)</f>
        <v/>
      </c>
      <c r="I10" s="136" t="str">
        <f>IF(SER_hh_tes_in!I10=0,"",SER_hh_tes_in!I10/SER_hh_fec_in!I10)</f>
        <v/>
      </c>
      <c r="J10" s="136" t="str">
        <f>IF(SER_hh_tes_in!J10=0,"",SER_hh_tes_in!J10/SER_hh_fec_in!J10)</f>
        <v/>
      </c>
      <c r="K10" s="136" t="str">
        <f>IF(SER_hh_tes_in!K10=0,"",SER_hh_tes_in!K10/SER_hh_fec_in!K10)</f>
        <v/>
      </c>
      <c r="L10" s="136" t="str">
        <f>IF(SER_hh_tes_in!L10=0,"",SER_hh_tes_in!L10/SER_hh_fec_in!L10)</f>
        <v/>
      </c>
      <c r="M10" s="136" t="str">
        <f>IF(SER_hh_tes_in!M10=0,"",SER_hh_tes_in!M10/SER_hh_fec_in!M10)</f>
        <v/>
      </c>
      <c r="N10" s="136">
        <f>IF(SER_hh_tes_in!N10=0,"",SER_hh_tes_in!N10/SER_hh_fec_in!N10)</f>
        <v>0.47956314663571242</v>
      </c>
      <c r="O10" s="136">
        <f>IF(SER_hh_tes_in!O10=0,"",SER_hh_tes_in!O10/SER_hh_fec_in!O10)</f>
        <v>0.48491862653946904</v>
      </c>
      <c r="P10" s="136">
        <f>IF(SER_hh_tes_in!P10=0,"",SER_hh_tes_in!P10/SER_hh_fec_in!P10)</f>
        <v>0.4895375518114049</v>
      </c>
      <c r="Q10" s="136">
        <f>IF(SER_hh_tes_in!Q10=0,"",SER_hh_tes_in!Q10/SER_hh_fec_in!Q10)</f>
        <v>0.49504879323522899</v>
      </c>
      <c r="R10" s="136" t="str">
        <f>IF(SER_hh_tes_in!R10=0,"",SER_hh_tes_in!R10/SER_hh_fec_in!R10)</f>
        <v/>
      </c>
      <c r="S10" s="136" t="str">
        <f>IF(SER_hh_tes_in!S10=0,"",SER_hh_tes_in!S10/SER_hh_fec_in!S10)</f>
        <v/>
      </c>
      <c r="T10" s="136" t="str">
        <f>IF(SER_hh_tes_in!T10=0,"",SER_hh_tes_in!T10/SER_hh_fec_in!T10)</f>
        <v/>
      </c>
      <c r="U10" s="136" t="str">
        <f>IF(SER_hh_tes_in!U10=0,"",SER_hh_tes_in!U10/SER_hh_fec_in!U10)</f>
        <v/>
      </c>
      <c r="V10" s="136" t="str">
        <f>IF(SER_hh_tes_in!V10=0,"",SER_hh_tes_in!V10/SER_hh_fec_in!V10)</f>
        <v/>
      </c>
      <c r="W10" s="136" t="str">
        <f>IF(SER_hh_tes_in!W10=0,"",SER_hh_tes_in!W10/SER_hh_fec_in!W10)</f>
        <v/>
      </c>
      <c r="X10" s="136" t="str">
        <f>IF(SER_hh_tes_in!X10=0,"",SER_hh_tes_in!X10/SER_hh_fec_in!X10)</f>
        <v/>
      </c>
      <c r="Y10" s="136" t="str">
        <f>IF(SER_hh_tes_in!Y10=0,"",SER_hh_tes_in!Y10/SER_hh_fec_in!Y10)</f>
        <v/>
      </c>
      <c r="DA10" s="163" t="s">
        <v>669</v>
      </c>
    </row>
    <row r="11" spans="1:105" ht="12" customHeight="1" x14ac:dyDescent="0.25">
      <c r="A11" s="131" t="s">
        <v>25</v>
      </c>
      <c r="B11" s="136"/>
      <c r="C11" s="136" t="str">
        <f>IF(SER_hh_tes_in!C11=0,"",SER_hh_tes_in!C11/SER_hh_fec_in!C11)</f>
        <v/>
      </c>
      <c r="D11" s="136" t="str">
        <f>IF(SER_hh_tes_in!D11=0,"",SER_hh_tes_in!D11/SER_hh_fec_in!D11)</f>
        <v/>
      </c>
      <c r="E11" s="136" t="str">
        <f>IF(SER_hh_tes_in!E11=0,"",SER_hh_tes_in!E11/SER_hh_fec_in!E11)</f>
        <v/>
      </c>
      <c r="F11" s="136">
        <f>IF(SER_hh_tes_in!F11=0,"",SER_hh_tes_in!F11/SER_hh_fec_in!F11)</f>
        <v>0.87835810028908701</v>
      </c>
      <c r="G11" s="136">
        <f>IF(SER_hh_tes_in!G11=0,"",SER_hh_tes_in!G11/SER_hh_fec_in!G11)</f>
        <v>0.8830678255617197</v>
      </c>
      <c r="H11" s="136">
        <f>IF(SER_hh_tes_in!H11=0,"",SER_hh_tes_in!H11/SER_hh_fec_in!H11)</f>
        <v>0.88777814217000461</v>
      </c>
      <c r="I11" s="136" t="str">
        <f>IF(SER_hh_tes_in!I11=0,"",SER_hh_tes_in!I11/SER_hh_fec_in!I11)</f>
        <v/>
      </c>
      <c r="J11" s="136">
        <f>IF(SER_hh_tes_in!J11=0,"",SER_hh_tes_in!J11/SER_hh_fec_in!J11)</f>
        <v>0.8972015328443731</v>
      </c>
      <c r="K11" s="136">
        <f>IF(SER_hh_tes_in!K11=0,"",SER_hh_tes_in!K11/SER_hh_fec_in!K11)</f>
        <v>0.90191565732679502</v>
      </c>
      <c r="L11" s="136">
        <f>IF(SER_hh_tes_in!L11=0,"",SER_hh_tes_in!L11/SER_hh_fec_in!L11)</f>
        <v>0.90663169128408316</v>
      </c>
      <c r="M11" s="136">
        <f>IF(SER_hh_tes_in!M11=0,"",SER_hh_tes_in!M11/SER_hh_fec_in!M11)</f>
        <v>0.9113981217634618</v>
      </c>
      <c r="N11" s="136">
        <f>IF(SER_hh_tes_in!N11=0,"",SER_hh_tes_in!N11/SER_hh_fec_in!N11)</f>
        <v>0.91623308256177738</v>
      </c>
      <c r="O11" s="136">
        <f>IF(SER_hh_tes_in!O11=0,"",SER_hh_tes_in!O11/SER_hh_fec_in!O11)</f>
        <v>0.92111455816686971</v>
      </c>
      <c r="P11" s="136">
        <f>IF(SER_hh_tes_in!P11=0,"",SER_hh_tes_in!P11/SER_hh_fec_in!P11)</f>
        <v>0.92594051259124921</v>
      </c>
      <c r="Q11" s="136" t="str">
        <f>IF(SER_hh_tes_in!Q11=0,"",SER_hh_tes_in!Q11/SER_hh_fec_in!Q11)</f>
        <v/>
      </c>
      <c r="R11" s="136" t="str">
        <f>IF(SER_hh_tes_in!R11=0,"",SER_hh_tes_in!R11/SER_hh_fec_in!R11)</f>
        <v/>
      </c>
      <c r="S11" s="136">
        <f>IF(SER_hh_tes_in!S11=0,"",SER_hh_tes_in!S11/SER_hh_fec_in!S11)</f>
        <v>0.93794587739067214</v>
      </c>
      <c r="T11" s="136">
        <f>IF(SER_hh_tes_in!T11=0,"",SER_hh_tes_in!T11/SER_hh_fec_in!T11)</f>
        <v>0.94130392662392259</v>
      </c>
      <c r="U11" s="136">
        <f>IF(SER_hh_tes_in!U11=0,"",SER_hh_tes_in!U11/SER_hh_fec_in!U11)</f>
        <v>0.94447869430778542</v>
      </c>
      <c r="V11" s="136">
        <f>IF(SER_hh_tes_in!V11=0,"",SER_hh_tes_in!V11/SER_hh_fec_in!V11)</f>
        <v>0.94753339205070775</v>
      </c>
      <c r="W11" s="136">
        <f>IF(SER_hh_tes_in!W11=0,"",SER_hh_tes_in!W11/SER_hh_fec_in!W11)</f>
        <v>0.95038946025883175</v>
      </c>
      <c r="X11" s="136">
        <f>IF(SER_hh_tes_in!X11=0,"",SER_hh_tes_in!X11/SER_hh_fec_in!X11)</f>
        <v>0.95174059014038415</v>
      </c>
      <c r="Y11" s="136">
        <f>IF(SER_hh_tes_in!Y11=0,"",SER_hh_tes_in!Y11/SER_hh_fec_in!Y11)</f>
        <v>0.95303592705873286</v>
      </c>
      <c r="DA11" s="163" t="s">
        <v>670</v>
      </c>
    </row>
    <row r="12" spans="1:105" ht="12" customHeight="1" x14ac:dyDescent="0.25">
      <c r="A12" s="131" t="s">
        <v>162</v>
      </c>
      <c r="B12" s="136"/>
      <c r="C12" s="136" t="str">
        <f>IF(SER_hh_tes_in!C12=0,"",SER_hh_tes_in!C12/SER_hh_fec_in!C12)</f>
        <v/>
      </c>
      <c r="D12" s="136" t="str">
        <f>IF(SER_hh_tes_in!D12=0,"",SER_hh_tes_in!D12/SER_hh_fec_in!D12)</f>
        <v/>
      </c>
      <c r="E12" s="136" t="str">
        <f>IF(SER_hh_tes_in!E12=0,"",SER_hh_tes_in!E12/SER_hh_fec_in!E12)</f>
        <v/>
      </c>
      <c r="F12" s="136" t="str">
        <f>IF(SER_hh_tes_in!F12=0,"",SER_hh_tes_in!F12/SER_hh_fec_in!F12)</f>
        <v/>
      </c>
      <c r="G12" s="136" t="str">
        <f>IF(SER_hh_tes_in!G12=0,"",SER_hh_tes_in!G12/SER_hh_fec_in!G12)</f>
        <v/>
      </c>
      <c r="H12" s="136" t="str">
        <f>IF(SER_hh_tes_in!H12=0,"",SER_hh_tes_in!H12/SER_hh_fec_in!H12)</f>
        <v/>
      </c>
      <c r="I12" s="136" t="str">
        <f>IF(SER_hh_tes_in!I12=0,"",SER_hh_tes_in!I12/SER_hh_fec_in!I12)</f>
        <v/>
      </c>
      <c r="J12" s="136" t="str">
        <f>IF(SER_hh_tes_in!J12=0,"",SER_hh_tes_in!J12/SER_hh_fec_in!J12)</f>
        <v/>
      </c>
      <c r="K12" s="136" t="str">
        <f>IF(SER_hh_tes_in!K12=0,"",SER_hh_tes_in!K12/SER_hh_fec_in!K12)</f>
        <v/>
      </c>
      <c r="L12" s="136" t="str">
        <f>IF(SER_hh_tes_in!L12=0,"",SER_hh_tes_in!L12/SER_hh_fec_in!L12)</f>
        <v/>
      </c>
      <c r="M12" s="136" t="str">
        <f>IF(SER_hh_tes_in!M12=0,"",SER_hh_tes_in!M12/SER_hh_fec_in!M12)</f>
        <v/>
      </c>
      <c r="N12" s="136" t="str">
        <f>IF(SER_hh_tes_in!N12=0,"",SER_hh_tes_in!N12/SER_hh_fec_in!N12)</f>
        <v/>
      </c>
      <c r="O12" s="136" t="str">
        <f>IF(SER_hh_tes_in!O12=0,"",SER_hh_tes_in!O12/SER_hh_fec_in!O12)</f>
        <v/>
      </c>
      <c r="P12" s="136" t="str">
        <f>IF(SER_hh_tes_in!P12=0,"",SER_hh_tes_in!P12/SER_hh_fec_in!P12)</f>
        <v/>
      </c>
      <c r="Q12" s="136" t="str">
        <f>IF(SER_hh_tes_in!Q12=0,"",SER_hh_tes_in!Q12/SER_hh_fec_in!Q12)</f>
        <v/>
      </c>
      <c r="R12" s="136" t="str">
        <f>IF(SER_hh_tes_in!R12=0,"",SER_hh_tes_in!R12/SER_hh_fec_in!R12)</f>
        <v/>
      </c>
      <c r="S12" s="136" t="str">
        <f>IF(SER_hh_tes_in!S12=0,"",SER_hh_tes_in!S12/SER_hh_fec_in!S12)</f>
        <v/>
      </c>
      <c r="T12" s="136" t="str">
        <f>IF(SER_hh_tes_in!T12=0,"",SER_hh_tes_in!T12/SER_hh_fec_in!T12)</f>
        <v/>
      </c>
      <c r="U12" s="136" t="str">
        <f>IF(SER_hh_tes_in!U12=0,"",SER_hh_tes_in!U12/SER_hh_fec_in!U12)</f>
        <v/>
      </c>
      <c r="V12" s="136" t="str">
        <f>IF(SER_hh_tes_in!V12=0,"",SER_hh_tes_in!V12/SER_hh_fec_in!V12)</f>
        <v/>
      </c>
      <c r="W12" s="136" t="str">
        <f>IF(SER_hh_tes_in!W12=0,"",SER_hh_tes_in!W12/SER_hh_fec_in!W12)</f>
        <v/>
      </c>
      <c r="X12" s="136" t="str">
        <f>IF(SER_hh_tes_in!X12=0,"",SER_hh_tes_in!X12/SER_hh_fec_in!X12)</f>
        <v/>
      </c>
      <c r="Y12" s="136" t="str">
        <f>IF(SER_hh_tes_in!Y12=0,"",SER_hh_tes_in!Y12/SER_hh_fec_in!Y12)</f>
        <v/>
      </c>
      <c r="DA12" s="163" t="s">
        <v>671</v>
      </c>
    </row>
    <row r="13" spans="1:105" ht="12" customHeight="1" x14ac:dyDescent="0.25">
      <c r="A13" s="131" t="s">
        <v>77</v>
      </c>
      <c r="B13" s="136"/>
      <c r="C13" s="136">
        <f>IF(SER_hh_tes_in!C13=0,"",SER_hh_tes_in!C13/SER_hh_fec_in!C13)</f>
        <v>1.5107233375489155</v>
      </c>
      <c r="D13" s="136">
        <f>IF(SER_hh_tes_in!D13=0,"",SER_hh_tes_in!D13/SER_hh_fec_in!D13)</f>
        <v>1.6110548050465592</v>
      </c>
      <c r="E13" s="136">
        <f>IF(SER_hh_tes_in!E13=0,"",SER_hh_tes_in!E13/SER_hh_fec_in!E13)</f>
        <v>1.7130754850096037</v>
      </c>
      <c r="F13" s="136">
        <f>IF(SER_hh_tes_in!F13=0,"",SER_hh_tes_in!F13/SER_hh_fec_in!F13)</f>
        <v>1.8158018224782693</v>
      </c>
      <c r="G13" s="136">
        <f>IF(SER_hh_tes_in!G13=0,"",SER_hh_tes_in!G13/SER_hh_fec_in!G13)</f>
        <v>1.9201299619345236</v>
      </c>
      <c r="H13" s="136">
        <f>IF(SER_hh_tes_in!H13=0,"",SER_hh_tes_in!H13/SER_hh_fec_in!H13)</f>
        <v>2.025952098434487</v>
      </c>
      <c r="I13" s="136">
        <f>IF(SER_hh_tes_in!I13=0,"",SER_hh_tes_in!I13/SER_hh_fec_in!I13)</f>
        <v>2.1334910020253512</v>
      </c>
      <c r="J13" s="136">
        <f>IF(SER_hh_tes_in!J13=0,"",SER_hh_tes_in!J13/SER_hh_fec_in!J13)</f>
        <v>2.2436549391472091</v>
      </c>
      <c r="K13" s="136">
        <f>IF(SER_hh_tes_in!K13=0,"",SER_hh_tes_in!K13/SER_hh_fec_in!K13)</f>
        <v>2.3572189839929383</v>
      </c>
      <c r="L13" s="136">
        <f>IF(SER_hh_tes_in!L13=0,"",SER_hh_tes_in!L13/SER_hh_fec_in!L13)</f>
        <v>2.4743956144670376</v>
      </c>
      <c r="M13" s="136">
        <f>IF(SER_hh_tes_in!M13=0,"",SER_hh_tes_in!M13/SER_hh_fec_in!M13)</f>
        <v>2.6176783810000437</v>
      </c>
      <c r="N13" s="136">
        <f>IF(SER_hh_tes_in!N13=0,"",SER_hh_tes_in!N13/SER_hh_fec_in!N13)</f>
        <v>2.794823944052101</v>
      </c>
      <c r="O13" s="136">
        <f>IF(SER_hh_tes_in!O13=0,"",SER_hh_tes_in!O13/SER_hh_fec_in!O13)</f>
        <v>3.0084971337903896</v>
      </c>
      <c r="P13" s="136">
        <f>IF(SER_hh_tes_in!P13=0,"",SER_hh_tes_in!P13/SER_hh_fec_in!P13)</f>
        <v>3.2371529507221597</v>
      </c>
      <c r="Q13" s="136">
        <f>IF(SER_hh_tes_in!Q13=0,"",SER_hh_tes_in!Q13/SER_hh_fec_in!Q13)</f>
        <v>3.4149712679026059</v>
      </c>
      <c r="R13" s="136">
        <f>IF(SER_hh_tes_in!R13=0,"",SER_hh_tes_in!R13/SER_hh_fec_in!R13)</f>
        <v>3.575764132180677</v>
      </c>
      <c r="S13" s="136">
        <f>IF(SER_hh_tes_in!S13=0,"",SER_hh_tes_in!S13/SER_hh_fec_in!S13)</f>
        <v>3.6798992610355938</v>
      </c>
      <c r="T13" s="136">
        <f>IF(SER_hh_tes_in!T13=0,"",SER_hh_tes_in!T13/SER_hh_fec_in!T13)</f>
        <v>3.7448147794212137</v>
      </c>
      <c r="U13" s="136">
        <f>IF(SER_hh_tes_in!U13=0,"",SER_hh_tes_in!U13/SER_hh_fec_in!U13)</f>
        <v>3.788484480671912</v>
      </c>
      <c r="V13" s="136">
        <f>IF(SER_hh_tes_in!V13=0,"",SER_hh_tes_in!V13/SER_hh_fec_in!V13)</f>
        <v>3.8286570912225506</v>
      </c>
      <c r="W13" s="136">
        <f>IF(SER_hh_tes_in!W13=0,"",SER_hh_tes_in!W13/SER_hh_fec_in!W13)</f>
        <v>3.8688529668030567</v>
      </c>
      <c r="X13" s="136">
        <f>IF(SER_hh_tes_in!X13=0,"",SER_hh_tes_in!X13/SER_hh_fec_in!X13)</f>
        <v>3.9025388356850996</v>
      </c>
      <c r="Y13" s="136">
        <f>IF(SER_hh_tes_in!Y13=0,"",SER_hh_tes_in!Y13/SER_hh_fec_in!Y13)</f>
        <v>3.9314315729372167</v>
      </c>
      <c r="DA13" s="163" t="s">
        <v>672</v>
      </c>
    </row>
    <row r="14" spans="1:105" ht="12" customHeight="1" x14ac:dyDescent="0.25">
      <c r="A14" s="60" t="s">
        <v>76</v>
      </c>
      <c r="B14" s="137"/>
      <c r="C14" s="137">
        <f>IF(SER_hh_tes_in!C14=0,"",SER_hh_tes_in!C14/SER_hh_fec_in!C14)</f>
        <v>0.60325965354609179</v>
      </c>
      <c r="D14" s="137">
        <f>IF(SER_hh_tes_in!D14=0,"",SER_hh_tes_in!D14/SER_hh_fec_in!D14)</f>
        <v>0.60728330555736942</v>
      </c>
      <c r="E14" s="137">
        <f>IF(SER_hh_tes_in!E14=0,"",SER_hh_tes_in!E14/SER_hh_fec_in!E14)</f>
        <v>0.61129575038900408</v>
      </c>
      <c r="F14" s="137">
        <f>IF(SER_hh_tes_in!F14=0,"",SER_hh_tes_in!F14/SER_hh_fec_in!F14)</f>
        <v>0.6153062763008702</v>
      </c>
      <c r="G14" s="137">
        <f>IF(SER_hh_tes_in!G14=0,"",SER_hh_tes_in!G14/SER_hh_fec_in!G14)</f>
        <v>0.61930648846259351</v>
      </c>
      <c r="H14" s="137">
        <f>IF(SER_hh_tes_in!H14=0,"",SER_hh_tes_in!H14/SER_hh_fec_in!H14)</f>
        <v>0.62329744608255</v>
      </c>
      <c r="I14" s="137">
        <f>IF(SER_hh_tes_in!I14=0,"",SER_hh_tes_in!I14/SER_hh_fec_in!I14)</f>
        <v>0.62727711508560713</v>
      </c>
      <c r="J14" s="137">
        <f>IF(SER_hh_tes_in!J14=0,"",SER_hh_tes_in!J14/SER_hh_fec_in!J14)</f>
        <v>0.63123708863055472</v>
      </c>
      <c r="K14" s="137">
        <f>IF(SER_hh_tes_in!K14=0,"",SER_hh_tes_in!K14/SER_hh_fec_in!K14)</f>
        <v>0.63517027398706527</v>
      </c>
      <c r="L14" s="137" t="str">
        <f>IF(SER_hh_tes_in!L14=0,"",SER_hh_tes_in!L14/SER_hh_fec_in!L14)</f>
        <v/>
      </c>
      <c r="M14" s="137" t="str">
        <f>IF(SER_hh_tes_in!M14=0,"",SER_hh_tes_in!M14/SER_hh_fec_in!M14)</f>
        <v/>
      </c>
      <c r="N14" s="137" t="str">
        <f>IF(SER_hh_tes_in!N14=0,"",SER_hh_tes_in!N14/SER_hh_fec_in!N14)</f>
        <v/>
      </c>
      <c r="O14" s="137" t="str">
        <f>IF(SER_hh_tes_in!O14=0,"",SER_hh_tes_in!O14/SER_hh_fec_in!O14)</f>
        <v/>
      </c>
      <c r="P14" s="137" t="str">
        <f>IF(SER_hh_tes_in!P14=0,"",SER_hh_tes_in!P14/SER_hh_fec_in!P14)</f>
        <v/>
      </c>
      <c r="Q14" s="137" t="str">
        <f>IF(SER_hh_tes_in!Q14=0,"",SER_hh_tes_in!Q14/SER_hh_fec_in!Q14)</f>
        <v/>
      </c>
      <c r="R14" s="137">
        <f>IF(SER_hh_tes_in!R14=0,"",SER_hh_tes_in!R14/SER_hh_fec_in!R14)</f>
        <v>0.67247240359277383</v>
      </c>
      <c r="S14" s="137">
        <f>IF(SER_hh_tes_in!S14=0,"",SER_hh_tes_in!S14/SER_hh_fec_in!S14)</f>
        <v>0.69538617701856986</v>
      </c>
      <c r="T14" s="137" t="str">
        <f>IF(SER_hh_tes_in!T14=0,"",SER_hh_tes_in!T14/SER_hh_fec_in!T14)</f>
        <v/>
      </c>
      <c r="U14" s="137" t="str">
        <f>IF(SER_hh_tes_in!U14=0,"",SER_hh_tes_in!U14/SER_hh_fec_in!U14)</f>
        <v/>
      </c>
      <c r="V14" s="137" t="str">
        <f>IF(SER_hh_tes_in!V14=0,"",SER_hh_tes_in!V14/SER_hh_fec_in!V14)</f>
        <v/>
      </c>
      <c r="W14" s="137">
        <f>IF(SER_hh_tes_in!W14=0,"",SER_hh_tes_in!W14/SER_hh_fec_in!W14)</f>
        <v>0.78590318487166366</v>
      </c>
      <c r="X14" s="137">
        <f>IF(SER_hh_tes_in!X14=0,"",SER_hh_tes_in!X14/SER_hh_fec_in!X14)</f>
        <v>0.79892553822835755</v>
      </c>
      <c r="Y14" s="137">
        <f>IF(SER_hh_tes_in!Y14=0,"",SER_hh_tes_in!Y14/SER_hh_fec_in!Y14)</f>
        <v>0.81120858331157553</v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2.1879139532818304</v>
      </c>
      <c r="D16" s="135">
        <f>IF(SER_hh_tes_in!D16=0,"",SER_hh_tes_in!D16/SER_hh_fec_in!D16)</f>
        <v>2.2740094533484863</v>
      </c>
      <c r="E16" s="135">
        <f>IF(SER_hh_tes_in!E16=0,"",SER_hh_tes_in!E16/SER_hh_fec_in!E16)</f>
        <v>2.3688903781757866</v>
      </c>
      <c r="F16" s="135">
        <f>IF(SER_hh_tes_in!F16=0,"",SER_hh_tes_in!F16/SER_hh_fec_in!F16)</f>
        <v>2.4445957669661578</v>
      </c>
      <c r="G16" s="135">
        <f>IF(SER_hh_tes_in!G16=0,"",SER_hh_tes_in!G16/SER_hh_fec_in!G16)</f>
        <v>2.5347734563147988</v>
      </c>
      <c r="H16" s="135">
        <f>IF(SER_hh_tes_in!H16=0,"",SER_hh_tes_in!H16/SER_hh_fec_in!H16)</f>
        <v>2.6310325040908573</v>
      </c>
      <c r="I16" s="135">
        <f>IF(SER_hh_tes_in!I16=0,"",SER_hh_tes_in!I16/SER_hh_fec_in!I16)</f>
        <v>2.7421368382381432</v>
      </c>
      <c r="J16" s="135">
        <f>IF(SER_hh_tes_in!J16=0,"",SER_hh_tes_in!J16/SER_hh_fec_in!J16)</f>
        <v>2.8149854288276548</v>
      </c>
      <c r="K16" s="135">
        <f>IF(SER_hh_tes_in!K16=0,"",SER_hh_tes_in!K16/SER_hh_fec_in!K16)</f>
        <v>2.8742539618409926</v>
      </c>
      <c r="L16" s="135">
        <f>IF(SER_hh_tes_in!L16=0,"",SER_hh_tes_in!L16/SER_hh_fec_in!L16)</f>
        <v>2.967551826245685</v>
      </c>
      <c r="M16" s="135">
        <f>IF(SER_hh_tes_in!M16=0,"",SER_hh_tes_in!M16/SER_hh_fec_in!M16)</f>
        <v>3.0695737767540088</v>
      </c>
      <c r="N16" s="135">
        <f>IF(SER_hh_tes_in!N16=0,"",SER_hh_tes_in!N16/SER_hh_fec_in!N16)</f>
        <v>3.2072018102118403</v>
      </c>
      <c r="O16" s="135">
        <f>IF(SER_hh_tes_in!O16=0,"",SER_hh_tes_in!O16/SER_hh_fec_in!O16)</f>
        <v>3.2773322145022425</v>
      </c>
      <c r="P16" s="135">
        <f>IF(SER_hh_tes_in!P16=0,"",SER_hh_tes_in!P16/SER_hh_fec_in!P16)</f>
        <v>3.3878114197729601</v>
      </c>
      <c r="Q16" s="135">
        <f>IF(SER_hh_tes_in!Q16=0,"",SER_hh_tes_in!Q16/SER_hh_fec_in!Q16)</f>
        <v>3.5644892175477265</v>
      </c>
      <c r="R16" s="135">
        <f>IF(SER_hh_tes_in!R16=0,"",SER_hh_tes_in!R16/SER_hh_fec_in!R16)</f>
        <v>3.7011336704313451</v>
      </c>
      <c r="S16" s="135">
        <f>IF(SER_hh_tes_in!S16=0,"",SER_hh_tes_in!S16/SER_hh_fec_in!S16)</f>
        <v>3.7276597404264922</v>
      </c>
      <c r="T16" s="135">
        <f>IF(SER_hh_tes_in!T16=0,"",SER_hh_tes_in!T16/SER_hh_fec_in!T16)</f>
        <v>3.6624199956227859</v>
      </c>
      <c r="U16" s="135">
        <f>IF(SER_hh_tes_in!U16=0,"",SER_hh_tes_in!U16/SER_hh_fec_in!U16)</f>
        <v>3.7916913960893899</v>
      </c>
      <c r="V16" s="135">
        <f>IF(SER_hh_tes_in!V16=0,"",SER_hh_tes_in!V16/SER_hh_fec_in!V16)</f>
        <v>3.8174369132466333</v>
      </c>
      <c r="W16" s="135">
        <f>IF(SER_hh_tes_in!W16=0,"",SER_hh_tes_in!W16/SER_hh_fec_in!W16)</f>
        <v>3.8522462564042756</v>
      </c>
      <c r="X16" s="135">
        <f>IF(SER_hh_tes_in!X16=0,"",SER_hh_tes_in!X16/SER_hh_fec_in!X16)</f>
        <v>3.8511622449118246</v>
      </c>
      <c r="Y16" s="135">
        <f>IF(SER_hh_tes_in!Y16=0,"",SER_hh_tes_in!Y16/SER_hh_fec_in!Y16)</f>
        <v>3.8369790090055198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>
        <f>IF(SER_hh_tes_in!C17=0,"",SER_hh_tes_in!C17/SER_hh_fec_in!C17)</f>
        <v>1.1446965800107056</v>
      </c>
      <c r="D17" s="136">
        <f>IF(SER_hh_tes_in!D17=0,"",SER_hh_tes_in!D17/SER_hh_fec_in!D17)</f>
        <v>1.1622352854206506</v>
      </c>
      <c r="E17" s="136">
        <f>IF(SER_hh_tes_in!E17=0,"",SER_hh_tes_in!E17/SER_hh_fec_in!E17)</f>
        <v>1.179511951212447</v>
      </c>
      <c r="F17" s="136">
        <f>IF(SER_hh_tes_in!F17=0,"",SER_hh_tes_in!F17/SER_hh_fec_in!F17)</f>
        <v>1.1964007332442597</v>
      </c>
      <c r="G17" s="136">
        <f>IF(SER_hh_tes_in!G17=0,"",SER_hh_tes_in!G17/SER_hh_fec_in!G17)</f>
        <v>1.2130558118569472</v>
      </c>
      <c r="H17" s="136">
        <f>IF(SER_hh_tes_in!H17=0,"",SER_hh_tes_in!H17/SER_hh_fec_in!H17)</f>
        <v>1.2294801838652276</v>
      </c>
      <c r="I17" s="136">
        <f>IF(SER_hh_tes_in!I17=0,"",SER_hh_tes_in!I17/SER_hh_fec_in!I17)</f>
        <v>1.2457192506358457</v>
      </c>
      <c r="J17" s="136">
        <f>IF(SER_hh_tes_in!J17=0,"",SER_hh_tes_in!J17/SER_hh_fec_in!J17)</f>
        <v>1.2619026768866335</v>
      </c>
      <c r="K17" s="136">
        <f>IF(SER_hh_tes_in!K17=0,"",SER_hh_tes_in!K17/SER_hh_fec_in!K17)</f>
        <v>1.278134251732407</v>
      </c>
      <c r="L17" s="136">
        <f>IF(SER_hh_tes_in!L17=0,"",SER_hh_tes_in!L17/SER_hh_fec_in!L17)</f>
        <v>1.2944402116915883</v>
      </c>
      <c r="M17" s="136">
        <f>IF(SER_hh_tes_in!M17=0,"",SER_hh_tes_in!M17/SER_hh_fec_in!M17)</f>
        <v>1.3134468289688481</v>
      </c>
      <c r="N17" s="136">
        <f>IF(SER_hh_tes_in!N17=0,"",SER_hh_tes_in!N17/SER_hh_fec_in!N17)</f>
        <v>1.3351455462975677</v>
      </c>
      <c r="O17" s="136">
        <f>IF(SER_hh_tes_in!O17=0,"",SER_hh_tes_in!O17/SER_hh_fec_in!O17)</f>
        <v>1.3590902978915096</v>
      </c>
      <c r="P17" s="136">
        <f>IF(SER_hh_tes_in!P17=0,"",SER_hh_tes_in!P17/SER_hh_fec_in!P17)</f>
        <v>1.3828106694353393</v>
      </c>
      <c r="Q17" s="136">
        <f>IF(SER_hh_tes_in!Q17=0,"",SER_hh_tes_in!Q17/SER_hh_fec_in!Q17)</f>
        <v>1.4007320972278048</v>
      </c>
      <c r="R17" s="136">
        <f>IF(SER_hh_tes_in!R17=0,"",SER_hh_tes_in!R17/SER_hh_fec_in!R17)</f>
        <v>1.4235180678495105</v>
      </c>
      <c r="S17" s="136">
        <f>IF(SER_hh_tes_in!S17=0,"",SER_hh_tes_in!S17/SER_hh_fec_in!S17)</f>
        <v>1.4519935166224482</v>
      </c>
      <c r="T17" s="136">
        <f>IF(SER_hh_tes_in!T17=0,"",SER_hh_tes_in!T17/SER_hh_fec_in!T17)</f>
        <v>1.4823458355223118</v>
      </c>
      <c r="U17" s="136">
        <f>IF(SER_hh_tes_in!U17=0,"",SER_hh_tes_in!U17/SER_hh_fec_in!U17)</f>
        <v>1.5101022361454768</v>
      </c>
      <c r="V17" s="136">
        <f>IF(SER_hh_tes_in!V17=0,"",SER_hh_tes_in!V17/SER_hh_fec_in!V17)</f>
        <v>1.5351993462801068</v>
      </c>
      <c r="W17" s="136">
        <f>IF(SER_hh_tes_in!W17=0,"",SER_hh_tes_in!W17/SER_hh_fec_in!W17)</f>
        <v>1.5544047012094699</v>
      </c>
      <c r="X17" s="136">
        <f>IF(SER_hh_tes_in!X17=0,"",SER_hh_tes_in!X17/SER_hh_fec_in!X17)</f>
        <v>1.561862201721921</v>
      </c>
      <c r="Y17" s="136">
        <f>IF(SER_hh_tes_in!Y17=0,"",SER_hh_tes_in!Y17/SER_hh_fec_in!Y17)</f>
        <v>1.5630745522415992</v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2.1892457912620729</v>
      </c>
      <c r="D18" s="136">
        <f>IF(SER_hh_tes_in!D18=0,"",SER_hh_tes_in!D18/SER_hh_fec_in!D18)</f>
        <v>2.2785683785546413</v>
      </c>
      <c r="E18" s="136">
        <f>IF(SER_hh_tes_in!E18=0,"",SER_hh_tes_in!E18/SER_hh_fec_in!E18)</f>
        <v>2.3692300831891644</v>
      </c>
      <c r="F18" s="136">
        <f>IF(SER_hh_tes_in!F18=0,"",SER_hh_tes_in!F18/SER_hh_fec_in!F18)</f>
        <v>2.4606199426439859</v>
      </c>
      <c r="G18" s="136">
        <f>IF(SER_hh_tes_in!G18=0,"",SER_hh_tes_in!G18/SER_hh_fec_in!G18)</f>
        <v>2.5532674080439497</v>
      </c>
      <c r="H18" s="136">
        <f>IF(SER_hh_tes_in!H18=0,"",SER_hh_tes_in!H18/SER_hh_fec_in!H18)</f>
        <v>2.6470892699955195</v>
      </c>
      <c r="I18" s="136">
        <f>IF(SER_hh_tes_in!I18=0,"",SER_hh_tes_in!I18/SER_hh_fec_in!I18)</f>
        <v>2.7421965115179332</v>
      </c>
      <c r="J18" s="136">
        <f>IF(SER_hh_tes_in!J18=0,"",SER_hh_tes_in!J18/SER_hh_fec_in!J18)</f>
        <v>2.8390865501593887</v>
      </c>
      <c r="K18" s="136">
        <f>IF(SER_hh_tes_in!K18=0,"",SER_hh_tes_in!K18/SER_hh_fec_in!K18)</f>
        <v>2.9381533820926373</v>
      </c>
      <c r="L18" s="136">
        <f>IF(SER_hh_tes_in!L18=0,"",SER_hh_tes_in!L18/SER_hh_fec_in!L18)</f>
        <v>3.0394492554506192</v>
      </c>
      <c r="M18" s="136">
        <f>IF(SER_hh_tes_in!M18=0,"",SER_hh_tes_in!M18/SER_hh_fec_in!M18)</f>
        <v>3.1555268598156747</v>
      </c>
      <c r="N18" s="136">
        <f>IF(SER_hh_tes_in!N18=0,"",SER_hh_tes_in!N18/SER_hh_fec_in!N18)</f>
        <v>3.2901125124293888</v>
      </c>
      <c r="O18" s="136">
        <f>IF(SER_hh_tes_in!O18=0,"",SER_hh_tes_in!O18/SER_hh_fec_in!O18)</f>
        <v>3.4429661257988893</v>
      </c>
      <c r="P18" s="136">
        <f>IF(SER_hh_tes_in!P18=0,"",SER_hh_tes_in!P18/SER_hh_fec_in!P18)</f>
        <v>3.5992119857863138</v>
      </c>
      <c r="Q18" s="136">
        <f>IF(SER_hh_tes_in!Q18=0,"",SER_hh_tes_in!Q18/SER_hh_fec_in!Q18)</f>
        <v>3.7191282877342515</v>
      </c>
      <c r="R18" s="136">
        <f>IF(SER_hh_tes_in!R18=0,"",SER_hh_tes_in!R18/SER_hh_fec_in!R18)</f>
        <v>3.8318096352946589</v>
      </c>
      <c r="S18" s="136">
        <f>IF(SER_hh_tes_in!S18=0,"",SER_hh_tes_in!S18/SER_hh_fec_in!S18)</f>
        <v>3.8901502008636748</v>
      </c>
      <c r="T18" s="136">
        <f>IF(SER_hh_tes_in!T18=0,"",SER_hh_tes_in!T18/SER_hh_fec_in!T18)</f>
        <v>3.9276133876840489</v>
      </c>
      <c r="U18" s="136">
        <f>IF(SER_hh_tes_in!U18=0,"",SER_hh_tes_in!U18/SER_hh_fec_in!U18)</f>
        <v>3.9541366421482209</v>
      </c>
      <c r="V18" s="136">
        <f>IF(SER_hh_tes_in!V18=0,"",SER_hh_tes_in!V18/SER_hh_fec_in!V18)</f>
        <v>3.9799806519686065</v>
      </c>
      <c r="W18" s="136">
        <f>IF(SER_hh_tes_in!W18=0,"",SER_hh_tes_in!W18/SER_hh_fec_in!W18)</f>
        <v>4.0051871093289266</v>
      </c>
      <c r="X18" s="136">
        <f>IF(SER_hh_tes_in!X18=0,"",SER_hh_tes_in!X18/SER_hh_fec_in!X18)</f>
        <v>4.0250684080517996</v>
      </c>
      <c r="Y18" s="136">
        <f>IF(SER_hh_tes_in!Y18=0,"",SER_hh_tes_in!Y18/SER_hh_fec_in!Y18)</f>
        <v>4.0423649248746365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0.55163719760333441</v>
      </c>
      <c r="D19" s="135">
        <f>IF(SER_hh_tes_in!D19=0,"",SER_hh_tes_in!D19/SER_hh_fec_in!D19)</f>
        <v>0.55713561225830599</v>
      </c>
      <c r="E19" s="135">
        <f>IF(SER_hh_tes_in!E19=0,"",SER_hh_tes_in!E19/SER_hh_fec_in!E19)</f>
        <v>0.56245473874201257</v>
      </c>
      <c r="F19" s="135">
        <f>IF(SER_hh_tes_in!F19=0,"",SER_hh_tes_in!F19/SER_hh_fec_in!F19)</f>
        <v>0.56713014032671072</v>
      </c>
      <c r="G19" s="135">
        <f>IF(SER_hh_tes_in!G19=0,"",SER_hh_tes_in!G19/SER_hh_fec_in!G19)</f>
        <v>0.54356960252055297</v>
      </c>
      <c r="H19" s="135">
        <f>IF(SER_hh_tes_in!H19=0,"",SER_hh_tes_in!H19/SER_hh_fec_in!H19)</f>
        <v>0.57428013344367979</v>
      </c>
      <c r="I19" s="135">
        <f>IF(SER_hh_tes_in!I19=0,"",SER_hh_tes_in!I19/SER_hh_fec_in!I19)</f>
        <v>0.59652633581609493</v>
      </c>
      <c r="J19" s="135">
        <f>IF(SER_hh_tes_in!J19=0,"",SER_hh_tes_in!J19/SER_hh_fec_in!J19)</f>
        <v>0.64693343194070596</v>
      </c>
      <c r="K19" s="135">
        <f>IF(SER_hh_tes_in!K19=0,"",SER_hh_tes_in!K19/SER_hh_fec_in!K19)</f>
        <v>0.79639535947590268</v>
      </c>
      <c r="L19" s="135">
        <f>IF(SER_hh_tes_in!L19=0,"",SER_hh_tes_in!L19/SER_hh_fec_in!L19)</f>
        <v>0.61542206542476174</v>
      </c>
      <c r="M19" s="135">
        <f>IF(SER_hh_tes_in!M19=0,"",SER_hh_tes_in!M19/SER_hh_fec_in!M19)</f>
        <v>0.66685793603644627</v>
      </c>
      <c r="N19" s="135">
        <f>IF(SER_hh_tes_in!N19=0,"",SER_hh_tes_in!N19/SER_hh_fec_in!N19)</f>
        <v>0.67907782016515739</v>
      </c>
      <c r="O19" s="135">
        <f>IF(SER_hh_tes_in!O19=0,"",SER_hh_tes_in!O19/SER_hh_fec_in!O19)</f>
        <v>0.84299549009779384</v>
      </c>
      <c r="P19" s="135">
        <f>IF(SER_hh_tes_in!P19=0,"",SER_hh_tes_in!P19/SER_hh_fec_in!P19)</f>
        <v>0.69417488802747129</v>
      </c>
      <c r="Q19" s="135">
        <f>IF(SER_hh_tes_in!Q19=0,"",SER_hh_tes_in!Q19/SER_hh_fec_in!Q19)</f>
        <v>0.72637076163250902</v>
      </c>
      <c r="R19" s="135">
        <f>IF(SER_hh_tes_in!R19=0,"",SER_hh_tes_in!R19/SER_hh_fec_in!R19)</f>
        <v>0.84423970377669455</v>
      </c>
      <c r="S19" s="135">
        <f>IF(SER_hh_tes_in!S19=0,"",SER_hh_tes_in!S19/SER_hh_fec_in!S19)</f>
        <v>0.77257167615688715</v>
      </c>
      <c r="T19" s="135">
        <f>IF(SER_hh_tes_in!T19=0,"",SER_hh_tes_in!T19/SER_hh_fec_in!T19)</f>
        <v>0.77778678904416398</v>
      </c>
      <c r="U19" s="135">
        <f>IF(SER_hh_tes_in!U19=0,"",SER_hh_tes_in!U19/SER_hh_fec_in!U19)</f>
        <v>0.80209121219058332</v>
      </c>
      <c r="V19" s="135">
        <f>IF(SER_hh_tes_in!V19=0,"",SER_hh_tes_in!V19/SER_hh_fec_in!V19)</f>
        <v>0.90765945669748338</v>
      </c>
      <c r="W19" s="135">
        <f>IF(SER_hh_tes_in!W19=0,"",SER_hh_tes_in!W19/SER_hh_fec_in!W19)</f>
        <v>0.87532504746066142</v>
      </c>
      <c r="X19" s="135">
        <f>IF(SER_hh_tes_in!X19=0,"",SER_hh_tes_in!X19/SER_hh_fec_in!X19)</f>
        <v>0.84476242804942436</v>
      </c>
      <c r="Y19" s="135">
        <f>IF(SER_hh_tes_in!Y19=0,"",SER_hh_tes_in!Y19/SER_hh_fec_in!Y19)</f>
        <v>0.86555470161199299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 t="str">
        <f>IF(SER_hh_tes_in!C20=0,"",SER_hh_tes_in!C20/SER_hh_fec_in!C20)</f>
        <v/>
      </c>
      <c r="D20" s="136" t="str">
        <f>IF(SER_hh_tes_in!D20=0,"",SER_hh_tes_in!D20/SER_hh_fec_in!D20)</f>
        <v/>
      </c>
      <c r="E20" s="136" t="str">
        <f>IF(SER_hh_tes_in!E20=0,"",SER_hh_tes_in!E20/SER_hh_fec_in!E20)</f>
        <v/>
      </c>
      <c r="F20" s="136" t="str">
        <f>IF(SER_hh_tes_in!F20=0,"",SER_hh_tes_in!F20/SER_hh_fec_in!F20)</f>
        <v/>
      </c>
      <c r="G20" s="136" t="str">
        <f>IF(SER_hh_tes_in!G20=0,"",SER_hh_tes_in!G20/SER_hh_fec_in!G20)</f>
        <v/>
      </c>
      <c r="H20" s="136" t="str">
        <f>IF(SER_hh_tes_in!H20=0,"",SER_hh_tes_in!H20/SER_hh_fec_in!H20)</f>
        <v/>
      </c>
      <c r="I20" s="136" t="str">
        <f>IF(SER_hh_tes_in!I20=0,"",SER_hh_tes_in!I20/SER_hh_fec_in!I20)</f>
        <v/>
      </c>
      <c r="J20" s="136" t="str">
        <f>IF(SER_hh_tes_in!J20=0,"",SER_hh_tes_in!J20/SER_hh_fec_in!J20)</f>
        <v/>
      </c>
      <c r="K20" s="136" t="str">
        <f>IF(SER_hh_tes_in!K20=0,"",SER_hh_tes_in!K20/SER_hh_fec_in!K20)</f>
        <v/>
      </c>
      <c r="L20" s="136" t="str">
        <f>IF(SER_hh_tes_in!L20=0,"",SER_hh_tes_in!L20/SER_hh_fec_in!L20)</f>
        <v/>
      </c>
      <c r="M20" s="136" t="str">
        <f>IF(SER_hh_tes_in!M20=0,"",SER_hh_tes_in!M20/SER_hh_fec_in!M20)</f>
        <v/>
      </c>
      <c r="N20" s="136" t="str">
        <f>IF(SER_hh_tes_in!N20=0,"",SER_hh_tes_in!N20/SER_hh_fec_in!N20)</f>
        <v/>
      </c>
      <c r="O20" s="136" t="str">
        <f>IF(SER_hh_tes_in!O20=0,"",SER_hh_tes_in!O20/SER_hh_fec_in!O20)</f>
        <v/>
      </c>
      <c r="P20" s="136" t="str">
        <f>IF(SER_hh_tes_in!P20=0,"",SER_hh_tes_in!P20/SER_hh_fec_in!P20)</f>
        <v/>
      </c>
      <c r="Q20" s="136" t="str">
        <f>IF(SER_hh_tes_in!Q20=0,"",SER_hh_tes_in!Q20/SER_hh_fec_in!Q20)</f>
        <v/>
      </c>
      <c r="R20" s="136" t="str">
        <f>IF(SER_hh_tes_in!R20=0,"",SER_hh_tes_in!R20/SER_hh_fec_in!R20)</f>
        <v/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 t="str">
        <f>IF(SER_hh_tes_in!U20=0,"",SER_hh_tes_in!U20/SER_hh_fec_in!U20)</f>
        <v/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>
        <f>IF(SER_hh_tes_in!C21=0,"",SER_hh_tes_in!C21/SER_hh_fec_in!C21)</f>
        <v>0.46336717384284909</v>
      </c>
      <c r="D21" s="136">
        <f>IF(SER_hh_tes_in!D21=0,"",SER_hh_tes_in!D21/SER_hh_fec_in!D21)</f>
        <v>0.46539172670849105</v>
      </c>
      <c r="E21" s="136">
        <f>IF(SER_hh_tes_in!E21=0,"",SER_hh_tes_in!E21/SER_hh_fec_in!E21)</f>
        <v>0.46769770138326439</v>
      </c>
      <c r="F21" s="136">
        <f>IF(SER_hh_tes_in!F21=0,"",SER_hh_tes_in!F21/SER_hh_fec_in!F21)</f>
        <v>0.47004205175928304</v>
      </c>
      <c r="G21" s="136">
        <f>IF(SER_hh_tes_in!G21=0,"",SER_hh_tes_in!G21/SER_hh_fec_in!G21)</f>
        <v>0.47264557506855004</v>
      </c>
      <c r="H21" s="136">
        <f>IF(SER_hh_tes_in!H21=0,"",SER_hh_tes_in!H21/SER_hh_fec_in!H21)</f>
        <v>0.47548124854077412</v>
      </c>
      <c r="I21" s="136">
        <f>IF(SER_hh_tes_in!I21=0,"",SER_hh_tes_in!I21/SER_hh_fec_in!I21)</f>
        <v>0.47860347662037284</v>
      </c>
      <c r="J21" s="136">
        <f>IF(SER_hh_tes_in!J21=0,"",SER_hh_tes_in!J21/SER_hh_fec_in!J21)</f>
        <v>0.48223513511308291</v>
      </c>
      <c r="K21" s="136">
        <f>IF(SER_hh_tes_in!K21=0,"",SER_hh_tes_in!K21/SER_hh_fec_in!K21)</f>
        <v>0.4865657270770895</v>
      </c>
      <c r="L21" s="136">
        <f>IF(SER_hh_tes_in!L21=0,"",SER_hh_tes_in!L21/SER_hh_fec_in!L21)</f>
        <v>0.49164595234968866</v>
      </c>
      <c r="M21" s="136">
        <f>IF(SER_hh_tes_in!M21=0,"",SER_hh_tes_in!M21/SER_hh_fec_in!M21)</f>
        <v>0.50200231369660664</v>
      </c>
      <c r="N21" s="136">
        <f>IF(SER_hh_tes_in!N21=0,"",SER_hh_tes_in!N21/SER_hh_fec_in!N21)</f>
        <v>0.5190736120541698</v>
      </c>
      <c r="O21" s="136">
        <f>IF(SER_hh_tes_in!O21=0,"",SER_hh_tes_in!O21/SER_hh_fec_in!O21)</f>
        <v>0.54403084232256238</v>
      </c>
      <c r="P21" s="136">
        <f>IF(SER_hh_tes_in!P21=0,"",SER_hh_tes_in!P21/SER_hh_fec_in!P21)</f>
        <v>0.57429417634193625</v>
      </c>
      <c r="Q21" s="136">
        <f>IF(SER_hh_tes_in!Q21=0,"",SER_hh_tes_in!Q21/SER_hh_fec_in!Q21)</f>
        <v>0.60154211962123805</v>
      </c>
      <c r="R21" s="136">
        <f>IF(SER_hh_tes_in!R21=0,"",SER_hh_tes_in!R21/SER_hh_fec_in!R21)</f>
        <v>0.61921998394273459</v>
      </c>
      <c r="S21" s="136">
        <f>IF(SER_hh_tes_in!S21=0,"",SER_hh_tes_in!S21/SER_hh_fec_in!S21)</f>
        <v>0.63567976041619234</v>
      </c>
      <c r="T21" s="136">
        <f>IF(SER_hh_tes_in!T21=0,"",SER_hh_tes_in!T21/SER_hh_fec_in!T21)</f>
        <v>0.65043611985010308</v>
      </c>
      <c r="U21" s="136">
        <f>IF(SER_hh_tes_in!U21=0,"",SER_hh_tes_in!U21/SER_hh_fec_in!U21)</f>
        <v>0.66300373305300908</v>
      </c>
      <c r="V21" s="136">
        <f>IF(SER_hh_tes_in!V21=0,"",SER_hh_tes_in!V21/SER_hh_fec_in!V21)</f>
        <v>0.67289727083343187</v>
      </c>
      <c r="W21" s="136">
        <f>IF(SER_hh_tes_in!W21=0,"",SER_hh_tes_in!W21/SER_hh_fec_in!W21)</f>
        <v>0.67897836348804175</v>
      </c>
      <c r="X21" s="136">
        <f>IF(SER_hh_tes_in!X21=0,"",SER_hh_tes_in!X21/SER_hh_fec_in!X21)</f>
        <v>0.68193205741766783</v>
      </c>
      <c r="Y21" s="136">
        <f>IF(SER_hh_tes_in!Y21=0,"",SER_hh_tes_in!Y21/SER_hh_fec_in!Y21)</f>
        <v>0.68342773573035365</v>
      </c>
      <c r="DA21" s="163" t="s">
        <v>680</v>
      </c>
    </row>
    <row r="22" spans="1:105" ht="12" customHeight="1" x14ac:dyDescent="0.25">
      <c r="A22" s="131" t="s">
        <v>161</v>
      </c>
      <c r="B22" s="136"/>
      <c r="C22" s="136">
        <f>IF(SER_hh_tes_in!C22=0,"",SER_hh_tes_in!C22/SER_hh_fec_in!C22)</f>
        <v>0.43694596468813224</v>
      </c>
      <c r="D22" s="136">
        <f>IF(SER_hh_tes_in!D22=0,"",SER_hh_tes_in!D22/SER_hh_fec_in!D22)</f>
        <v>0.43912780767878895</v>
      </c>
      <c r="E22" s="136">
        <f>IF(SER_hh_tes_in!E22=0,"",SER_hh_tes_in!E22/SER_hh_fec_in!E22)</f>
        <v>0.44161293650213096</v>
      </c>
      <c r="F22" s="136">
        <f>IF(SER_hh_tes_in!F22=0,"",SER_hh_tes_in!F22/SER_hh_fec_in!F22)</f>
        <v>0.44413942248447541</v>
      </c>
      <c r="G22" s="136">
        <f>IF(SER_hh_tes_in!G22=0,"",SER_hh_tes_in!G22/SER_hh_fec_in!G22)</f>
        <v>0.44694521687974031</v>
      </c>
      <c r="H22" s="136">
        <f>IF(SER_hh_tes_in!H22=0,"",SER_hh_tes_in!H22/SER_hh_fec_in!H22)</f>
        <v>0.45000119748373513</v>
      </c>
      <c r="I22" s="136">
        <f>IF(SER_hh_tes_in!I22=0,"",SER_hh_tes_in!I22/SER_hh_fec_in!I22)</f>
        <v>0.45336599549237777</v>
      </c>
      <c r="J22" s="136">
        <f>IF(SER_hh_tes_in!J22=0,"",SER_hh_tes_in!J22/SER_hh_fec_in!J22)</f>
        <v>0.45727980222039638</v>
      </c>
      <c r="K22" s="136">
        <f>IF(SER_hh_tes_in!K22=0,"",SER_hh_tes_in!K22/SER_hh_fec_in!K22)</f>
        <v>0.46194684346313841</v>
      </c>
      <c r="L22" s="136">
        <f>IF(SER_hh_tes_in!L22=0,"",SER_hh_tes_in!L22/SER_hh_fec_in!L22)</f>
        <v>0.46742175799369234</v>
      </c>
      <c r="M22" s="136">
        <f>IF(SER_hh_tes_in!M22=0,"",SER_hh_tes_in!M22/SER_hh_fec_in!M22)</f>
        <v>0.4785827184195478</v>
      </c>
      <c r="N22" s="136">
        <f>IF(SER_hh_tes_in!N22=0,"",SER_hh_tes_in!N22/SER_hh_fec_in!N22)</f>
        <v>0.49698030797868703</v>
      </c>
      <c r="O22" s="136">
        <f>IF(SER_hh_tes_in!O22=0,"",SER_hh_tes_in!O22/SER_hh_fec_in!O22)</f>
        <v>0.52387649767637312</v>
      </c>
      <c r="P22" s="136">
        <f>IF(SER_hh_tes_in!P22=0,"",SER_hh_tes_in!P22/SER_hh_fec_in!P22)</f>
        <v>0.55649102917349891</v>
      </c>
      <c r="Q22" s="136">
        <f>IF(SER_hh_tes_in!Q22=0,"",SER_hh_tes_in!Q22/SER_hh_fec_in!Q22)</f>
        <v>0.58585590033230028</v>
      </c>
      <c r="R22" s="136">
        <f>IF(SER_hh_tes_in!R22=0,"",SER_hh_tes_in!R22/SER_hh_fec_in!R22)</f>
        <v>0.60490718074794358</v>
      </c>
      <c r="S22" s="136">
        <f>IF(SER_hh_tes_in!S22=0,"",SER_hh_tes_in!S22/SER_hh_fec_in!S22)</f>
        <v>0.62264573849857263</v>
      </c>
      <c r="T22" s="136" t="str">
        <f>IF(SER_hh_tes_in!T22=0,"",SER_hh_tes_in!T22/SER_hh_fec_in!T22)</f>
        <v/>
      </c>
      <c r="U22" s="136" t="str">
        <f>IF(SER_hh_tes_in!U22=0,"",SER_hh_tes_in!U22/SER_hh_fec_in!U22)</f>
        <v/>
      </c>
      <c r="V22" s="136" t="str">
        <f>IF(SER_hh_tes_in!V22=0,"",SER_hh_tes_in!V22/SER_hh_fec_in!V22)</f>
        <v/>
      </c>
      <c r="W22" s="136" t="str">
        <f>IF(SER_hh_tes_in!W22=0,"",SER_hh_tes_in!W22/SER_hh_fec_in!W22)</f>
        <v/>
      </c>
      <c r="X22" s="136">
        <f>IF(SER_hh_tes_in!X22=0,"",SER_hh_tes_in!X22/SER_hh_fec_in!X22)</f>
        <v>0.67221989296326712</v>
      </c>
      <c r="Y22" s="136">
        <f>IF(SER_hh_tes_in!Y22=0,"",SER_hh_tes_in!Y22/SER_hh_fec_in!Y22)</f>
        <v>0.67369426963221057</v>
      </c>
      <c r="DA22" s="163" t="s">
        <v>681</v>
      </c>
    </row>
    <row r="23" spans="1:105" ht="12" customHeight="1" x14ac:dyDescent="0.25">
      <c r="A23" s="131" t="s">
        <v>149</v>
      </c>
      <c r="B23" s="136"/>
      <c r="C23" s="136">
        <f>IF(SER_hh_tes_in!C23=0,"",SER_hh_tes_in!C23/SER_hh_fec_in!C23)</f>
        <v>0.47439525322907239</v>
      </c>
      <c r="D23" s="136">
        <f>IF(SER_hh_tes_in!D23=0,"",SER_hh_tes_in!D23/SER_hh_fec_in!D23)</f>
        <v>0.48017681832921599</v>
      </c>
      <c r="E23" s="136">
        <f>IF(SER_hh_tes_in!E23=0,"",SER_hh_tes_in!E23/SER_hh_fec_in!E23)</f>
        <v>0.48622025429585869</v>
      </c>
      <c r="F23" s="136">
        <f>IF(SER_hh_tes_in!F23=0,"",SER_hh_tes_in!F23/SER_hh_fec_in!F23)</f>
        <v>0.49231025007331697</v>
      </c>
      <c r="G23" s="136">
        <f>IF(SER_hh_tes_in!G23=0,"",SER_hh_tes_in!G23/SER_hh_fec_in!G23)</f>
        <v>0.49863954131149862</v>
      </c>
      <c r="H23" s="136">
        <f>IF(SER_hh_tes_in!H23=0,"",SER_hh_tes_in!H23/SER_hh_fec_in!H23)</f>
        <v>0.50518253944876712</v>
      </c>
      <c r="I23" s="136">
        <f>IF(SER_hh_tes_in!I23=0,"",SER_hh_tes_in!I23/SER_hh_fec_in!I23)</f>
        <v>0.51198468665879349</v>
      </c>
      <c r="J23" s="136">
        <f>IF(SER_hh_tes_in!J23=0,"",SER_hh_tes_in!J23/SER_hh_fec_in!J23)</f>
        <v>0.51923677784612043</v>
      </c>
      <c r="K23" s="136">
        <f>IF(SER_hh_tes_in!K23=0,"",SER_hh_tes_in!K23/SER_hh_fec_in!K23)</f>
        <v>0.52709835229930269</v>
      </c>
      <c r="L23" s="136">
        <f>IF(SER_hh_tes_in!L23=0,"",SER_hh_tes_in!L23/SER_hh_fec_in!L23)</f>
        <v>0.53560731604931111</v>
      </c>
      <c r="M23" s="136">
        <f>IF(SER_hh_tes_in!M23=0,"",SER_hh_tes_in!M23/SER_hh_fec_in!M23)</f>
        <v>0.54873513990668465</v>
      </c>
      <c r="N23" s="136">
        <f>IF(SER_hh_tes_in!N23=0,"",SER_hh_tes_in!N23/SER_hh_fec_in!N23)</f>
        <v>0.56770807393442213</v>
      </c>
      <c r="O23" s="136">
        <f>IF(SER_hh_tes_in!O23=0,"",SER_hh_tes_in!O23/SER_hh_fec_in!O23)</f>
        <v>0.59340134138085576</v>
      </c>
      <c r="P23" s="136">
        <f>IF(SER_hh_tes_in!P23=0,"",SER_hh_tes_in!P23/SER_hh_fec_in!P23)</f>
        <v>0.62327578471567624</v>
      </c>
      <c r="Q23" s="136">
        <f>IF(SER_hh_tes_in!Q23=0,"",SER_hh_tes_in!Q23/SER_hh_fec_in!Q23)</f>
        <v>0.6494315947742999</v>
      </c>
      <c r="R23" s="136">
        <f>IF(SER_hh_tes_in!R23=0,"",SER_hh_tes_in!R23/SER_hh_fec_in!R23)</f>
        <v>0.66541994020878059</v>
      </c>
      <c r="S23" s="136">
        <f>IF(SER_hh_tes_in!S23=0,"",SER_hh_tes_in!S23/SER_hh_fec_in!S23)</f>
        <v>0.67903582392484907</v>
      </c>
      <c r="T23" s="136">
        <f>IF(SER_hh_tes_in!T23=0,"",SER_hh_tes_in!T23/SER_hh_fec_in!T23)</f>
        <v>0.69049296557021367</v>
      </c>
      <c r="U23" s="136">
        <f>IF(SER_hh_tes_in!U23=0,"",SER_hh_tes_in!U23/SER_hh_fec_in!U23)</f>
        <v>0.6999948847538322</v>
      </c>
      <c r="V23" s="136">
        <f>IF(SER_hh_tes_in!V23=0,"",SER_hh_tes_in!V23/SER_hh_fec_in!V23)</f>
        <v>0.7077200815823701</v>
      </c>
      <c r="W23" s="136" t="str">
        <f>IF(SER_hh_tes_in!W23=0,"",SER_hh_tes_in!W23/SER_hh_fec_in!W23)</f>
        <v/>
      </c>
      <c r="X23" s="136" t="str">
        <f>IF(SER_hh_tes_in!X23=0,"",SER_hh_tes_in!X23/SER_hh_fec_in!X23)</f>
        <v/>
      </c>
      <c r="Y23" s="136" t="str">
        <f>IF(SER_hh_tes_in!Y23=0,"",SER_hh_tes_in!Y23/SER_hh_fec_in!Y23)</f>
        <v/>
      </c>
      <c r="DA23" s="163" t="s">
        <v>682</v>
      </c>
    </row>
    <row r="24" spans="1:105" ht="12" customHeight="1" x14ac:dyDescent="0.25">
      <c r="A24" s="131" t="s">
        <v>128</v>
      </c>
      <c r="B24" s="136"/>
      <c r="C24" s="136" t="str">
        <f>IF(SER_hh_tes_in!C24=0,"",SER_hh_tes_in!C24/SER_hh_fec_in!C24)</f>
        <v/>
      </c>
      <c r="D24" s="136" t="str">
        <f>IF(SER_hh_tes_in!D24=0,"",SER_hh_tes_in!D24/SER_hh_fec_in!D24)</f>
        <v/>
      </c>
      <c r="E24" s="136" t="str">
        <f>IF(SER_hh_tes_in!E24=0,"",SER_hh_tes_in!E24/SER_hh_fec_in!E24)</f>
        <v/>
      </c>
      <c r="F24" s="136" t="str">
        <f>IF(SER_hh_tes_in!F24=0,"",SER_hh_tes_in!F24/SER_hh_fec_in!F24)</f>
        <v/>
      </c>
      <c r="G24" s="136" t="str">
        <f>IF(SER_hh_tes_in!G24=0,"",SER_hh_tes_in!G24/SER_hh_fec_in!G24)</f>
        <v/>
      </c>
      <c r="H24" s="136" t="str">
        <f>IF(SER_hh_tes_in!H24=0,"",SER_hh_tes_in!H24/SER_hh_fec_in!H24)</f>
        <v/>
      </c>
      <c r="I24" s="136" t="str">
        <f>IF(SER_hh_tes_in!I24=0,"",SER_hh_tes_in!I24/SER_hh_fec_in!I24)</f>
        <v/>
      </c>
      <c r="J24" s="136" t="str">
        <f>IF(SER_hh_tes_in!J24=0,"",SER_hh_tes_in!J24/SER_hh_fec_in!J24)</f>
        <v/>
      </c>
      <c r="K24" s="136" t="str">
        <f>IF(SER_hh_tes_in!K24=0,"",SER_hh_tes_in!K24/SER_hh_fec_in!K24)</f>
        <v/>
      </c>
      <c r="L24" s="136" t="str">
        <f>IF(SER_hh_tes_in!L24=0,"",SER_hh_tes_in!L24/SER_hh_fec_in!L24)</f>
        <v/>
      </c>
      <c r="M24" s="136" t="str">
        <f>IF(SER_hh_tes_in!M24=0,"",SER_hh_tes_in!M24/SER_hh_fec_in!M24)</f>
        <v/>
      </c>
      <c r="N24" s="136" t="str">
        <f>IF(SER_hh_tes_in!N24=0,"",SER_hh_tes_in!N24/SER_hh_fec_in!N24)</f>
        <v/>
      </c>
      <c r="O24" s="136" t="str">
        <f>IF(SER_hh_tes_in!O24=0,"",SER_hh_tes_in!O24/SER_hh_fec_in!O24)</f>
        <v/>
      </c>
      <c r="P24" s="136" t="str">
        <f>IF(SER_hh_tes_in!P24=0,"",SER_hh_tes_in!P24/SER_hh_fec_in!P24)</f>
        <v/>
      </c>
      <c r="Q24" s="136" t="str">
        <f>IF(SER_hh_tes_in!Q24=0,"",SER_hh_tes_in!Q24/SER_hh_fec_in!Q24)</f>
        <v/>
      </c>
      <c r="R24" s="136" t="str">
        <f>IF(SER_hh_tes_in!R24=0,"",SER_hh_tes_in!R24/SER_hh_fec_in!R24)</f>
        <v/>
      </c>
      <c r="S24" s="136" t="str">
        <f>IF(SER_hh_tes_in!S24=0,"",SER_hh_tes_in!S24/SER_hh_fec_in!S24)</f>
        <v/>
      </c>
      <c r="T24" s="136" t="str">
        <f>IF(SER_hh_tes_in!T24=0,"",SER_hh_tes_in!T24/SER_hh_fec_in!T24)</f>
        <v/>
      </c>
      <c r="U24" s="136" t="str">
        <f>IF(SER_hh_tes_in!U24=0,"",SER_hh_tes_in!U24/SER_hh_fec_in!U24)</f>
        <v/>
      </c>
      <c r="V24" s="136" t="str">
        <f>IF(SER_hh_tes_in!V24=0,"",SER_hh_tes_in!V24/SER_hh_fec_in!V24)</f>
        <v/>
      </c>
      <c r="W24" s="136" t="str">
        <f>IF(SER_hh_tes_in!W24=0,"",SER_hh_tes_in!W24/SER_hh_fec_in!W24)</f>
        <v/>
      </c>
      <c r="X24" s="136" t="str">
        <f>IF(SER_hh_tes_in!X24=0,"",SER_hh_tes_in!X24/SER_hh_fec_in!X24)</f>
        <v/>
      </c>
      <c r="Y24" s="136" t="str">
        <f>IF(SER_hh_tes_in!Y24=0,"",SER_hh_tes_in!Y24/SER_hh_fec_in!Y24)</f>
        <v/>
      </c>
      <c r="DA24" s="163" t="s">
        <v>683</v>
      </c>
    </row>
    <row r="25" spans="1:105" ht="12" customHeight="1" x14ac:dyDescent="0.25">
      <c r="A25" s="131" t="s">
        <v>162</v>
      </c>
      <c r="B25" s="136"/>
      <c r="C25" s="136" t="str">
        <f>IF(SER_hh_tes_in!C25=0,"",SER_hh_tes_in!C25/SER_hh_fec_in!C25)</f>
        <v/>
      </c>
      <c r="D25" s="136" t="str">
        <f>IF(SER_hh_tes_in!D25=0,"",SER_hh_tes_in!D25/SER_hh_fec_in!D25)</f>
        <v/>
      </c>
      <c r="E25" s="136" t="str">
        <f>IF(SER_hh_tes_in!E25=0,"",SER_hh_tes_in!E25/SER_hh_fec_in!E25)</f>
        <v/>
      </c>
      <c r="F25" s="136" t="str">
        <f>IF(SER_hh_tes_in!F25=0,"",SER_hh_tes_in!F25/SER_hh_fec_in!F25)</f>
        <v/>
      </c>
      <c r="G25" s="136" t="str">
        <f>IF(SER_hh_tes_in!G25=0,"",SER_hh_tes_in!G25/SER_hh_fec_in!G25)</f>
        <v/>
      </c>
      <c r="H25" s="136" t="str">
        <f>IF(SER_hh_tes_in!H25=0,"",SER_hh_tes_in!H25/SER_hh_fec_in!H25)</f>
        <v/>
      </c>
      <c r="I25" s="136" t="str">
        <f>IF(SER_hh_tes_in!I25=0,"",SER_hh_tes_in!I25/SER_hh_fec_in!I25)</f>
        <v/>
      </c>
      <c r="J25" s="136" t="str">
        <f>IF(SER_hh_tes_in!J25=0,"",SER_hh_tes_in!J25/SER_hh_fec_in!J25)</f>
        <v/>
      </c>
      <c r="K25" s="136" t="str">
        <f>IF(SER_hh_tes_in!K25=0,"",SER_hh_tes_in!K25/SER_hh_fec_in!K25)</f>
        <v/>
      </c>
      <c r="L25" s="136" t="str">
        <f>IF(SER_hh_tes_in!L25=0,"",SER_hh_tes_in!L25/SER_hh_fec_in!L25)</f>
        <v/>
      </c>
      <c r="M25" s="136" t="str">
        <f>IF(SER_hh_tes_in!M25=0,"",SER_hh_tes_in!M25/SER_hh_fec_in!M25)</f>
        <v/>
      </c>
      <c r="N25" s="136" t="str">
        <f>IF(SER_hh_tes_in!N25=0,"",SER_hh_tes_in!N25/SER_hh_fec_in!N25)</f>
        <v/>
      </c>
      <c r="O25" s="136" t="str">
        <f>IF(SER_hh_tes_in!O25=0,"",SER_hh_tes_in!O25/SER_hh_fec_in!O25)</f>
        <v/>
      </c>
      <c r="P25" s="136" t="str">
        <f>IF(SER_hh_tes_in!P25=0,"",SER_hh_tes_in!P25/SER_hh_fec_in!P25)</f>
        <v/>
      </c>
      <c r="Q25" s="136" t="str">
        <f>IF(SER_hh_tes_in!Q25=0,"",SER_hh_tes_in!Q25/SER_hh_fec_in!Q25)</f>
        <v/>
      </c>
      <c r="R25" s="136" t="str">
        <f>IF(SER_hh_tes_in!R25=0,"",SER_hh_tes_in!R25/SER_hh_fec_in!R25)</f>
        <v/>
      </c>
      <c r="S25" s="136" t="str">
        <f>IF(SER_hh_tes_in!S25=0,"",SER_hh_tes_in!S25/SER_hh_fec_in!S25)</f>
        <v/>
      </c>
      <c r="T25" s="136" t="str">
        <f>IF(SER_hh_tes_in!T25=0,"",SER_hh_tes_in!T25/SER_hh_fec_in!T25)</f>
        <v/>
      </c>
      <c r="U25" s="136" t="str">
        <f>IF(SER_hh_tes_in!U25=0,"",SER_hh_tes_in!U25/SER_hh_fec_in!U25)</f>
        <v/>
      </c>
      <c r="V25" s="136" t="str">
        <f>IF(SER_hh_tes_in!V25=0,"",SER_hh_tes_in!V25/SER_hh_fec_in!V25)</f>
        <v/>
      </c>
      <c r="W25" s="136" t="str">
        <f>IF(SER_hh_tes_in!W25=0,"",SER_hh_tes_in!W25/SER_hh_fec_in!W25)</f>
        <v/>
      </c>
      <c r="X25" s="136" t="str">
        <f>IF(SER_hh_tes_in!X25=0,"",SER_hh_tes_in!X25/SER_hh_fec_in!X25)</f>
        <v/>
      </c>
      <c r="Y25" s="136" t="str">
        <f>IF(SER_hh_tes_in!Y25=0,"",SER_hh_tes_in!Y25/SER_hh_fec_in!Y25)</f>
        <v/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0.55054171394222418</v>
      </c>
      <c r="D26" s="137">
        <f>IF(SER_hh_tes_in!D26=0,"",SER_hh_tes_in!D26/SER_hh_fec_in!D26)</f>
        <v>0.55274057409392907</v>
      </c>
      <c r="E26" s="137">
        <f>IF(SER_hh_tes_in!E26=0,"",SER_hh_tes_in!E26/SER_hh_fec_in!E26)</f>
        <v>0.55514778137107412</v>
      </c>
      <c r="F26" s="137">
        <f>IF(SER_hh_tes_in!F26=0,"",SER_hh_tes_in!F26/SER_hh_fec_in!F26)</f>
        <v>0.55758403275488888</v>
      </c>
      <c r="G26" s="137">
        <f>IF(SER_hh_tes_in!G26=0,"",SER_hh_tes_in!G26/SER_hh_fec_in!G26)</f>
        <v>0.56021378531858468</v>
      </c>
      <c r="H26" s="137">
        <f>IF(SER_hh_tes_in!H26=0,"",SER_hh_tes_in!H26/SER_hh_fec_in!H26)</f>
        <v>0.56301847538797467</v>
      </c>
      <c r="I26" s="137">
        <f>IF(SER_hh_tes_in!I26=0,"",SER_hh_tes_in!I26/SER_hh_fec_in!I26)</f>
        <v>0.56604075455524416</v>
      </c>
      <c r="J26" s="137">
        <f>IF(SER_hh_tes_in!J26=0,"",SER_hh_tes_in!J26/SER_hh_fec_in!J26)</f>
        <v>0.56945164278256788</v>
      </c>
      <c r="K26" s="137">
        <f>IF(SER_hh_tes_in!K26=0,"",SER_hh_tes_in!K26/SER_hh_fec_in!K26)</f>
        <v>0.57340222159711041</v>
      </c>
      <c r="L26" s="137">
        <f>IF(SER_hh_tes_in!L26=0,"",SER_hh_tes_in!L26/SER_hh_fec_in!L26)</f>
        <v>0.57794443558819431</v>
      </c>
      <c r="M26" s="137">
        <f>IF(SER_hh_tes_in!M26=0,"",SER_hh_tes_in!M26/SER_hh_fec_in!M26)</f>
        <v>0.58657973146981202</v>
      </c>
      <c r="N26" s="137">
        <f>IF(SER_hh_tes_in!N26=0,"",SER_hh_tes_in!N26/SER_hh_fec_in!N26)</f>
        <v>0.60081855666643003</v>
      </c>
      <c r="O26" s="137">
        <f>IF(SER_hh_tes_in!O26=0,"",SER_hh_tes_in!O26/SER_hh_fec_in!O26)</f>
        <v>0.62253091416929096</v>
      </c>
      <c r="P26" s="137">
        <f>IF(SER_hh_tes_in!P26=0,"",SER_hh_tes_in!P26/SER_hh_fec_in!P26)</f>
        <v>0.65068741492219229</v>
      </c>
      <c r="Q26" s="137">
        <f>IF(SER_hh_tes_in!Q26=0,"",SER_hh_tes_in!Q26/SER_hh_fec_in!Q26)</f>
        <v>0.67785244758648444</v>
      </c>
      <c r="R26" s="137">
        <f>IF(SER_hh_tes_in!R26=0,"",SER_hh_tes_in!R26/SER_hh_fec_in!R26)</f>
        <v>0.6962360942702146</v>
      </c>
      <c r="S26" s="137">
        <f>IF(SER_hh_tes_in!S26=0,"",SER_hh_tes_in!S26/SER_hh_fec_in!S26)</f>
        <v>0.71404667914241005</v>
      </c>
      <c r="T26" s="137">
        <f>IF(SER_hh_tes_in!T26=0,"",SER_hh_tes_in!T26/SER_hh_fec_in!T26)</f>
        <v>0.73171904434907764</v>
      </c>
      <c r="U26" s="137">
        <f>IF(SER_hh_tes_in!U26=0,"",SER_hh_tes_in!U26/SER_hh_fec_in!U26)</f>
        <v>0.74943084529199566</v>
      </c>
      <c r="V26" s="137">
        <f>IF(SER_hh_tes_in!V26=0,"",SER_hh_tes_in!V26/SER_hh_fec_in!V26)</f>
        <v>0.76683063655268668</v>
      </c>
      <c r="W26" s="137">
        <f>IF(SER_hh_tes_in!W26=0,"",SER_hh_tes_in!W26/SER_hh_fec_in!W26)</f>
        <v>0.78272241832998257</v>
      </c>
      <c r="X26" s="137">
        <f>IF(SER_hh_tes_in!X26=0,"",SER_hh_tes_in!X26/SER_hh_fec_in!X26)</f>
        <v>0.79465880172280001</v>
      </c>
      <c r="Y26" s="137">
        <f>IF(SER_hh_tes_in!Y26=0,"",SER_hh_tes_in!Y26/SER_hh_fec_in!Y26)</f>
        <v>0.80579472193340773</v>
      </c>
      <c r="DA26" s="164" t="s">
        <v>685</v>
      </c>
    </row>
    <row r="27" spans="1:105" ht="12" customHeight="1" x14ac:dyDescent="0.25">
      <c r="A27" s="144" t="s">
        <v>26</v>
      </c>
      <c r="B27" s="148"/>
      <c r="C27" s="148">
        <f>IF(SER_hh_tes_in!C27=0,"",SER_hh_tes_in!C27/SER_hh_fec_in!C27)</f>
        <v>1</v>
      </c>
      <c r="D27" s="148">
        <f>IF(SER_hh_tes_in!D27=0,"",SER_hh_tes_in!D27/SER_hh_fec_in!D27)</f>
        <v>1</v>
      </c>
      <c r="E27" s="148">
        <f>IF(SER_hh_tes_in!E27=0,"",SER_hh_tes_in!E27/SER_hh_fec_in!E27)</f>
        <v>1</v>
      </c>
      <c r="F27" s="148">
        <f>IF(SER_hh_tes_in!F27=0,"",SER_hh_tes_in!F27/SER_hh_fec_in!F27)</f>
        <v>1</v>
      </c>
      <c r="G27" s="148">
        <f>IF(SER_hh_tes_in!G27=0,"",SER_hh_tes_in!G27/SER_hh_fec_in!G27)</f>
        <v>1</v>
      </c>
      <c r="H27" s="148">
        <f>IF(SER_hh_tes_in!H27=0,"",SER_hh_tes_in!H27/SER_hh_fec_in!H27)</f>
        <v>1</v>
      </c>
      <c r="I27" s="148">
        <f>IF(SER_hh_tes_in!I27=0,"",SER_hh_tes_in!I27/SER_hh_fec_in!I27)</f>
        <v>1</v>
      </c>
      <c r="J27" s="148">
        <f>IF(SER_hh_tes_in!J27=0,"",SER_hh_tes_in!J27/SER_hh_fec_in!J27)</f>
        <v>1</v>
      </c>
      <c r="K27" s="148">
        <f>IF(SER_hh_tes_in!K27=0,"",SER_hh_tes_in!K27/SER_hh_fec_in!K27)</f>
        <v>1</v>
      </c>
      <c r="L27" s="148">
        <f>IF(SER_hh_tes_in!L27=0,"",SER_hh_tes_in!L27/SER_hh_fec_in!L27)</f>
        <v>1</v>
      </c>
      <c r="M27" s="148">
        <f>IF(SER_hh_tes_in!M27=0,"",SER_hh_tes_in!M27/SER_hh_fec_in!M27)</f>
        <v>1</v>
      </c>
      <c r="N27" s="148">
        <f>IF(SER_hh_tes_in!N27=0,"",SER_hh_tes_in!N27/SER_hh_fec_in!N27)</f>
        <v>1</v>
      </c>
      <c r="O27" s="148">
        <f>IF(SER_hh_tes_in!O27=0,"",SER_hh_tes_in!O27/SER_hh_fec_in!O27)</f>
        <v>1</v>
      </c>
      <c r="P27" s="148">
        <f>IF(SER_hh_tes_in!P27=0,"",SER_hh_tes_in!P27/SER_hh_fec_in!P27)</f>
        <v>1</v>
      </c>
      <c r="Q27" s="148">
        <f>IF(SER_hh_tes_in!Q27=0,"",SER_hh_tes_in!Q27/SER_hh_fec_in!Q27)</f>
        <v>1</v>
      </c>
      <c r="R27" s="148">
        <f>IF(SER_hh_tes_in!R27=0,"",SER_hh_tes_in!R27/SER_hh_fec_in!R27)</f>
        <v>1</v>
      </c>
      <c r="S27" s="148">
        <f>IF(SER_hh_tes_in!S27=0,"",SER_hh_tes_in!S27/SER_hh_fec_in!S27)</f>
        <v>1</v>
      </c>
      <c r="T27" s="148">
        <f>IF(SER_hh_tes_in!T27=0,"",SER_hh_tes_in!T27/SER_hh_fec_in!T27)</f>
        <v>1</v>
      </c>
      <c r="U27" s="148">
        <f>IF(SER_hh_tes_in!U27=0,"",SER_hh_tes_in!U27/SER_hh_fec_in!U27)</f>
        <v>1</v>
      </c>
      <c r="V27" s="148">
        <f>IF(SER_hh_tes_in!V27=0,"",SER_hh_tes_in!V27/SER_hh_fec_in!V27)</f>
        <v>1</v>
      </c>
      <c r="W27" s="148">
        <f>IF(SER_hh_tes_in!W27=0,"",SER_hh_tes_in!W27/SER_hh_fec_in!W27)</f>
        <v>1</v>
      </c>
      <c r="X27" s="148">
        <f>IF(SER_hh_tes_in!X27=0,"",SER_hh_tes_in!X27/SER_hh_fec_in!X27)</f>
        <v>1</v>
      </c>
      <c r="Y27" s="148">
        <f>IF(SER_hh_tes_in!Y27=0,"",SER_hh_tes_in!Y27/SER_hh_fec_in!Y27)</f>
        <v>1</v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0.67226095217526805</v>
      </c>
      <c r="D29" s="135">
        <f>IF(SER_hh_tes_in!D29=0,"",SER_hh_tes_in!D29/SER_hh_fec_in!D29)</f>
        <v>0.66457222758800594</v>
      </c>
      <c r="E29" s="135">
        <f>IF(SER_hh_tes_in!E29=0,"",SER_hh_tes_in!E29/SER_hh_fec_in!E29)</f>
        <v>0.65052572827777266</v>
      </c>
      <c r="F29" s="135">
        <f>IF(SER_hh_tes_in!F29=0,"",SER_hh_tes_in!F29/SER_hh_fec_in!F29)</f>
        <v>0.61219669819971889</v>
      </c>
      <c r="G29" s="135">
        <f>IF(SER_hh_tes_in!G29=0,"",SER_hh_tes_in!G29/SER_hh_fec_in!G29)</f>
        <v>0.64417601383186729</v>
      </c>
      <c r="H29" s="135">
        <f>IF(SER_hh_tes_in!H29=0,"",SER_hh_tes_in!H29/SER_hh_fec_in!H29)</f>
        <v>0.66100350921652906</v>
      </c>
      <c r="I29" s="135">
        <f>IF(SER_hh_tes_in!I29=0,"",SER_hh_tes_in!I29/SER_hh_fec_in!I29)</f>
        <v>0.67209943623214385</v>
      </c>
      <c r="J29" s="135">
        <f>IF(SER_hh_tes_in!J29=0,"",SER_hh_tes_in!J29/SER_hh_fec_in!J29)</f>
        <v>0.66012578481822282</v>
      </c>
      <c r="K29" s="135">
        <f>IF(SER_hh_tes_in!K29=0,"",SER_hh_tes_in!K29/SER_hh_fec_in!K29)</f>
        <v>0.65949579395783275</v>
      </c>
      <c r="L29" s="135">
        <f>IF(SER_hh_tes_in!L29=0,"",SER_hh_tes_in!L29/SER_hh_fec_in!L29)</f>
        <v>0.64234932645424614</v>
      </c>
      <c r="M29" s="135">
        <f>IF(SER_hh_tes_in!M29=0,"",SER_hh_tes_in!M29/SER_hh_fec_in!M29)</f>
        <v>0.59062156606012428</v>
      </c>
      <c r="N29" s="135">
        <f>IF(SER_hh_tes_in!N29=0,"",SER_hh_tes_in!N29/SER_hh_fec_in!N29)</f>
        <v>0.60266450197360266</v>
      </c>
      <c r="O29" s="135">
        <f>IF(SER_hh_tes_in!O29=0,"",SER_hh_tes_in!O29/SER_hh_fec_in!O29)</f>
        <v>0.67787722131406014</v>
      </c>
      <c r="P29" s="135">
        <f>IF(SER_hh_tes_in!P29=0,"",SER_hh_tes_in!P29/SER_hh_fec_in!P29)</f>
        <v>0.70085888417032627</v>
      </c>
      <c r="Q29" s="135">
        <f>IF(SER_hh_tes_in!Q29=0,"",SER_hh_tes_in!Q29/SER_hh_fec_in!Q29)</f>
        <v>0.69197655039358119</v>
      </c>
      <c r="R29" s="135">
        <f>IF(SER_hh_tes_in!R29=0,"",SER_hh_tes_in!R29/SER_hh_fec_in!R29)</f>
        <v>0.69014813155031296</v>
      </c>
      <c r="S29" s="135">
        <f>IF(SER_hh_tes_in!S29=0,"",SER_hh_tes_in!S29/SER_hh_fec_in!S29)</f>
        <v>0.71853657199336285</v>
      </c>
      <c r="T29" s="135">
        <f>IF(SER_hh_tes_in!T29=0,"",SER_hh_tes_in!T29/SER_hh_fec_in!T29)</f>
        <v>0.7192711828312629</v>
      </c>
      <c r="U29" s="135">
        <f>IF(SER_hh_tes_in!U29=0,"",SER_hh_tes_in!U29/SER_hh_fec_in!U29)</f>
        <v>0.72356386618664592</v>
      </c>
      <c r="V29" s="135">
        <f>IF(SER_hh_tes_in!V29=0,"",SER_hh_tes_in!V29/SER_hh_fec_in!V29)</f>
        <v>0.75364015938487339</v>
      </c>
      <c r="W29" s="135">
        <f>IF(SER_hh_tes_in!W29=0,"",SER_hh_tes_in!W29/SER_hh_fec_in!W29)</f>
        <v>0.71008958167128233</v>
      </c>
      <c r="X29" s="135">
        <f>IF(SER_hh_tes_in!X29=0,"",SER_hh_tes_in!X29/SER_hh_fec_in!X29)</f>
        <v>0.68475957205521498</v>
      </c>
      <c r="Y29" s="135">
        <f>IF(SER_hh_tes_in!Y29=0,"",SER_hh_tes_in!Y29/SER_hh_fec_in!Y29)</f>
        <v>0.69413372329484591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>
        <f>IF(SER_hh_tes_in!C30=0,"",SER_hh_tes_in!C30/SER_hh_fec_in!C30)</f>
        <v>0.50720471597676808</v>
      </c>
      <c r="D30" s="136">
        <f>IF(SER_hh_tes_in!D30=0,"",SER_hh_tes_in!D30/SER_hh_fec_in!D30)</f>
        <v>0.50794092768757348</v>
      </c>
      <c r="E30" s="136">
        <f>IF(SER_hh_tes_in!E30=0,"",SER_hh_tes_in!E30/SER_hh_fec_in!E30)</f>
        <v>0.50867720571530028</v>
      </c>
      <c r="F30" s="136">
        <f>IF(SER_hh_tes_in!F30=0,"",SER_hh_tes_in!F30/SER_hh_fec_in!F30)</f>
        <v>0.50941349278624326</v>
      </c>
      <c r="G30" s="136">
        <f>IF(SER_hh_tes_in!G30=0,"",SER_hh_tes_in!G30/SER_hh_fec_in!G30)</f>
        <v>0.51014984093116977</v>
      </c>
      <c r="H30" s="136">
        <f>IF(SER_hh_tes_in!H30=0,"",SER_hh_tes_in!H30/SER_hh_fec_in!H30)</f>
        <v>0.51088624378217651</v>
      </c>
      <c r="I30" s="136">
        <f>IF(SER_hh_tes_in!I30=0,"",SER_hh_tes_in!I30/SER_hh_fec_in!I30)</f>
        <v>0.51162271415964544</v>
      </c>
      <c r="J30" s="136">
        <f>IF(SER_hh_tes_in!J30=0,"",SER_hh_tes_in!J30/SER_hh_fec_in!J30)</f>
        <v>0.51235930458415935</v>
      </c>
      <c r="K30" s="136">
        <f>IF(SER_hh_tes_in!K30=0,"",SER_hh_tes_in!K30/SER_hh_fec_in!K30)</f>
        <v>0.51309605971202676</v>
      </c>
      <c r="L30" s="136">
        <f>IF(SER_hh_tes_in!L30=0,"",SER_hh_tes_in!L30/SER_hh_fec_in!L30)</f>
        <v>0.51383299149064099</v>
      </c>
      <c r="M30" s="136">
        <f>IF(SER_hh_tes_in!M30=0,"",SER_hh_tes_in!M30/SER_hh_fec_in!M30)</f>
        <v>0.51439264911703564</v>
      </c>
      <c r="N30" s="136">
        <f>IF(SER_hh_tes_in!N30=0,"",SER_hh_tes_in!N30/SER_hh_fec_in!N30)</f>
        <v>0.5147054714048076</v>
      </c>
      <c r="O30" s="136">
        <f>IF(SER_hh_tes_in!O30=0,"",SER_hh_tes_in!O30/SER_hh_fec_in!O30)</f>
        <v>0.51489243706876131</v>
      </c>
      <c r="P30" s="136" t="str">
        <f>IF(SER_hh_tes_in!P30=0,"",SER_hh_tes_in!P30/SER_hh_fec_in!P30)</f>
        <v/>
      </c>
      <c r="Q30" s="136">
        <f>IF(SER_hh_tes_in!Q30=0,"",SER_hh_tes_in!Q30/SER_hh_fec_in!Q30)</f>
        <v>0.51753756160156006</v>
      </c>
      <c r="R30" s="136">
        <f>IF(SER_hh_tes_in!R30=0,"",SER_hh_tes_in!R30/SER_hh_fec_in!R30)</f>
        <v>0.52311527756535936</v>
      </c>
      <c r="S30" s="136">
        <f>IF(SER_hh_tes_in!S30=0,"",SER_hh_tes_in!S30/SER_hh_fec_in!S30)</f>
        <v>0.53098328329514066</v>
      </c>
      <c r="T30" s="136">
        <f>IF(SER_hh_tes_in!T30=0,"",SER_hh_tes_in!T30/SER_hh_fec_in!T30)</f>
        <v>0.53961602827365984</v>
      </c>
      <c r="U30" s="136">
        <f>IF(SER_hh_tes_in!U30=0,"",SER_hh_tes_in!U30/SER_hh_fec_in!U30)</f>
        <v>0.54748796198369543</v>
      </c>
      <c r="V30" s="136">
        <f>IF(SER_hh_tes_in!V30=0,"",SER_hh_tes_in!V30/SER_hh_fec_in!V30)</f>
        <v>0.55307353390801406</v>
      </c>
      <c r="W30" s="136">
        <f>IF(SER_hh_tes_in!W30=0,"",SER_hh_tes_in!W30/SER_hh_fec_in!W30)</f>
        <v>0.55575800218286275</v>
      </c>
      <c r="X30" s="136">
        <f>IF(SER_hh_tes_in!X30=0,"",SER_hh_tes_in!X30/SER_hh_fec_in!X30)</f>
        <v>0.55612544928812402</v>
      </c>
      <c r="Y30" s="136">
        <f>IF(SER_hh_tes_in!Y30=0,"",SER_hh_tes_in!Y30/SER_hh_fec_in!Y30)</f>
        <v>0.55616219399865008</v>
      </c>
      <c r="DA30" s="163" t="s">
        <v>688</v>
      </c>
    </row>
    <row r="31" spans="1:105" ht="12" customHeight="1" x14ac:dyDescent="0.25">
      <c r="A31" s="131" t="s">
        <v>149</v>
      </c>
      <c r="B31" s="136"/>
      <c r="C31" s="136">
        <f>IF(SER_hh_tes_in!C31=0,"",SER_hh_tes_in!C31/SER_hh_fec_in!C31)</f>
        <v>0.51346219630499934</v>
      </c>
      <c r="D31" s="136">
        <f>IF(SER_hh_tes_in!D31=0,"",SER_hh_tes_in!D31/SER_hh_fec_in!D31)</f>
        <v>0.51419240539079392</v>
      </c>
      <c r="E31" s="136">
        <f>IF(SER_hh_tes_in!E31=0,"",SER_hh_tes_in!E31/SER_hh_fec_in!E31)</f>
        <v>0.51492268025280163</v>
      </c>
      <c r="F31" s="136">
        <f>IF(SER_hh_tes_in!F31=0,"",SER_hh_tes_in!F31/SER_hh_fec_in!F31)</f>
        <v>0.51565296408429273</v>
      </c>
      <c r="G31" s="136">
        <f>IF(SER_hh_tes_in!G31=0,"",SER_hh_tes_in!G31/SER_hh_fec_in!G31)</f>
        <v>0.51638330849180691</v>
      </c>
      <c r="H31" s="136">
        <f>IF(SER_hh_tes_in!H31=0,"",SER_hh_tes_in!H31/SER_hh_fec_in!H31)</f>
        <v>0.517113707159361</v>
      </c>
      <c r="I31" s="136">
        <f>IF(SER_hh_tes_in!I31=0,"",SER_hh_tes_in!I31/SER_hh_fec_in!I31)</f>
        <v>0.51784417280280748</v>
      </c>
      <c r="J31" s="136">
        <f>IF(SER_hh_tes_in!J31=0,"",SER_hh_tes_in!J31/SER_hh_fec_in!J31)</f>
        <v>0.51857475751450788</v>
      </c>
      <c r="K31" s="136">
        <f>IF(SER_hh_tes_in!K31=0,"",SER_hh_tes_in!K31/SER_hh_fec_in!K31)</f>
        <v>0.51930550558667032</v>
      </c>
      <c r="L31" s="136">
        <f>IF(SER_hh_tes_in!L31=0,"",SER_hh_tes_in!L31/SER_hh_fec_in!L31)</f>
        <v>0.52003642886927626</v>
      </c>
      <c r="M31" s="136">
        <f>IF(SER_hh_tes_in!M31=0,"",SER_hh_tes_in!M31/SER_hh_fec_in!M31)</f>
        <v>0.52059152338587988</v>
      </c>
      <c r="N31" s="136">
        <f>IF(SER_hh_tes_in!N31=0,"",SER_hh_tes_in!N31/SER_hh_fec_in!N31)</f>
        <v>0.52090179510992018</v>
      </c>
      <c r="O31" s="136">
        <f>IF(SER_hh_tes_in!O31=0,"",SER_hh_tes_in!O31/SER_hh_fec_in!O31)</f>
        <v>0.52108723636893128</v>
      </c>
      <c r="P31" s="136">
        <f>IF(SER_hh_tes_in!P31=0,"",SER_hh_tes_in!P31/SER_hh_fec_in!P31)</f>
        <v>0.52160467954647383</v>
      </c>
      <c r="Q31" s="136">
        <f>IF(SER_hh_tes_in!Q31=0,"",SER_hh_tes_in!Q31/SER_hh_fec_in!Q31)</f>
        <v>0.52371079415612598</v>
      </c>
      <c r="R31" s="136">
        <f>IF(SER_hh_tes_in!R31=0,"",SER_hh_tes_in!R31/SER_hh_fec_in!R31)</f>
        <v>0.5292430327974964</v>
      </c>
      <c r="S31" s="136">
        <f>IF(SER_hh_tes_in!S31=0,"",SER_hh_tes_in!S31/SER_hh_fec_in!S31)</f>
        <v>0.53704688756732011</v>
      </c>
      <c r="T31" s="136">
        <f>IF(SER_hh_tes_in!T31=0,"",SER_hh_tes_in!T31/SER_hh_fec_in!T31)</f>
        <v>0.54560924636458119</v>
      </c>
      <c r="U31" s="136">
        <f>IF(SER_hh_tes_in!U31=0,"",SER_hh_tes_in!U31/SER_hh_fec_in!U31)</f>
        <v>0.55341699708828407</v>
      </c>
      <c r="V31" s="136">
        <f>IF(SER_hh_tes_in!V31=0,"",SER_hh_tes_in!V31/SER_hh_fec_in!V31)</f>
        <v>0.55895702763742294</v>
      </c>
      <c r="W31" s="136">
        <f>IF(SER_hh_tes_in!W31=0,"",SER_hh_tes_in!W31/SER_hh_fec_in!W31)</f>
        <v>0.5616196083815912</v>
      </c>
      <c r="X31" s="136" t="str">
        <f>IF(SER_hh_tes_in!X31=0,"",SER_hh_tes_in!X31/SER_hh_fec_in!X31)</f>
        <v/>
      </c>
      <c r="Y31" s="136" t="str">
        <f>IF(SER_hh_tes_in!Y31=0,"",SER_hh_tes_in!Y31/SER_hh_fec_in!Y31)</f>
        <v/>
      </c>
      <c r="DA31" s="163" t="s">
        <v>689</v>
      </c>
    </row>
    <row r="32" spans="1:105" ht="12" customHeight="1" x14ac:dyDescent="0.25">
      <c r="A32" s="131" t="s">
        <v>128</v>
      </c>
      <c r="B32" s="136"/>
      <c r="C32" s="136" t="str">
        <f>IF(SER_hh_tes_in!C32=0,"",SER_hh_tes_in!C32/SER_hh_fec_in!C32)</f>
        <v/>
      </c>
      <c r="D32" s="136" t="str">
        <f>IF(SER_hh_tes_in!D32=0,"",SER_hh_tes_in!D32/SER_hh_fec_in!D32)</f>
        <v/>
      </c>
      <c r="E32" s="136" t="str">
        <f>IF(SER_hh_tes_in!E32=0,"",SER_hh_tes_in!E32/SER_hh_fec_in!E32)</f>
        <v/>
      </c>
      <c r="F32" s="136" t="str">
        <f>IF(SER_hh_tes_in!F32=0,"",SER_hh_tes_in!F32/SER_hh_fec_in!F32)</f>
        <v/>
      </c>
      <c r="G32" s="136" t="str">
        <f>IF(SER_hh_tes_in!G32=0,"",SER_hh_tes_in!G32/SER_hh_fec_in!G32)</f>
        <v/>
      </c>
      <c r="H32" s="136" t="str">
        <f>IF(SER_hh_tes_in!H32=0,"",SER_hh_tes_in!H32/SER_hh_fec_in!H32)</f>
        <v/>
      </c>
      <c r="I32" s="136" t="str">
        <f>IF(SER_hh_tes_in!I32=0,"",SER_hh_tes_in!I32/SER_hh_fec_in!I32)</f>
        <v/>
      </c>
      <c r="J32" s="136" t="str">
        <f>IF(SER_hh_tes_in!J32=0,"",SER_hh_tes_in!J32/SER_hh_fec_in!J32)</f>
        <v/>
      </c>
      <c r="K32" s="136" t="str">
        <f>IF(SER_hh_tes_in!K32=0,"",SER_hh_tes_in!K32/SER_hh_fec_in!K32)</f>
        <v/>
      </c>
      <c r="L32" s="136" t="str">
        <f>IF(SER_hh_tes_in!L32=0,"",SER_hh_tes_in!L32/SER_hh_fec_in!L32)</f>
        <v/>
      </c>
      <c r="M32" s="136" t="str">
        <f>IF(SER_hh_tes_in!M32=0,"",SER_hh_tes_in!M32/SER_hh_fec_in!M32)</f>
        <v/>
      </c>
      <c r="N32" s="136" t="str">
        <f>IF(SER_hh_tes_in!N32=0,"",SER_hh_tes_in!N32/SER_hh_fec_in!N32)</f>
        <v/>
      </c>
      <c r="O32" s="136" t="str">
        <f>IF(SER_hh_tes_in!O32=0,"",SER_hh_tes_in!O32/SER_hh_fec_in!O32)</f>
        <v/>
      </c>
      <c r="P32" s="136" t="str">
        <f>IF(SER_hh_tes_in!P32=0,"",SER_hh_tes_in!P32/SER_hh_fec_in!P32)</f>
        <v/>
      </c>
      <c r="Q32" s="136" t="str">
        <f>IF(SER_hh_tes_in!Q32=0,"",SER_hh_tes_in!Q32/SER_hh_fec_in!Q32)</f>
        <v/>
      </c>
      <c r="R32" s="136" t="str">
        <f>IF(SER_hh_tes_in!R32=0,"",SER_hh_tes_in!R32/SER_hh_fec_in!R32)</f>
        <v/>
      </c>
      <c r="S32" s="136" t="str">
        <f>IF(SER_hh_tes_in!S32=0,"",SER_hh_tes_in!S32/SER_hh_fec_in!S32)</f>
        <v/>
      </c>
      <c r="T32" s="136" t="str">
        <f>IF(SER_hh_tes_in!T32=0,"",SER_hh_tes_in!T32/SER_hh_fec_in!T32)</f>
        <v/>
      </c>
      <c r="U32" s="136" t="str">
        <f>IF(SER_hh_tes_in!U32=0,"",SER_hh_tes_in!U32/SER_hh_fec_in!U32)</f>
        <v/>
      </c>
      <c r="V32" s="136" t="str">
        <f>IF(SER_hh_tes_in!V32=0,"",SER_hh_tes_in!V32/SER_hh_fec_in!V32)</f>
        <v/>
      </c>
      <c r="W32" s="136" t="str">
        <f>IF(SER_hh_tes_in!W32=0,"",SER_hh_tes_in!W32/SER_hh_fec_in!W32)</f>
        <v/>
      </c>
      <c r="X32" s="136" t="str">
        <f>IF(SER_hh_tes_in!X32=0,"",SER_hh_tes_in!X32/SER_hh_fec_in!X32)</f>
        <v/>
      </c>
      <c r="Y32" s="136" t="str">
        <f>IF(SER_hh_tes_in!Y32=0,"",SER_hh_tes_in!Y32/SER_hh_fec_in!Y32)</f>
        <v/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0.67533436813507475</v>
      </c>
      <c r="D33" s="149">
        <f>IF(SER_hh_tes_in!D33=0,"",SER_hh_tes_in!D33/SER_hh_fec_in!D33)</f>
        <v>0.67695589784445709</v>
      </c>
      <c r="E33" s="149">
        <f>IF(SER_hh_tes_in!E33=0,"",SER_hh_tes_in!E33/SER_hh_fec_in!E33)</f>
        <v>0.67865388305474605</v>
      </c>
      <c r="F33" s="149">
        <f>IF(SER_hh_tes_in!F33=0,"",SER_hh_tes_in!F33/SER_hh_fec_in!F33)</f>
        <v>0.6803622940151588</v>
      </c>
      <c r="G33" s="149">
        <f>IF(SER_hh_tes_in!G33=0,"",SER_hh_tes_in!G33/SER_hh_fec_in!G33)</f>
        <v>0.68214111599486715</v>
      </c>
      <c r="H33" s="149">
        <f>IF(SER_hh_tes_in!H33=0,"",SER_hh_tes_in!H33/SER_hh_fec_in!H33)</f>
        <v>0.68398300756057984</v>
      </c>
      <c r="I33" s="149">
        <f>IF(SER_hh_tes_in!I33=0,"",SER_hh_tes_in!I33/SER_hh_fec_in!I33)</f>
        <v>0.68590274908437376</v>
      </c>
      <c r="J33" s="149">
        <f>IF(SER_hh_tes_in!J33=0,"",SER_hh_tes_in!J33/SER_hh_fec_in!J33)</f>
        <v>0.68796089053364518</v>
      </c>
      <c r="K33" s="149">
        <f>IF(SER_hh_tes_in!K33=0,"",SER_hh_tes_in!K33/SER_hh_fec_in!K33)</f>
        <v>0.69020891530721706</v>
      </c>
      <c r="L33" s="149">
        <f>IF(SER_hh_tes_in!L33=0,"",SER_hh_tes_in!L33/SER_hh_fec_in!L33)</f>
        <v>0.69266059732498642</v>
      </c>
      <c r="M33" s="149">
        <f>IF(SER_hh_tes_in!M33=0,"",SER_hh_tes_in!M33/SER_hh_fec_in!M33)</f>
        <v>0.69616596084343529</v>
      </c>
      <c r="N33" s="149">
        <f>IF(SER_hh_tes_in!N33=0,"",SER_hh_tes_in!N33/SER_hh_fec_in!N33)</f>
        <v>0.70096699968939025</v>
      </c>
      <c r="O33" s="149">
        <f>IF(SER_hh_tes_in!O33=0,"",SER_hh_tes_in!O33/SER_hh_fec_in!O33)</f>
        <v>0.70763756270148381</v>
      </c>
      <c r="P33" s="149">
        <f>IF(SER_hh_tes_in!P33=0,"",SER_hh_tes_in!P33/SER_hh_fec_in!P33)</f>
        <v>0.7164591050895861</v>
      </c>
      <c r="Q33" s="149">
        <f>IF(SER_hh_tes_in!Q33=0,"",SER_hh_tes_in!Q33/SER_hh_fec_in!Q33)</f>
        <v>0.72787426698216728</v>
      </c>
      <c r="R33" s="149">
        <f>IF(SER_hh_tes_in!R33=0,"",SER_hh_tes_in!R33/SER_hh_fec_in!R33)</f>
        <v>0.74340757313905292</v>
      </c>
      <c r="S33" s="149">
        <f>IF(SER_hh_tes_in!S33=0,"",SER_hh_tes_in!S33/SER_hh_fec_in!S33)</f>
        <v>0.76284480984288083</v>
      </c>
      <c r="T33" s="149">
        <f>IF(SER_hh_tes_in!T33=0,"",SER_hh_tes_in!T33/SER_hh_fec_in!T33)</f>
        <v>0.78377006253213022</v>
      </c>
      <c r="U33" s="149">
        <f>IF(SER_hh_tes_in!U33=0,"",SER_hh_tes_in!U33/SER_hh_fec_in!U33)</f>
        <v>0.80376741664533724</v>
      </c>
      <c r="V33" s="149">
        <f>IF(SER_hh_tes_in!V33=0,"",SER_hh_tes_in!V33/SER_hh_fec_in!V33)</f>
        <v>0.82042095762101119</v>
      </c>
      <c r="W33" s="149">
        <f>IF(SER_hh_tes_in!W33=0,"",SER_hh_tes_in!W33/SER_hh_fec_in!W33)</f>
        <v>0.83289128648862309</v>
      </c>
      <c r="X33" s="149">
        <f>IF(SER_hh_tes_in!X33=0,"",SER_hh_tes_in!X33/SER_hh_fec_in!X33)</f>
        <v>0.84019893500482956</v>
      </c>
      <c r="Y33" s="149">
        <f>IF(SER_hh_tes_in!Y33=0,"",SER_hh_tes_in!Y33/SER_hh_fec_in!Y33)</f>
        <v>0.84667932719547379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54.413063452254747</v>
      </c>
      <c r="D3" s="125">
        <f t="shared" si="0"/>
        <v>25.511878271170549</v>
      </c>
      <c r="E3" s="125">
        <f t="shared" si="0"/>
        <v>41.131367343949961</v>
      </c>
      <c r="F3" s="125">
        <f t="shared" si="0"/>
        <v>36.72451749048011</v>
      </c>
      <c r="G3" s="125">
        <f t="shared" si="0"/>
        <v>46.957896177749817</v>
      </c>
      <c r="H3" s="125">
        <f t="shared" si="0"/>
        <v>32.513583074411251</v>
      </c>
      <c r="I3" s="125">
        <f t="shared" si="0"/>
        <v>14.136745688670347</v>
      </c>
      <c r="J3" s="125">
        <f t="shared" si="0"/>
        <v>11.369216959480935</v>
      </c>
      <c r="K3" s="125">
        <f t="shared" si="0"/>
        <v>2.6847983146348025</v>
      </c>
      <c r="L3" s="125">
        <f t="shared" si="0"/>
        <v>3.0017545293115697</v>
      </c>
      <c r="M3" s="125">
        <f t="shared" si="0"/>
        <v>3.3186702214063435</v>
      </c>
      <c r="N3" s="125">
        <f t="shared" si="0"/>
        <v>4.1870175274737669</v>
      </c>
      <c r="O3" s="125">
        <f t="shared" si="0"/>
        <v>1.0641917672707901</v>
      </c>
      <c r="P3" s="125">
        <f t="shared" si="0"/>
        <v>1.016877967814255</v>
      </c>
      <c r="Q3" s="125">
        <f t="shared" si="0"/>
        <v>2.6927695313487927</v>
      </c>
      <c r="R3" s="125">
        <f t="shared" ref="R3:W3" si="1">SUM(R4,R16,R19,R29)</f>
        <v>3.4389425528562905</v>
      </c>
      <c r="S3" s="125">
        <f t="shared" si="1"/>
        <v>6.2612808766651735</v>
      </c>
      <c r="T3" s="125">
        <f t="shared" si="1"/>
        <v>6.5154256142086053</v>
      </c>
      <c r="U3" s="125">
        <f t="shared" si="1"/>
        <v>7.6509163242822664</v>
      </c>
      <c r="V3" s="125">
        <f t="shared" si="1"/>
        <v>4.3517887935865183</v>
      </c>
      <c r="W3" s="125">
        <f t="shared" si="1"/>
        <v>7.2382746928337252</v>
      </c>
      <c r="X3" s="125">
        <f t="shared" ref="X3:Y3" si="2">SUM(X4,X16,X19,X29)</f>
        <v>6.9561097444268549</v>
      </c>
      <c r="Y3" s="125">
        <f t="shared" si="2"/>
        <v>6.7346116775699612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50.507586686914387</v>
      </c>
      <c r="D4" s="130">
        <f t="shared" si="3"/>
        <v>20.247964438330254</v>
      </c>
      <c r="E4" s="130">
        <f t="shared" si="3"/>
        <v>31.121027252608709</v>
      </c>
      <c r="F4" s="130">
        <f t="shared" si="3"/>
        <v>14.968919998093256</v>
      </c>
      <c r="G4" s="130">
        <f t="shared" si="3"/>
        <v>34.694882257585604</v>
      </c>
      <c r="H4" s="130">
        <f t="shared" si="3"/>
        <v>20.076946676210866</v>
      </c>
      <c r="I4" s="130">
        <f t="shared" si="3"/>
        <v>5.8789503214276095</v>
      </c>
      <c r="J4" s="130">
        <f t="shared" si="3"/>
        <v>4.7552410773888791</v>
      </c>
      <c r="K4" s="130">
        <f t="shared" si="3"/>
        <v>1.475107415672454</v>
      </c>
      <c r="L4" s="130">
        <f t="shared" si="3"/>
        <v>0.8162689936604961</v>
      </c>
      <c r="M4" s="130">
        <f t="shared" si="3"/>
        <v>0.48505523464450129</v>
      </c>
      <c r="N4" s="130">
        <f t="shared" si="3"/>
        <v>1.0860489819884318E-2</v>
      </c>
      <c r="O4" s="130">
        <f t="shared" si="3"/>
        <v>2.0987681183620512E-2</v>
      </c>
      <c r="P4" s="130">
        <f t="shared" si="3"/>
        <v>6.3888215255738068E-2</v>
      </c>
      <c r="Q4" s="130">
        <f t="shared" si="3"/>
        <v>0.66613501355260007</v>
      </c>
      <c r="R4" s="130">
        <f t="shared" ref="R4:W4" si="4">SUM(R5:R15)</f>
        <v>1.503903417349348</v>
      </c>
      <c r="S4" s="130">
        <f t="shared" si="4"/>
        <v>2.7567127680085619</v>
      </c>
      <c r="T4" s="130">
        <f t="shared" si="4"/>
        <v>2.4701698871628017</v>
      </c>
      <c r="U4" s="130">
        <f t="shared" si="4"/>
        <v>2.9282454891814647</v>
      </c>
      <c r="V4" s="130">
        <f t="shared" si="4"/>
        <v>1.3182284484389051</v>
      </c>
      <c r="W4" s="130">
        <f t="shared" si="4"/>
        <v>1.892137150005714</v>
      </c>
      <c r="X4" s="130">
        <f t="shared" ref="X4:Y4" si="5">SUM(X5:X15)</f>
        <v>0.61269629734376452</v>
      </c>
      <c r="Y4" s="130">
        <f t="shared" si="5"/>
        <v>1.0533365811912412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0.59641238615381975</v>
      </c>
      <c r="Y5" s="132">
        <v>0.92154778885294697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49.348531460051511</v>
      </c>
      <c r="D7" s="132">
        <v>17.130540331777528</v>
      </c>
      <c r="E7" s="132">
        <v>25.489865021810516</v>
      </c>
      <c r="F7" s="132">
        <v>6.4241902656157714</v>
      </c>
      <c r="G7" s="132">
        <v>25.21781069126439</v>
      </c>
      <c r="H7" s="132">
        <v>11.209851974313906</v>
      </c>
      <c r="I7" s="132">
        <v>0</v>
      </c>
      <c r="J7" s="132">
        <v>0</v>
      </c>
      <c r="K7" s="132">
        <v>0</v>
      </c>
      <c r="L7" s="132">
        <v>0</v>
      </c>
      <c r="M7" s="132">
        <v>0.19737957742389742</v>
      </c>
      <c r="N7" s="132">
        <v>0</v>
      </c>
      <c r="O7" s="132">
        <v>0</v>
      </c>
      <c r="P7" s="132">
        <v>0</v>
      </c>
      <c r="Q7" s="132">
        <v>0</v>
      </c>
      <c r="R7" s="132">
        <v>1.4327864493521973</v>
      </c>
      <c r="S7" s="132">
        <v>1.2613276189813472</v>
      </c>
      <c r="T7" s="132">
        <v>0.87106954459079344</v>
      </c>
      <c r="U7" s="132">
        <v>0.60177491508297143</v>
      </c>
      <c r="V7" s="132">
        <v>0.36953685675717374</v>
      </c>
      <c r="W7" s="132">
        <v>1.4709803322283563</v>
      </c>
      <c r="X7" s="132">
        <v>0</v>
      </c>
      <c r="Y7" s="132">
        <v>0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1.2990606827443974E-3</v>
      </c>
      <c r="D8" s="132">
        <v>3.4715029781898061E-3</v>
      </c>
      <c r="E8" s="132">
        <v>5.2908566591408669E-3</v>
      </c>
      <c r="F8" s="132">
        <v>7.4111703123626721E-3</v>
      </c>
      <c r="G8" s="132">
        <v>7.6651282926352426E-3</v>
      </c>
      <c r="H8" s="132">
        <v>7.0024325220356771E-3</v>
      </c>
      <c r="I8" s="132">
        <v>6.0810714033452621E-3</v>
      </c>
      <c r="J8" s="132">
        <v>6.169449364409464E-3</v>
      </c>
      <c r="K8" s="132">
        <v>2.3681746837723077E-3</v>
      </c>
      <c r="L8" s="132">
        <v>2.9542299001997E-3</v>
      </c>
      <c r="M8" s="132">
        <v>5.9777774856641409E-3</v>
      </c>
      <c r="N8" s="132">
        <v>1.0860489819884318E-2</v>
      </c>
      <c r="O8" s="132">
        <v>2.0987681183620512E-2</v>
      </c>
      <c r="P8" s="132">
        <v>6.3888215255738068E-2</v>
      </c>
      <c r="Q8" s="132">
        <v>0.3777654763950653</v>
      </c>
      <c r="R8" s="132">
        <v>7.1116967997150601E-2</v>
      </c>
      <c r="S8" s="132">
        <v>6.2240060829938257E-2</v>
      </c>
      <c r="T8" s="132">
        <v>5.5909078135361397E-2</v>
      </c>
      <c r="U8" s="132">
        <v>5.5443576046380436E-2</v>
      </c>
      <c r="V8" s="132">
        <v>6.5202954643239344E-2</v>
      </c>
      <c r="W8" s="132">
        <v>3.558367102940721E-2</v>
      </c>
      <c r="X8" s="132">
        <v>1.6283911189944753E-2</v>
      </c>
      <c r="Y8" s="132">
        <v>3.1894964258371614E-2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1.1577561661801294</v>
      </c>
      <c r="D9" s="132">
        <v>3.1139526035745342</v>
      </c>
      <c r="E9" s="132">
        <v>5.6258713741390531</v>
      </c>
      <c r="F9" s="132">
        <v>8.5373185621651206</v>
      </c>
      <c r="G9" s="132">
        <v>9.4694064380285763</v>
      </c>
      <c r="H9" s="132">
        <v>8.8600922693749258</v>
      </c>
      <c r="I9" s="132">
        <v>5.8728692500242641</v>
      </c>
      <c r="J9" s="132">
        <v>4.7490716280244696</v>
      </c>
      <c r="K9" s="132">
        <v>1.4727392409886817</v>
      </c>
      <c r="L9" s="132">
        <v>0.81331476376029643</v>
      </c>
      <c r="M9" s="132">
        <v>0.2816978797349397</v>
      </c>
      <c r="N9" s="132">
        <v>0</v>
      </c>
      <c r="O9" s="132">
        <v>0</v>
      </c>
      <c r="P9" s="132">
        <v>0</v>
      </c>
      <c r="Q9" s="132">
        <v>0.28836953715753483</v>
      </c>
      <c r="R9" s="132">
        <v>0</v>
      </c>
      <c r="S9" s="132">
        <v>1.4331450881972765</v>
      </c>
      <c r="T9" s="132">
        <v>1.543191264436647</v>
      </c>
      <c r="U9" s="132">
        <v>2.2710269980521129</v>
      </c>
      <c r="V9" s="132">
        <v>0.88348863703849201</v>
      </c>
      <c r="W9" s="132">
        <v>0.38557314674795035</v>
      </c>
      <c r="X9" s="132">
        <v>0</v>
      </c>
      <c r="Y9" s="132">
        <v>9.989382807992267E-2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1.686253802229936E-2</v>
      </c>
      <c r="D16" s="130">
        <f t="shared" si="6"/>
        <v>3.4886033009656106E-2</v>
      </c>
      <c r="E16" s="130">
        <f t="shared" si="6"/>
        <v>3.8786260884774975E-3</v>
      </c>
      <c r="F16" s="130">
        <f t="shared" si="6"/>
        <v>0.10700802009861153</v>
      </c>
      <c r="G16" s="130">
        <f t="shared" si="6"/>
        <v>8.7774778786310334E-2</v>
      </c>
      <c r="H16" s="130">
        <f t="shared" si="6"/>
        <v>0.11962472215206027</v>
      </c>
      <c r="I16" s="130">
        <f t="shared" si="6"/>
        <v>4.7594769172921682E-4</v>
      </c>
      <c r="J16" s="130">
        <f t="shared" si="6"/>
        <v>0.11788398174964683</v>
      </c>
      <c r="K16" s="130">
        <f t="shared" si="6"/>
        <v>3.5270738090116521E-2</v>
      </c>
      <c r="L16" s="130">
        <f t="shared" si="6"/>
        <v>4.6334433631653092E-2</v>
      </c>
      <c r="M16" s="130">
        <f t="shared" si="6"/>
        <v>3.9044130631294444E-2</v>
      </c>
      <c r="N16" s="130">
        <f t="shared" si="6"/>
        <v>7.394798305478309E-2</v>
      </c>
      <c r="O16" s="130">
        <f t="shared" si="6"/>
        <v>5.9171926323104217E-2</v>
      </c>
      <c r="P16" s="130">
        <f t="shared" si="6"/>
        <v>7.2097538934509209E-2</v>
      </c>
      <c r="Q16" s="130">
        <f t="shared" si="6"/>
        <v>8.2968615248856195E-2</v>
      </c>
      <c r="R16" s="130">
        <f t="shared" ref="R16:W16" si="7">SUM(R17:R18)</f>
        <v>5.3358922003010241E-2</v>
      </c>
      <c r="S16" s="130">
        <f t="shared" si="7"/>
        <v>0.13611736258809504</v>
      </c>
      <c r="T16" s="130">
        <f t="shared" si="7"/>
        <v>0.18720251437468238</v>
      </c>
      <c r="U16" s="130">
        <f t="shared" si="7"/>
        <v>0.14074260657443299</v>
      </c>
      <c r="V16" s="130">
        <f t="shared" si="7"/>
        <v>0.1148253355836031</v>
      </c>
      <c r="W16" s="130">
        <f t="shared" si="7"/>
        <v>0.12396866004307129</v>
      </c>
      <c r="X16" s="130">
        <f t="shared" ref="X16:Y16" si="8">SUM(X17:X18)</f>
        <v>9.8032971311955902E-2</v>
      </c>
      <c r="Y16" s="130">
        <f t="shared" si="8"/>
        <v>0.10712481243423733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1.686253802229936E-2</v>
      </c>
      <c r="D17" s="132">
        <v>3.4886033009656106E-2</v>
      </c>
      <c r="E17" s="132">
        <v>3.8786260884774975E-3</v>
      </c>
      <c r="F17" s="132">
        <v>0.10700802009861153</v>
      </c>
      <c r="G17" s="132">
        <v>8.7774778786310334E-2</v>
      </c>
      <c r="H17" s="132">
        <v>0.11962472215206027</v>
      </c>
      <c r="I17" s="132">
        <v>4.7594769172921682E-4</v>
      </c>
      <c r="J17" s="132">
        <v>0.11788398174964683</v>
      </c>
      <c r="K17" s="132">
        <v>3.5270738090116521E-2</v>
      </c>
      <c r="L17" s="132">
        <v>4.6334433631653092E-2</v>
      </c>
      <c r="M17" s="132">
        <v>3.9044130631294444E-2</v>
      </c>
      <c r="N17" s="132">
        <v>7.394798305478309E-2</v>
      </c>
      <c r="O17" s="132">
        <v>5.9171926323104217E-2</v>
      </c>
      <c r="P17" s="132">
        <v>7.2097538934509209E-2</v>
      </c>
      <c r="Q17" s="132">
        <v>8.2968615248856195E-2</v>
      </c>
      <c r="R17" s="132">
        <v>5.3358922003010241E-2</v>
      </c>
      <c r="S17" s="132">
        <v>0.13611736258809504</v>
      </c>
      <c r="T17" s="132">
        <v>0.18720251437468238</v>
      </c>
      <c r="U17" s="132">
        <v>0.14074260657443299</v>
      </c>
      <c r="V17" s="132">
        <v>0.1148253355836031</v>
      </c>
      <c r="W17" s="132">
        <v>0.12396866004307129</v>
      </c>
      <c r="X17" s="132">
        <v>9.8032971311955902E-2</v>
      </c>
      <c r="Y17" s="132">
        <v>0.10712481243423733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3.3525643777066314</v>
      </c>
      <c r="D19" s="130">
        <f t="shared" si="9"/>
        <v>3.2153959131470469</v>
      </c>
      <c r="E19" s="130">
        <f t="shared" si="9"/>
        <v>4.1273837699371256</v>
      </c>
      <c r="F19" s="130">
        <f t="shared" si="9"/>
        <v>4.5373495114725353</v>
      </c>
      <c r="G19" s="130">
        <f t="shared" si="9"/>
        <v>5.8512111379882565</v>
      </c>
      <c r="H19" s="130">
        <f t="shared" si="9"/>
        <v>7.1385221227665516</v>
      </c>
      <c r="I19" s="130">
        <f t="shared" si="9"/>
        <v>6.0334753000060353</v>
      </c>
      <c r="J19" s="130">
        <f t="shared" si="9"/>
        <v>3.3068128350229573</v>
      </c>
      <c r="K19" s="130">
        <f t="shared" si="9"/>
        <v>0.53031507317485449</v>
      </c>
      <c r="L19" s="130">
        <f t="shared" si="9"/>
        <v>1.0260190446625455</v>
      </c>
      <c r="M19" s="130">
        <f t="shared" si="9"/>
        <v>0.66733909213466036</v>
      </c>
      <c r="N19" s="130">
        <f t="shared" si="9"/>
        <v>0.63516919092953783</v>
      </c>
      <c r="O19" s="130">
        <f t="shared" si="9"/>
        <v>0.43122595487816417</v>
      </c>
      <c r="P19" s="130">
        <f t="shared" si="9"/>
        <v>0.54889650212068997</v>
      </c>
      <c r="Q19" s="130">
        <f t="shared" si="9"/>
        <v>0.86427358314405878</v>
      </c>
      <c r="R19" s="130">
        <f t="shared" ref="R19:W19" si="10">SUM(R20:R27)</f>
        <v>0.6494719934934694</v>
      </c>
      <c r="S19" s="130">
        <f t="shared" si="10"/>
        <v>1.3788924975399719</v>
      </c>
      <c r="T19" s="130">
        <f t="shared" si="10"/>
        <v>1.0294126839088318</v>
      </c>
      <c r="U19" s="130">
        <f t="shared" si="10"/>
        <v>1.0724522987397225</v>
      </c>
      <c r="V19" s="130">
        <f t="shared" si="10"/>
        <v>0.70066711922582292</v>
      </c>
      <c r="W19" s="130">
        <f t="shared" si="10"/>
        <v>0.48091457186724634</v>
      </c>
      <c r="X19" s="130">
        <f t="shared" ref="X19:Y19" si="11">SUM(X20:X27)</f>
        <v>0.49967738711353066</v>
      </c>
      <c r="Y19" s="130">
        <f t="shared" si="11"/>
        <v>0.59287988216552368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0.52686326327475652</v>
      </c>
      <c r="D21" s="132">
        <v>0.44037994692479099</v>
      </c>
      <c r="E21" s="132">
        <v>0.58402969832956708</v>
      </c>
      <c r="F21" s="132">
        <v>0.78089877163354782</v>
      </c>
      <c r="G21" s="132">
        <v>0.94472124147055336</v>
      </c>
      <c r="H21" s="132">
        <v>1.3326055238677246</v>
      </c>
      <c r="I21" s="132">
        <v>1.2634922414056486</v>
      </c>
      <c r="J21" s="132">
        <v>0.63275618013325408</v>
      </c>
      <c r="K21" s="132">
        <v>8.185748918662597E-2</v>
      </c>
      <c r="L21" s="132">
        <v>0.1234651160887105</v>
      </c>
      <c r="M21" s="132">
        <v>9.9454906713706048E-2</v>
      </c>
      <c r="N21" s="132">
        <v>0.13263481662361357</v>
      </c>
      <c r="O21" s="132">
        <v>8.7710809376076143E-2</v>
      </c>
      <c r="P21" s="132">
        <v>0.16827823183688057</v>
      </c>
      <c r="Q21" s="132">
        <v>0.27595081882641281</v>
      </c>
      <c r="R21" s="132">
        <v>0.27899276845268889</v>
      </c>
      <c r="S21" s="132">
        <v>0.52079508875904168</v>
      </c>
      <c r="T21" s="132">
        <v>0.32336567482420703</v>
      </c>
      <c r="U21" s="132">
        <v>0.28319425349980532</v>
      </c>
      <c r="V21" s="132">
        <v>0.32503125979210296</v>
      </c>
      <c r="W21" s="132">
        <v>0.48091457186724634</v>
      </c>
      <c r="X21" s="132">
        <v>0.43392537719994345</v>
      </c>
      <c r="Y21" s="132">
        <v>0.56563922182994575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1.8319787730049464</v>
      </c>
      <c r="D22" s="132">
        <v>1.6539808724214233</v>
      </c>
      <c r="E22" s="132">
        <v>1.9274534502169545</v>
      </c>
      <c r="F22" s="132">
        <v>1.9544028677093419</v>
      </c>
      <c r="G22" s="132">
        <v>1.7722821639513926</v>
      </c>
      <c r="H22" s="132">
        <v>2.2299144453301545</v>
      </c>
      <c r="I22" s="132">
        <v>1.6627958384472228</v>
      </c>
      <c r="J22" s="132">
        <v>0.89530424837964151</v>
      </c>
      <c r="K22" s="132">
        <v>0.12164239524076403</v>
      </c>
      <c r="L22" s="132">
        <v>0.2330996594345508</v>
      </c>
      <c r="M22" s="132">
        <v>0.22640879651026707</v>
      </c>
      <c r="N22" s="132">
        <v>0.23892838388548535</v>
      </c>
      <c r="O22" s="132">
        <v>0.21112617888400945</v>
      </c>
      <c r="P22" s="132">
        <v>0.30820254179772616</v>
      </c>
      <c r="Q22" s="132">
        <v>0.33127743550812339</v>
      </c>
      <c r="R22" s="132">
        <v>0.18485738747652472</v>
      </c>
      <c r="S22" s="132">
        <v>0.24795197401988328</v>
      </c>
      <c r="T22" s="132">
        <v>0</v>
      </c>
      <c r="U22" s="132">
        <v>0</v>
      </c>
      <c r="V22" s="132">
        <v>0</v>
      </c>
      <c r="W22" s="132">
        <v>0</v>
      </c>
      <c r="X22" s="132">
        <v>6.5752009913587206E-2</v>
      </c>
      <c r="Y22" s="132">
        <v>2.7240660335577899E-2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0.9937223414269285</v>
      </c>
      <c r="D23" s="132">
        <v>1.1210350938008324</v>
      </c>
      <c r="E23" s="132">
        <v>1.6159006213906046</v>
      </c>
      <c r="F23" s="132">
        <v>1.8020478721296456</v>
      </c>
      <c r="G23" s="132">
        <v>3.1342077325663102</v>
      </c>
      <c r="H23" s="132">
        <v>3.5760021535686723</v>
      </c>
      <c r="I23" s="132">
        <v>3.1071872201531638</v>
      </c>
      <c r="J23" s="132">
        <v>1.7787524065100615</v>
      </c>
      <c r="K23" s="132">
        <v>0.32681518874746451</v>
      </c>
      <c r="L23" s="132">
        <v>0.6694542691392843</v>
      </c>
      <c r="M23" s="132">
        <v>0.34147538891068724</v>
      </c>
      <c r="N23" s="132">
        <v>0.26360599042043886</v>
      </c>
      <c r="O23" s="132">
        <v>0.13238896661807859</v>
      </c>
      <c r="P23" s="132">
        <v>7.2415728486083256E-2</v>
      </c>
      <c r="Q23" s="132">
        <v>0.25704532880952258</v>
      </c>
      <c r="R23" s="132">
        <v>0.18562183756425582</v>
      </c>
      <c r="S23" s="132">
        <v>0.61014543476104699</v>
      </c>
      <c r="T23" s="132">
        <v>0.70604700908462481</v>
      </c>
      <c r="U23" s="132">
        <v>0.78925804523991705</v>
      </c>
      <c r="V23" s="132">
        <v>0.37563585943372002</v>
      </c>
      <c r="W23" s="132">
        <v>0</v>
      </c>
      <c r="X23" s="132">
        <v>0</v>
      </c>
      <c r="Y23" s="132">
        <v>0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0.53604984961143221</v>
      </c>
      <c r="D29" s="130">
        <f t="shared" si="12"/>
        <v>2.0136318866835952</v>
      </c>
      <c r="E29" s="130">
        <f t="shared" si="12"/>
        <v>5.8790776953156421</v>
      </c>
      <c r="F29" s="130">
        <f t="shared" si="12"/>
        <v>17.111239960815706</v>
      </c>
      <c r="G29" s="130">
        <f t="shared" si="12"/>
        <v>6.3240280033896425</v>
      </c>
      <c r="H29" s="130">
        <f t="shared" si="12"/>
        <v>5.1784895532817723</v>
      </c>
      <c r="I29" s="130">
        <f t="shared" si="12"/>
        <v>2.2238441195449732</v>
      </c>
      <c r="J29" s="130">
        <f t="shared" si="12"/>
        <v>3.1892790653194525</v>
      </c>
      <c r="K29" s="130">
        <f t="shared" si="12"/>
        <v>0.64410508769737751</v>
      </c>
      <c r="L29" s="130">
        <f t="shared" si="12"/>
        <v>1.113132057356875</v>
      </c>
      <c r="M29" s="130">
        <f t="shared" si="12"/>
        <v>2.1272317639958875</v>
      </c>
      <c r="N29" s="130">
        <f t="shared" si="12"/>
        <v>3.4670398636695618</v>
      </c>
      <c r="O29" s="130">
        <f t="shared" si="12"/>
        <v>0.55280620488590126</v>
      </c>
      <c r="P29" s="130">
        <f t="shared" si="12"/>
        <v>0.3319957115033178</v>
      </c>
      <c r="Q29" s="130">
        <f t="shared" si="12"/>
        <v>1.0793923194032773</v>
      </c>
      <c r="R29" s="130">
        <f t="shared" ref="R29:W29" si="13">SUM(R30:R33)</f>
        <v>1.2322082200104629</v>
      </c>
      <c r="S29" s="130">
        <f t="shared" si="13"/>
        <v>1.9895582485285437</v>
      </c>
      <c r="T29" s="130">
        <f t="shared" si="13"/>
        <v>2.8286405287622891</v>
      </c>
      <c r="U29" s="130">
        <f t="shared" si="13"/>
        <v>3.5094759297866469</v>
      </c>
      <c r="V29" s="130">
        <f t="shared" si="13"/>
        <v>2.2180678903381876</v>
      </c>
      <c r="W29" s="130">
        <f t="shared" si="13"/>
        <v>4.7412543109176939</v>
      </c>
      <c r="X29" s="130">
        <f t="shared" ref="X29:Y29" si="14">SUM(X30:X33)</f>
        <v>5.7457030886576037</v>
      </c>
      <c r="Y29" s="130">
        <f t="shared" si="14"/>
        <v>4.9812704017789589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2.8273301022632848E-2</v>
      </c>
      <c r="D30" s="132">
        <v>1.0674456627296802</v>
      </c>
      <c r="E30" s="132">
        <v>4.3988169647514859</v>
      </c>
      <c r="F30" s="132">
        <v>15.238367957399156</v>
      </c>
      <c r="G30" s="132">
        <v>4.3060933593652004</v>
      </c>
      <c r="H30" s="132">
        <v>2.930632704615578</v>
      </c>
      <c r="I30" s="132">
        <v>0.23803155340026574</v>
      </c>
      <c r="J30" s="132">
        <v>1.6474419525289132</v>
      </c>
      <c r="K30" s="132">
        <v>0.28022496775201944</v>
      </c>
      <c r="L30" s="132">
        <v>0.46986371786647652</v>
      </c>
      <c r="M30" s="132">
        <v>1.3732690801338392</v>
      </c>
      <c r="N30" s="132">
        <v>3.0436422318467637</v>
      </c>
      <c r="O30" s="132">
        <v>0.32447150247260809</v>
      </c>
      <c r="P30" s="132">
        <v>0</v>
      </c>
      <c r="Q30" s="132">
        <v>0.6259185296525146</v>
      </c>
      <c r="R30" s="132">
        <v>0.92206585726092527</v>
      </c>
      <c r="S30" s="132">
        <v>1.3244960531000607</v>
      </c>
      <c r="T30" s="132">
        <v>2.0121239314748363</v>
      </c>
      <c r="U30" s="132">
        <v>2.4163974252265334</v>
      </c>
      <c r="V30" s="132">
        <v>1.2408704845531784</v>
      </c>
      <c r="W30" s="132">
        <v>4.1929469789315359</v>
      </c>
      <c r="X30" s="132">
        <v>5.7457030886576037</v>
      </c>
      <c r="Y30" s="132">
        <v>4.9812704017789589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0.50777654858879939</v>
      </c>
      <c r="D31" s="132">
        <v>0.94618622395391472</v>
      </c>
      <c r="E31" s="132">
        <v>1.480260730564156</v>
      </c>
      <c r="F31" s="132">
        <v>1.8728720034165498</v>
      </c>
      <c r="G31" s="132">
        <v>2.0179346440244421</v>
      </c>
      <c r="H31" s="132">
        <v>2.2478568486661943</v>
      </c>
      <c r="I31" s="132">
        <v>1.9858125661447075</v>
      </c>
      <c r="J31" s="132">
        <v>1.5418371127905393</v>
      </c>
      <c r="K31" s="132">
        <v>0.36388011994535813</v>
      </c>
      <c r="L31" s="132">
        <v>0.64326833949039841</v>
      </c>
      <c r="M31" s="132">
        <v>0.75396268386204823</v>
      </c>
      <c r="N31" s="132">
        <v>0.4233976318227981</v>
      </c>
      <c r="O31" s="132">
        <v>0.22833470241329315</v>
      </c>
      <c r="P31" s="132">
        <v>0.3319957115033178</v>
      </c>
      <c r="Q31" s="132">
        <v>0.45347378975076269</v>
      </c>
      <c r="R31" s="132">
        <v>0.3101423627495376</v>
      </c>
      <c r="S31" s="132">
        <v>0.66506219542848299</v>
      </c>
      <c r="T31" s="132">
        <v>0.81651659728745296</v>
      </c>
      <c r="U31" s="132">
        <v>1.0930785045601132</v>
      </c>
      <c r="V31" s="132">
        <v>0.97719740578500947</v>
      </c>
      <c r="W31" s="132">
        <v>0.54830733198615833</v>
      </c>
      <c r="X31" s="132">
        <v>0</v>
      </c>
      <c r="Y31" s="132">
        <v>0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151123.26341935198</v>
      </c>
      <c r="D3" s="125">
        <f>IF(SER_hh_fec_in!D3=0,0,11630*1000*SER_hh_fec_in!D3/SER_hh_num_in!D3)</f>
        <v>140137.76664645373</v>
      </c>
      <c r="E3" s="125">
        <f>IF(SER_hh_fec_in!E3=0,0,11630*1000*SER_hh_fec_in!E3/SER_hh_num_in!E3)</f>
        <v>149387.00545745849</v>
      </c>
      <c r="F3" s="125">
        <f>IF(SER_hh_fec_in!F3=0,0,11630*1000*SER_hh_fec_in!F3/SER_hh_num_in!F3)</f>
        <v>151766.92454232389</v>
      </c>
      <c r="G3" s="125">
        <f>IF(SER_hh_fec_in!G3=0,0,11630*1000*SER_hh_fec_in!G3/SER_hh_num_in!G3)</f>
        <v>162685.66269137608</v>
      </c>
      <c r="H3" s="125">
        <f>IF(SER_hh_fec_in!H3=0,0,11630*1000*SER_hh_fec_in!H3/SER_hh_num_in!H3)</f>
        <v>154127.0144461295</v>
      </c>
      <c r="I3" s="125">
        <f>IF(SER_hh_fec_in!I3=0,0,11630*1000*SER_hh_fec_in!I3/SER_hh_num_in!I3)</f>
        <v>148686.67093441039</v>
      </c>
      <c r="J3" s="125">
        <f>IF(SER_hh_fec_in!J3=0,0,11630*1000*SER_hh_fec_in!J3/SER_hh_num_in!J3)</f>
        <v>143599.25932136623</v>
      </c>
      <c r="K3" s="125">
        <f>IF(SER_hh_fec_in!K3=0,0,11630*1000*SER_hh_fec_in!K3/SER_hh_num_in!K3)</f>
        <v>116484.22111836811</v>
      </c>
      <c r="L3" s="125">
        <f>IF(SER_hh_fec_in!L3=0,0,11630*1000*SER_hh_fec_in!L3/SER_hh_num_in!L3)</f>
        <v>115177.48086509523</v>
      </c>
      <c r="M3" s="125">
        <f>IF(SER_hh_fec_in!M3=0,0,11630*1000*SER_hh_fec_in!M3/SER_hh_num_in!M3)</f>
        <v>104219.23887703614</v>
      </c>
      <c r="N3" s="125">
        <f>IF(SER_hh_fec_in!N3=0,0,11630*1000*SER_hh_fec_in!N3/SER_hh_num_in!N3)</f>
        <v>123469.85034541631</v>
      </c>
      <c r="O3" s="125">
        <f>IF(SER_hh_fec_in!O3=0,0,11630*1000*SER_hh_fec_in!O3/SER_hh_num_in!O3)</f>
        <v>91933.725404993398</v>
      </c>
      <c r="P3" s="125">
        <f>IF(SER_hh_fec_in!P3=0,0,11630*1000*SER_hh_fec_in!P3/SER_hh_num_in!P3)</f>
        <v>96504.992853134623</v>
      </c>
      <c r="Q3" s="125">
        <f>IF(SER_hh_fec_in!Q3=0,0,11630*1000*SER_hh_fec_in!Q3/SER_hh_num_in!Q3)</f>
        <v>99021.682753336878</v>
      </c>
      <c r="R3" s="125">
        <f>IF(SER_hh_fec_in!R3=0,0,11630*1000*SER_hh_fec_in!R3/SER_hh_num_in!R3)</f>
        <v>152122.71175949596</v>
      </c>
      <c r="S3" s="125">
        <f>IF(SER_hh_fec_in!S3=0,0,11630*1000*SER_hh_fec_in!S3/SER_hh_num_in!S3)</f>
        <v>121415.02331133914</v>
      </c>
      <c r="T3" s="125">
        <f>IF(SER_hh_fec_in!T3=0,0,11630*1000*SER_hh_fec_in!T3/SER_hh_num_in!T3)</f>
        <v>95887.936872361402</v>
      </c>
      <c r="U3" s="125">
        <f>IF(SER_hh_fec_in!U3=0,0,11630*1000*SER_hh_fec_in!U3/SER_hh_num_in!U3)</f>
        <v>95425.664998416178</v>
      </c>
      <c r="V3" s="125">
        <f>IF(SER_hh_fec_in!V3=0,0,11630*1000*SER_hh_fec_in!V3/SER_hh_num_in!V3)</f>
        <v>74667.727112913228</v>
      </c>
      <c r="W3" s="125">
        <f>IF(SER_hh_fec_in!W3=0,0,11630*1000*SER_hh_fec_in!W3/SER_hh_num_in!W3)</f>
        <v>87682.976830292479</v>
      </c>
      <c r="X3" s="125">
        <f>IF(SER_hh_fec_in!X3=0,0,11630*1000*SER_hh_fec_in!X3/SER_hh_num_in!X3)</f>
        <v>90499.522192971897</v>
      </c>
      <c r="Y3" s="125">
        <f>IF(SER_hh_fec_in!Y3=0,0,11630*1000*SER_hh_fec_in!Y3/SER_hh_num_in!Y3)</f>
        <v>88015.78248820595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61025.209525216174</v>
      </c>
      <c r="D4" s="130">
        <f>IF(SER_hh_fec_in!D4=0,0,11630*1000*SER_hh_fec_in!D4/SER_hh_num_in!D4)</f>
        <v>50477.630796157049</v>
      </c>
      <c r="E4" s="130">
        <f>IF(SER_hh_fec_in!E4=0,0,11630*1000*SER_hh_fec_in!E4/SER_hh_num_in!E4)</f>
        <v>56765.44064980017</v>
      </c>
      <c r="F4" s="130">
        <f>IF(SER_hh_fec_in!F4=0,0,11630*1000*SER_hh_fec_in!F4/SER_hh_num_in!F4)</f>
        <v>59495.13848718127</v>
      </c>
      <c r="G4" s="130">
        <f>IF(SER_hh_fec_in!G4=0,0,11630*1000*SER_hh_fec_in!G4/SER_hh_num_in!G4)</f>
        <v>70266.761055748852</v>
      </c>
      <c r="H4" s="130">
        <f>IF(SER_hh_fec_in!H4=0,0,11630*1000*SER_hh_fec_in!H4/SER_hh_num_in!H4)</f>
        <v>65139.047883244013</v>
      </c>
      <c r="I4" s="130">
        <f>IF(SER_hh_fec_in!I4=0,0,11630*1000*SER_hh_fec_in!I4/SER_hh_num_in!I4)</f>
        <v>58506.122151786556</v>
      </c>
      <c r="J4" s="130">
        <f>IF(SER_hh_fec_in!J4=0,0,11630*1000*SER_hh_fec_in!J4/SER_hh_num_in!J4)</f>
        <v>56550.278457827742</v>
      </c>
      <c r="K4" s="130">
        <f>IF(SER_hh_fec_in!K4=0,0,11630*1000*SER_hh_fec_in!K4/SER_hh_num_in!K4)</f>
        <v>39233.415097294564</v>
      </c>
      <c r="L4" s="130">
        <f>IF(SER_hh_fec_in!L4=0,0,11630*1000*SER_hh_fec_in!L4/SER_hh_num_in!L4)</f>
        <v>23079.499445635087</v>
      </c>
      <c r="M4" s="130">
        <f>IF(SER_hh_fec_in!M4=0,0,11630*1000*SER_hh_fec_in!M4/SER_hh_num_in!M4)</f>
        <v>17883.391649204197</v>
      </c>
      <c r="N4" s="130">
        <f>IF(SER_hh_fec_in!N4=0,0,11630*1000*SER_hh_fec_in!N4/SER_hh_num_in!N4)</f>
        <v>21261.544105712201</v>
      </c>
      <c r="O4" s="130">
        <f>IF(SER_hh_fec_in!O4=0,0,11630*1000*SER_hh_fec_in!O4/SER_hh_num_in!O4)</f>
        <v>12282.98467572066</v>
      </c>
      <c r="P4" s="130">
        <f>IF(SER_hh_fec_in!P4=0,0,11630*1000*SER_hh_fec_in!P4/SER_hh_num_in!P4)</f>
        <v>11854.182047731161</v>
      </c>
      <c r="Q4" s="130">
        <f>IF(SER_hh_fec_in!Q4=0,0,11630*1000*SER_hh_fec_in!Q4/SER_hh_num_in!Q4)</f>
        <v>15772.581051963291</v>
      </c>
      <c r="R4" s="130">
        <f>IF(SER_hh_fec_in!R4=0,0,11630*1000*SER_hh_fec_in!R4/SER_hh_num_in!R4)</f>
        <v>72970.4508564344</v>
      </c>
      <c r="S4" s="130">
        <f>IF(SER_hh_fec_in!S4=0,0,11630*1000*SER_hh_fec_in!S4/SER_hh_num_in!S4)</f>
        <v>41762.516448497117</v>
      </c>
      <c r="T4" s="130">
        <f>IF(SER_hh_fec_in!T4=0,0,11630*1000*SER_hh_fec_in!T4/SER_hh_num_in!T4)</f>
        <v>18254.002489174072</v>
      </c>
      <c r="U4" s="130">
        <f>IF(SER_hh_fec_in!U4=0,0,11630*1000*SER_hh_fec_in!U4/SER_hh_num_in!U4)</f>
        <v>19136.977568649672</v>
      </c>
      <c r="V4" s="130">
        <f>IF(SER_hh_fec_in!V4=0,0,11630*1000*SER_hh_fec_in!V4/SER_hh_num_in!V4)</f>
        <v>12625.226989376932</v>
      </c>
      <c r="W4" s="130">
        <f>IF(SER_hh_fec_in!W4=0,0,11630*1000*SER_hh_fec_in!W4/SER_hh_num_in!W4)</f>
        <v>18481.514672854024</v>
      </c>
      <c r="X4" s="130">
        <f>IF(SER_hh_fec_in!X4=0,0,11630*1000*SER_hh_fec_in!X4/SER_hh_num_in!X4)</f>
        <v>19037.807781180371</v>
      </c>
      <c r="Y4" s="130">
        <f>IF(SER_hh_fec_in!Y4=0,0,11630*1000*SER_hh_fec_in!Y4/SER_hh_num_in!Y4)</f>
        <v>15882.722966048594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0</v>
      </c>
      <c r="D5" s="132">
        <f>IF(SER_hh_fec_in!D5=0,0,11630*1000*SER_hh_fec_in!D5/SER_hh_num_in!D5)</f>
        <v>0</v>
      </c>
      <c r="E5" s="132">
        <f>IF(SER_hh_fec_in!E5=0,0,11630*1000*SER_hh_fec_in!E5/SER_hh_num_in!E5)</f>
        <v>0</v>
      </c>
      <c r="F5" s="132">
        <f>IF(SER_hh_fec_in!F5=0,0,11630*1000*SER_hh_fec_in!F5/SER_hh_num_in!F5)</f>
        <v>0</v>
      </c>
      <c r="G5" s="132">
        <f>IF(SER_hh_fec_in!G5=0,0,11630*1000*SER_hh_fec_in!G5/SER_hh_num_in!G5)</f>
        <v>0</v>
      </c>
      <c r="H5" s="132">
        <f>IF(SER_hh_fec_in!H5=0,0,11630*1000*SER_hh_fec_in!H5/SER_hh_num_in!H5)</f>
        <v>0</v>
      </c>
      <c r="I5" s="132">
        <f>IF(SER_hh_fec_in!I5=0,0,11630*1000*SER_hh_fec_in!I5/SER_hh_num_in!I5)</f>
        <v>0</v>
      </c>
      <c r="J5" s="132">
        <f>IF(SER_hh_fec_in!J5=0,0,11630*1000*SER_hh_fec_in!J5/SER_hh_num_in!J5)</f>
        <v>0</v>
      </c>
      <c r="K5" s="132">
        <f>IF(SER_hh_fec_in!K5=0,0,11630*1000*SER_hh_fec_in!K5/SER_hh_num_in!K5)</f>
        <v>0</v>
      </c>
      <c r="L5" s="132">
        <f>IF(SER_hh_fec_in!L5=0,0,11630*1000*SER_hh_fec_in!L5/SER_hh_num_in!L5)</f>
        <v>0</v>
      </c>
      <c r="M5" s="132">
        <f>IF(SER_hh_fec_in!M5=0,0,11630*1000*SER_hh_fec_in!M5/SER_hh_num_in!M5)</f>
        <v>0</v>
      </c>
      <c r="N5" s="132">
        <f>IF(SER_hh_fec_in!N5=0,0,11630*1000*SER_hh_fec_in!N5/SER_hh_num_in!N5)</f>
        <v>0</v>
      </c>
      <c r="O5" s="132">
        <f>IF(SER_hh_fec_in!O5=0,0,11630*1000*SER_hh_fec_in!O5/SER_hh_num_in!O5)</f>
        <v>0</v>
      </c>
      <c r="P5" s="132">
        <f>IF(SER_hh_fec_in!P5=0,0,11630*1000*SER_hh_fec_in!P5/SER_hh_num_in!P5)</f>
        <v>0</v>
      </c>
      <c r="Q5" s="132">
        <f>IF(SER_hh_fec_in!Q5=0,0,11630*1000*SER_hh_fec_in!Q5/SER_hh_num_in!Q5)</f>
        <v>0</v>
      </c>
      <c r="R5" s="132">
        <f>IF(SER_hh_fec_in!R5=0,0,11630*1000*SER_hh_fec_in!R5/SER_hh_num_in!R5)</f>
        <v>0</v>
      </c>
      <c r="S5" s="132">
        <f>IF(SER_hh_fec_in!S5=0,0,11630*1000*SER_hh_fec_in!S5/SER_hh_num_in!S5)</f>
        <v>0</v>
      </c>
      <c r="T5" s="132">
        <f>IF(SER_hh_fec_in!T5=0,0,11630*1000*SER_hh_fec_in!T5/SER_hh_num_in!T5)</f>
        <v>0</v>
      </c>
      <c r="U5" s="132">
        <f>IF(SER_hh_fec_in!U5=0,0,11630*1000*SER_hh_fec_in!U5/SER_hh_num_in!U5)</f>
        <v>0</v>
      </c>
      <c r="V5" s="132">
        <f>IF(SER_hh_fec_in!V5=0,0,11630*1000*SER_hh_fec_in!V5/SER_hh_num_in!V5)</f>
        <v>0</v>
      </c>
      <c r="W5" s="132">
        <f>IF(SER_hh_fec_in!W5=0,0,11630*1000*SER_hh_fec_in!W5/SER_hh_num_in!W5)</f>
        <v>0</v>
      </c>
      <c r="X5" s="132">
        <f>IF(SER_hh_fec_in!X5=0,0,11630*1000*SER_hh_fec_in!X5/SER_hh_num_in!X5)</f>
        <v>23192.395639678511</v>
      </c>
      <c r="Y5" s="132">
        <f>IF(SER_hh_fec_in!Y5=0,0,11630*1000*SER_hh_fec_in!Y5/SER_hh_num_in!Y5)</f>
        <v>45247.879547667813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0</v>
      </c>
      <c r="D6" s="132">
        <f>IF(SER_hh_fec_in!D6=0,0,11630*1000*SER_hh_fec_in!D6/SER_hh_num_in!D6)</f>
        <v>0</v>
      </c>
      <c r="E6" s="132">
        <f>IF(SER_hh_fec_in!E6=0,0,11630*1000*SER_hh_fec_in!E6/SER_hh_num_in!E6)</f>
        <v>0</v>
      </c>
      <c r="F6" s="132">
        <f>IF(SER_hh_fec_in!F6=0,0,11630*1000*SER_hh_fec_in!F6/SER_hh_num_in!F6)</f>
        <v>0</v>
      </c>
      <c r="G6" s="132">
        <f>IF(SER_hh_fec_in!G6=0,0,11630*1000*SER_hh_fec_in!G6/SER_hh_num_in!G6)</f>
        <v>0</v>
      </c>
      <c r="H6" s="132">
        <f>IF(SER_hh_fec_in!H6=0,0,11630*1000*SER_hh_fec_in!H6/SER_hh_num_in!H6)</f>
        <v>0</v>
      </c>
      <c r="I6" s="132">
        <f>IF(SER_hh_fec_in!I6=0,0,11630*1000*SER_hh_fec_in!I6/SER_hh_num_in!I6)</f>
        <v>0</v>
      </c>
      <c r="J6" s="132">
        <f>IF(SER_hh_fec_in!J6=0,0,11630*1000*SER_hh_fec_in!J6/SER_hh_num_in!J6)</f>
        <v>0</v>
      </c>
      <c r="K6" s="132">
        <f>IF(SER_hh_fec_in!K6=0,0,11630*1000*SER_hh_fec_in!K6/SER_hh_num_in!K6)</f>
        <v>0</v>
      </c>
      <c r="L6" s="132">
        <f>IF(SER_hh_fec_in!L6=0,0,11630*1000*SER_hh_fec_in!L6/SER_hh_num_in!L6)</f>
        <v>0</v>
      </c>
      <c r="M6" s="132">
        <f>IF(SER_hh_fec_in!M6=0,0,11630*1000*SER_hh_fec_in!M6/SER_hh_num_in!M6)</f>
        <v>0</v>
      </c>
      <c r="N6" s="132">
        <f>IF(SER_hh_fec_in!N6=0,0,11630*1000*SER_hh_fec_in!N6/SER_hh_num_in!N6)</f>
        <v>0</v>
      </c>
      <c r="O6" s="132">
        <f>IF(SER_hh_fec_in!O6=0,0,11630*1000*SER_hh_fec_in!O6/SER_hh_num_in!O6)</f>
        <v>0</v>
      </c>
      <c r="P6" s="132">
        <f>IF(SER_hh_fec_in!P6=0,0,11630*1000*SER_hh_fec_in!P6/SER_hh_num_in!P6)</f>
        <v>0</v>
      </c>
      <c r="Q6" s="132">
        <f>IF(SER_hh_fec_in!Q6=0,0,11630*1000*SER_hh_fec_in!Q6/SER_hh_num_in!Q6)</f>
        <v>0</v>
      </c>
      <c r="R6" s="132">
        <f>IF(SER_hh_fec_in!R6=0,0,11630*1000*SER_hh_fec_in!R6/SER_hh_num_in!R6)</f>
        <v>0</v>
      </c>
      <c r="S6" s="132">
        <f>IF(SER_hh_fec_in!S6=0,0,11630*1000*SER_hh_fec_in!S6/SER_hh_num_in!S6)</f>
        <v>0</v>
      </c>
      <c r="T6" s="132">
        <f>IF(SER_hh_fec_in!T6=0,0,11630*1000*SER_hh_fec_in!T6/SER_hh_num_in!T6)</f>
        <v>0</v>
      </c>
      <c r="U6" s="132">
        <f>IF(SER_hh_fec_in!U6=0,0,11630*1000*SER_hh_fec_in!U6/SER_hh_num_in!U6)</f>
        <v>0</v>
      </c>
      <c r="V6" s="132">
        <f>IF(SER_hh_fec_in!V6=0,0,11630*1000*SER_hh_fec_in!V6/SER_hh_num_in!V6)</f>
        <v>0</v>
      </c>
      <c r="W6" s="132">
        <f>IF(SER_hh_fec_in!W6=0,0,11630*1000*SER_hh_fec_in!W6/SER_hh_num_in!W6)</f>
        <v>0</v>
      </c>
      <c r="X6" s="132">
        <f>IF(SER_hh_fec_in!X6=0,0,11630*1000*SER_hh_fec_in!X6/SER_hh_num_in!X6)</f>
        <v>0</v>
      </c>
      <c r="Y6" s="132">
        <f>IF(SER_hh_fec_in!Y6=0,0,11630*1000*SER_hh_fec_in!Y6/SER_hh_num_in!Y6)</f>
        <v>0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71129.870798218661</v>
      </c>
      <c r="D7" s="132">
        <f>IF(SER_hh_fec_in!D7=0,0,11630*1000*SER_hh_fec_in!D7/SER_hh_num_in!D7)</f>
        <v>72920.450978896435</v>
      </c>
      <c r="E7" s="132">
        <f>IF(SER_hh_fec_in!E7=0,0,11630*1000*SER_hh_fec_in!E7/SER_hh_num_in!E7)</f>
        <v>77312.446890995838</v>
      </c>
      <c r="F7" s="132">
        <f>IF(SER_hh_fec_in!F7=0,0,11630*1000*SER_hh_fec_in!F7/SER_hh_num_in!F7)</f>
        <v>77379.070729144092</v>
      </c>
      <c r="G7" s="132">
        <f>IF(SER_hh_fec_in!G7=0,0,11630*1000*SER_hh_fec_in!G7/SER_hh_num_in!G7)</f>
        <v>97384.822327761183</v>
      </c>
      <c r="H7" s="132">
        <f>IF(SER_hh_fec_in!H7=0,0,11630*1000*SER_hh_fec_in!H7/SER_hh_num_in!H7)</f>
        <v>103526.78194866351</v>
      </c>
      <c r="I7" s="132">
        <f>IF(SER_hh_fec_in!I7=0,0,11630*1000*SER_hh_fec_in!I7/SER_hh_num_in!I7)</f>
        <v>0</v>
      </c>
      <c r="J7" s="132">
        <f>IF(SER_hh_fec_in!J7=0,0,11630*1000*SER_hh_fec_in!J7/SER_hh_num_in!J7)</f>
        <v>0</v>
      </c>
      <c r="K7" s="132">
        <f>IF(SER_hh_fec_in!K7=0,0,11630*1000*SER_hh_fec_in!K7/SER_hh_num_in!K7)</f>
        <v>0</v>
      </c>
      <c r="L7" s="132">
        <f>IF(SER_hh_fec_in!L7=0,0,11630*1000*SER_hh_fec_in!L7/SER_hh_num_in!L7)</f>
        <v>0</v>
      </c>
      <c r="M7" s="132">
        <f>IF(SER_hh_fec_in!M7=0,0,11630*1000*SER_hh_fec_in!M7/SER_hh_num_in!M7)</f>
        <v>77028.687720763279</v>
      </c>
      <c r="N7" s="132">
        <f>IF(SER_hh_fec_in!N7=0,0,11630*1000*SER_hh_fec_in!N7/SER_hh_num_in!N7)</f>
        <v>0</v>
      </c>
      <c r="O7" s="132">
        <f>IF(SER_hh_fec_in!O7=0,0,11630*1000*SER_hh_fec_in!O7/SER_hh_num_in!O7)</f>
        <v>0</v>
      </c>
      <c r="P7" s="132">
        <f>IF(SER_hh_fec_in!P7=0,0,11630*1000*SER_hh_fec_in!P7/SER_hh_num_in!P7)</f>
        <v>0</v>
      </c>
      <c r="Q7" s="132">
        <f>IF(SER_hh_fec_in!Q7=0,0,11630*1000*SER_hh_fec_in!Q7/SER_hh_num_in!Q7)</f>
        <v>0</v>
      </c>
      <c r="R7" s="132">
        <f>IF(SER_hh_fec_in!R7=0,0,11630*1000*SER_hh_fec_in!R7/SER_hh_num_in!R7)</f>
        <v>100904.96208601617</v>
      </c>
      <c r="S7" s="132">
        <f>IF(SER_hh_fec_in!S7=0,0,11630*1000*SER_hh_fec_in!S7/SER_hh_num_in!S7)</f>
        <v>52639.648965857545</v>
      </c>
      <c r="T7" s="132">
        <f>IF(SER_hh_fec_in!T7=0,0,11630*1000*SER_hh_fec_in!T7/SER_hh_num_in!T7)</f>
        <v>54851.723933070985</v>
      </c>
      <c r="U7" s="132">
        <f>IF(SER_hh_fec_in!U7=0,0,11630*1000*SER_hh_fec_in!U7/SER_hh_num_in!U7)</f>
        <v>62534.47271942025</v>
      </c>
      <c r="V7" s="132">
        <f>IF(SER_hh_fec_in!V7=0,0,11630*1000*SER_hh_fec_in!V7/SER_hh_num_in!V7)</f>
        <v>60404.375801889706</v>
      </c>
      <c r="W7" s="132">
        <f>IF(SER_hh_fec_in!W7=0,0,11630*1000*SER_hh_fec_in!W7/SER_hh_num_in!W7)</f>
        <v>35375.241474061884</v>
      </c>
      <c r="X7" s="132">
        <f>IF(SER_hh_fec_in!X7=0,0,11630*1000*SER_hh_fec_in!X7/SER_hh_num_in!X7)</f>
        <v>0</v>
      </c>
      <c r="Y7" s="132">
        <f>IF(SER_hh_fec_in!Y7=0,0,11630*1000*SER_hh_fec_in!Y7/SER_hh_num_in!Y7)</f>
        <v>0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20222.898212029857</v>
      </c>
      <c r="D8" s="132">
        <f>IF(SER_hh_fec_in!D8=0,0,11630*1000*SER_hh_fec_in!D8/SER_hh_num_in!D8)</f>
        <v>20431.472920878437</v>
      </c>
      <c r="E8" s="132">
        <f>IF(SER_hh_fec_in!E8=0,0,11630*1000*SER_hh_fec_in!E8/SER_hh_num_in!E8)</f>
        <v>21815.654205001796</v>
      </c>
      <c r="F8" s="132">
        <f>IF(SER_hh_fec_in!F8=0,0,11630*1000*SER_hh_fec_in!F8/SER_hh_num_in!F8)</f>
        <v>24481.004274000887</v>
      </c>
      <c r="G8" s="132">
        <f>IF(SER_hh_fec_in!G8=0,0,11630*1000*SER_hh_fec_in!G8/SER_hh_num_in!G8)</f>
        <v>28412.173510392437</v>
      </c>
      <c r="H8" s="132">
        <f>IF(SER_hh_fec_in!H8=0,0,11630*1000*SER_hh_fec_in!H8/SER_hh_num_in!H8)</f>
        <v>27327.754930803232</v>
      </c>
      <c r="I8" s="132">
        <f>IF(SER_hh_fec_in!I8=0,0,11630*1000*SER_hh_fec_in!I8/SER_hh_num_in!I8)</f>
        <v>25754.25970476765</v>
      </c>
      <c r="J8" s="132">
        <f>IF(SER_hh_fec_in!J8=0,0,11630*1000*SER_hh_fec_in!J8/SER_hh_num_in!J8)</f>
        <v>24284.566138489052</v>
      </c>
      <c r="K8" s="132">
        <f>IF(SER_hh_fec_in!K8=0,0,11630*1000*SER_hh_fec_in!K8/SER_hh_num_in!K8)</f>
        <v>21129.939037822725</v>
      </c>
      <c r="L8" s="132">
        <f>IF(SER_hh_fec_in!L8=0,0,11630*1000*SER_hh_fec_in!L8/SER_hh_num_in!L8)</f>
        <v>16374.995360243909</v>
      </c>
      <c r="M8" s="132">
        <f>IF(SER_hh_fec_in!M8=0,0,11630*1000*SER_hh_fec_in!M8/SER_hh_num_in!M8)</f>
        <v>12197.91992834829</v>
      </c>
      <c r="N8" s="132">
        <f>IF(SER_hh_fec_in!N8=0,0,11630*1000*SER_hh_fec_in!N8/SER_hh_num_in!N8)</f>
        <v>7853.0335418368959</v>
      </c>
      <c r="O8" s="132">
        <f>IF(SER_hh_fec_in!O8=0,0,11630*1000*SER_hh_fec_in!O8/SER_hh_num_in!O8)</f>
        <v>9098.1345128935463</v>
      </c>
      <c r="P8" s="132">
        <f>IF(SER_hh_fec_in!P8=0,0,11630*1000*SER_hh_fec_in!P8/SER_hh_num_in!P8)</f>
        <v>12943.07283579174</v>
      </c>
      <c r="Q8" s="132">
        <f>IF(SER_hh_fec_in!Q8=0,0,11630*1000*SER_hh_fec_in!Q8/SER_hh_num_in!Q8)</f>
        <v>19647.467138611431</v>
      </c>
      <c r="R8" s="132">
        <f>IF(SER_hh_fec_in!R8=0,0,11630*1000*SER_hh_fec_in!R8/SER_hh_num_in!R8)</f>
        <v>16106.090027785827</v>
      </c>
      <c r="S8" s="132">
        <f>IF(SER_hh_fec_in!S8=0,0,11630*1000*SER_hh_fec_in!S8/SER_hh_num_in!S8)</f>
        <v>13991.220053042536</v>
      </c>
      <c r="T8" s="132">
        <f>IF(SER_hh_fec_in!T8=0,0,11630*1000*SER_hh_fec_in!T8/SER_hh_num_in!T8)</f>
        <v>12790.779643274524</v>
      </c>
      <c r="U8" s="132">
        <f>IF(SER_hh_fec_in!U8=0,0,11630*1000*SER_hh_fec_in!U8/SER_hh_num_in!U8)</f>
        <v>11540.902049243738</v>
      </c>
      <c r="V8" s="132">
        <f>IF(SER_hh_fec_in!V8=0,0,11630*1000*SER_hh_fec_in!V8/SER_hh_num_in!V8)</f>
        <v>11123.189813817877</v>
      </c>
      <c r="W8" s="132">
        <f>IF(SER_hh_fec_in!W8=0,0,11630*1000*SER_hh_fec_in!W8/SER_hh_num_in!W8)</f>
        <v>9535.1116707372075</v>
      </c>
      <c r="X8" s="132">
        <f>IF(SER_hh_fec_in!X8=0,0,11630*1000*SER_hh_fec_in!X8/SER_hh_num_in!X8)</f>
        <v>7495.63920787392</v>
      </c>
      <c r="Y8" s="132">
        <f>IF(SER_hh_fec_in!Y8=0,0,11630*1000*SER_hh_fec_in!Y8/SER_hh_num_in!Y8)</f>
        <v>8516.288911205731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56461.585247728195</v>
      </c>
      <c r="D9" s="132">
        <f>IF(SER_hh_fec_in!D9=0,0,11630*1000*SER_hh_fec_in!D9/SER_hh_num_in!D9)</f>
        <v>55567.983653719384</v>
      </c>
      <c r="E9" s="132">
        <f>IF(SER_hh_fec_in!E9=0,0,11630*1000*SER_hh_fec_in!E9/SER_hh_num_in!E9)</f>
        <v>65390.401570761904</v>
      </c>
      <c r="F9" s="132">
        <f>IF(SER_hh_fec_in!F9=0,0,11630*1000*SER_hh_fec_in!F9/SER_hh_num_in!F9)</f>
        <v>77474.366093197605</v>
      </c>
      <c r="G9" s="132">
        <f>IF(SER_hh_fec_in!G9=0,0,11630*1000*SER_hh_fec_in!G9/SER_hh_num_in!G9)</f>
        <v>96376.50118660662</v>
      </c>
      <c r="H9" s="132">
        <f>IF(SER_hh_fec_in!H9=0,0,11630*1000*SER_hh_fec_in!H9/SER_hh_num_in!H9)</f>
        <v>98155.134837561694</v>
      </c>
      <c r="I9" s="132">
        <f>IF(SER_hh_fec_in!I9=0,0,11630*1000*SER_hh_fec_in!I9/SER_hh_num_in!I9)</f>
        <v>93001.91176521426</v>
      </c>
      <c r="J9" s="132">
        <f>IF(SER_hh_fec_in!J9=0,0,11630*1000*SER_hh_fec_in!J9/SER_hh_num_in!J9)</f>
        <v>101536.96144668052</v>
      </c>
      <c r="K9" s="132">
        <f>IF(SER_hh_fec_in!K9=0,0,11630*1000*SER_hh_fec_in!K9/SER_hh_num_in!K9)</f>
        <v>93788.645145364193</v>
      </c>
      <c r="L9" s="132">
        <f>IF(SER_hh_fec_in!L9=0,0,11630*1000*SER_hh_fec_in!L9/SER_hh_num_in!L9)</f>
        <v>69359.405469000922</v>
      </c>
      <c r="M9" s="132">
        <f>IF(SER_hh_fec_in!M9=0,0,11630*1000*SER_hh_fec_in!M9/SER_hh_num_in!M9)</f>
        <v>93044.748525983014</v>
      </c>
      <c r="N9" s="132">
        <f>IF(SER_hh_fec_in!N9=0,0,11630*1000*SER_hh_fec_in!N9/SER_hh_num_in!N9)</f>
        <v>0</v>
      </c>
      <c r="O9" s="132">
        <f>IF(SER_hh_fec_in!O9=0,0,11630*1000*SER_hh_fec_in!O9/SER_hh_num_in!O9)</f>
        <v>0</v>
      </c>
      <c r="P9" s="132">
        <f>IF(SER_hh_fec_in!P9=0,0,11630*1000*SER_hh_fec_in!P9/SER_hh_num_in!P9)</f>
        <v>0</v>
      </c>
      <c r="Q9" s="132">
        <f>IF(SER_hh_fec_in!Q9=0,0,11630*1000*SER_hh_fec_in!Q9/SER_hh_num_in!Q9)</f>
        <v>77713.401190578414</v>
      </c>
      <c r="R9" s="132">
        <f>IF(SER_hh_fec_in!R9=0,0,11630*1000*SER_hh_fec_in!R9/SER_hh_num_in!R9)</f>
        <v>0</v>
      </c>
      <c r="S9" s="132">
        <f>IF(SER_hh_fec_in!S9=0,0,11630*1000*SER_hh_fec_in!S9/SER_hh_num_in!S9)</f>
        <v>62619.877290707198</v>
      </c>
      <c r="T9" s="132">
        <f>IF(SER_hh_fec_in!T9=0,0,11630*1000*SER_hh_fec_in!T9/SER_hh_num_in!T9)</f>
        <v>56070.322291564953</v>
      </c>
      <c r="U9" s="132">
        <f>IF(SER_hh_fec_in!U9=0,0,11630*1000*SER_hh_fec_in!U9/SER_hh_num_in!U9)</f>
        <v>60697.541694857639</v>
      </c>
      <c r="V9" s="132">
        <f>IF(SER_hh_fec_in!V9=0,0,11630*1000*SER_hh_fec_in!V9/SER_hh_num_in!V9)</f>
        <v>49161.824575374434</v>
      </c>
      <c r="W9" s="132">
        <f>IF(SER_hh_fec_in!W9=0,0,11630*1000*SER_hh_fec_in!W9/SER_hh_num_in!W9)</f>
        <v>44578.512772320493</v>
      </c>
      <c r="X9" s="132">
        <f>IF(SER_hh_fec_in!X9=0,0,11630*1000*SER_hh_fec_in!X9/SER_hh_num_in!X9)</f>
        <v>0</v>
      </c>
      <c r="Y9" s="132">
        <f>IF(SER_hh_fec_in!Y9=0,0,11630*1000*SER_hh_fec_in!Y9/SER_hh_num_in!Y9)</f>
        <v>37630.650143604777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0</v>
      </c>
      <c r="D10" s="132">
        <f>IF(SER_hh_fec_in!D10=0,0,11630*1000*SER_hh_fec_in!D10/SER_hh_num_in!D10)</f>
        <v>0</v>
      </c>
      <c r="E10" s="132">
        <f>IF(SER_hh_fec_in!E10=0,0,11630*1000*SER_hh_fec_in!E10/SER_hh_num_in!E10)</f>
        <v>0</v>
      </c>
      <c r="F10" s="132">
        <f>IF(SER_hh_fec_in!F10=0,0,11630*1000*SER_hh_fec_in!F10/SER_hh_num_in!F10)</f>
        <v>0</v>
      </c>
      <c r="G10" s="132">
        <f>IF(SER_hh_fec_in!G10=0,0,11630*1000*SER_hh_fec_in!G10/SER_hh_num_in!G10)</f>
        <v>0</v>
      </c>
      <c r="H10" s="132">
        <f>IF(SER_hh_fec_in!H10=0,0,11630*1000*SER_hh_fec_in!H10/SER_hh_num_in!H10)</f>
        <v>0</v>
      </c>
      <c r="I10" s="132">
        <f>IF(SER_hh_fec_in!I10=0,0,11630*1000*SER_hh_fec_in!I10/SER_hh_num_in!I10)</f>
        <v>0</v>
      </c>
      <c r="J10" s="132">
        <f>IF(SER_hh_fec_in!J10=0,0,11630*1000*SER_hh_fec_in!J10/SER_hh_num_in!J10)</f>
        <v>0</v>
      </c>
      <c r="K10" s="132">
        <f>IF(SER_hh_fec_in!K10=0,0,11630*1000*SER_hh_fec_in!K10/SER_hh_num_in!K10)</f>
        <v>0</v>
      </c>
      <c r="L10" s="132">
        <f>IF(SER_hh_fec_in!L10=0,0,11630*1000*SER_hh_fec_in!L10/SER_hh_num_in!L10)</f>
        <v>0</v>
      </c>
      <c r="M10" s="132">
        <f>IF(SER_hh_fec_in!M10=0,0,11630*1000*SER_hh_fec_in!M10/SER_hh_num_in!M10)</f>
        <v>0</v>
      </c>
      <c r="N10" s="132">
        <f>IF(SER_hh_fec_in!N10=0,0,11630*1000*SER_hh_fec_in!N10/SER_hh_num_in!N10)</f>
        <v>131173.77058136094</v>
      </c>
      <c r="O10" s="132">
        <f>IF(SER_hh_fec_in!O10=0,0,11630*1000*SER_hh_fec_in!O10/SER_hh_num_in!O10)</f>
        <v>69255.966885154994</v>
      </c>
      <c r="P10" s="132">
        <f>IF(SER_hh_fec_in!P10=0,0,11630*1000*SER_hh_fec_in!P10/SER_hh_num_in!P10)</f>
        <v>50200.242936454939</v>
      </c>
      <c r="Q10" s="132">
        <f>IF(SER_hh_fec_in!Q10=0,0,11630*1000*SER_hh_fec_in!Q10/SER_hh_num_in!Q10)</f>
        <v>145033.37050208962</v>
      </c>
      <c r="R10" s="132">
        <f>IF(SER_hh_fec_in!R10=0,0,11630*1000*SER_hh_fec_in!R10/SER_hh_num_in!R10)</f>
        <v>0</v>
      </c>
      <c r="S10" s="132">
        <f>IF(SER_hh_fec_in!S10=0,0,11630*1000*SER_hh_fec_in!S10/SER_hh_num_in!S10)</f>
        <v>0</v>
      </c>
      <c r="T10" s="132">
        <f>IF(SER_hh_fec_in!T10=0,0,11630*1000*SER_hh_fec_in!T10/SER_hh_num_in!T10)</f>
        <v>0</v>
      </c>
      <c r="U10" s="132">
        <f>IF(SER_hh_fec_in!U10=0,0,11630*1000*SER_hh_fec_in!U10/SER_hh_num_in!U10)</f>
        <v>0</v>
      </c>
      <c r="V10" s="132">
        <f>IF(SER_hh_fec_in!V10=0,0,11630*1000*SER_hh_fec_in!V10/SER_hh_num_in!V10)</f>
        <v>0</v>
      </c>
      <c r="W10" s="132">
        <f>IF(SER_hh_fec_in!W10=0,0,11630*1000*SER_hh_fec_in!W10/SER_hh_num_in!W10)</f>
        <v>0</v>
      </c>
      <c r="X10" s="132">
        <f>IF(SER_hh_fec_in!X10=0,0,11630*1000*SER_hh_fec_in!X10/SER_hh_num_in!X10)</f>
        <v>0</v>
      </c>
      <c r="Y10" s="132">
        <f>IF(SER_hh_fec_in!Y10=0,0,11630*1000*SER_hh_fec_in!Y10/SER_hh_num_in!Y10)</f>
        <v>0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0</v>
      </c>
      <c r="D11" s="132">
        <f>IF(SER_hh_fec_in!D11=0,0,11630*1000*SER_hh_fec_in!D11/SER_hh_num_in!D11)</f>
        <v>0</v>
      </c>
      <c r="E11" s="132">
        <f>IF(SER_hh_fec_in!E11=0,0,11630*1000*SER_hh_fec_in!E11/SER_hh_num_in!E11)</f>
        <v>0</v>
      </c>
      <c r="F11" s="132">
        <f>IF(SER_hh_fec_in!F11=0,0,11630*1000*SER_hh_fec_in!F11/SER_hh_num_in!F11)</f>
        <v>67166.399201561377</v>
      </c>
      <c r="G11" s="132">
        <f>IF(SER_hh_fec_in!G11=0,0,11630*1000*SER_hh_fec_in!G11/SER_hh_num_in!G11)</f>
        <v>51790.506972317591</v>
      </c>
      <c r="H11" s="132">
        <f>IF(SER_hh_fec_in!H11=0,0,11630*1000*SER_hh_fec_in!H11/SER_hh_num_in!H11)</f>
        <v>49525.666862466031</v>
      </c>
      <c r="I11" s="132">
        <f>IF(SER_hh_fec_in!I11=0,0,11630*1000*SER_hh_fec_in!I11/SER_hh_num_in!I11)</f>
        <v>0</v>
      </c>
      <c r="J11" s="132">
        <f>IF(SER_hh_fec_in!J11=0,0,11630*1000*SER_hh_fec_in!J11/SER_hh_num_in!J11)</f>
        <v>46947.104632474788</v>
      </c>
      <c r="K11" s="132">
        <f>IF(SER_hh_fec_in!K11=0,0,11630*1000*SER_hh_fec_in!K11/SER_hh_num_in!K11)</f>
        <v>51009.215324240526</v>
      </c>
      <c r="L11" s="132">
        <f>IF(SER_hh_fec_in!L11=0,0,11630*1000*SER_hh_fec_in!L11/SER_hh_num_in!L11)</f>
        <v>43682.781821212935</v>
      </c>
      <c r="M11" s="132">
        <f>IF(SER_hh_fec_in!M11=0,0,11630*1000*SER_hh_fec_in!M11/SER_hh_num_in!M11)</f>
        <v>39770.355759614387</v>
      </c>
      <c r="N11" s="132">
        <f>IF(SER_hh_fec_in!N11=0,0,11630*1000*SER_hh_fec_in!N11/SER_hh_num_in!N11)</f>
        <v>39118.955152374016</v>
      </c>
      <c r="O11" s="132">
        <f>IF(SER_hh_fec_in!O11=0,0,11630*1000*SER_hh_fec_in!O11/SER_hh_num_in!O11)</f>
        <v>36623.4488187639</v>
      </c>
      <c r="P11" s="132">
        <f>IF(SER_hh_fec_in!P11=0,0,11630*1000*SER_hh_fec_in!P11/SER_hh_num_in!P11)</f>
        <v>40659.866211501918</v>
      </c>
      <c r="Q11" s="132">
        <f>IF(SER_hh_fec_in!Q11=0,0,11630*1000*SER_hh_fec_in!Q11/SER_hh_num_in!Q11)</f>
        <v>0</v>
      </c>
      <c r="R11" s="132">
        <f>IF(SER_hh_fec_in!R11=0,0,11630*1000*SER_hh_fec_in!R11/SER_hh_num_in!R11)</f>
        <v>0</v>
      </c>
      <c r="S11" s="132">
        <f>IF(SER_hh_fec_in!S11=0,0,11630*1000*SER_hh_fec_in!S11/SER_hh_num_in!S11)</f>
        <v>41411.046979502753</v>
      </c>
      <c r="T11" s="132">
        <f>IF(SER_hh_fec_in!T11=0,0,11630*1000*SER_hh_fec_in!T11/SER_hh_num_in!T11)</f>
        <v>39580.564154962543</v>
      </c>
      <c r="U11" s="132">
        <f>IF(SER_hh_fec_in!U11=0,0,11630*1000*SER_hh_fec_in!U11/SER_hh_num_in!U11)</f>
        <v>51597.248689418506</v>
      </c>
      <c r="V11" s="132">
        <f>IF(SER_hh_fec_in!V11=0,0,11630*1000*SER_hh_fec_in!V11/SER_hh_num_in!V11)</f>
        <v>16151.679640313503</v>
      </c>
      <c r="W11" s="132">
        <f>IF(SER_hh_fec_in!W11=0,0,11630*1000*SER_hh_fec_in!W11/SER_hh_num_in!W11)</f>
        <v>12864.649146204432</v>
      </c>
      <c r="X11" s="132">
        <f>IF(SER_hh_fec_in!X11=0,0,11630*1000*SER_hh_fec_in!X11/SER_hh_num_in!X11)</f>
        <v>26081.215501443003</v>
      </c>
      <c r="Y11" s="132">
        <f>IF(SER_hh_fec_in!Y11=0,0,11630*1000*SER_hh_fec_in!Y11/SER_hh_num_in!Y11)</f>
        <v>26329.47160525704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0</v>
      </c>
      <c r="D12" s="132">
        <f>IF(SER_hh_fec_in!D12=0,0,11630*1000*SER_hh_fec_in!D12/SER_hh_num_in!D12)</f>
        <v>0</v>
      </c>
      <c r="E12" s="132">
        <f>IF(SER_hh_fec_in!E12=0,0,11630*1000*SER_hh_fec_in!E12/SER_hh_num_in!E12)</f>
        <v>0</v>
      </c>
      <c r="F12" s="132">
        <f>IF(SER_hh_fec_in!F12=0,0,11630*1000*SER_hh_fec_in!F12/SER_hh_num_in!F12)</f>
        <v>0</v>
      </c>
      <c r="G12" s="132">
        <f>IF(SER_hh_fec_in!G12=0,0,11630*1000*SER_hh_fec_in!G12/SER_hh_num_in!G12)</f>
        <v>0</v>
      </c>
      <c r="H12" s="132">
        <f>IF(SER_hh_fec_in!H12=0,0,11630*1000*SER_hh_fec_in!H12/SER_hh_num_in!H12)</f>
        <v>0</v>
      </c>
      <c r="I12" s="132">
        <f>IF(SER_hh_fec_in!I12=0,0,11630*1000*SER_hh_fec_in!I12/SER_hh_num_in!I12)</f>
        <v>0</v>
      </c>
      <c r="J12" s="132">
        <f>IF(SER_hh_fec_in!J12=0,0,11630*1000*SER_hh_fec_in!J12/SER_hh_num_in!J12)</f>
        <v>0</v>
      </c>
      <c r="K12" s="132">
        <f>IF(SER_hh_fec_in!K12=0,0,11630*1000*SER_hh_fec_in!K12/SER_hh_num_in!K12)</f>
        <v>0</v>
      </c>
      <c r="L12" s="132">
        <f>IF(SER_hh_fec_in!L12=0,0,11630*1000*SER_hh_fec_in!L12/SER_hh_num_in!L12)</f>
        <v>0</v>
      </c>
      <c r="M12" s="132">
        <f>IF(SER_hh_fec_in!M12=0,0,11630*1000*SER_hh_fec_in!M12/SER_hh_num_in!M12)</f>
        <v>0</v>
      </c>
      <c r="N12" s="132">
        <f>IF(SER_hh_fec_in!N12=0,0,11630*1000*SER_hh_fec_in!N12/SER_hh_num_in!N12)</f>
        <v>0</v>
      </c>
      <c r="O12" s="132">
        <f>IF(SER_hh_fec_in!O12=0,0,11630*1000*SER_hh_fec_in!O12/SER_hh_num_in!O12)</f>
        <v>0</v>
      </c>
      <c r="P12" s="132">
        <f>IF(SER_hh_fec_in!P12=0,0,11630*1000*SER_hh_fec_in!P12/SER_hh_num_in!P12)</f>
        <v>0</v>
      </c>
      <c r="Q12" s="132">
        <f>IF(SER_hh_fec_in!Q12=0,0,11630*1000*SER_hh_fec_in!Q12/SER_hh_num_in!Q12)</f>
        <v>0</v>
      </c>
      <c r="R12" s="132">
        <f>IF(SER_hh_fec_in!R12=0,0,11630*1000*SER_hh_fec_in!R12/SER_hh_num_in!R12)</f>
        <v>0</v>
      </c>
      <c r="S12" s="132">
        <f>IF(SER_hh_fec_in!S12=0,0,11630*1000*SER_hh_fec_in!S12/SER_hh_num_in!S12)</f>
        <v>0</v>
      </c>
      <c r="T12" s="132">
        <f>IF(SER_hh_fec_in!T12=0,0,11630*1000*SER_hh_fec_in!T12/SER_hh_num_in!T12)</f>
        <v>0</v>
      </c>
      <c r="U12" s="132">
        <f>IF(SER_hh_fec_in!U12=0,0,11630*1000*SER_hh_fec_in!U12/SER_hh_num_in!U12)</f>
        <v>0</v>
      </c>
      <c r="V12" s="132">
        <f>IF(SER_hh_fec_in!V12=0,0,11630*1000*SER_hh_fec_in!V12/SER_hh_num_in!V12)</f>
        <v>0</v>
      </c>
      <c r="W12" s="132">
        <f>IF(SER_hh_fec_in!W12=0,0,11630*1000*SER_hh_fec_in!W12/SER_hh_num_in!W12)</f>
        <v>0</v>
      </c>
      <c r="X12" s="132">
        <f>IF(SER_hh_fec_in!X12=0,0,11630*1000*SER_hh_fec_in!X12/SER_hh_num_in!X12)</f>
        <v>0</v>
      </c>
      <c r="Y12" s="132">
        <f>IF(SER_hh_fec_in!Y12=0,0,11630*1000*SER_hh_fec_in!Y12/SER_hh_num_in!Y12)</f>
        <v>0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18854.242820556283</v>
      </c>
      <c r="D13" s="132">
        <f>IF(SER_hh_fec_in!D13=0,0,11630*1000*SER_hh_fec_in!D13/SER_hh_num_in!D13)</f>
        <v>18399.062075277234</v>
      </c>
      <c r="E13" s="132">
        <f>IF(SER_hh_fec_in!E13=0,0,11630*1000*SER_hh_fec_in!E13/SER_hh_num_in!E13)</f>
        <v>18824.921693158682</v>
      </c>
      <c r="F13" s="132">
        <f>IF(SER_hh_fec_in!F13=0,0,11630*1000*SER_hh_fec_in!F13/SER_hh_num_in!F13)</f>
        <v>21939.445979864035</v>
      </c>
      <c r="G13" s="132">
        <f>IF(SER_hh_fec_in!G13=0,0,11630*1000*SER_hh_fec_in!G13/SER_hh_num_in!G13)</f>
        <v>20141.453601798083</v>
      </c>
      <c r="H13" s="132">
        <f>IF(SER_hh_fec_in!H13=0,0,11630*1000*SER_hh_fec_in!H13/SER_hh_num_in!H13)</f>
        <v>20935.583787664633</v>
      </c>
      <c r="I13" s="132">
        <f>IF(SER_hh_fec_in!I13=0,0,11630*1000*SER_hh_fec_in!I13/SER_hh_num_in!I13)</f>
        <v>21815.433017245396</v>
      </c>
      <c r="J13" s="132">
        <f>IF(SER_hh_fec_in!J13=0,0,11630*1000*SER_hh_fec_in!J13/SER_hh_num_in!J13)</f>
        <v>20595.61453919753</v>
      </c>
      <c r="K13" s="132">
        <f>IF(SER_hh_fec_in!K13=0,0,11630*1000*SER_hh_fec_in!K13/SER_hh_num_in!K13)</f>
        <v>18632.990578155797</v>
      </c>
      <c r="L13" s="132">
        <f>IF(SER_hh_fec_in!L13=0,0,11630*1000*SER_hh_fec_in!L13/SER_hh_num_in!L13)</f>
        <v>15208.90241095766</v>
      </c>
      <c r="M13" s="132">
        <f>IF(SER_hh_fec_in!M13=0,0,11630*1000*SER_hh_fec_in!M13/SER_hh_num_in!M13)</f>
        <v>12941.275696641165</v>
      </c>
      <c r="N13" s="132">
        <f>IF(SER_hh_fec_in!N13=0,0,11630*1000*SER_hh_fec_in!N13/SER_hh_num_in!N13)</f>
        <v>13384.992674541425</v>
      </c>
      <c r="O13" s="132">
        <f>IF(SER_hh_fec_in!O13=0,0,11630*1000*SER_hh_fec_in!O13/SER_hh_num_in!O13)</f>
        <v>11231.993510091645</v>
      </c>
      <c r="P13" s="132">
        <f>IF(SER_hh_fec_in!P13=0,0,11630*1000*SER_hh_fec_in!P13/SER_hh_num_in!P13)</f>
        <v>11424.912359844066</v>
      </c>
      <c r="Q13" s="132">
        <f>IF(SER_hh_fec_in!Q13=0,0,11630*1000*SER_hh_fec_in!Q13/SER_hh_num_in!Q13)</f>
        <v>12832.462925784641</v>
      </c>
      <c r="R13" s="132">
        <f>IF(SER_hh_fec_in!R13=0,0,11630*1000*SER_hh_fec_in!R13/SER_hh_num_in!R13)</f>
        <v>11954.853600134942</v>
      </c>
      <c r="S13" s="132">
        <f>IF(SER_hh_fec_in!S13=0,0,11630*1000*SER_hh_fec_in!S13/SER_hh_num_in!S13)</f>
        <v>10768.324607093979</v>
      </c>
      <c r="T13" s="132">
        <f>IF(SER_hh_fec_in!T13=0,0,11630*1000*SER_hh_fec_in!T13/SER_hh_num_in!T13)</f>
        <v>10089.658985416148</v>
      </c>
      <c r="U13" s="132">
        <f>IF(SER_hh_fec_in!U13=0,0,11630*1000*SER_hh_fec_in!U13/SER_hh_num_in!U13)</f>
        <v>9154.6892507924676</v>
      </c>
      <c r="V13" s="132">
        <f>IF(SER_hh_fec_in!V13=0,0,11630*1000*SER_hh_fec_in!V13/SER_hh_num_in!V13)</f>
        <v>8496.4981755574972</v>
      </c>
      <c r="W13" s="132">
        <f>IF(SER_hh_fec_in!W13=0,0,11630*1000*SER_hh_fec_in!W13/SER_hh_num_in!W13)</f>
        <v>7616.7975494176417</v>
      </c>
      <c r="X13" s="132">
        <f>IF(SER_hh_fec_in!X13=0,0,11630*1000*SER_hh_fec_in!X13/SER_hh_num_in!X13)</f>
        <v>5989.5406168613836</v>
      </c>
      <c r="Y13" s="132">
        <f>IF(SER_hh_fec_in!Y13=0,0,11630*1000*SER_hh_fec_in!Y13/SER_hh_num_in!Y13)</f>
        <v>6529.7512559398774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48281.293560093116</v>
      </c>
      <c r="D14" s="65">
        <f>IF(SER_hh_fec_in!D14=0,0,11630*1000*SER_hh_fec_in!D14/SER_hh_num_in!D14)</f>
        <v>48203.187541194238</v>
      </c>
      <c r="E14" s="65">
        <f>IF(SER_hh_fec_in!E14=0,0,11630*1000*SER_hh_fec_in!E14/SER_hh_num_in!E14)</f>
        <v>54369.078966807596</v>
      </c>
      <c r="F14" s="65">
        <f>IF(SER_hh_fec_in!F14=0,0,11630*1000*SER_hh_fec_in!F14/SER_hh_num_in!F14)</f>
        <v>64469.718844768089</v>
      </c>
      <c r="G14" s="65">
        <f>IF(SER_hh_fec_in!G14=0,0,11630*1000*SER_hh_fec_in!G14/SER_hh_num_in!G14)</f>
        <v>62021.370910161386</v>
      </c>
      <c r="H14" s="65">
        <f>IF(SER_hh_fec_in!H14=0,0,11630*1000*SER_hh_fec_in!H14/SER_hh_num_in!H14)</f>
        <v>70799.200966409931</v>
      </c>
      <c r="I14" s="65">
        <f>IF(SER_hh_fec_in!I14=0,0,11630*1000*SER_hh_fec_in!I14/SER_hh_num_in!I14)</f>
        <v>73275.295450876176</v>
      </c>
      <c r="J14" s="65">
        <f>IF(SER_hh_fec_in!J14=0,0,11630*1000*SER_hh_fec_in!J14/SER_hh_num_in!J14)</f>
        <v>79137.460670176093</v>
      </c>
      <c r="K14" s="65">
        <f>IF(SER_hh_fec_in!K14=0,0,11630*1000*SER_hh_fec_in!K14/SER_hh_num_in!K14)</f>
        <v>81202.360052736287</v>
      </c>
      <c r="L14" s="65">
        <f>IF(SER_hh_fec_in!L14=0,0,11630*1000*SER_hh_fec_in!L14/SER_hh_num_in!L14)</f>
        <v>0</v>
      </c>
      <c r="M14" s="65">
        <f>IF(SER_hh_fec_in!M14=0,0,11630*1000*SER_hh_fec_in!M14/SER_hh_num_in!M14)</f>
        <v>0</v>
      </c>
      <c r="N14" s="65">
        <f>IF(SER_hh_fec_in!N14=0,0,11630*1000*SER_hh_fec_in!N14/SER_hh_num_in!N14)</f>
        <v>0</v>
      </c>
      <c r="O14" s="65">
        <f>IF(SER_hh_fec_in!O14=0,0,11630*1000*SER_hh_fec_in!O14/SER_hh_num_in!O14)</f>
        <v>0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80911.155360052901</v>
      </c>
      <c r="S14" s="65">
        <f>IF(SER_hh_fec_in!S14=0,0,11630*1000*SER_hh_fec_in!S14/SER_hh_num_in!S14)</f>
        <v>71499.952904782534</v>
      </c>
      <c r="T14" s="65">
        <f>IF(SER_hh_fec_in!T14=0,0,11630*1000*SER_hh_fec_in!T14/SER_hh_num_in!T14)</f>
        <v>0</v>
      </c>
      <c r="U14" s="65">
        <f>IF(SER_hh_fec_in!U14=0,0,11630*1000*SER_hh_fec_in!U14/SER_hh_num_in!U14)</f>
        <v>0</v>
      </c>
      <c r="V14" s="65">
        <f>IF(SER_hh_fec_in!V14=0,0,11630*1000*SER_hh_fec_in!V14/SER_hh_num_in!V14)</f>
        <v>0</v>
      </c>
      <c r="W14" s="65">
        <f>IF(SER_hh_fec_in!W14=0,0,11630*1000*SER_hh_fec_in!W14/SER_hh_num_in!W14)</f>
        <v>31552.348006995886</v>
      </c>
      <c r="X14" s="65">
        <f>IF(SER_hh_fec_in!X14=0,0,11630*1000*SER_hh_fec_in!X14/SER_hh_num_in!X14)</f>
        <v>34544.507038229429</v>
      </c>
      <c r="Y14" s="65">
        <f>IF(SER_hh_fec_in!Y14=0,0,11630*1000*SER_hh_fec_in!Y14/SER_hh_num_in!Y14)</f>
        <v>30840.080692659001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579.96127134879168</v>
      </c>
      <c r="D15" s="134">
        <f>IF(SER_hh_fec_in!D15=0,0,11630*1000*SER_hh_fec_in!D15/SER_hh_num_in!D15)</f>
        <v>564.2270405706887</v>
      </c>
      <c r="E15" s="134">
        <f>IF(SER_hh_fec_in!E15=0,0,11630*1000*SER_hh_fec_in!E15/SER_hh_num_in!E15)</f>
        <v>605.56677911231168</v>
      </c>
      <c r="F15" s="134">
        <f>IF(SER_hh_fec_in!F15=0,0,11630*1000*SER_hh_fec_in!F15/SER_hh_num_in!F15)</f>
        <v>540.48635103787296</v>
      </c>
      <c r="G15" s="134">
        <f>IF(SER_hh_fec_in!G15=0,0,11630*1000*SER_hh_fec_in!G15/SER_hh_num_in!G15)</f>
        <v>768.64337743897443</v>
      </c>
      <c r="H15" s="134">
        <f>IF(SER_hh_fec_in!H15=0,0,11630*1000*SER_hh_fec_in!H15/SER_hh_num_in!H15)</f>
        <v>812.90247383423798</v>
      </c>
      <c r="I15" s="134">
        <f>IF(SER_hh_fec_in!I15=0,0,11630*1000*SER_hh_fec_in!I15/SER_hh_num_in!I15)</f>
        <v>770.62560362720819</v>
      </c>
      <c r="J15" s="134">
        <f>IF(SER_hh_fec_in!J15=0,0,11630*1000*SER_hh_fec_in!J15/SER_hh_num_in!J15)</f>
        <v>819.65265111695737</v>
      </c>
      <c r="K15" s="134">
        <f>IF(SER_hh_fec_in!K15=0,0,11630*1000*SER_hh_fec_in!K15/SER_hh_num_in!K15)</f>
        <v>718.86962599526134</v>
      </c>
      <c r="L15" s="134">
        <f>IF(SER_hh_fec_in!L15=0,0,11630*1000*SER_hh_fec_in!L15/SER_hh_num_in!L15)</f>
        <v>522.92723031889159</v>
      </c>
      <c r="M15" s="134">
        <f>IF(SER_hh_fec_in!M15=0,0,11630*1000*SER_hh_fec_in!M15/SER_hh_num_in!M15)</f>
        <v>583.34523943338854</v>
      </c>
      <c r="N15" s="134">
        <f>IF(SER_hh_fec_in!N15=0,0,11630*1000*SER_hh_fec_in!N15/SER_hh_num_in!N15)</f>
        <v>445.67436028499708</v>
      </c>
      <c r="O15" s="134">
        <f>IF(SER_hh_fec_in!O15=0,0,11630*1000*SER_hh_fec_in!O15/SER_hh_num_in!O15)</f>
        <v>156.85323057611541</v>
      </c>
      <c r="P15" s="134">
        <f>IF(SER_hh_fec_in!P15=0,0,11630*1000*SER_hh_fec_in!P15/SER_hh_num_in!P15)</f>
        <v>143.94018176986216</v>
      </c>
      <c r="Q15" s="134">
        <f>IF(SER_hh_fec_in!Q15=0,0,11630*1000*SER_hh_fec_in!Q15/SER_hh_num_in!Q15)</f>
        <v>304.86502496220254</v>
      </c>
      <c r="R15" s="134">
        <f>IF(SER_hh_fec_in!R15=0,0,11630*1000*SER_hh_fec_in!R15/SER_hh_num_in!R15)</f>
        <v>737.6161300511634</v>
      </c>
      <c r="S15" s="134">
        <f>IF(SER_hh_fec_in!S15=0,0,11630*1000*SER_hh_fec_in!S15/SER_hh_num_in!S15)</f>
        <v>524.52091392996556</v>
      </c>
      <c r="T15" s="134">
        <f>IF(SER_hh_fec_in!T15=0,0,11630*1000*SER_hh_fec_in!T15/SER_hh_num_in!T15)</f>
        <v>491.80768626650502</v>
      </c>
      <c r="U15" s="134">
        <f>IF(SER_hh_fec_in!U15=0,0,11630*1000*SER_hh_fec_in!U15/SER_hh_num_in!U15)</f>
        <v>546.45847656152534</v>
      </c>
      <c r="V15" s="134">
        <f>IF(SER_hh_fec_in!V15=0,0,11630*1000*SER_hh_fec_in!V15/SER_hh_num_in!V15)</f>
        <v>387.24934076417185</v>
      </c>
      <c r="W15" s="134">
        <f>IF(SER_hh_fec_in!W15=0,0,11630*1000*SER_hh_fec_in!W15/SER_hh_num_in!W15)</f>
        <v>337.0109503345239</v>
      </c>
      <c r="X15" s="134">
        <f>IF(SER_hh_fec_in!X15=0,0,11630*1000*SER_hh_fec_in!X15/SER_hh_num_in!X15)</f>
        <v>129.83887551508386</v>
      </c>
      <c r="Y15" s="134">
        <f>IF(SER_hh_fec_in!Y15=0,0,11630*1000*SER_hh_fec_in!Y15/SER_hh_num_in!Y15)</f>
        <v>244.78106208507597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17677.81302600072</v>
      </c>
      <c r="D16" s="130">
        <f>IF(SER_hh_fec_in!D16=0,0,11630*1000*SER_hh_fec_in!D16/SER_hh_num_in!D16)</f>
        <v>13806.616094403589</v>
      </c>
      <c r="E16" s="130">
        <f>IF(SER_hh_fec_in!E16=0,0,11630*1000*SER_hh_fec_in!E16/SER_hh_num_in!E16)</f>
        <v>17746.982564723519</v>
      </c>
      <c r="F16" s="130">
        <f>IF(SER_hh_fec_in!F16=0,0,11630*1000*SER_hh_fec_in!F16/SER_hh_num_in!F16)</f>
        <v>10714.617561170086</v>
      </c>
      <c r="G16" s="130">
        <f>IF(SER_hh_fec_in!G16=0,0,11630*1000*SER_hh_fec_in!G16/SER_hh_num_in!G16)</f>
        <v>10604.493166740784</v>
      </c>
      <c r="H16" s="130">
        <f>IF(SER_hh_fec_in!H16=0,0,11630*1000*SER_hh_fec_in!H16/SER_hh_num_in!H16)</f>
        <v>12048.587106968256</v>
      </c>
      <c r="I16" s="130">
        <f>IF(SER_hh_fec_in!I16=0,0,11630*1000*SER_hh_fec_in!I16/SER_hh_num_in!I16)</f>
        <v>16922.621128424871</v>
      </c>
      <c r="J16" s="130">
        <f>IF(SER_hh_fec_in!J16=0,0,11630*1000*SER_hh_fec_in!J16/SER_hh_num_in!J16)</f>
        <v>15920.976873011541</v>
      </c>
      <c r="K16" s="130">
        <f>IF(SER_hh_fec_in!K16=0,0,11630*1000*SER_hh_fec_in!K16/SER_hh_num_in!K16)</f>
        <v>10501.933208647213</v>
      </c>
      <c r="L16" s="130">
        <f>IF(SER_hh_fec_in!L16=0,0,11630*1000*SER_hh_fec_in!L16/SER_hh_num_in!L16)</f>
        <v>12928.612059589626</v>
      </c>
      <c r="M16" s="130">
        <f>IF(SER_hh_fec_in!M16=0,0,11630*1000*SER_hh_fec_in!M16/SER_hh_num_in!M16)</f>
        <v>10679.006244626364</v>
      </c>
      <c r="N16" s="130">
        <f>IF(SER_hh_fec_in!N16=0,0,11630*1000*SER_hh_fec_in!N16/SER_hh_num_in!N16)</f>
        <v>16524.316654797225</v>
      </c>
      <c r="O16" s="130">
        <f>IF(SER_hh_fec_in!O16=0,0,11630*1000*SER_hh_fec_in!O16/SER_hh_num_in!O16)</f>
        <v>10010.014696423876</v>
      </c>
      <c r="P16" s="130">
        <f>IF(SER_hh_fec_in!P16=0,0,11630*1000*SER_hh_fec_in!P16/SER_hh_num_in!P16)</f>
        <v>7734.9644133985848</v>
      </c>
      <c r="Q16" s="130">
        <f>IF(SER_hh_fec_in!Q16=0,0,11630*1000*SER_hh_fec_in!Q16/SER_hh_num_in!Q16)</f>
        <v>9134.8318912511586</v>
      </c>
      <c r="R16" s="130">
        <f>IF(SER_hh_fec_in!R16=0,0,11630*1000*SER_hh_fec_in!R16/SER_hh_num_in!R16)</f>
        <v>9232.3247315647677</v>
      </c>
      <c r="S16" s="130">
        <f>IF(SER_hh_fec_in!S16=0,0,11630*1000*SER_hh_fec_in!S16/SER_hh_num_in!S16)</f>
        <v>8852.8665636582973</v>
      </c>
      <c r="T16" s="130">
        <f>IF(SER_hh_fec_in!T16=0,0,11630*1000*SER_hh_fec_in!T16/SER_hh_num_in!T16)</f>
        <v>7391.4211941762924</v>
      </c>
      <c r="U16" s="130">
        <f>IF(SER_hh_fec_in!U16=0,0,11630*1000*SER_hh_fec_in!U16/SER_hh_num_in!U16)</f>
        <v>8600.5555149694464</v>
      </c>
      <c r="V16" s="130">
        <f>IF(SER_hh_fec_in!V16=0,0,11630*1000*SER_hh_fec_in!V16/SER_hh_num_in!V16)</f>
        <v>7002.1712824473925</v>
      </c>
      <c r="W16" s="130">
        <f>IF(SER_hh_fec_in!W16=0,0,11630*1000*SER_hh_fec_in!W16/SER_hh_num_in!W16)</f>
        <v>8278.3012579278802</v>
      </c>
      <c r="X16" s="130">
        <f>IF(SER_hh_fec_in!X16=0,0,11630*1000*SER_hh_fec_in!X16/SER_hh_num_in!X16)</f>
        <v>6401.0770288645936</v>
      </c>
      <c r="Y16" s="130">
        <f>IF(SER_hh_fec_in!Y16=0,0,11630*1000*SER_hh_fec_in!Y16/SER_hh_num_in!Y16)</f>
        <v>6747.1006964587759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33786.8481684242</v>
      </c>
      <c r="D17" s="132">
        <f>IF(SER_hh_fec_in!D17=0,0,11630*1000*SER_hh_fec_in!D17/SER_hh_num_in!D17)</f>
        <v>27075.939241907869</v>
      </c>
      <c r="E17" s="132">
        <f>IF(SER_hh_fec_in!E17=0,0,11630*1000*SER_hh_fec_in!E17/SER_hh_num_in!E17)</f>
        <v>35626.655168938123</v>
      </c>
      <c r="F17" s="132">
        <f>IF(SER_hh_fec_in!F17=0,0,11630*1000*SER_hh_fec_in!F17/SER_hh_num_in!F17)</f>
        <v>22133.865464277675</v>
      </c>
      <c r="G17" s="132">
        <f>IF(SER_hh_fec_in!G17=0,0,11630*1000*SER_hh_fec_in!G17/SER_hh_num_in!G17)</f>
        <v>22429.458857300448</v>
      </c>
      <c r="H17" s="132">
        <f>IF(SER_hh_fec_in!H17=0,0,11630*1000*SER_hh_fec_in!H17/SER_hh_num_in!H17)</f>
        <v>26072.762876381548</v>
      </c>
      <c r="I17" s="132">
        <f>IF(SER_hh_fec_in!I17=0,0,11630*1000*SER_hh_fec_in!I17/SER_hh_num_in!I17)</f>
        <v>37506.235093556861</v>
      </c>
      <c r="J17" s="132">
        <f>IF(SER_hh_fec_in!J17=0,0,11630*1000*SER_hh_fec_in!J17/SER_hh_num_in!J17)</f>
        <v>34819.609583580917</v>
      </c>
      <c r="K17" s="132">
        <f>IF(SER_hh_fec_in!K17=0,0,11630*1000*SER_hh_fec_in!K17/SER_hh_num_in!K17)</f>
        <v>29198.006031645757</v>
      </c>
      <c r="L17" s="132">
        <f>IF(SER_hh_fec_in!L17=0,0,11630*1000*SER_hh_fec_in!L17/SER_hh_num_in!L17)</f>
        <v>29758.962869026051</v>
      </c>
      <c r="M17" s="132">
        <f>IF(SER_hh_fec_in!M17=0,0,11630*1000*SER_hh_fec_in!M17/SER_hh_num_in!M17)</f>
        <v>25448.170410450359</v>
      </c>
      <c r="N17" s="132">
        <f>IF(SER_hh_fec_in!N17=0,0,11630*1000*SER_hh_fec_in!N17/SER_hh_num_in!N17)</f>
        <v>35812.742499295964</v>
      </c>
      <c r="O17" s="132">
        <f>IF(SER_hh_fec_in!O17=0,0,11630*1000*SER_hh_fec_in!O17/SER_hh_num_in!O17)</f>
        <v>24084.01784559408</v>
      </c>
      <c r="P17" s="132">
        <f>IF(SER_hh_fec_in!P17=0,0,11630*1000*SER_hh_fec_in!P17/SER_hh_num_in!P17)</f>
        <v>19760.328953369139</v>
      </c>
      <c r="Q17" s="132">
        <f>IF(SER_hh_fec_in!Q17=0,0,11630*1000*SER_hh_fec_in!Q17/SER_hh_num_in!Q17)</f>
        <v>23240.194355479278</v>
      </c>
      <c r="R17" s="132">
        <f>IF(SER_hh_fec_in!R17=0,0,11630*1000*SER_hh_fec_in!R17/SER_hh_num_in!R17)</f>
        <v>24003.361874023965</v>
      </c>
      <c r="S17" s="132">
        <f>IF(SER_hh_fec_in!S17=0,0,11630*1000*SER_hh_fec_in!S17/SER_hh_num_in!S17)</f>
        <v>22730.546867750607</v>
      </c>
      <c r="T17" s="132">
        <f>IF(SER_hh_fec_in!T17=0,0,11630*1000*SER_hh_fec_in!T17/SER_hh_num_in!T17)</f>
        <v>18296.69174227348</v>
      </c>
      <c r="U17" s="132">
        <f>IF(SER_hh_fec_in!U17=0,0,11630*1000*SER_hh_fec_in!U17/SER_hh_num_in!U17)</f>
        <v>21618.167910204644</v>
      </c>
      <c r="V17" s="132">
        <f>IF(SER_hh_fec_in!V17=0,0,11630*1000*SER_hh_fec_in!V17/SER_hh_num_in!V17)</f>
        <v>16668.869825404086</v>
      </c>
      <c r="W17" s="132">
        <f>IF(SER_hh_fec_in!W17=0,0,11630*1000*SER_hh_fec_in!W17/SER_hh_num_in!W17)</f>
        <v>19503.157362448957</v>
      </c>
      <c r="X17" s="132">
        <f>IF(SER_hh_fec_in!X17=0,0,11630*1000*SER_hh_fec_in!X17/SER_hh_num_in!X17)</f>
        <v>15771.623736588153</v>
      </c>
      <c r="Y17" s="132">
        <f>IF(SER_hh_fec_in!Y17=0,0,11630*1000*SER_hh_fec_in!Y17/SER_hh_num_in!Y17)</f>
        <v>16564.319681891699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17667.059207610961</v>
      </c>
      <c r="D18" s="132">
        <f>IF(SER_hh_fec_in!D18=0,0,11630*1000*SER_hh_fec_in!D18/SER_hh_num_in!D18)</f>
        <v>13778.925868964217</v>
      </c>
      <c r="E18" s="132">
        <f>IF(SER_hh_fec_in!E18=0,0,11630*1000*SER_hh_fec_in!E18/SER_hh_num_in!E18)</f>
        <v>17744.43908261738</v>
      </c>
      <c r="F18" s="132">
        <f>IF(SER_hh_fec_in!F18=0,0,11630*1000*SER_hh_fec_in!F18/SER_hh_num_in!F18)</f>
        <v>10644.118524186006</v>
      </c>
      <c r="G18" s="132">
        <f>IF(SER_hh_fec_in!G18=0,0,11630*1000*SER_hh_fec_in!G18/SER_hh_num_in!G18)</f>
        <v>10526.8380517224</v>
      </c>
      <c r="H18" s="132">
        <f>IF(SER_hh_fec_in!H18=0,0,11630*1000*SER_hh_fec_in!H18/SER_hh_num_in!H18)</f>
        <v>11974.79546795474</v>
      </c>
      <c r="I18" s="132">
        <f>IF(SER_hh_fec_in!I18=0,0,11630*1000*SER_hh_fec_in!I18/SER_hh_num_in!I18)</f>
        <v>16922.250786066146</v>
      </c>
      <c r="J18" s="132">
        <f>IF(SER_hh_fec_in!J18=0,0,11630*1000*SER_hh_fec_in!J18/SER_hh_num_in!J18)</f>
        <v>15787.999957037597</v>
      </c>
      <c r="K18" s="132">
        <f>IF(SER_hh_fec_in!K18=0,0,11630*1000*SER_hh_fec_in!K18/SER_hh_num_in!K18)</f>
        <v>10239.447785660566</v>
      </c>
      <c r="L18" s="132">
        <f>IF(SER_hh_fec_in!L18=0,0,11630*1000*SER_hh_fec_in!L18/SER_hh_num_in!L18)</f>
        <v>12621.860209554732</v>
      </c>
      <c r="M18" s="132">
        <f>IF(SER_hh_fec_in!M18=0,0,11630*1000*SER_hh_fec_in!M18/SER_hh_num_in!M18)</f>
        <v>10384.040700809062</v>
      </c>
      <c r="N18" s="132">
        <f>IF(SER_hh_fec_in!N18=0,0,11630*1000*SER_hh_fec_in!N18/SER_hh_num_in!N18)</f>
        <v>16139.338027495984</v>
      </c>
      <c r="O18" s="132">
        <f>IF(SER_hh_fec_in!O18=0,0,11630*1000*SER_hh_fec_in!O18/SER_hh_num_in!O18)</f>
        <v>9529.1859902484284</v>
      </c>
      <c r="P18" s="132">
        <f>IF(SER_hh_fec_in!P18=0,0,11630*1000*SER_hh_fec_in!P18/SER_hh_num_in!P18)</f>
        <v>7268.5787550318773</v>
      </c>
      <c r="Q18" s="132">
        <f>IF(SER_hh_fec_in!Q18=0,0,11630*1000*SER_hh_fec_in!Q18/SER_hh_num_in!Q18)</f>
        <v>8755.067103686446</v>
      </c>
      <c r="R18" s="132">
        <f>IF(SER_hh_fec_in!R18=0,0,11630*1000*SER_hh_fec_in!R18/SER_hh_num_in!R18)</f>
        <v>8917.4800578808918</v>
      </c>
      <c r="S18" s="132">
        <f>IF(SER_hh_fec_in!S18=0,0,11630*1000*SER_hh_fec_in!S18/SER_hh_num_in!S18)</f>
        <v>8483.0565539071486</v>
      </c>
      <c r="T18" s="132">
        <f>IF(SER_hh_fec_in!T18=0,0,11630*1000*SER_hh_fec_in!T18/SER_hh_num_in!T18)</f>
        <v>6891.7494573826607</v>
      </c>
      <c r="U18" s="132">
        <f>IF(SER_hh_fec_in!U18=0,0,11630*1000*SER_hh_fec_in!U18/SER_hh_num_in!U18)</f>
        <v>8246.9840823774139</v>
      </c>
      <c r="V18" s="132">
        <f>IF(SER_hh_fec_in!V18=0,0,11630*1000*SER_hh_fec_in!V18/SER_hh_num_in!V18)</f>
        <v>6724.4321766455896</v>
      </c>
      <c r="W18" s="132">
        <f>IF(SER_hh_fec_in!W18=0,0,11630*1000*SER_hh_fec_in!W18/SER_hh_num_in!W18)</f>
        <v>7972.8832157563957</v>
      </c>
      <c r="X18" s="132">
        <f>IF(SER_hh_fec_in!X18=0,0,11630*1000*SER_hh_fec_in!X18/SER_hh_num_in!X18)</f>
        <v>6124.6490567426708</v>
      </c>
      <c r="Y18" s="132">
        <f>IF(SER_hh_fec_in!Y18=0,0,11630*1000*SER_hh_fec_in!Y18/SER_hh_num_in!Y18)</f>
        <v>6404.2675622576662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34980.091431017252</v>
      </c>
      <c r="D19" s="130">
        <f>IF(SER_hh_fec_in!D19=0,0,11630*1000*SER_hh_fec_in!D19/SER_hh_num_in!D19)</f>
        <v>36207.426365843479</v>
      </c>
      <c r="E19" s="130">
        <f>IF(SER_hh_fec_in!E19=0,0,11630*1000*SER_hh_fec_in!E19/SER_hh_num_in!E19)</f>
        <v>36113.054583730518</v>
      </c>
      <c r="F19" s="130">
        <f>IF(SER_hh_fec_in!F19=0,0,11630*1000*SER_hh_fec_in!F19/SER_hh_num_in!F19)</f>
        <v>36154.614395569493</v>
      </c>
      <c r="G19" s="130">
        <f>IF(SER_hh_fec_in!G19=0,0,11630*1000*SER_hh_fec_in!G19/SER_hh_num_in!G19)</f>
        <v>40075.836485133274</v>
      </c>
      <c r="H19" s="130">
        <f>IF(SER_hh_fec_in!H19=0,0,11630*1000*SER_hh_fec_in!H19/SER_hh_num_in!H19)</f>
        <v>37278.918438165194</v>
      </c>
      <c r="I19" s="130">
        <f>IF(SER_hh_fec_in!I19=0,0,11630*1000*SER_hh_fec_in!I19/SER_hh_num_in!I19)</f>
        <v>35269.461562128308</v>
      </c>
      <c r="J19" s="130">
        <f>IF(SER_hh_fec_in!J19=0,0,11630*1000*SER_hh_fec_in!J19/SER_hh_num_in!J19)</f>
        <v>32768.123316310579</v>
      </c>
      <c r="K19" s="130">
        <f>IF(SER_hh_fec_in!K19=0,0,11630*1000*SER_hh_fec_in!K19/SER_hh_num_in!K19)</f>
        <v>27198.974135084638</v>
      </c>
      <c r="L19" s="130">
        <f>IF(SER_hh_fec_in!L19=0,0,11630*1000*SER_hh_fec_in!L19/SER_hh_num_in!L19)</f>
        <v>36890.612430986403</v>
      </c>
      <c r="M19" s="130">
        <f>IF(SER_hh_fec_in!M19=0,0,11630*1000*SER_hh_fec_in!M19/SER_hh_num_in!M19)</f>
        <v>34902.031327902463</v>
      </c>
      <c r="N19" s="130">
        <f>IF(SER_hh_fec_in!N19=0,0,11630*1000*SER_hh_fec_in!N19/SER_hh_num_in!N19)</f>
        <v>34072.12079863633</v>
      </c>
      <c r="O19" s="130">
        <f>IF(SER_hh_fec_in!O19=0,0,11630*1000*SER_hh_fec_in!O19/SER_hh_num_in!O19)</f>
        <v>27906.256310414665</v>
      </c>
      <c r="P19" s="130">
        <f>IF(SER_hh_fec_in!P19=0,0,11630*1000*SER_hh_fec_in!P19/SER_hh_num_in!P19)</f>
        <v>34482.46651606766</v>
      </c>
      <c r="Q19" s="130">
        <f>IF(SER_hh_fec_in!Q19=0,0,11630*1000*SER_hh_fec_in!Q19/SER_hh_num_in!Q19)</f>
        <v>33099.60203307237</v>
      </c>
      <c r="R19" s="130">
        <f>IF(SER_hh_fec_in!R19=0,0,11630*1000*SER_hh_fec_in!R19/SER_hh_num_in!R19)</f>
        <v>28736.552784497773</v>
      </c>
      <c r="S19" s="130">
        <f>IF(SER_hh_fec_in!S19=0,0,11630*1000*SER_hh_fec_in!S19/SER_hh_num_in!S19)</f>
        <v>31067.066979864023</v>
      </c>
      <c r="T19" s="130">
        <f>IF(SER_hh_fec_in!T19=0,0,11630*1000*SER_hh_fec_in!T19/SER_hh_num_in!T19)</f>
        <v>30649.007539235965</v>
      </c>
      <c r="U19" s="130">
        <f>IF(SER_hh_fec_in!U19=0,0,11630*1000*SER_hh_fec_in!U19/SER_hh_num_in!U19)</f>
        <v>29080.507413256386</v>
      </c>
      <c r="V19" s="130">
        <f>IF(SER_hh_fec_in!V19=0,0,11630*1000*SER_hh_fec_in!V19/SER_hh_num_in!V19)</f>
        <v>23285.041572302394</v>
      </c>
      <c r="W19" s="130">
        <f>IF(SER_hh_fec_in!W19=0,0,11630*1000*SER_hh_fec_in!W19/SER_hh_num_in!W19)</f>
        <v>23657.474616417727</v>
      </c>
      <c r="X19" s="130">
        <f>IF(SER_hh_fec_in!X19=0,0,11630*1000*SER_hh_fec_in!X19/SER_hh_num_in!X19)</f>
        <v>25983.449025823731</v>
      </c>
      <c r="Y19" s="130">
        <f>IF(SER_hh_fec_in!Y19=0,0,11630*1000*SER_hh_fec_in!Y19/SER_hh_num_in!Y19)</f>
        <v>25737.550301310646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0</v>
      </c>
      <c r="D20" s="132">
        <f>IF(SER_hh_fec_in!D20=0,0,11630*1000*SER_hh_fec_in!D20/SER_hh_num_in!D20)</f>
        <v>0</v>
      </c>
      <c r="E20" s="132">
        <f>IF(SER_hh_fec_in!E20=0,0,11630*1000*SER_hh_fec_in!E20/SER_hh_num_in!E20)</f>
        <v>0</v>
      </c>
      <c r="F20" s="132">
        <f>IF(SER_hh_fec_in!F20=0,0,11630*1000*SER_hh_fec_in!F20/SER_hh_num_in!F20)</f>
        <v>0</v>
      </c>
      <c r="G20" s="132">
        <f>IF(SER_hh_fec_in!G20=0,0,11630*1000*SER_hh_fec_in!G20/SER_hh_num_in!G20)</f>
        <v>0</v>
      </c>
      <c r="H20" s="132">
        <f>IF(SER_hh_fec_in!H20=0,0,11630*1000*SER_hh_fec_in!H20/SER_hh_num_in!H20)</f>
        <v>0</v>
      </c>
      <c r="I20" s="132">
        <f>IF(SER_hh_fec_in!I20=0,0,11630*1000*SER_hh_fec_in!I20/SER_hh_num_in!I20)</f>
        <v>0</v>
      </c>
      <c r="J20" s="132">
        <f>IF(SER_hh_fec_in!J20=0,0,11630*1000*SER_hh_fec_in!J20/SER_hh_num_in!J20)</f>
        <v>0</v>
      </c>
      <c r="K20" s="132">
        <f>IF(SER_hh_fec_in!K20=0,0,11630*1000*SER_hh_fec_in!K20/SER_hh_num_in!K20)</f>
        <v>0</v>
      </c>
      <c r="L20" s="132">
        <f>IF(SER_hh_fec_in!L20=0,0,11630*1000*SER_hh_fec_in!L20/SER_hh_num_in!L20)</f>
        <v>0</v>
      </c>
      <c r="M20" s="132">
        <f>IF(SER_hh_fec_in!M20=0,0,11630*1000*SER_hh_fec_in!M20/SER_hh_num_in!M20)</f>
        <v>0</v>
      </c>
      <c r="N20" s="132">
        <f>IF(SER_hh_fec_in!N20=0,0,11630*1000*SER_hh_fec_in!N20/SER_hh_num_in!N20)</f>
        <v>0</v>
      </c>
      <c r="O20" s="132">
        <f>IF(SER_hh_fec_in!O20=0,0,11630*1000*SER_hh_fec_in!O20/SER_hh_num_in!O20)</f>
        <v>0</v>
      </c>
      <c r="P20" s="132">
        <f>IF(SER_hh_fec_in!P20=0,0,11630*1000*SER_hh_fec_in!P20/SER_hh_num_in!P20)</f>
        <v>0</v>
      </c>
      <c r="Q20" s="132">
        <f>IF(SER_hh_fec_in!Q20=0,0,11630*1000*SER_hh_fec_in!Q20/SER_hh_num_in!Q20)</f>
        <v>0</v>
      </c>
      <c r="R20" s="132">
        <f>IF(SER_hh_fec_in!R20=0,0,11630*1000*SER_hh_fec_in!R20/SER_hh_num_in!R20)</f>
        <v>0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0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41933.710123424644</v>
      </c>
      <c r="D21" s="132">
        <f>IF(SER_hh_fec_in!D21=0,0,11630*1000*SER_hh_fec_in!D21/SER_hh_num_in!D21)</f>
        <v>43192.395220393933</v>
      </c>
      <c r="E21" s="132">
        <f>IF(SER_hh_fec_in!E21=0,0,11630*1000*SER_hh_fec_in!E21/SER_hh_num_in!E21)</f>
        <v>41767.653804441281</v>
      </c>
      <c r="F21" s="132">
        <f>IF(SER_hh_fec_in!F21=0,0,11630*1000*SER_hh_fec_in!F21/SER_hh_num_in!F21)</f>
        <v>42280.181913891414</v>
      </c>
      <c r="G21" s="132">
        <f>IF(SER_hh_fec_in!G21=0,0,11630*1000*SER_hh_fec_in!G21/SER_hh_num_in!G21)</f>
        <v>44762.12121854732</v>
      </c>
      <c r="H21" s="132">
        <f>IF(SER_hh_fec_in!H21=0,0,11630*1000*SER_hh_fec_in!H21/SER_hh_num_in!H21)</f>
        <v>43183.171742107552</v>
      </c>
      <c r="I21" s="132">
        <f>IF(SER_hh_fec_in!I21=0,0,11630*1000*SER_hh_fec_in!I21/SER_hh_num_in!I21)</f>
        <v>45291.90636503628</v>
      </c>
      <c r="J21" s="132">
        <f>IF(SER_hh_fec_in!J21=0,0,11630*1000*SER_hh_fec_in!J21/SER_hh_num_in!J21)</f>
        <v>43895.80681997809</v>
      </c>
      <c r="K21" s="132">
        <f>IF(SER_hh_fec_in!K21=0,0,11630*1000*SER_hh_fec_in!K21/SER_hh_num_in!K21)</f>
        <v>38713.957683169523</v>
      </c>
      <c r="L21" s="132">
        <f>IF(SER_hh_fec_in!L21=0,0,11630*1000*SER_hh_fec_in!L21/SER_hh_num_in!L21)</f>
        <v>45668.792726887608</v>
      </c>
      <c r="M21" s="132">
        <f>IF(SER_hh_fec_in!M21=0,0,11630*1000*SER_hh_fec_in!M21/SER_hh_num_in!M21)</f>
        <v>44648.034887640504</v>
      </c>
      <c r="N21" s="132">
        <f>IF(SER_hh_fec_in!N21=0,0,11630*1000*SER_hh_fec_in!N21/SER_hh_num_in!N21)</f>
        <v>45491.522206902278</v>
      </c>
      <c r="O21" s="132">
        <f>IF(SER_hh_fec_in!O21=0,0,11630*1000*SER_hh_fec_in!O21/SER_hh_num_in!O21)</f>
        <v>43255.037456209349</v>
      </c>
      <c r="P21" s="132">
        <f>IF(SER_hh_fec_in!P21=0,0,11630*1000*SER_hh_fec_in!P21/SER_hh_num_in!P21)</f>
        <v>40115.552249579894</v>
      </c>
      <c r="Q21" s="132">
        <f>IF(SER_hh_fec_in!Q21=0,0,11630*1000*SER_hh_fec_in!Q21/SER_hh_num_in!Q21)</f>
        <v>37065.768818392695</v>
      </c>
      <c r="R21" s="132">
        <f>IF(SER_hh_fec_in!R21=0,0,11630*1000*SER_hh_fec_in!R21/SER_hh_num_in!R21)</f>
        <v>35619.497204634812</v>
      </c>
      <c r="S21" s="132">
        <f>IF(SER_hh_fec_in!S21=0,0,11630*1000*SER_hh_fec_in!S21/SER_hh_num_in!S21)</f>
        <v>36980.775568852194</v>
      </c>
      <c r="T21" s="132">
        <f>IF(SER_hh_fec_in!T21=0,0,11630*1000*SER_hh_fec_in!T21/SER_hh_num_in!T21)</f>
        <v>36337.314740199858</v>
      </c>
      <c r="U21" s="132">
        <f>IF(SER_hh_fec_in!U21=0,0,11630*1000*SER_hh_fec_in!U21/SER_hh_num_in!U21)</f>
        <v>35758.598833276796</v>
      </c>
      <c r="V21" s="132">
        <f>IF(SER_hh_fec_in!V21=0,0,11630*1000*SER_hh_fec_in!V21/SER_hh_num_in!V21)</f>
        <v>21150.444128855324</v>
      </c>
      <c r="W21" s="132">
        <f>IF(SER_hh_fec_in!W21=0,0,11630*1000*SER_hh_fec_in!W21/SER_hh_num_in!W21)</f>
        <v>24987.657399233332</v>
      </c>
      <c r="X21" s="132">
        <f>IF(SER_hh_fec_in!X21=0,0,11630*1000*SER_hh_fec_in!X21/SER_hh_num_in!X21)</f>
        <v>29676.485906590609</v>
      </c>
      <c r="Y21" s="132">
        <f>IF(SER_hh_fec_in!Y21=0,0,11630*1000*SER_hh_fec_in!Y21/SER_hh_num_in!Y21)</f>
        <v>31016.215599879273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44364.296334262348</v>
      </c>
      <c r="D22" s="132">
        <f>IF(SER_hh_fec_in!D22=0,0,11630*1000*SER_hh_fec_in!D22/SER_hh_num_in!D22)</f>
        <v>45823.881951050877</v>
      </c>
      <c r="E22" s="132">
        <f>IF(SER_hh_fec_in!E22=0,0,11630*1000*SER_hh_fec_in!E22/SER_hh_num_in!E22)</f>
        <v>45527.382822582156</v>
      </c>
      <c r="F22" s="132">
        <f>IF(SER_hh_fec_in!F22=0,0,11630*1000*SER_hh_fec_in!F22/SER_hh_num_in!F22)</f>
        <v>45991.679944929529</v>
      </c>
      <c r="G22" s="132">
        <f>IF(SER_hh_fec_in!G22=0,0,11630*1000*SER_hh_fec_in!G22/SER_hh_num_in!G22)</f>
        <v>48249.782525651943</v>
      </c>
      <c r="H22" s="132">
        <f>IF(SER_hh_fec_in!H22=0,0,11630*1000*SER_hh_fec_in!H22/SER_hh_num_in!H22)</f>
        <v>47102.572010951677</v>
      </c>
      <c r="I22" s="132">
        <f>IF(SER_hh_fec_in!I22=0,0,11630*1000*SER_hh_fec_in!I22/SER_hh_num_in!I22)</f>
        <v>46163.647491125739</v>
      </c>
      <c r="J22" s="132">
        <f>IF(SER_hh_fec_in!J22=0,0,11630*1000*SER_hh_fec_in!J22/SER_hh_num_in!J22)</f>
        <v>45176.884132890322</v>
      </c>
      <c r="K22" s="132">
        <f>IF(SER_hh_fec_in!K22=0,0,11630*1000*SER_hh_fec_in!K22/SER_hh_num_in!K22)</f>
        <v>39361.67892155252</v>
      </c>
      <c r="L22" s="132">
        <f>IF(SER_hh_fec_in!L22=0,0,11630*1000*SER_hh_fec_in!L22/SER_hh_num_in!L22)</f>
        <v>47690.567705320223</v>
      </c>
      <c r="M22" s="132">
        <f>IF(SER_hh_fec_in!M22=0,0,11630*1000*SER_hh_fec_in!M22/SER_hh_num_in!M22)</f>
        <v>47722.752819913672</v>
      </c>
      <c r="N22" s="132">
        <f>IF(SER_hh_fec_in!N22=0,0,11630*1000*SER_hh_fec_in!N22/SER_hh_num_in!N22)</f>
        <v>46030.265445708152</v>
      </c>
      <c r="O22" s="132">
        <f>IF(SER_hh_fec_in!O22=0,0,11630*1000*SER_hh_fec_in!O22/SER_hh_num_in!O22)</f>
        <v>44535.585909371737</v>
      </c>
      <c r="P22" s="132">
        <f>IF(SER_hh_fec_in!P22=0,0,11630*1000*SER_hh_fec_in!P22/SER_hh_num_in!P22)</f>
        <v>41834.194742680593</v>
      </c>
      <c r="Q22" s="132">
        <f>IF(SER_hh_fec_in!Q22=0,0,11630*1000*SER_hh_fec_in!Q22/SER_hh_num_in!Q22)</f>
        <v>39542.204504776571</v>
      </c>
      <c r="R22" s="132">
        <f>IF(SER_hh_fec_in!R22=0,0,11630*1000*SER_hh_fec_in!R22/SER_hh_num_in!R22)</f>
        <v>36439.149457701053</v>
      </c>
      <c r="S22" s="132">
        <f>IF(SER_hh_fec_in!S22=0,0,11630*1000*SER_hh_fec_in!S22/SER_hh_num_in!S22)</f>
        <v>37540.877157027695</v>
      </c>
      <c r="T22" s="132">
        <f>IF(SER_hh_fec_in!T22=0,0,11630*1000*SER_hh_fec_in!T22/SER_hh_num_in!T22)</f>
        <v>0</v>
      </c>
      <c r="U22" s="132">
        <f>IF(SER_hh_fec_in!U22=0,0,11630*1000*SER_hh_fec_in!U22/SER_hh_num_in!U22)</f>
        <v>0</v>
      </c>
      <c r="V22" s="132">
        <f>IF(SER_hh_fec_in!V22=0,0,11630*1000*SER_hh_fec_in!V22/SER_hh_num_in!V22)</f>
        <v>0</v>
      </c>
      <c r="W22" s="132">
        <f>IF(SER_hh_fec_in!W22=0,0,11630*1000*SER_hh_fec_in!W22/SER_hh_num_in!W22)</f>
        <v>0</v>
      </c>
      <c r="X22" s="132">
        <f>IF(SER_hh_fec_in!X22=0,0,11630*1000*SER_hh_fec_in!X22/SER_hh_num_in!X22)</f>
        <v>27940.803016833106</v>
      </c>
      <c r="Y22" s="132">
        <f>IF(SER_hh_fec_in!Y22=0,0,11630*1000*SER_hh_fec_in!Y22/SER_hh_num_in!Y22)</f>
        <v>27550.177407632356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41010.154512095512</v>
      </c>
      <c r="D23" s="132">
        <f>IF(SER_hh_fec_in!D23=0,0,11630*1000*SER_hh_fec_in!D23/SER_hh_num_in!D23)</f>
        <v>41234.425503448692</v>
      </c>
      <c r="E23" s="132">
        <f>IF(SER_hh_fec_in!E23=0,0,11630*1000*SER_hh_fec_in!E23/SER_hh_num_in!E23)</f>
        <v>40272.637412775315</v>
      </c>
      <c r="F23" s="132">
        <f>IF(SER_hh_fec_in!F23=0,0,11630*1000*SER_hh_fec_in!F23/SER_hh_num_in!F23)</f>
        <v>34938.955511932072</v>
      </c>
      <c r="G23" s="132">
        <f>IF(SER_hh_fec_in!G23=0,0,11630*1000*SER_hh_fec_in!G23/SER_hh_num_in!G23)</f>
        <v>44732.198833181159</v>
      </c>
      <c r="H23" s="132">
        <f>IF(SER_hh_fec_in!H23=0,0,11630*1000*SER_hh_fec_in!H23/SER_hh_num_in!H23)</f>
        <v>41920.090878162147</v>
      </c>
      <c r="I23" s="132">
        <f>IF(SER_hh_fec_in!I23=0,0,11630*1000*SER_hh_fec_in!I23/SER_hh_num_in!I23)</f>
        <v>41875.996281669104</v>
      </c>
      <c r="J23" s="132">
        <f>IF(SER_hh_fec_in!J23=0,0,11630*1000*SER_hh_fec_in!J23/SER_hh_num_in!J23)</f>
        <v>39781.607058718902</v>
      </c>
      <c r="K23" s="132">
        <f>IF(SER_hh_fec_in!K23=0,0,11630*1000*SER_hh_fec_in!K23/SER_hh_num_in!K23)</f>
        <v>35693.89432271471</v>
      </c>
      <c r="L23" s="132">
        <f>IF(SER_hh_fec_in!L23=0,0,11630*1000*SER_hh_fec_in!L23/SER_hh_num_in!L23)</f>
        <v>43571.364709625508</v>
      </c>
      <c r="M23" s="132">
        <f>IF(SER_hh_fec_in!M23=0,0,11630*1000*SER_hh_fec_in!M23/SER_hh_num_in!M23)</f>
        <v>42110.618248413004</v>
      </c>
      <c r="N23" s="132">
        <f>IF(SER_hh_fec_in!N23=0,0,11630*1000*SER_hh_fec_in!N23/SER_hh_num_in!N23)</f>
        <v>41760.847088485345</v>
      </c>
      <c r="O23" s="132">
        <f>IF(SER_hh_fec_in!O23=0,0,11630*1000*SER_hh_fec_in!O23/SER_hh_num_in!O23)</f>
        <v>40811.509799948355</v>
      </c>
      <c r="P23" s="132">
        <f>IF(SER_hh_fec_in!P23=0,0,11630*1000*SER_hh_fec_in!P23/SER_hh_num_in!P23)</f>
        <v>36949.142286846087</v>
      </c>
      <c r="Q23" s="132">
        <f>IF(SER_hh_fec_in!Q23=0,0,11630*1000*SER_hh_fec_in!Q23/SER_hh_num_in!Q23)</f>
        <v>37653.649461305649</v>
      </c>
      <c r="R23" s="132">
        <f>IF(SER_hh_fec_in!R23=0,0,11630*1000*SER_hh_fec_in!R23/SER_hh_num_in!R23)</f>
        <v>34769.603212705726</v>
      </c>
      <c r="S23" s="132">
        <f>IF(SER_hh_fec_in!S23=0,0,11630*1000*SER_hh_fec_in!S23/SER_hh_num_in!S23)</f>
        <v>34301.890246904193</v>
      </c>
      <c r="T23" s="132">
        <f>IF(SER_hh_fec_in!T23=0,0,11630*1000*SER_hh_fec_in!T23/SER_hh_num_in!T23)</f>
        <v>33086.712310486022</v>
      </c>
      <c r="U23" s="132">
        <f>IF(SER_hh_fec_in!U23=0,0,11630*1000*SER_hh_fec_in!U23/SER_hh_num_in!U23)</f>
        <v>31632.559589437551</v>
      </c>
      <c r="V23" s="132">
        <f>IF(SER_hh_fec_in!V23=0,0,11630*1000*SER_hh_fec_in!V23/SER_hh_num_in!V23)</f>
        <v>26664.89671030426</v>
      </c>
      <c r="W23" s="132">
        <f>IF(SER_hh_fec_in!W23=0,0,11630*1000*SER_hh_fec_in!W23/SER_hh_num_in!W23)</f>
        <v>0</v>
      </c>
      <c r="X23" s="132">
        <f>IF(SER_hh_fec_in!X23=0,0,11630*1000*SER_hh_fec_in!X23/SER_hh_num_in!X23)</f>
        <v>0</v>
      </c>
      <c r="Y23" s="132">
        <f>IF(SER_hh_fec_in!Y23=0,0,11630*1000*SER_hh_fec_in!Y23/SER_hh_num_in!Y23)</f>
        <v>0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0</v>
      </c>
      <c r="D24" s="132">
        <f>IF(SER_hh_fec_in!D24=0,0,11630*1000*SER_hh_fec_in!D24/SER_hh_num_in!D24)</f>
        <v>0</v>
      </c>
      <c r="E24" s="132">
        <f>IF(SER_hh_fec_in!E24=0,0,11630*1000*SER_hh_fec_in!E24/SER_hh_num_in!E24)</f>
        <v>0</v>
      </c>
      <c r="F24" s="132">
        <f>IF(SER_hh_fec_in!F24=0,0,11630*1000*SER_hh_fec_in!F24/SER_hh_num_in!F24)</f>
        <v>0</v>
      </c>
      <c r="G24" s="132">
        <f>IF(SER_hh_fec_in!G24=0,0,11630*1000*SER_hh_fec_in!G24/SER_hh_num_in!G24)</f>
        <v>0</v>
      </c>
      <c r="H24" s="132">
        <f>IF(SER_hh_fec_in!H24=0,0,11630*1000*SER_hh_fec_in!H24/SER_hh_num_in!H24)</f>
        <v>0</v>
      </c>
      <c r="I24" s="132">
        <f>IF(SER_hh_fec_in!I24=0,0,11630*1000*SER_hh_fec_in!I24/SER_hh_num_in!I24)</f>
        <v>0</v>
      </c>
      <c r="J24" s="132">
        <f>IF(SER_hh_fec_in!J24=0,0,11630*1000*SER_hh_fec_in!J24/SER_hh_num_in!J24)</f>
        <v>0</v>
      </c>
      <c r="K24" s="132">
        <f>IF(SER_hh_fec_in!K24=0,0,11630*1000*SER_hh_fec_in!K24/SER_hh_num_in!K24)</f>
        <v>0</v>
      </c>
      <c r="L24" s="132">
        <f>IF(SER_hh_fec_in!L24=0,0,11630*1000*SER_hh_fec_in!L24/SER_hh_num_in!L24)</f>
        <v>0</v>
      </c>
      <c r="M24" s="132">
        <f>IF(SER_hh_fec_in!M24=0,0,11630*1000*SER_hh_fec_in!M24/SER_hh_num_in!M24)</f>
        <v>0</v>
      </c>
      <c r="N24" s="132">
        <f>IF(SER_hh_fec_in!N24=0,0,11630*1000*SER_hh_fec_in!N24/SER_hh_num_in!N24)</f>
        <v>0</v>
      </c>
      <c r="O24" s="132">
        <f>IF(SER_hh_fec_in!O24=0,0,11630*1000*SER_hh_fec_in!O24/SER_hh_num_in!O24)</f>
        <v>0</v>
      </c>
      <c r="P24" s="132">
        <f>IF(SER_hh_fec_in!P24=0,0,11630*1000*SER_hh_fec_in!P24/SER_hh_num_in!P24)</f>
        <v>0</v>
      </c>
      <c r="Q24" s="132">
        <f>IF(SER_hh_fec_in!Q24=0,0,11630*1000*SER_hh_fec_in!Q24/SER_hh_num_in!Q24)</f>
        <v>0</v>
      </c>
      <c r="R24" s="132">
        <f>IF(SER_hh_fec_in!R24=0,0,11630*1000*SER_hh_fec_in!R24/SER_hh_num_in!R24)</f>
        <v>0</v>
      </c>
      <c r="S24" s="132">
        <f>IF(SER_hh_fec_in!S24=0,0,11630*1000*SER_hh_fec_in!S24/SER_hh_num_in!S24)</f>
        <v>0</v>
      </c>
      <c r="T24" s="132">
        <f>IF(SER_hh_fec_in!T24=0,0,11630*1000*SER_hh_fec_in!T24/SER_hh_num_in!T24)</f>
        <v>0</v>
      </c>
      <c r="U24" s="132">
        <f>IF(SER_hh_fec_in!U24=0,0,11630*1000*SER_hh_fec_in!U24/SER_hh_num_in!U24)</f>
        <v>0</v>
      </c>
      <c r="V24" s="132">
        <f>IF(SER_hh_fec_in!V24=0,0,11630*1000*SER_hh_fec_in!V24/SER_hh_num_in!V24)</f>
        <v>0</v>
      </c>
      <c r="W24" s="132">
        <f>IF(SER_hh_fec_in!W24=0,0,11630*1000*SER_hh_fec_in!W24/SER_hh_num_in!W24)</f>
        <v>0</v>
      </c>
      <c r="X24" s="132">
        <f>IF(SER_hh_fec_in!X24=0,0,11630*1000*SER_hh_fec_in!X24/SER_hh_num_in!X24)</f>
        <v>0</v>
      </c>
      <c r="Y24" s="132">
        <f>IF(SER_hh_fec_in!Y24=0,0,11630*1000*SER_hh_fec_in!Y24/SER_hh_num_in!Y24)</f>
        <v>0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0</v>
      </c>
      <c r="D25" s="132">
        <f>IF(SER_hh_fec_in!D25=0,0,11630*1000*SER_hh_fec_in!D25/SER_hh_num_in!D25)</f>
        <v>0</v>
      </c>
      <c r="E25" s="132">
        <f>IF(SER_hh_fec_in!E25=0,0,11630*1000*SER_hh_fec_in!E25/SER_hh_num_in!E25)</f>
        <v>0</v>
      </c>
      <c r="F25" s="132">
        <f>IF(SER_hh_fec_in!F25=0,0,11630*1000*SER_hh_fec_in!F25/SER_hh_num_in!F25)</f>
        <v>0</v>
      </c>
      <c r="G25" s="132">
        <f>IF(SER_hh_fec_in!G25=0,0,11630*1000*SER_hh_fec_in!G25/SER_hh_num_in!G25)</f>
        <v>0</v>
      </c>
      <c r="H25" s="132">
        <f>IF(SER_hh_fec_in!H25=0,0,11630*1000*SER_hh_fec_in!H25/SER_hh_num_in!H25)</f>
        <v>0</v>
      </c>
      <c r="I25" s="132">
        <f>IF(SER_hh_fec_in!I25=0,0,11630*1000*SER_hh_fec_in!I25/SER_hh_num_in!I25)</f>
        <v>0</v>
      </c>
      <c r="J25" s="132">
        <f>IF(SER_hh_fec_in!J25=0,0,11630*1000*SER_hh_fec_in!J25/SER_hh_num_in!J25)</f>
        <v>0</v>
      </c>
      <c r="K25" s="132">
        <f>IF(SER_hh_fec_in!K25=0,0,11630*1000*SER_hh_fec_in!K25/SER_hh_num_in!K25)</f>
        <v>0</v>
      </c>
      <c r="L25" s="132">
        <f>IF(SER_hh_fec_in!L25=0,0,11630*1000*SER_hh_fec_in!L25/SER_hh_num_in!L25)</f>
        <v>0</v>
      </c>
      <c r="M25" s="132">
        <f>IF(SER_hh_fec_in!M25=0,0,11630*1000*SER_hh_fec_in!M25/SER_hh_num_in!M25)</f>
        <v>0</v>
      </c>
      <c r="N25" s="132">
        <f>IF(SER_hh_fec_in!N25=0,0,11630*1000*SER_hh_fec_in!N25/SER_hh_num_in!N25)</f>
        <v>0</v>
      </c>
      <c r="O25" s="132">
        <f>IF(SER_hh_fec_in!O25=0,0,11630*1000*SER_hh_fec_in!O25/SER_hh_num_in!O25)</f>
        <v>0</v>
      </c>
      <c r="P25" s="132">
        <f>IF(SER_hh_fec_in!P25=0,0,11630*1000*SER_hh_fec_in!P25/SER_hh_num_in!P25)</f>
        <v>0</v>
      </c>
      <c r="Q25" s="132">
        <f>IF(SER_hh_fec_in!Q25=0,0,11630*1000*SER_hh_fec_in!Q25/SER_hh_num_in!Q25)</f>
        <v>0</v>
      </c>
      <c r="R25" s="132">
        <f>IF(SER_hh_fec_in!R25=0,0,11630*1000*SER_hh_fec_in!R25/SER_hh_num_in!R25)</f>
        <v>0</v>
      </c>
      <c r="S25" s="132">
        <f>IF(SER_hh_fec_in!S25=0,0,11630*1000*SER_hh_fec_in!S25/SER_hh_num_in!S25)</f>
        <v>0</v>
      </c>
      <c r="T25" s="132">
        <f>IF(SER_hh_fec_in!T25=0,0,11630*1000*SER_hh_fec_in!T25/SER_hh_num_in!T25)</f>
        <v>0</v>
      </c>
      <c r="U25" s="132">
        <f>IF(SER_hh_fec_in!U25=0,0,11630*1000*SER_hh_fec_in!U25/SER_hh_num_in!U25)</f>
        <v>0</v>
      </c>
      <c r="V25" s="132">
        <f>IF(SER_hh_fec_in!V25=0,0,11630*1000*SER_hh_fec_in!V25/SER_hh_num_in!V25)</f>
        <v>0</v>
      </c>
      <c r="W25" s="132">
        <f>IF(SER_hh_fec_in!W25=0,0,11630*1000*SER_hh_fec_in!W25/SER_hh_num_in!W25)</f>
        <v>0</v>
      </c>
      <c r="X25" s="132">
        <f>IF(SER_hh_fec_in!X25=0,0,11630*1000*SER_hh_fec_in!X25/SER_hh_num_in!X25)</f>
        <v>0</v>
      </c>
      <c r="Y25" s="132">
        <f>IF(SER_hh_fec_in!Y25=0,0,11630*1000*SER_hh_fec_in!Y25/SER_hh_num_in!Y25)</f>
        <v>0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33337.761082458805</v>
      </c>
      <c r="D26" s="65">
        <f>IF(SER_hh_fec_in!D26=0,0,11630*1000*SER_hh_fec_in!D26/SER_hh_num_in!D26)</f>
        <v>34037.039967237833</v>
      </c>
      <c r="E26" s="65">
        <f>IF(SER_hh_fec_in!E26=0,0,11630*1000*SER_hh_fec_in!E26/SER_hh_num_in!E26)</f>
        <v>33744.690237228839</v>
      </c>
      <c r="F26" s="65">
        <f>IF(SER_hh_fec_in!F26=0,0,11630*1000*SER_hh_fec_in!F26/SER_hh_num_in!F26)</f>
        <v>33733.612401197643</v>
      </c>
      <c r="G26" s="65">
        <f>IF(SER_hh_fec_in!G26=0,0,11630*1000*SER_hh_fec_in!G26/SER_hh_num_in!G26)</f>
        <v>38783.104823831447</v>
      </c>
      <c r="H26" s="65">
        <f>IF(SER_hh_fec_in!H26=0,0,11630*1000*SER_hh_fec_in!H26/SER_hh_num_in!H26)</f>
        <v>33418.517202284587</v>
      </c>
      <c r="I26" s="65">
        <f>IF(SER_hh_fec_in!I26=0,0,11630*1000*SER_hh_fec_in!I26/SER_hh_num_in!I26)</f>
        <v>28895.048690670159</v>
      </c>
      <c r="J26" s="65">
        <f>IF(SER_hh_fec_in!J26=0,0,11630*1000*SER_hh_fec_in!J26/SER_hh_num_in!J26)</f>
        <v>23076.794317877928</v>
      </c>
      <c r="K26" s="65">
        <f>IF(SER_hh_fec_in!K26=0,0,11630*1000*SER_hh_fec_in!K26/SER_hh_num_in!K26)</f>
        <v>7690.4284574416897</v>
      </c>
      <c r="L26" s="65">
        <f>IF(SER_hh_fec_in!L26=0,0,11630*1000*SER_hh_fec_in!L26/SER_hh_num_in!L26)</f>
        <v>27996.777744919786</v>
      </c>
      <c r="M26" s="65">
        <f>IF(SER_hh_fec_in!M26=0,0,11630*1000*SER_hh_fec_in!M26/SER_hh_num_in!M26)</f>
        <v>23551.727646297069</v>
      </c>
      <c r="N26" s="65">
        <f>IF(SER_hh_fec_in!N26=0,0,11630*1000*SER_hh_fec_in!N26/SER_hh_num_in!N26)</f>
        <v>24151.899189200754</v>
      </c>
      <c r="O26" s="65">
        <f>IF(SER_hh_fec_in!O26=0,0,11630*1000*SER_hh_fec_in!O26/SER_hh_num_in!O26)</f>
        <v>6739.6660268611722</v>
      </c>
      <c r="P26" s="65">
        <f>IF(SER_hh_fec_in!P26=0,0,11630*1000*SER_hh_fec_in!P26/SER_hh_num_in!P26)</f>
        <v>27932.255116629163</v>
      </c>
      <c r="Q26" s="65">
        <f>IF(SER_hh_fec_in!Q26=0,0,11630*1000*SER_hh_fec_in!Q26/SER_hh_num_in!Q26)</f>
        <v>25257.644087003675</v>
      </c>
      <c r="R26" s="65">
        <f>IF(SER_hh_fec_in!R26=0,0,11630*1000*SER_hh_fec_in!R26/SER_hh_num_in!R26)</f>
        <v>9927.8685315291659</v>
      </c>
      <c r="S26" s="65">
        <f>IF(SER_hh_fec_in!S26=0,0,11630*1000*SER_hh_fec_in!S26/SER_hh_num_in!S26)</f>
        <v>21529.897990420352</v>
      </c>
      <c r="T26" s="65">
        <f>IF(SER_hh_fec_in!T26=0,0,11630*1000*SER_hh_fec_in!T26/SER_hh_num_in!T26)</f>
        <v>23274.471993365849</v>
      </c>
      <c r="U26" s="65">
        <f>IF(SER_hh_fec_in!U26=0,0,11630*1000*SER_hh_fec_in!U26/SER_hh_num_in!U26)</f>
        <v>20508.897456391514</v>
      </c>
      <c r="V26" s="65">
        <f>IF(SER_hh_fec_in!V26=0,0,11630*1000*SER_hh_fec_in!V26/SER_hh_num_in!V26)</f>
        <v>6521.6085814993648</v>
      </c>
      <c r="W26" s="65">
        <f>IF(SER_hh_fec_in!W26=0,0,11630*1000*SER_hh_fec_in!W26/SER_hh_num_in!W26)</f>
        <v>11937.783736010517</v>
      </c>
      <c r="X26" s="65">
        <f>IF(SER_hh_fec_in!X26=0,0,11630*1000*SER_hh_fec_in!X26/SER_hh_num_in!X26)</f>
        <v>17918.441107554318</v>
      </c>
      <c r="Y26" s="65">
        <f>IF(SER_hh_fec_in!Y26=0,0,11630*1000*SER_hh_fec_in!Y26/SER_hh_num_in!Y26)</f>
        <v>14997.527424846056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852.45149738072746</v>
      </c>
      <c r="D27" s="145">
        <f>IF(SER_hh_fec_in!D27=0,0,11630*1000*SER_hh_fec_in!D27/SER_hh_num_in!D19)</f>
        <v>1244.0005605983335</v>
      </c>
      <c r="E27" s="145">
        <f>IF(SER_hh_fec_in!E27=0,0,11630*1000*SER_hh_fec_in!E27/SER_hh_num_in!E19)</f>
        <v>1471.5458859956668</v>
      </c>
      <c r="F27" s="145">
        <f>IF(SER_hh_fec_in!F27=0,0,11630*1000*SER_hh_fec_in!F27/SER_hh_num_in!F19)</f>
        <v>1719.3946963911019</v>
      </c>
      <c r="G27" s="145">
        <f>IF(SER_hh_fec_in!G27=0,0,11630*1000*SER_hh_fec_in!G27/SER_hh_num_in!G19)</f>
        <v>13.299519334895583</v>
      </c>
      <c r="H27" s="145">
        <f>IF(SER_hh_fec_in!H27=0,0,11630*1000*SER_hh_fec_in!H27/SER_hh_num_in!H19)</f>
        <v>2221.7162048594219</v>
      </c>
      <c r="I27" s="145">
        <f>IF(SER_hh_fec_in!I27=0,0,11630*1000*SER_hh_fec_in!I27/SER_hh_num_in!I19)</f>
        <v>3792.8078078004587</v>
      </c>
      <c r="J27" s="145">
        <f>IF(SER_hh_fec_in!J27=0,0,11630*1000*SER_hh_fec_in!J27/SER_hh_num_in!J19)</f>
        <v>6921.469583388377</v>
      </c>
      <c r="K27" s="145">
        <f>IF(SER_hh_fec_in!K27=0,0,11630*1000*SER_hh_fec_in!K27/SER_hh_num_in!K19)</f>
        <v>15065.660839944063</v>
      </c>
      <c r="L27" s="145">
        <f>IF(SER_hh_fec_in!L27=0,0,11630*1000*SER_hh_fec_in!L27/SER_hh_num_in!L19)</f>
        <v>4829.505630950388</v>
      </c>
      <c r="M27" s="145">
        <f>IF(SER_hh_fec_in!M27=0,0,11630*1000*SER_hh_fec_in!M27/SER_hh_num_in!M19)</f>
        <v>7916.1369407703469</v>
      </c>
      <c r="N27" s="145">
        <f>IF(SER_hh_fec_in!N27=0,0,11630*1000*SER_hh_fec_in!N27/SER_hh_num_in!N19)</f>
        <v>7553.127576220294</v>
      </c>
      <c r="O27" s="145">
        <f>IF(SER_hh_fec_in!O27=0,0,11630*1000*SER_hh_fec_in!O27/SER_hh_num_in!O19)</f>
        <v>17162.812664193669</v>
      </c>
      <c r="P27" s="145">
        <f>IF(SER_hh_fec_in!P27=0,0,11630*1000*SER_hh_fec_in!P27/SER_hh_num_in!P19)</f>
        <v>5233.9557160671466</v>
      </c>
      <c r="Q27" s="145">
        <f>IF(SER_hh_fec_in!Q27=0,0,11630*1000*SER_hh_fec_in!Q27/SER_hh_num_in!Q19)</f>
        <v>6051.1736398779021</v>
      </c>
      <c r="R27" s="145">
        <f>IF(SER_hh_fec_in!R27=0,0,11630*1000*SER_hh_fec_in!R27/SER_hh_num_in!R19)</f>
        <v>15100.165709180323</v>
      </c>
      <c r="S27" s="145">
        <f>IF(SER_hh_fec_in!S27=0,0,11630*1000*SER_hh_fec_in!S27/SER_hh_num_in!S19)</f>
        <v>7441.3658102137433</v>
      </c>
      <c r="T27" s="145">
        <f>IF(SER_hh_fec_in!T27=0,0,11630*1000*SER_hh_fec_in!T27/SER_hh_num_in!T19)</f>
        <v>6070.6911779304664</v>
      </c>
      <c r="U27" s="145">
        <f>IF(SER_hh_fec_in!U27=0,0,11630*1000*SER_hh_fec_in!U27/SER_hh_num_in!U19)</f>
        <v>7057.2099524975883</v>
      </c>
      <c r="V27" s="145">
        <f>IF(SER_hh_fec_in!V27=0,0,11630*1000*SER_hh_fec_in!V27/SER_hh_num_in!V19)</f>
        <v>14877.856615219363</v>
      </c>
      <c r="W27" s="145">
        <f>IF(SER_hh_fec_in!W27=0,0,11630*1000*SER_hh_fec_in!W27/SER_hh_num_in!W19)</f>
        <v>10864.532068873274</v>
      </c>
      <c r="X27" s="145">
        <f>IF(SER_hh_fec_in!X27=0,0,11630*1000*SER_hh_fec_in!X27/SER_hh_num_in!X19)</f>
        <v>7350.5684592583939</v>
      </c>
      <c r="Y27" s="145">
        <f>IF(SER_hh_fec_in!Y27=0,0,11630*1000*SER_hh_fec_in!Y27/SER_hh_num_in!Y19)</f>
        <v>9475.0893150806151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15457.709105424599</v>
      </c>
      <c r="D28" s="146">
        <f>IF(SER_hh_fec_in!D27=0,0,11630*1000*SER_hh_fec_in!D27/SER_hh_num_in!D27)</f>
        <v>16067.273219866163</v>
      </c>
      <c r="E28" s="146">
        <f>IF(SER_hh_fec_in!E27=0,0,11630*1000*SER_hh_fec_in!E27/SER_hh_num_in!E27)</f>
        <v>16334.665680068078</v>
      </c>
      <c r="F28" s="146">
        <f>IF(SER_hh_fec_in!F27=0,0,11630*1000*SER_hh_fec_in!F27/SER_hh_num_in!F27)</f>
        <v>16500.023940743962</v>
      </c>
      <c r="G28" s="146">
        <f>IF(SER_hh_fec_in!G27=0,0,11630*1000*SER_hh_fec_in!G27/SER_hh_num_in!G27)</f>
        <v>17425.073456992977</v>
      </c>
      <c r="H28" s="146">
        <f>IF(SER_hh_fec_in!H27=0,0,11630*1000*SER_hh_fec_in!H27/SER_hh_num_in!H27)</f>
        <v>17063.960694110701</v>
      </c>
      <c r="I28" s="146">
        <f>IF(SER_hh_fec_in!I27=0,0,11630*1000*SER_hh_fec_in!I27/SER_hh_num_in!I27)</f>
        <v>16698.911076270939</v>
      </c>
      <c r="J28" s="146">
        <f>IF(SER_hh_fec_in!J27=0,0,11630*1000*SER_hh_fec_in!J27/SER_hh_num_in!J27)</f>
        <v>16974.907276973801</v>
      </c>
      <c r="K28" s="146">
        <f>IF(SER_hh_fec_in!K27=0,0,11630*1000*SER_hh_fec_in!K27/SER_hh_num_in!K27)</f>
        <v>17265.264351882783</v>
      </c>
      <c r="L28" s="146">
        <f>IF(SER_hh_fec_in!L27=0,0,11630*1000*SER_hh_fec_in!L27/SER_hh_num_in!L27)</f>
        <v>18089.337475207834</v>
      </c>
      <c r="M28" s="146">
        <f>IF(SER_hh_fec_in!M27=0,0,11630*1000*SER_hh_fec_in!M27/SER_hh_num_in!M27)</f>
        <v>18728.243951186931</v>
      </c>
      <c r="N28" s="146">
        <f>IF(SER_hh_fec_in!N27=0,0,11630*1000*SER_hh_fec_in!N27/SER_hh_num_in!N27)</f>
        <v>19423.987486232305</v>
      </c>
      <c r="O28" s="146">
        <f>IF(SER_hh_fec_in!O27=0,0,11630*1000*SER_hh_fec_in!O27/SER_hh_num_in!O27)</f>
        <v>19303.747919067657</v>
      </c>
      <c r="P28" s="146">
        <f>IF(SER_hh_fec_in!P27=0,0,11630*1000*SER_hh_fec_in!P27/SER_hh_num_in!P27)</f>
        <v>19857.834378261075</v>
      </c>
      <c r="Q28" s="146">
        <f>IF(SER_hh_fec_in!Q27=0,0,11630*1000*SER_hh_fec_in!Q27/SER_hh_num_in!Q27)</f>
        <v>20212.003503996955</v>
      </c>
      <c r="R28" s="146">
        <f>IF(SER_hh_fec_in!R27=0,0,11630*1000*SER_hh_fec_in!R27/SER_hh_num_in!R27)</f>
        <v>19701.148915685771</v>
      </c>
      <c r="S28" s="146">
        <f>IF(SER_hh_fec_in!S27=0,0,11630*1000*SER_hh_fec_in!S27/SER_hh_num_in!S27)</f>
        <v>19688.198714891878</v>
      </c>
      <c r="T28" s="146">
        <f>IF(SER_hh_fec_in!T27=0,0,11630*1000*SER_hh_fec_in!T27/SER_hh_num_in!T27)</f>
        <v>20028.365908280026</v>
      </c>
      <c r="U28" s="146">
        <f>IF(SER_hh_fec_in!U27=0,0,11630*1000*SER_hh_fec_in!U27/SER_hh_num_in!U27)</f>
        <v>20081.068664810125</v>
      </c>
      <c r="V28" s="146">
        <f>IF(SER_hh_fec_in!V27=0,0,11630*1000*SER_hh_fec_in!V27/SER_hh_num_in!V27)</f>
        <v>18243.377963461087</v>
      </c>
      <c r="W28" s="146">
        <f>IF(SER_hh_fec_in!W27=0,0,11630*1000*SER_hh_fec_in!W27/SER_hh_num_in!W27)</f>
        <v>17540.617792087629</v>
      </c>
      <c r="X28" s="146">
        <f>IF(SER_hh_fec_in!X27=0,0,11630*1000*SER_hh_fec_in!X27/SER_hh_num_in!X27)</f>
        <v>18423.426629625512</v>
      </c>
      <c r="Y28" s="146">
        <f>IF(SER_hh_fec_in!Y27=0,0,11630*1000*SER_hh_fec_in!Y27/SER_hh_num_in!Y27)</f>
        <v>19555.974476754182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37440.149437117841</v>
      </c>
      <c r="D29" s="130">
        <f>IF(SER_hh_fec_in!D29=0,0,11630*1000*SER_hh_fec_in!D29/SER_hh_num_in!D29)</f>
        <v>39646.09339004958</v>
      </c>
      <c r="E29" s="130">
        <f>IF(SER_hh_fec_in!E29=0,0,11630*1000*SER_hh_fec_in!E29/SER_hh_num_in!E29)</f>
        <v>38761.527659204272</v>
      </c>
      <c r="F29" s="130">
        <f>IF(SER_hh_fec_in!F29=0,0,11630*1000*SER_hh_fec_in!F29/SER_hh_num_in!F29)</f>
        <v>45402.554098403045</v>
      </c>
      <c r="G29" s="130">
        <f>IF(SER_hh_fec_in!G29=0,0,11630*1000*SER_hh_fec_in!G29/SER_hh_num_in!G29)</f>
        <v>41738.57198375318</v>
      </c>
      <c r="H29" s="130">
        <f>IF(SER_hh_fec_in!H29=0,0,11630*1000*SER_hh_fec_in!H29/SER_hh_num_in!H29)</f>
        <v>39660.461017752015</v>
      </c>
      <c r="I29" s="130">
        <f>IF(SER_hh_fec_in!I29=0,0,11630*1000*SER_hh_fec_in!I29/SER_hh_num_in!I29)</f>
        <v>37988.466092070666</v>
      </c>
      <c r="J29" s="130">
        <f>IF(SER_hh_fec_in!J29=0,0,11630*1000*SER_hh_fec_in!J29/SER_hh_num_in!J29)</f>
        <v>38359.880674216372</v>
      </c>
      <c r="K29" s="130">
        <f>IF(SER_hh_fec_in!K29=0,0,11630*1000*SER_hh_fec_in!K29/SER_hh_num_in!K29)</f>
        <v>39549.898677341698</v>
      </c>
      <c r="L29" s="130">
        <f>IF(SER_hh_fec_in!L29=0,0,11630*1000*SER_hh_fec_in!L29/SER_hh_num_in!L29)</f>
        <v>42278.75692888409</v>
      </c>
      <c r="M29" s="130">
        <f>IF(SER_hh_fec_in!M29=0,0,11630*1000*SER_hh_fec_in!M29/SER_hh_num_in!M29)</f>
        <v>40754.80965530315</v>
      </c>
      <c r="N29" s="130">
        <f>IF(SER_hh_fec_in!N29=0,0,11630*1000*SER_hh_fec_in!N29/SER_hh_num_in!N29)</f>
        <v>51611.868786270599</v>
      </c>
      <c r="O29" s="130">
        <f>IF(SER_hh_fec_in!O29=0,0,11630*1000*SER_hh_fec_in!O29/SER_hh_num_in!O29)</f>
        <v>41734.46972243418</v>
      </c>
      <c r="P29" s="130">
        <f>IF(SER_hh_fec_in!P29=0,0,11630*1000*SER_hh_fec_in!P29/SER_hh_num_in!P29)</f>
        <v>42433.379875937215</v>
      </c>
      <c r="Q29" s="130">
        <f>IF(SER_hh_fec_in!Q29=0,0,11630*1000*SER_hh_fec_in!Q29/SER_hh_num_in!Q29)</f>
        <v>41014.667777050061</v>
      </c>
      <c r="R29" s="130">
        <f>IF(SER_hh_fec_in!R29=0,0,11630*1000*SER_hh_fec_in!R29/SER_hh_num_in!R29)</f>
        <v>41183.383386999019</v>
      </c>
      <c r="S29" s="130">
        <f>IF(SER_hh_fec_in!S29=0,0,11630*1000*SER_hh_fec_in!S29/SER_hh_num_in!S29)</f>
        <v>39732.573319319679</v>
      </c>
      <c r="T29" s="130">
        <f>IF(SER_hh_fec_in!T29=0,0,11630*1000*SER_hh_fec_in!T29/SER_hh_num_in!T29)</f>
        <v>39593.505649775063</v>
      </c>
      <c r="U29" s="130">
        <f>IF(SER_hh_fec_in!U29=0,0,11630*1000*SER_hh_fec_in!U29/SER_hh_num_in!U29)</f>
        <v>38607.624501540668</v>
      </c>
      <c r="V29" s="130">
        <f>IF(SER_hh_fec_in!V29=0,0,11630*1000*SER_hh_fec_in!V29/SER_hh_num_in!V29)</f>
        <v>31755.287268786502</v>
      </c>
      <c r="W29" s="130">
        <f>IF(SER_hh_fec_in!W29=0,0,11630*1000*SER_hh_fec_in!W29/SER_hh_num_in!W29)</f>
        <v>37265.686283092829</v>
      </c>
      <c r="X29" s="130">
        <f>IF(SER_hh_fec_in!X29=0,0,11630*1000*SER_hh_fec_in!X29/SER_hh_num_in!X29)</f>
        <v>39077.188357103201</v>
      </c>
      <c r="Y29" s="130">
        <f>IF(SER_hh_fec_in!Y29=0,0,11630*1000*SER_hh_fec_in!Y29/SER_hh_num_in!Y29)</f>
        <v>39648.408524387902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55910.85339197798</v>
      </c>
      <c r="D30" s="132">
        <f>IF(SER_hh_fec_in!D30=0,0,11630*1000*SER_hh_fec_in!D30/SER_hh_num_in!D30)</f>
        <v>34233.153215501705</v>
      </c>
      <c r="E30" s="132">
        <f>IF(SER_hh_fec_in!E30=0,0,11630*1000*SER_hh_fec_in!E30/SER_hh_num_in!E30)</f>
        <v>34485.985784640281</v>
      </c>
      <c r="F30" s="132">
        <f>IF(SER_hh_fec_in!F30=0,0,11630*1000*SER_hh_fec_in!F30/SER_hh_num_in!F30)</f>
        <v>68684.492508306023</v>
      </c>
      <c r="G30" s="132">
        <f>IF(SER_hh_fec_in!G30=0,0,11630*1000*SER_hh_fec_in!G30/SER_hh_num_in!G30)</f>
        <v>54506.532956868083</v>
      </c>
      <c r="H30" s="132">
        <f>IF(SER_hh_fec_in!H30=0,0,11630*1000*SER_hh_fec_in!H30/SER_hh_num_in!H30)</f>
        <v>51283.552496043078</v>
      </c>
      <c r="I30" s="132">
        <f>IF(SER_hh_fec_in!I30=0,0,11630*1000*SER_hh_fec_in!I30/SER_hh_num_in!I30)</f>
        <v>49651.187306443215</v>
      </c>
      <c r="J30" s="132">
        <f>IF(SER_hh_fec_in!J30=0,0,11630*1000*SER_hh_fec_in!J30/SER_hh_num_in!J30)</f>
        <v>46991.567126621812</v>
      </c>
      <c r="K30" s="132">
        <f>IF(SER_hh_fec_in!K30=0,0,11630*1000*SER_hh_fec_in!K30/SER_hh_num_in!K30)</f>
        <v>43861.305352623247</v>
      </c>
      <c r="L30" s="132">
        <f>IF(SER_hh_fec_in!L30=0,0,11630*1000*SER_hh_fec_in!L30/SER_hh_num_in!L30)</f>
        <v>46758.63129900756</v>
      </c>
      <c r="M30" s="132">
        <f>IF(SER_hh_fec_in!M30=0,0,11630*1000*SER_hh_fec_in!M30/SER_hh_num_in!M30)</f>
        <v>33589.396126515865</v>
      </c>
      <c r="N30" s="132">
        <f>IF(SER_hh_fec_in!N30=0,0,11630*1000*SER_hh_fec_in!N30/SER_hh_num_in!N30)</f>
        <v>92460.641878922514</v>
      </c>
      <c r="O30" s="132">
        <f>IF(SER_hh_fec_in!O30=0,0,11630*1000*SER_hh_fec_in!O30/SER_hh_num_in!O30)</f>
        <v>63488.971041628611</v>
      </c>
      <c r="P30" s="132">
        <f>IF(SER_hh_fec_in!P30=0,0,11630*1000*SER_hh_fec_in!P30/SER_hh_num_in!P30)</f>
        <v>0</v>
      </c>
      <c r="Q30" s="132">
        <f>IF(SER_hh_fec_in!Q30=0,0,11630*1000*SER_hh_fec_in!Q30/SER_hh_num_in!Q30)</f>
        <v>44339.035869762418</v>
      </c>
      <c r="R30" s="132">
        <f>IF(SER_hh_fec_in!R30=0,0,11630*1000*SER_hh_fec_in!R30/SER_hh_num_in!R30)</f>
        <v>49646.441899269783</v>
      </c>
      <c r="S30" s="132">
        <f>IF(SER_hh_fec_in!S30=0,0,11630*1000*SER_hh_fec_in!S30/SER_hh_num_in!S30)</f>
        <v>53581.740922539764</v>
      </c>
      <c r="T30" s="132">
        <f>IF(SER_hh_fec_in!T30=0,0,11630*1000*SER_hh_fec_in!T30/SER_hh_num_in!T30)</f>
        <v>53603.715907773847</v>
      </c>
      <c r="U30" s="132">
        <f>IF(SER_hh_fec_in!U30=0,0,11630*1000*SER_hh_fec_in!U30/SER_hh_num_in!U30)</f>
        <v>56848.642940359794</v>
      </c>
      <c r="V30" s="132">
        <f>IF(SER_hh_fec_in!V30=0,0,11630*1000*SER_hh_fec_in!V30/SER_hh_num_in!V30)</f>
        <v>35021.623721465847</v>
      </c>
      <c r="W30" s="132">
        <f>IF(SER_hh_fec_in!W30=0,0,11630*1000*SER_hh_fec_in!W30/SER_hh_num_in!W30)</f>
        <v>45130.059186724546</v>
      </c>
      <c r="X30" s="132">
        <f>IF(SER_hh_fec_in!X30=0,0,11630*1000*SER_hh_fec_in!X30/SER_hh_num_in!X30)</f>
        <v>47949.355574842171</v>
      </c>
      <c r="Y30" s="132">
        <f>IF(SER_hh_fec_in!Y30=0,0,11630*1000*SER_hh_fec_in!Y30/SER_hh_num_in!Y30)</f>
        <v>51931.286350781054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47188.68372200086</v>
      </c>
      <c r="D31" s="132">
        <f>IF(SER_hh_fec_in!D31=0,0,11630*1000*SER_hh_fec_in!D31/SER_hh_num_in!D31)</f>
        <v>45309.277335333136</v>
      </c>
      <c r="E31" s="132">
        <f>IF(SER_hh_fec_in!E31=0,0,11630*1000*SER_hh_fec_in!E31/SER_hh_num_in!E31)</f>
        <v>47518.409022038206</v>
      </c>
      <c r="F31" s="132">
        <f>IF(SER_hh_fec_in!F31=0,0,11630*1000*SER_hh_fec_in!F31/SER_hh_num_in!F31)</f>
        <v>48502.724289804741</v>
      </c>
      <c r="G31" s="132">
        <f>IF(SER_hh_fec_in!G31=0,0,11630*1000*SER_hh_fec_in!G31/SER_hh_num_in!G31)</f>
        <v>54182.999283531295</v>
      </c>
      <c r="H31" s="132">
        <f>IF(SER_hh_fec_in!H31=0,0,11630*1000*SER_hh_fec_in!H31/SER_hh_num_in!H31)</f>
        <v>50372.755576902178</v>
      </c>
      <c r="I31" s="132">
        <f>IF(SER_hh_fec_in!I31=0,0,11630*1000*SER_hh_fec_in!I31/SER_hh_num_in!I31)</f>
        <v>48222.072168463856</v>
      </c>
      <c r="J31" s="132">
        <f>IF(SER_hh_fec_in!J31=0,0,11630*1000*SER_hh_fec_in!J31/SER_hh_num_in!J31)</f>
        <v>47825.012399659659</v>
      </c>
      <c r="K31" s="132">
        <f>IF(SER_hh_fec_in!K31=0,0,11630*1000*SER_hh_fec_in!K31/SER_hh_num_in!K31)</f>
        <v>51008.467503861692</v>
      </c>
      <c r="L31" s="132">
        <f>IF(SER_hh_fec_in!L31=0,0,11630*1000*SER_hh_fec_in!L31/SER_hh_num_in!L31)</f>
        <v>53211.55808361309</v>
      </c>
      <c r="M31" s="132">
        <f>IF(SER_hh_fec_in!M31=0,0,11630*1000*SER_hh_fec_in!M31/SER_hh_num_in!M31)</f>
        <v>55372.081784907918</v>
      </c>
      <c r="N31" s="132">
        <f>IF(SER_hh_fec_in!N31=0,0,11630*1000*SER_hh_fec_in!N31/SER_hh_num_in!N31)</f>
        <v>54657.356476431203</v>
      </c>
      <c r="O31" s="132">
        <f>IF(SER_hh_fec_in!O31=0,0,11630*1000*SER_hh_fec_in!O31/SER_hh_num_in!O31)</f>
        <v>53951.260181710924</v>
      </c>
      <c r="P31" s="132">
        <f>IF(SER_hh_fec_in!P31=0,0,11630*1000*SER_hh_fec_in!P31/SER_hh_num_in!P31)</f>
        <v>55799.992265762688</v>
      </c>
      <c r="Q31" s="132">
        <f>IF(SER_hh_fec_in!Q31=0,0,11630*1000*SER_hh_fec_in!Q31/SER_hh_num_in!Q31)</f>
        <v>55509.611332888438</v>
      </c>
      <c r="R31" s="132">
        <f>IF(SER_hh_fec_in!R31=0,0,11630*1000*SER_hh_fec_in!R31/SER_hh_num_in!R31)</f>
        <v>53890.3847566072</v>
      </c>
      <c r="S31" s="132">
        <f>IF(SER_hh_fec_in!S31=0,0,11630*1000*SER_hh_fec_in!S31/SER_hh_num_in!S31)</f>
        <v>52368.432570104167</v>
      </c>
      <c r="T31" s="132">
        <f>IF(SER_hh_fec_in!T31=0,0,11630*1000*SER_hh_fec_in!T31/SER_hh_num_in!T31)</f>
        <v>50636.054004867379</v>
      </c>
      <c r="U31" s="132">
        <f>IF(SER_hh_fec_in!U31=0,0,11630*1000*SER_hh_fec_in!U31/SER_hh_num_in!U31)</f>
        <v>49619.782473281448</v>
      </c>
      <c r="V31" s="132">
        <f>IF(SER_hh_fec_in!V31=0,0,11630*1000*SER_hh_fec_in!V31/SER_hh_num_in!V31)</f>
        <v>45848.119797664658</v>
      </c>
      <c r="W31" s="132">
        <f>IF(SER_hh_fec_in!W31=0,0,11630*1000*SER_hh_fec_in!W31/SER_hh_num_in!W31)</f>
        <v>51828.237910866883</v>
      </c>
      <c r="X31" s="132">
        <f>IF(SER_hh_fec_in!X31=0,0,11630*1000*SER_hh_fec_in!X31/SER_hh_num_in!X31)</f>
        <v>0</v>
      </c>
      <c r="Y31" s="132">
        <f>IF(SER_hh_fec_in!Y31=0,0,11630*1000*SER_hh_fec_in!Y31/SER_hh_num_in!Y31)</f>
        <v>0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0</v>
      </c>
      <c r="D32" s="132">
        <f>IF(SER_hh_fec_in!D32=0,0,11630*1000*SER_hh_fec_in!D32/SER_hh_num_in!D32)</f>
        <v>0</v>
      </c>
      <c r="E32" s="132">
        <f>IF(SER_hh_fec_in!E32=0,0,11630*1000*SER_hh_fec_in!E32/SER_hh_num_in!E32)</f>
        <v>0</v>
      </c>
      <c r="F32" s="132">
        <f>IF(SER_hh_fec_in!F32=0,0,11630*1000*SER_hh_fec_in!F32/SER_hh_num_in!F32)</f>
        <v>0</v>
      </c>
      <c r="G32" s="132">
        <f>IF(SER_hh_fec_in!G32=0,0,11630*1000*SER_hh_fec_in!G32/SER_hh_num_in!G32)</f>
        <v>0</v>
      </c>
      <c r="H32" s="132">
        <f>IF(SER_hh_fec_in!H32=0,0,11630*1000*SER_hh_fec_in!H32/SER_hh_num_in!H32)</f>
        <v>0</v>
      </c>
      <c r="I32" s="132">
        <f>IF(SER_hh_fec_in!I32=0,0,11630*1000*SER_hh_fec_in!I32/SER_hh_num_in!I32)</f>
        <v>0</v>
      </c>
      <c r="J32" s="132">
        <f>IF(SER_hh_fec_in!J32=0,0,11630*1000*SER_hh_fec_in!J32/SER_hh_num_in!J32)</f>
        <v>0</v>
      </c>
      <c r="K32" s="132">
        <f>IF(SER_hh_fec_in!K32=0,0,11630*1000*SER_hh_fec_in!K32/SER_hh_num_in!K32)</f>
        <v>0</v>
      </c>
      <c r="L32" s="132">
        <f>IF(SER_hh_fec_in!L32=0,0,11630*1000*SER_hh_fec_in!L32/SER_hh_num_in!L32)</f>
        <v>0</v>
      </c>
      <c r="M32" s="132">
        <f>IF(SER_hh_fec_in!M32=0,0,11630*1000*SER_hh_fec_in!M32/SER_hh_num_in!M32)</f>
        <v>0</v>
      </c>
      <c r="N32" s="132">
        <f>IF(SER_hh_fec_in!N32=0,0,11630*1000*SER_hh_fec_in!N32/SER_hh_num_in!N32)</f>
        <v>0</v>
      </c>
      <c r="O32" s="132">
        <f>IF(SER_hh_fec_in!O32=0,0,11630*1000*SER_hh_fec_in!O32/SER_hh_num_in!O32)</f>
        <v>0</v>
      </c>
      <c r="P32" s="132">
        <f>IF(SER_hh_fec_in!P32=0,0,11630*1000*SER_hh_fec_in!P32/SER_hh_num_in!P32)</f>
        <v>0</v>
      </c>
      <c r="Q32" s="132">
        <f>IF(SER_hh_fec_in!Q32=0,0,11630*1000*SER_hh_fec_in!Q32/SER_hh_num_in!Q32)</f>
        <v>0</v>
      </c>
      <c r="R32" s="132">
        <f>IF(SER_hh_fec_in!R32=0,0,11630*1000*SER_hh_fec_in!R32/SER_hh_num_in!R32)</f>
        <v>0</v>
      </c>
      <c r="S32" s="132">
        <f>IF(SER_hh_fec_in!S32=0,0,11630*1000*SER_hh_fec_in!S32/SER_hh_num_in!S32)</f>
        <v>0</v>
      </c>
      <c r="T32" s="132">
        <f>IF(SER_hh_fec_in!T32=0,0,11630*1000*SER_hh_fec_in!T32/SER_hh_num_in!T32)</f>
        <v>0</v>
      </c>
      <c r="U32" s="132">
        <f>IF(SER_hh_fec_in!U32=0,0,11630*1000*SER_hh_fec_in!U32/SER_hh_num_in!U32)</f>
        <v>0</v>
      </c>
      <c r="V32" s="132">
        <f>IF(SER_hh_fec_in!V32=0,0,11630*1000*SER_hh_fec_in!V32/SER_hh_num_in!V32)</f>
        <v>0</v>
      </c>
      <c r="W32" s="132">
        <f>IF(SER_hh_fec_in!W32=0,0,11630*1000*SER_hh_fec_in!W32/SER_hh_num_in!W32)</f>
        <v>0</v>
      </c>
      <c r="X32" s="132">
        <f>IF(SER_hh_fec_in!X32=0,0,11630*1000*SER_hh_fec_in!X32/SER_hh_num_in!X32)</f>
        <v>0</v>
      </c>
      <c r="Y32" s="132">
        <f>IF(SER_hh_fec_in!Y32=0,0,11630*1000*SER_hh_fec_in!Y32/SER_hh_num_in!Y32)</f>
        <v>0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37287.431892125249</v>
      </c>
      <c r="D33" s="68">
        <f>IF(SER_hh_fec_in!D33=0,0,11630*1000*SER_hh_fec_in!D33/SER_hh_num_in!D33)</f>
        <v>39684.292536497116</v>
      </c>
      <c r="E33" s="68">
        <f>IF(SER_hh_fec_in!E33=0,0,11630*1000*SER_hh_fec_in!E33/SER_hh_num_in!E33)</f>
        <v>39012.812951753367</v>
      </c>
      <c r="F33" s="68">
        <f>IF(SER_hh_fec_in!F33=0,0,11630*1000*SER_hh_fec_in!F33/SER_hh_num_in!F33)</f>
        <v>37754.443353546172</v>
      </c>
      <c r="G33" s="68">
        <f>IF(SER_hh_fec_in!G33=0,0,11630*1000*SER_hh_fec_in!G33/SER_hh_num_in!G33)</f>
        <v>39117.301234134444</v>
      </c>
      <c r="H33" s="68">
        <f>IF(SER_hh_fec_in!H33=0,0,11630*1000*SER_hh_fec_in!H33/SER_hh_num_in!H33)</f>
        <v>38343.312335042487</v>
      </c>
      <c r="I33" s="68">
        <f>IF(SER_hh_fec_in!I33=0,0,11630*1000*SER_hh_fec_in!I33/SER_hh_num_in!I33)</f>
        <v>37276.158315612724</v>
      </c>
      <c r="J33" s="68">
        <f>IF(SER_hh_fec_in!J33=0,0,11630*1000*SER_hh_fec_in!J33/SER_hh_num_in!J33)</f>
        <v>36999.30807992012</v>
      </c>
      <c r="K33" s="68">
        <f>IF(SER_hh_fec_in!K33=0,0,11630*1000*SER_hh_fec_in!K33/SER_hh_num_in!K33)</f>
        <v>38126.028058607975</v>
      </c>
      <c r="L33" s="68">
        <f>IF(SER_hh_fec_in!L33=0,0,11630*1000*SER_hh_fec_in!L33/SER_hh_num_in!L33)</f>
        <v>39677.587680664416</v>
      </c>
      <c r="M33" s="68">
        <f>IF(SER_hh_fec_in!M33=0,0,11630*1000*SER_hh_fec_in!M33/SER_hh_num_in!M33)</f>
        <v>42073.17870833489</v>
      </c>
      <c r="N33" s="68">
        <f>IF(SER_hh_fec_in!N33=0,0,11630*1000*SER_hh_fec_in!N33/SER_hh_num_in!N33)</f>
        <v>35966.685180872853</v>
      </c>
      <c r="O33" s="68">
        <f>IF(SER_hh_fec_in!O33=0,0,11630*1000*SER_hh_fec_in!O33/SER_hh_num_in!O33)</f>
        <v>39612.64289936448</v>
      </c>
      <c r="P33" s="68">
        <f>IF(SER_hh_fec_in!P33=0,0,11630*1000*SER_hh_fec_in!P33/SER_hh_num_in!P33)</f>
        <v>41566.826181318429</v>
      </c>
      <c r="Q33" s="68">
        <f>IF(SER_hh_fec_in!Q33=0,0,11630*1000*SER_hh_fec_in!Q33/SER_hh_num_in!Q33)</f>
        <v>39667.283175591103</v>
      </c>
      <c r="R33" s="68">
        <f>IF(SER_hh_fec_in!R33=0,0,11630*1000*SER_hh_fec_in!R33/SER_hh_num_in!R33)</f>
        <v>38813.939115159323</v>
      </c>
      <c r="S33" s="68">
        <f>IF(SER_hh_fec_in!S33=0,0,11630*1000*SER_hh_fec_in!S33/SER_hh_num_in!S33)</f>
        <v>37474.082600136608</v>
      </c>
      <c r="T33" s="68">
        <f>IF(SER_hh_fec_in!T33=0,0,11630*1000*SER_hh_fec_in!T33/SER_hh_num_in!T33)</f>
        <v>36335.205560735179</v>
      </c>
      <c r="U33" s="68">
        <f>IF(SER_hh_fec_in!U33=0,0,11630*1000*SER_hh_fec_in!U33/SER_hh_num_in!U33)</f>
        <v>34125.297163731499</v>
      </c>
      <c r="V33" s="68">
        <f>IF(SER_hh_fec_in!V33=0,0,11630*1000*SER_hh_fec_in!V33/SER_hh_num_in!V33)</f>
        <v>29754.307638611052</v>
      </c>
      <c r="W33" s="68">
        <f>IF(SER_hh_fec_in!W33=0,0,11630*1000*SER_hh_fec_in!W33/SER_hh_num_in!W33)</f>
        <v>32372.106565851922</v>
      </c>
      <c r="X33" s="68">
        <f>IF(SER_hh_fec_in!X33=0,0,11630*1000*SER_hh_fec_in!X33/SER_hh_num_in!X33)</f>
        <v>31936.513412123768</v>
      </c>
      <c r="Y33" s="68">
        <f>IF(SER_hh_fec_in!Y33=0,0,11630*1000*SER_hh_fec_in!Y33/SER_hh_num_in!Y33)</f>
        <v>31429.431060074767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112932.16499037443</v>
      </c>
      <c r="D3" s="125">
        <f>IF(SER_hh_tes_in!D3=0,0,11630*1000*SER_hh_tes_in!D3/SER_hh_num_in!D3)</f>
        <v>107504.79957420044</v>
      </c>
      <c r="E3" s="125">
        <f>IF(SER_hh_tes_in!E3=0,0,11630*1000*SER_hh_tes_in!E3/SER_hh_num_in!E3)</f>
        <v>120459.29403361389</v>
      </c>
      <c r="F3" s="125">
        <f>IF(SER_hh_tes_in!F3=0,0,11630*1000*SER_hh_tes_in!F3/SER_hh_num_in!F3)</f>
        <v>114908.98968460904</v>
      </c>
      <c r="G3" s="125">
        <f>IF(SER_hh_tes_in!G3=0,0,11630*1000*SER_hh_tes_in!G3/SER_hh_num_in!G3)</f>
        <v>116815.44013304854</v>
      </c>
      <c r="H3" s="125">
        <f>IF(SER_hh_tes_in!H3=0,0,11630*1000*SER_hh_tes_in!H3/SER_hh_num_in!H3)</f>
        <v>123545.79188697267</v>
      </c>
      <c r="I3" s="125">
        <f>IF(SER_hh_tes_in!I3=0,0,11630*1000*SER_hh_tes_in!I3/SER_hh_num_in!I3)</f>
        <v>139003.64095559416</v>
      </c>
      <c r="J3" s="125">
        <f>IF(SER_hh_tes_in!J3=0,0,11630*1000*SER_hh_tes_in!J3/SER_hh_num_in!J3)</f>
        <v>139614.90926078067</v>
      </c>
      <c r="K3" s="125">
        <f>IF(SER_hh_tes_in!K3=0,0,11630*1000*SER_hh_tes_in!K3/SER_hh_num_in!K3)</f>
        <v>123030.62251788648</v>
      </c>
      <c r="L3" s="125">
        <f>IF(SER_hh_tes_in!L3=0,0,11630*1000*SER_hh_tes_in!L3/SER_hh_num_in!L3)</f>
        <v>125453.72308808903</v>
      </c>
      <c r="M3" s="125">
        <f>IF(SER_hh_tes_in!M3=0,0,11630*1000*SER_hh_tes_in!M3/SER_hh_num_in!M3)</f>
        <v>114587.01476742841</v>
      </c>
      <c r="N3" s="125">
        <f>IF(SER_hh_tes_in!N3=0,0,11630*1000*SER_hh_tes_in!N3/SER_hh_num_in!N3)</f>
        <v>146129.75108143527</v>
      </c>
      <c r="O3" s="125">
        <f>IF(SER_hh_tes_in!O3=0,0,11630*1000*SER_hh_tes_in!O3/SER_hh_num_in!O3)</f>
        <v>118043.79137289451</v>
      </c>
      <c r="P3" s="125">
        <f>IF(SER_hh_tes_in!P3=0,0,11630*1000*SER_hh_tes_in!P3/SER_hh_num_in!P3)</f>
        <v>116598.39929777014</v>
      </c>
      <c r="Q3" s="125">
        <f>IF(SER_hh_tes_in!Q3=0,0,11630*1000*SER_hh_tes_in!Q3/SER_hh_num_in!Q3)</f>
        <v>130286.96571187049</v>
      </c>
      <c r="R3" s="125">
        <f>IF(SER_hh_tes_in!R3=0,0,11630*1000*SER_hh_tes_in!R3/SER_hh_num_in!R3)</f>
        <v>140364.40722659463</v>
      </c>
      <c r="S3" s="125">
        <f>IF(SER_hh_tes_in!S3=0,0,11630*1000*SER_hh_tes_in!S3/SER_hh_num_in!S3)</f>
        <v>128391.20275155592</v>
      </c>
      <c r="T3" s="125">
        <f>IF(SER_hh_tes_in!T3=0,0,11630*1000*SER_hh_tes_in!T3/SER_hh_num_in!T3)</f>
        <v>116761.70992020908</v>
      </c>
      <c r="U3" s="125">
        <f>IF(SER_hh_tes_in!U3=0,0,11630*1000*SER_hh_tes_in!U3/SER_hh_num_in!U3)</f>
        <v>119550.76195086256</v>
      </c>
      <c r="V3" s="125">
        <f>IF(SER_hh_tes_in!V3=0,0,11630*1000*SER_hh_tes_in!V3/SER_hh_num_in!V3)</f>
        <v>104112.98193436326</v>
      </c>
      <c r="W3" s="125">
        <f>IF(SER_hh_tes_in!W3=0,0,11630*1000*SER_hh_tes_in!W3/SER_hh_num_in!W3)</f>
        <v>106316.47258034497</v>
      </c>
      <c r="X3" s="125">
        <f>IF(SER_hh_tes_in!X3=0,0,11630*1000*SER_hh_tes_in!X3/SER_hh_num_in!X3)</f>
        <v>98280.733658122001</v>
      </c>
      <c r="Y3" s="125">
        <f>IF(SER_hh_tes_in!Y3=0,0,11630*1000*SER_hh_tes_in!Y3/SER_hh_num_in!Y3)</f>
        <v>101649.05344686276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29788.761088184219</v>
      </c>
      <c r="D4" s="130">
        <f>IF(SER_hh_tes_in!D4=0,0,11630*1000*SER_hh_tes_in!D4/SER_hh_num_in!D4)</f>
        <v>29588.284800754194</v>
      </c>
      <c r="E4" s="130">
        <f>IF(SER_hh_tes_in!E4=0,0,11630*1000*SER_hh_tes_in!E4/SER_hh_num_in!E4)</f>
        <v>32891.308103655814</v>
      </c>
      <c r="F4" s="130">
        <f>IF(SER_hh_tes_in!F4=0,0,11630*1000*SER_hh_tes_in!F4/SER_hh_num_in!F4)</f>
        <v>40416.415705417501</v>
      </c>
      <c r="G4" s="130">
        <f>IF(SER_hh_tes_in!G4=0,0,11630*1000*SER_hh_tes_in!G4/SER_hh_num_in!G4)</f>
        <v>41264.458903891165</v>
      </c>
      <c r="H4" s="130">
        <f>IF(SER_hh_tes_in!H4=0,0,11630*1000*SER_hh_tes_in!H4/SER_hh_num_in!H4)</f>
        <v>44221.321414984151</v>
      </c>
      <c r="I4" s="130">
        <f>IF(SER_hh_tes_in!I4=0,0,11630*1000*SER_hh_tes_in!I4/SER_hh_num_in!I4)</f>
        <v>46028.30884412559</v>
      </c>
      <c r="J4" s="130">
        <f>IF(SER_hh_tes_in!J4=0,0,11630*1000*SER_hh_tes_in!J4/SER_hh_num_in!J4)</f>
        <v>48276.450539673569</v>
      </c>
      <c r="K4" s="130">
        <f>IF(SER_hh_tes_in!K4=0,0,11630*1000*SER_hh_tes_in!K4/SER_hh_num_in!K4)</f>
        <v>45101.270773090931</v>
      </c>
      <c r="L4" s="130">
        <f>IF(SER_hh_tes_in!L4=0,0,11630*1000*SER_hh_tes_in!L4/SER_hh_num_in!L4)</f>
        <v>37226.36882617831</v>
      </c>
      <c r="M4" s="130">
        <f>IF(SER_hh_tes_in!M4=0,0,11630*1000*SER_hh_tes_in!M4/SER_hh_num_in!M4)</f>
        <v>34461.651159229186</v>
      </c>
      <c r="N4" s="130">
        <f>IF(SER_hh_tes_in!N4=0,0,11630*1000*SER_hh_tes_in!N4/SER_hh_num_in!N4)</f>
        <v>38890.670075309397</v>
      </c>
      <c r="O4" s="130">
        <f>IF(SER_hh_tes_in!O4=0,0,11630*1000*SER_hh_tes_in!O4/SER_hh_num_in!O4)</f>
        <v>33421.953157011507</v>
      </c>
      <c r="P4" s="130">
        <f>IF(SER_hh_tes_in!P4=0,0,11630*1000*SER_hh_tes_in!P4/SER_hh_num_in!P4)</f>
        <v>36717.124922393719</v>
      </c>
      <c r="Q4" s="130">
        <f>IF(SER_hh_tes_in!Q4=0,0,11630*1000*SER_hh_tes_in!Q4/SER_hh_num_in!Q4)</f>
        <v>45302.184468997024</v>
      </c>
      <c r="R4" s="130">
        <f>IF(SER_hh_tes_in!R4=0,0,11630*1000*SER_hh_tes_in!R4/SER_hh_num_in!R4)</f>
        <v>53511.165400438898</v>
      </c>
      <c r="S4" s="130">
        <f>IF(SER_hh_tes_in!S4=0,0,11630*1000*SER_hh_tes_in!S4/SER_hh_num_in!S4)</f>
        <v>42839.885435588301</v>
      </c>
      <c r="T4" s="130">
        <f>IF(SER_hh_tes_in!T4=0,0,11630*1000*SER_hh_tes_in!T4/SER_hh_num_in!T4)</f>
        <v>37374.360340105057</v>
      </c>
      <c r="U4" s="130">
        <f>IF(SER_hh_tes_in!U4=0,0,11630*1000*SER_hh_tes_in!U4/SER_hh_num_in!U4)</f>
        <v>35679.808112330669</v>
      </c>
      <c r="V4" s="130">
        <f>IF(SER_hh_tes_in!V4=0,0,11630*1000*SER_hh_tes_in!V4/SER_hh_num_in!V4)</f>
        <v>32315.686866618049</v>
      </c>
      <c r="W4" s="130">
        <f>IF(SER_hh_tes_in!W4=0,0,11630*1000*SER_hh_tes_in!W4/SER_hh_num_in!W4)</f>
        <v>27256.461875235578</v>
      </c>
      <c r="X4" s="130">
        <f>IF(SER_hh_tes_in!X4=0,0,11630*1000*SER_hh_tes_in!X4/SER_hh_num_in!X4)</f>
        <v>24920.827213101991</v>
      </c>
      <c r="Y4" s="130">
        <f>IF(SER_hh_tes_in!Y4=0,0,11630*1000*SER_hh_tes_in!Y4/SER_hh_num_in!Y4)</f>
        <v>25962.0145998808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0</v>
      </c>
      <c r="D5" s="132">
        <f>IF(SER_hh_tes_in!D5=0,0,11630*1000*SER_hh_tes_in!D5/SER_hh_num_in!D5)</f>
        <v>0</v>
      </c>
      <c r="E5" s="132">
        <f>IF(SER_hh_tes_in!E5=0,0,11630*1000*SER_hh_tes_in!E5/SER_hh_num_in!E5)</f>
        <v>0</v>
      </c>
      <c r="F5" s="132">
        <f>IF(SER_hh_tes_in!F5=0,0,11630*1000*SER_hh_tes_in!F5/SER_hh_num_in!F5)</f>
        <v>0</v>
      </c>
      <c r="G5" s="132">
        <f>IF(SER_hh_tes_in!G5=0,0,11630*1000*SER_hh_tes_in!G5/SER_hh_num_in!G5)</f>
        <v>0</v>
      </c>
      <c r="H5" s="132">
        <f>IF(SER_hh_tes_in!H5=0,0,11630*1000*SER_hh_tes_in!H5/SER_hh_num_in!H5)</f>
        <v>0</v>
      </c>
      <c r="I5" s="132">
        <f>IF(SER_hh_tes_in!I5=0,0,11630*1000*SER_hh_tes_in!I5/SER_hh_num_in!I5)</f>
        <v>0</v>
      </c>
      <c r="J5" s="132">
        <f>IF(SER_hh_tes_in!J5=0,0,11630*1000*SER_hh_tes_in!J5/SER_hh_num_in!J5)</f>
        <v>0</v>
      </c>
      <c r="K5" s="132">
        <f>IF(SER_hh_tes_in!K5=0,0,11630*1000*SER_hh_tes_in!K5/SER_hh_num_in!K5)</f>
        <v>0</v>
      </c>
      <c r="L5" s="132">
        <f>IF(SER_hh_tes_in!L5=0,0,11630*1000*SER_hh_tes_in!L5/SER_hh_num_in!L5)</f>
        <v>0</v>
      </c>
      <c r="M5" s="132">
        <f>IF(SER_hh_tes_in!M5=0,0,11630*1000*SER_hh_tes_in!M5/SER_hh_num_in!M5)</f>
        <v>0</v>
      </c>
      <c r="N5" s="132">
        <f>IF(SER_hh_tes_in!N5=0,0,11630*1000*SER_hh_tes_in!N5/SER_hh_num_in!N5)</f>
        <v>0</v>
      </c>
      <c r="O5" s="132">
        <f>IF(SER_hh_tes_in!O5=0,0,11630*1000*SER_hh_tes_in!O5/SER_hh_num_in!O5)</f>
        <v>0</v>
      </c>
      <c r="P5" s="132">
        <f>IF(SER_hh_tes_in!P5=0,0,11630*1000*SER_hh_tes_in!P5/SER_hh_num_in!P5)</f>
        <v>0</v>
      </c>
      <c r="Q5" s="132">
        <f>IF(SER_hh_tes_in!Q5=0,0,11630*1000*SER_hh_tes_in!Q5/SER_hh_num_in!Q5)</f>
        <v>0</v>
      </c>
      <c r="R5" s="132">
        <f>IF(SER_hh_tes_in!R5=0,0,11630*1000*SER_hh_tes_in!R5/SER_hh_num_in!R5)</f>
        <v>0</v>
      </c>
      <c r="S5" s="132">
        <f>IF(SER_hh_tes_in!S5=0,0,11630*1000*SER_hh_tes_in!S5/SER_hh_num_in!S5)</f>
        <v>0</v>
      </c>
      <c r="T5" s="132">
        <f>IF(SER_hh_tes_in!T5=0,0,11630*1000*SER_hh_tes_in!T5/SER_hh_num_in!T5)</f>
        <v>0</v>
      </c>
      <c r="U5" s="132">
        <f>IF(SER_hh_tes_in!U5=0,0,11630*1000*SER_hh_tes_in!U5/SER_hh_num_in!U5)</f>
        <v>0</v>
      </c>
      <c r="V5" s="132">
        <f>IF(SER_hh_tes_in!V5=0,0,11630*1000*SER_hh_tes_in!V5/SER_hh_num_in!V5)</f>
        <v>0</v>
      </c>
      <c r="W5" s="132">
        <f>IF(SER_hh_tes_in!W5=0,0,11630*1000*SER_hh_tes_in!W5/SER_hh_num_in!W5)</f>
        <v>0</v>
      </c>
      <c r="X5" s="132">
        <f>IF(SER_hh_tes_in!X5=0,0,11630*1000*SER_hh_tes_in!X5/SER_hh_num_in!X5)</f>
        <v>17711.043283513962</v>
      </c>
      <c r="Y5" s="132">
        <f>IF(SER_hh_tes_in!Y5=0,0,11630*1000*SER_hh_tes_in!Y5/SER_hh_num_in!Y5)</f>
        <v>34809.786096299169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0</v>
      </c>
      <c r="D6" s="132">
        <f>IF(SER_hh_tes_in!D6=0,0,11630*1000*SER_hh_tes_in!D6/SER_hh_num_in!D6)</f>
        <v>0</v>
      </c>
      <c r="E6" s="132">
        <f>IF(SER_hh_tes_in!E6=0,0,11630*1000*SER_hh_tes_in!E6/SER_hh_num_in!E6)</f>
        <v>0</v>
      </c>
      <c r="F6" s="132">
        <f>IF(SER_hh_tes_in!F6=0,0,11630*1000*SER_hh_tes_in!F6/SER_hh_num_in!F6)</f>
        <v>0</v>
      </c>
      <c r="G6" s="132">
        <f>IF(SER_hh_tes_in!G6=0,0,11630*1000*SER_hh_tes_in!G6/SER_hh_num_in!G6)</f>
        <v>0</v>
      </c>
      <c r="H6" s="132">
        <f>IF(SER_hh_tes_in!H6=0,0,11630*1000*SER_hh_tes_in!H6/SER_hh_num_in!H6)</f>
        <v>0</v>
      </c>
      <c r="I6" s="132">
        <f>IF(SER_hh_tes_in!I6=0,0,11630*1000*SER_hh_tes_in!I6/SER_hh_num_in!I6)</f>
        <v>0</v>
      </c>
      <c r="J6" s="132">
        <f>IF(SER_hh_tes_in!J6=0,0,11630*1000*SER_hh_tes_in!J6/SER_hh_num_in!J6)</f>
        <v>0</v>
      </c>
      <c r="K6" s="132">
        <f>IF(SER_hh_tes_in!K6=0,0,11630*1000*SER_hh_tes_in!K6/SER_hh_num_in!K6)</f>
        <v>0</v>
      </c>
      <c r="L6" s="132">
        <f>IF(SER_hh_tes_in!L6=0,0,11630*1000*SER_hh_tes_in!L6/SER_hh_num_in!L6)</f>
        <v>0</v>
      </c>
      <c r="M6" s="132">
        <f>IF(SER_hh_tes_in!M6=0,0,11630*1000*SER_hh_tes_in!M6/SER_hh_num_in!M6)</f>
        <v>0</v>
      </c>
      <c r="N6" s="132">
        <f>IF(SER_hh_tes_in!N6=0,0,11630*1000*SER_hh_tes_in!N6/SER_hh_num_in!N6)</f>
        <v>0</v>
      </c>
      <c r="O6" s="132">
        <f>IF(SER_hh_tes_in!O6=0,0,11630*1000*SER_hh_tes_in!O6/SER_hh_num_in!O6)</f>
        <v>0</v>
      </c>
      <c r="P6" s="132">
        <f>IF(SER_hh_tes_in!P6=0,0,11630*1000*SER_hh_tes_in!P6/SER_hh_num_in!P6)</f>
        <v>0</v>
      </c>
      <c r="Q6" s="132">
        <f>IF(SER_hh_tes_in!Q6=0,0,11630*1000*SER_hh_tes_in!Q6/SER_hh_num_in!Q6)</f>
        <v>0</v>
      </c>
      <c r="R6" s="132">
        <f>IF(SER_hh_tes_in!R6=0,0,11630*1000*SER_hh_tes_in!R6/SER_hh_num_in!R6)</f>
        <v>0</v>
      </c>
      <c r="S6" s="132">
        <f>IF(SER_hh_tes_in!S6=0,0,11630*1000*SER_hh_tes_in!S6/SER_hh_num_in!S6)</f>
        <v>0</v>
      </c>
      <c r="T6" s="132">
        <f>IF(SER_hh_tes_in!T6=0,0,11630*1000*SER_hh_tes_in!T6/SER_hh_num_in!T6)</f>
        <v>0</v>
      </c>
      <c r="U6" s="132">
        <f>IF(SER_hh_tes_in!U6=0,0,11630*1000*SER_hh_tes_in!U6/SER_hh_num_in!U6)</f>
        <v>0</v>
      </c>
      <c r="V6" s="132">
        <f>IF(SER_hh_tes_in!V6=0,0,11630*1000*SER_hh_tes_in!V6/SER_hh_num_in!V6)</f>
        <v>0</v>
      </c>
      <c r="W6" s="132">
        <f>IF(SER_hh_tes_in!W6=0,0,11630*1000*SER_hh_tes_in!W6/SER_hh_num_in!W6)</f>
        <v>0</v>
      </c>
      <c r="X6" s="132">
        <f>IF(SER_hh_tes_in!X6=0,0,11630*1000*SER_hh_tes_in!X6/SER_hh_num_in!X6)</f>
        <v>0</v>
      </c>
      <c r="Y6" s="132">
        <f>IF(SER_hh_tes_in!Y6=0,0,11630*1000*SER_hh_tes_in!Y6/SER_hh_num_in!Y6)</f>
        <v>0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29802.670329501587</v>
      </c>
      <c r="D7" s="132">
        <f>IF(SER_hh_tes_in!D7=0,0,11630*1000*SER_hh_tes_in!D7/SER_hh_num_in!D7)</f>
        <v>30886.1966184015</v>
      </c>
      <c r="E7" s="132">
        <f>IF(SER_hh_tes_in!E7=0,0,11630*1000*SER_hh_tes_in!E7/SER_hh_num_in!E7)</f>
        <v>33118.648728249951</v>
      </c>
      <c r="F7" s="132">
        <f>IF(SER_hh_tes_in!F7=0,0,11630*1000*SER_hh_tes_in!F7/SER_hh_num_in!F7)</f>
        <v>33517.651923026904</v>
      </c>
      <c r="G7" s="132">
        <f>IF(SER_hh_tes_in!G7=0,0,11630*1000*SER_hh_tes_in!G7/SER_hh_num_in!G7)</f>
        <v>42670.473923145088</v>
      </c>
      <c r="H7" s="132">
        <f>IF(SER_hh_tes_in!H7=0,0,11630*1000*SER_hh_tes_in!H7/SER_hh_num_in!H7)</f>
        <v>45898.265462873831</v>
      </c>
      <c r="I7" s="132">
        <f>IF(SER_hh_tes_in!I7=0,0,11630*1000*SER_hh_tes_in!I7/SER_hh_num_in!I7)</f>
        <v>0</v>
      </c>
      <c r="J7" s="132">
        <f>IF(SER_hh_tes_in!J7=0,0,11630*1000*SER_hh_tes_in!J7/SER_hh_num_in!J7)</f>
        <v>0</v>
      </c>
      <c r="K7" s="132">
        <f>IF(SER_hh_tes_in!K7=0,0,11630*1000*SER_hh_tes_in!K7/SER_hh_num_in!K7)</f>
        <v>0</v>
      </c>
      <c r="L7" s="132">
        <f>IF(SER_hh_tes_in!L7=0,0,11630*1000*SER_hh_tes_in!L7/SER_hh_num_in!L7)</f>
        <v>0</v>
      </c>
      <c r="M7" s="132">
        <f>IF(SER_hh_tes_in!M7=0,0,11630*1000*SER_hh_tes_in!M7/SER_hh_num_in!M7)</f>
        <v>37103.413120237703</v>
      </c>
      <c r="N7" s="132">
        <f>IF(SER_hh_tes_in!N7=0,0,11630*1000*SER_hh_tes_in!N7/SER_hh_num_in!N7)</f>
        <v>0</v>
      </c>
      <c r="O7" s="132">
        <f>IF(SER_hh_tes_in!O7=0,0,11630*1000*SER_hh_tes_in!O7/SER_hh_num_in!O7)</f>
        <v>0</v>
      </c>
      <c r="P7" s="132">
        <f>IF(SER_hh_tes_in!P7=0,0,11630*1000*SER_hh_tes_in!P7/SER_hh_num_in!P7)</f>
        <v>0</v>
      </c>
      <c r="Q7" s="132">
        <f>IF(SER_hh_tes_in!Q7=0,0,11630*1000*SER_hh_tes_in!Q7/SER_hh_num_in!Q7)</f>
        <v>0</v>
      </c>
      <c r="R7" s="132">
        <f>IF(SER_hh_tes_in!R7=0,0,11630*1000*SER_hh_tes_in!R7/SER_hh_num_in!R7)</f>
        <v>60649.463813627517</v>
      </c>
      <c r="S7" s="132">
        <f>IF(SER_hh_tes_in!S7=0,0,11630*1000*SER_hh_tes_in!S7/SER_hh_num_in!S7)</f>
        <v>31889.934267852841</v>
      </c>
      <c r="T7" s="132">
        <f>IF(SER_hh_tes_in!T7=0,0,11630*1000*SER_hh_tes_in!T7/SER_hh_num_in!T7)</f>
        <v>33316.72392395218</v>
      </c>
      <c r="U7" s="132">
        <f>IF(SER_hh_tes_in!U7=0,0,11630*1000*SER_hh_tes_in!U7/SER_hh_num_in!U7)</f>
        <v>38012.158891197352</v>
      </c>
      <c r="V7" s="132">
        <f>IF(SER_hh_tes_in!V7=0,0,11630*1000*SER_hh_tes_in!V7/SER_hh_num_in!V7)</f>
        <v>36797.702408918783</v>
      </c>
      <c r="W7" s="132">
        <f>IF(SER_hh_tes_in!W7=0,0,11630*1000*SER_hh_tes_in!W7/SER_hh_num_in!W7)</f>
        <v>21615.326810446117</v>
      </c>
      <c r="X7" s="132">
        <f>IF(SER_hh_tes_in!X7=0,0,11630*1000*SER_hh_tes_in!X7/SER_hh_num_in!X7)</f>
        <v>0</v>
      </c>
      <c r="Y7" s="132">
        <f>IF(SER_hh_tes_in!Y7=0,0,11630*1000*SER_hh_tes_in!Y7/SER_hh_num_in!Y7)</f>
        <v>0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25471.367798472817</v>
      </c>
      <c r="D8" s="132">
        <f>IF(SER_hh_tes_in!D8=0,0,11630*1000*SER_hh_tes_in!D8/SER_hh_num_in!D8)</f>
        <v>27293.261961714728</v>
      </c>
      <c r="E8" s="132">
        <f>IF(SER_hh_tes_in!E8=0,0,11630*1000*SER_hh_tes_in!E8/SER_hh_num_in!E8)</f>
        <v>30828.31421992568</v>
      </c>
      <c r="F8" s="132">
        <f>IF(SER_hh_tes_in!F8=0,0,11630*1000*SER_hh_tes_in!F8/SER_hh_num_in!F8)</f>
        <v>36491.288078308266</v>
      </c>
      <c r="G8" s="132">
        <f>IF(SER_hh_tes_in!G8=0,0,11630*1000*SER_hh_tes_in!G8/SER_hh_num_in!G8)</f>
        <v>44578.679146590352</v>
      </c>
      <c r="H8" s="132">
        <f>IF(SER_hh_tes_in!H8=0,0,11630*1000*SER_hh_tes_in!H8/SER_hh_num_in!H8)</f>
        <v>45043.376117425003</v>
      </c>
      <c r="I8" s="132">
        <f>IF(SER_hh_tes_in!I8=0,0,11630*1000*SER_hh_tes_in!I8/SER_hh_num_in!I8)</f>
        <v>44518.533256270202</v>
      </c>
      <c r="J8" s="132">
        <f>IF(SER_hh_tes_in!J8=0,0,11630*1000*SER_hh_tes_in!J8/SER_hh_num_in!J8)</f>
        <v>43972.768449774121</v>
      </c>
      <c r="K8" s="132">
        <f>IF(SER_hh_tes_in!K8=0,0,11630*1000*SER_hh_tes_in!K8/SER_hh_num_in!K8)</f>
        <v>40048.248334362957</v>
      </c>
      <c r="L8" s="132">
        <f>IF(SER_hh_tes_in!L8=0,0,11630*1000*SER_hh_tes_in!L8/SER_hh_num_in!L8)</f>
        <v>32464.818521966346</v>
      </c>
      <c r="M8" s="132">
        <f>IF(SER_hh_tes_in!M8=0,0,11630*1000*SER_hh_tes_in!M8/SER_hh_num_in!M8)</f>
        <v>25501.017274497695</v>
      </c>
      <c r="N8" s="132">
        <f>IF(SER_hh_tes_in!N8=0,0,11630*1000*SER_hh_tes_in!N8/SER_hh_num_in!N8)</f>
        <v>17477.661904873719</v>
      </c>
      <c r="O8" s="132">
        <f>IF(SER_hh_tes_in!O8=0,0,11630*1000*SER_hh_tes_in!O8/SER_hh_num_in!O8)</f>
        <v>21743.727586977082</v>
      </c>
      <c r="P8" s="132">
        <f>IF(SER_hh_tes_in!P8=0,0,11630*1000*SER_hh_tes_in!P8/SER_hh_num_in!P8)</f>
        <v>33222.893893423425</v>
      </c>
      <c r="Q8" s="132">
        <f>IF(SER_hh_tes_in!Q8=0,0,11630*1000*SER_hh_tes_in!Q8/SER_hh_num_in!Q8)</f>
        <v>53151.917532722735</v>
      </c>
      <c r="R8" s="132">
        <f>IF(SER_hh_tes_in!R8=0,0,11630*1000*SER_hh_tes_in!R8/SER_hh_num_in!R8)</f>
        <v>45512.883050810982</v>
      </c>
      <c r="S8" s="132">
        <f>IF(SER_hh_tes_in!S8=0,0,11630*1000*SER_hh_tes_in!S8/SER_hh_num_in!S8)</f>
        <v>40637.35590291024</v>
      </c>
      <c r="T8" s="132">
        <f>IF(SER_hh_tes_in!T8=0,0,11630*1000*SER_hh_tes_in!T8/SER_hh_num_in!T8)</f>
        <v>37788.826185054422</v>
      </c>
      <c r="U8" s="132">
        <f>IF(SER_hh_tes_in!U8=0,0,11630*1000*SER_hh_tes_in!U8/SER_hh_num_in!U8)</f>
        <v>34492.083518749234</v>
      </c>
      <c r="V8" s="132">
        <f>IF(SER_hh_tes_in!V8=0,0,11630*1000*SER_hh_tes_in!V8/SER_hh_num_in!V8)</f>
        <v>33594.180164531484</v>
      </c>
      <c r="W8" s="132">
        <f>IF(SER_hh_tes_in!W8=0,0,11630*1000*SER_hh_tes_in!W8/SER_hh_num_in!W8)</f>
        <v>29091.191877133588</v>
      </c>
      <c r="X8" s="132">
        <f>IF(SER_hh_tes_in!X8=0,0,11630*1000*SER_hh_tes_in!X8/SER_hh_num_in!X8)</f>
        <v>23058.749207782446</v>
      </c>
      <c r="Y8" s="132">
        <f>IF(SER_hh_tes_in!Y8=0,0,11630*1000*SER_hh_tes_in!Y8/SER_hh_num_in!Y8)</f>
        <v>26381.448897310882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25242.4243696388</v>
      </c>
      <c r="D9" s="132">
        <f>IF(SER_hh_tes_in!D9=0,0,11630*1000*SER_hh_tes_in!D9/SER_hh_num_in!D9)</f>
        <v>25045.855768745718</v>
      </c>
      <c r="E9" s="132">
        <f>IF(SER_hh_tes_in!E9=0,0,11630*1000*SER_hh_tes_in!E9/SER_hh_num_in!E9)</f>
        <v>29726.892749027989</v>
      </c>
      <c r="F9" s="132">
        <f>IF(SER_hh_tes_in!F9=0,0,11630*1000*SER_hh_tes_in!F9/SER_hh_num_in!F9)</f>
        <v>35519.976146302739</v>
      </c>
      <c r="G9" s="132">
        <f>IF(SER_hh_tes_in!G9=0,0,11630*1000*SER_hh_tes_in!G9/SER_hh_num_in!G9)</f>
        <v>44578.683312651257</v>
      </c>
      <c r="H9" s="132">
        <f>IF(SER_hh_tes_in!H9=0,0,11630*1000*SER_hh_tes_in!H9/SER_hh_num_in!H9)</f>
        <v>45818.637873335829</v>
      </c>
      <c r="I9" s="132">
        <f>IF(SER_hh_tes_in!I9=0,0,11630*1000*SER_hh_tes_in!I9/SER_hh_num_in!I9)</f>
        <v>43829.91506121774</v>
      </c>
      <c r="J9" s="132">
        <f>IF(SER_hh_tes_in!J9=0,0,11630*1000*SER_hh_tes_in!J9/SER_hh_num_in!J9)</f>
        <v>48353.075683713512</v>
      </c>
      <c r="K9" s="132">
        <f>IF(SER_hh_tes_in!K9=0,0,11630*1000*SER_hh_tes_in!K9/SER_hh_num_in!K9)</f>
        <v>45185.372740146093</v>
      </c>
      <c r="L9" s="132">
        <f>IF(SER_hh_tes_in!L9=0,0,11630*1000*SER_hh_tes_in!L9/SER_hh_num_in!L9)</f>
        <v>33849.286176740527</v>
      </c>
      <c r="M9" s="132">
        <f>IF(SER_hh_tes_in!M9=0,0,11630*1000*SER_hh_tes_in!M9/SER_hh_num_in!M9)</f>
        <v>46483.788355181612</v>
      </c>
      <c r="N9" s="132">
        <f>IF(SER_hh_tes_in!N9=0,0,11630*1000*SER_hh_tes_in!N9/SER_hh_num_in!N9)</f>
        <v>0</v>
      </c>
      <c r="O9" s="132">
        <f>IF(SER_hh_tes_in!O9=0,0,11630*1000*SER_hh_tes_in!O9/SER_hh_num_in!O9)</f>
        <v>0</v>
      </c>
      <c r="P9" s="132">
        <f>IF(SER_hh_tes_in!P9=0,0,11630*1000*SER_hh_tes_in!P9/SER_hh_num_in!P9)</f>
        <v>0</v>
      </c>
      <c r="Q9" s="132">
        <f>IF(SER_hh_tes_in!Q9=0,0,11630*1000*SER_hh_tes_in!Q9/SER_hh_num_in!Q9)</f>
        <v>46655.657268538642</v>
      </c>
      <c r="R9" s="132">
        <f>IF(SER_hh_tes_in!R9=0,0,11630*1000*SER_hh_tes_in!R9/SER_hh_num_in!R9)</f>
        <v>0</v>
      </c>
      <c r="S9" s="132">
        <f>IF(SER_hh_tes_in!S9=0,0,11630*1000*SER_hh_tes_in!S9/SER_hh_num_in!S9)</f>
        <v>39039.927008266597</v>
      </c>
      <c r="T9" s="132">
        <f>IF(SER_hh_tes_in!T9=0,0,11630*1000*SER_hh_tes_in!T9/SER_hh_num_in!T9)</f>
        <v>35411.257707259385</v>
      </c>
      <c r="U9" s="132">
        <f>IF(SER_hh_tes_in!U9=0,0,11630*1000*SER_hh_tes_in!U9/SER_hh_num_in!U9)</f>
        <v>38761.065791717461</v>
      </c>
      <c r="V9" s="132">
        <f>IF(SER_hh_tes_in!V9=0,0,11630*1000*SER_hh_tes_in!V9/SER_hh_num_in!V9)</f>
        <v>31708.387043575898</v>
      </c>
      <c r="W9" s="132">
        <f>IF(SER_hh_tes_in!W9=0,0,11630*1000*SER_hh_tes_in!W9/SER_hh_num_in!W9)</f>
        <v>28963.990040045759</v>
      </c>
      <c r="X9" s="132">
        <f>IF(SER_hh_tes_in!X9=0,0,11630*1000*SER_hh_tes_in!X9/SER_hh_num_in!X9)</f>
        <v>0</v>
      </c>
      <c r="Y9" s="132">
        <f>IF(SER_hh_tes_in!Y9=0,0,11630*1000*SER_hh_tes_in!Y9/SER_hh_num_in!Y9)</f>
        <v>24642.045101522959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0</v>
      </c>
      <c r="D10" s="132">
        <f>IF(SER_hh_tes_in!D10=0,0,11630*1000*SER_hh_tes_in!D10/SER_hh_num_in!D10)</f>
        <v>0</v>
      </c>
      <c r="E10" s="132">
        <f>IF(SER_hh_tes_in!E10=0,0,11630*1000*SER_hh_tes_in!E10/SER_hh_num_in!E10)</f>
        <v>0</v>
      </c>
      <c r="F10" s="132">
        <f>IF(SER_hh_tes_in!F10=0,0,11630*1000*SER_hh_tes_in!F10/SER_hh_num_in!F10)</f>
        <v>0</v>
      </c>
      <c r="G10" s="132">
        <f>IF(SER_hh_tes_in!G10=0,0,11630*1000*SER_hh_tes_in!G10/SER_hh_num_in!G10)</f>
        <v>0</v>
      </c>
      <c r="H10" s="132">
        <f>IF(SER_hh_tes_in!H10=0,0,11630*1000*SER_hh_tes_in!H10/SER_hh_num_in!H10)</f>
        <v>0</v>
      </c>
      <c r="I10" s="132">
        <f>IF(SER_hh_tes_in!I10=0,0,11630*1000*SER_hh_tes_in!I10/SER_hh_num_in!I10)</f>
        <v>0</v>
      </c>
      <c r="J10" s="132">
        <f>IF(SER_hh_tes_in!J10=0,0,11630*1000*SER_hh_tes_in!J10/SER_hh_num_in!J10)</f>
        <v>0</v>
      </c>
      <c r="K10" s="132">
        <f>IF(SER_hh_tes_in!K10=0,0,11630*1000*SER_hh_tes_in!K10/SER_hh_num_in!K10)</f>
        <v>0</v>
      </c>
      <c r="L10" s="132">
        <f>IF(SER_hh_tes_in!L10=0,0,11630*1000*SER_hh_tes_in!L10/SER_hh_num_in!L10)</f>
        <v>0</v>
      </c>
      <c r="M10" s="132">
        <f>IF(SER_hh_tes_in!M10=0,0,11630*1000*SER_hh_tes_in!M10/SER_hh_num_in!M10)</f>
        <v>0</v>
      </c>
      <c r="N10" s="132">
        <f>IF(SER_hh_tes_in!N10=0,0,11630*1000*SER_hh_tes_in!N10/SER_hh_num_in!N10)</f>
        <v>62906.106176068482</v>
      </c>
      <c r="O10" s="132">
        <f>IF(SER_hh_tes_in!O10=0,0,11630*1000*SER_hh_tes_in!O10/SER_hh_num_in!O10)</f>
        <v>33583.508341612309</v>
      </c>
      <c r="P10" s="132">
        <f>IF(SER_hh_tes_in!P10=0,0,11630*1000*SER_hh_tes_in!P10/SER_hh_num_in!P10)</f>
        <v>24574.90402744992</v>
      </c>
      <c r="Q10" s="132">
        <f>IF(SER_hh_tes_in!Q10=0,0,11630*1000*SER_hh_tes_in!Q10/SER_hh_num_in!Q10)</f>
        <v>71798.595045897324</v>
      </c>
      <c r="R10" s="132">
        <f>IF(SER_hh_tes_in!R10=0,0,11630*1000*SER_hh_tes_in!R10/SER_hh_num_in!R10)</f>
        <v>0</v>
      </c>
      <c r="S10" s="132">
        <f>IF(SER_hh_tes_in!S10=0,0,11630*1000*SER_hh_tes_in!S10/SER_hh_num_in!S10)</f>
        <v>0</v>
      </c>
      <c r="T10" s="132">
        <f>IF(SER_hh_tes_in!T10=0,0,11630*1000*SER_hh_tes_in!T10/SER_hh_num_in!T10)</f>
        <v>0</v>
      </c>
      <c r="U10" s="132">
        <f>IF(SER_hh_tes_in!U10=0,0,11630*1000*SER_hh_tes_in!U10/SER_hh_num_in!U10)</f>
        <v>0</v>
      </c>
      <c r="V10" s="132">
        <f>IF(SER_hh_tes_in!V10=0,0,11630*1000*SER_hh_tes_in!V10/SER_hh_num_in!V10)</f>
        <v>0</v>
      </c>
      <c r="W10" s="132">
        <f>IF(SER_hh_tes_in!W10=0,0,11630*1000*SER_hh_tes_in!W10/SER_hh_num_in!W10)</f>
        <v>0</v>
      </c>
      <c r="X10" s="132">
        <f>IF(SER_hh_tes_in!X10=0,0,11630*1000*SER_hh_tes_in!X10/SER_hh_num_in!X10)</f>
        <v>0</v>
      </c>
      <c r="Y10" s="132">
        <f>IF(SER_hh_tes_in!Y10=0,0,11630*1000*SER_hh_tes_in!Y10/SER_hh_num_in!Y10)</f>
        <v>0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0</v>
      </c>
      <c r="D11" s="132">
        <f>IF(SER_hh_tes_in!D11=0,0,11630*1000*SER_hh_tes_in!D11/SER_hh_num_in!D11)</f>
        <v>0</v>
      </c>
      <c r="E11" s="132">
        <f>IF(SER_hh_tes_in!E11=0,0,11630*1000*SER_hh_tes_in!E11/SER_hh_num_in!E11)</f>
        <v>0</v>
      </c>
      <c r="F11" s="132">
        <f>IF(SER_hh_tes_in!F11=0,0,11630*1000*SER_hh_tes_in!F11/SER_hh_num_in!F11)</f>
        <v>58996.150805941899</v>
      </c>
      <c r="G11" s="132">
        <f>IF(SER_hh_tes_in!G11=0,0,11630*1000*SER_hh_tes_in!G11/SER_hh_num_in!G11)</f>
        <v>45734.530376783579</v>
      </c>
      <c r="H11" s="132">
        <f>IF(SER_hh_tes_in!H11=0,0,11630*1000*SER_hh_tes_in!H11/SER_hh_num_in!H11)</f>
        <v>43967.804516890654</v>
      </c>
      <c r="I11" s="132">
        <f>IF(SER_hh_tes_in!I11=0,0,11630*1000*SER_hh_tes_in!I11/SER_hh_num_in!I11)</f>
        <v>0</v>
      </c>
      <c r="J11" s="132">
        <f>IF(SER_hh_tes_in!J11=0,0,11630*1000*SER_hh_tes_in!J11/SER_hh_num_in!J11)</f>
        <v>42121.01423886155</v>
      </c>
      <c r="K11" s="132">
        <f>IF(SER_hh_tes_in!K11=0,0,11630*1000*SER_hh_tes_in!K11/SER_hh_num_in!K11)</f>
        <v>46006.009968886421</v>
      </c>
      <c r="L11" s="132">
        <f>IF(SER_hh_tes_in!L11=0,0,11630*1000*SER_hh_tes_in!L11/SER_hh_num_in!L11)</f>
        <v>39604.194362559887</v>
      </c>
      <c r="M11" s="132">
        <f>IF(SER_hh_tes_in!M11=0,0,11630*1000*SER_hh_tes_in!M11/SER_hh_num_in!M11)</f>
        <v>36246.627541177237</v>
      </c>
      <c r="N11" s="132">
        <f>IF(SER_hh_tes_in!N11=0,0,11630*1000*SER_hh_tes_in!N11/SER_hh_num_in!N11)</f>
        <v>35842.080865855569</v>
      </c>
      <c r="O11" s="132">
        <f>IF(SER_hh_tes_in!O11=0,0,11630*1000*SER_hh_tes_in!O11/SER_hh_num_in!O11)</f>
        <v>33734.391877242684</v>
      </c>
      <c r="P11" s="132">
        <f>IF(SER_hh_tes_in!P11=0,0,11630*1000*SER_hh_tes_in!P11/SER_hh_num_in!P11)</f>
        <v>37648.617361769699</v>
      </c>
      <c r="Q11" s="132">
        <f>IF(SER_hh_tes_in!Q11=0,0,11630*1000*SER_hh_tes_in!Q11/SER_hh_num_in!Q11)</f>
        <v>0</v>
      </c>
      <c r="R11" s="132">
        <f>IF(SER_hh_tes_in!R11=0,0,11630*1000*SER_hh_tes_in!R11/SER_hh_num_in!R11)</f>
        <v>0</v>
      </c>
      <c r="S11" s="132">
        <f>IF(SER_hh_tes_in!S11=0,0,11630*1000*SER_hh_tes_in!S11/SER_hh_num_in!S11)</f>
        <v>38841.320792856059</v>
      </c>
      <c r="T11" s="132">
        <f>IF(SER_hh_tes_in!T11=0,0,11630*1000*SER_hh_tes_in!T11/SER_hh_num_in!T11)</f>
        <v>37257.340457056322</v>
      </c>
      <c r="U11" s="132">
        <f>IF(SER_hh_tes_in!U11=0,0,11630*1000*SER_hh_tes_in!U11/SER_hh_num_in!U11)</f>
        <v>48732.502072056086</v>
      </c>
      <c r="V11" s="132">
        <f>IF(SER_hh_tes_in!V11=0,0,11630*1000*SER_hh_tes_in!V11/SER_hh_num_in!V11)</f>
        <v>15304.255796902609</v>
      </c>
      <c r="W11" s="132">
        <f>IF(SER_hh_tes_in!W11=0,0,11630*1000*SER_hh_tes_in!W11/SER_hh_num_in!W11)</f>
        <v>12226.42695848047</v>
      </c>
      <c r="X11" s="132">
        <f>IF(SER_hh_tes_in!X11=0,0,11630*1000*SER_hh_tes_in!X11/SER_hh_num_in!X11)</f>
        <v>24822.551432921897</v>
      </c>
      <c r="Y11" s="132">
        <f>IF(SER_hh_tes_in!Y11=0,0,11630*1000*SER_hh_tes_in!Y11/SER_hh_num_in!Y11)</f>
        <v>25092.932380282728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0</v>
      </c>
      <c r="D12" s="132">
        <f>IF(SER_hh_tes_in!D12=0,0,11630*1000*SER_hh_tes_in!D12/SER_hh_num_in!D12)</f>
        <v>0</v>
      </c>
      <c r="E12" s="132">
        <f>IF(SER_hh_tes_in!E12=0,0,11630*1000*SER_hh_tes_in!E12/SER_hh_num_in!E12)</f>
        <v>0</v>
      </c>
      <c r="F12" s="132">
        <f>IF(SER_hh_tes_in!F12=0,0,11630*1000*SER_hh_tes_in!F12/SER_hh_num_in!F12)</f>
        <v>0</v>
      </c>
      <c r="G12" s="132">
        <f>IF(SER_hh_tes_in!G12=0,0,11630*1000*SER_hh_tes_in!G12/SER_hh_num_in!G12)</f>
        <v>0</v>
      </c>
      <c r="H12" s="132">
        <f>IF(SER_hh_tes_in!H12=0,0,11630*1000*SER_hh_tes_in!H12/SER_hh_num_in!H12)</f>
        <v>0</v>
      </c>
      <c r="I12" s="132">
        <f>IF(SER_hh_tes_in!I12=0,0,11630*1000*SER_hh_tes_in!I12/SER_hh_num_in!I12)</f>
        <v>0</v>
      </c>
      <c r="J12" s="132">
        <f>IF(SER_hh_tes_in!J12=0,0,11630*1000*SER_hh_tes_in!J12/SER_hh_num_in!J12)</f>
        <v>0</v>
      </c>
      <c r="K12" s="132">
        <f>IF(SER_hh_tes_in!K12=0,0,11630*1000*SER_hh_tes_in!K12/SER_hh_num_in!K12)</f>
        <v>0</v>
      </c>
      <c r="L12" s="132">
        <f>IF(SER_hh_tes_in!L12=0,0,11630*1000*SER_hh_tes_in!L12/SER_hh_num_in!L12)</f>
        <v>0</v>
      </c>
      <c r="M12" s="132">
        <f>IF(SER_hh_tes_in!M12=0,0,11630*1000*SER_hh_tes_in!M12/SER_hh_num_in!M12)</f>
        <v>0</v>
      </c>
      <c r="N12" s="132">
        <f>IF(SER_hh_tes_in!N12=0,0,11630*1000*SER_hh_tes_in!N12/SER_hh_num_in!N12)</f>
        <v>0</v>
      </c>
      <c r="O12" s="132">
        <f>IF(SER_hh_tes_in!O12=0,0,11630*1000*SER_hh_tes_in!O12/SER_hh_num_in!O12)</f>
        <v>0</v>
      </c>
      <c r="P12" s="132">
        <f>IF(SER_hh_tes_in!P12=0,0,11630*1000*SER_hh_tes_in!P12/SER_hh_num_in!P12)</f>
        <v>0</v>
      </c>
      <c r="Q12" s="132">
        <f>IF(SER_hh_tes_in!Q12=0,0,11630*1000*SER_hh_tes_in!Q12/SER_hh_num_in!Q12)</f>
        <v>0</v>
      </c>
      <c r="R12" s="132">
        <f>IF(SER_hh_tes_in!R12=0,0,11630*1000*SER_hh_tes_in!R12/SER_hh_num_in!R12)</f>
        <v>0</v>
      </c>
      <c r="S12" s="132">
        <f>IF(SER_hh_tes_in!S12=0,0,11630*1000*SER_hh_tes_in!S12/SER_hh_num_in!S12)</f>
        <v>0</v>
      </c>
      <c r="T12" s="132">
        <f>IF(SER_hh_tes_in!T12=0,0,11630*1000*SER_hh_tes_in!T12/SER_hh_num_in!T12)</f>
        <v>0</v>
      </c>
      <c r="U12" s="132">
        <f>IF(SER_hh_tes_in!U12=0,0,11630*1000*SER_hh_tes_in!U12/SER_hh_num_in!U12)</f>
        <v>0</v>
      </c>
      <c r="V12" s="132">
        <f>IF(SER_hh_tes_in!V12=0,0,11630*1000*SER_hh_tes_in!V12/SER_hh_num_in!V12)</f>
        <v>0</v>
      </c>
      <c r="W12" s="132">
        <f>IF(SER_hh_tes_in!W12=0,0,11630*1000*SER_hh_tes_in!W12/SER_hh_num_in!W12)</f>
        <v>0</v>
      </c>
      <c r="X12" s="132">
        <f>IF(SER_hh_tes_in!X12=0,0,11630*1000*SER_hh_tes_in!X12/SER_hh_num_in!X12)</f>
        <v>0</v>
      </c>
      <c r="Y12" s="132">
        <f>IF(SER_hh_tes_in!Y12=0,0,11630*1000*SER_hh_tes_in!Y12/SER_hh_num_in!Y12)</f>
        <v>0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28483.54464082847</v>
      </c>
      <c r="D13" s="132">
        <f>IF(SER_hh_tes_in!D13=0,0,11630*1000*SER_hh_tes_in!D13/SER_hh_num_in!D13)</f>
        <v>29641.897364725304</v>
      </c>
      <c r="E13" s="132">
        <f>IF(SER_hh_tes_in!E13=0,0,11630*1000*SER_hh_tes_in!E13/SER_hh_num_in!E13)</f>
        <v>32248.511859775623</v>
      </c>
      <c r="F13" s="132">
        <f>IF(SER_hh_tes_in!F13=0,0,11630*1000*SER_hh_tes_in!F13/SER_hh_num_in!F13)</f>
        <v>39837.68599440065</v>
      </c>
      <c r="G13" s="132">
        <f>IF(SER_hh_tes_in!G13=0,0,11630*1000*SER_hh_tes_in!G13/SER_hh_num_in!G13)</f>
        <v>38674.208537726525</v>
      </c>
      <c r="H13" s="132">
        <f>IF(SER_hh_tes_in!H13=0,0,11630*1000*SER_hh_tes_in!H13/SER_hh_num_in!H13)</f>
        <v>42414.48990657019</v>
      </c>
      <c r="I13" s="132">
        <f>IF(SER_hh_tes_in!I13=0,0,11630*1000*SER_hh_tes_in!I13/SER_hh_num_in!I13)</f>
        <v>46543.030047579807</v>
      </c>
      <c r="J13" s="132">
        <f>IF(SER_hh_tes_in!J13=0,0,11630*1000*SER_hh_tes_in!J13/SER_hh_num_in!J13)</f>
        <v>46209.452285642612</v>
      </c>
      <c r="K13" s="132">
        <f>IF(SER_hh_tes_in!K13=0,0,11630*1000*SER_hh_tes_in!K13/SER_hh_num_in!K13)</f>
        <v>43922.039119390407</v>
      </c>
      <c r="L13" s="132">
        <f>IF(SER_hh_tes_in!L13=0,0,11630*1000*SER_hh_tes_in!L13/SER_hh_num_in!L13)</f>
        <v>37632.841426530787</v>
      </c>
      <c r="M13" s="132">
        <f>IF(SER_hh_tes_in!M13=0,0,11630*1000*SER_hh_tes_in!M13/SER_hh_num_in!M13)</f>
        <v>33876.097613658858</v>
      </c>
      <c r="N13" s="132">
        <f>IF(SER_hh_tes_in!N13=0,0,11630*1000*SER_hh_tes_in!N13/SER_hh_num_in!N13)</f>
        <v>37408.698017770344</v>
      </c>
      <c r="O13" s="132">
        <f>IF(SER_hh_tes_in!O13=0,0,11630*1000*SER_hh_tes_in!O13/SER_hh_num_in!O13)</f>
        <v>33791.420281862971</v>
      </c>
      <c r="P13" s="132">
        <f>IF(SER_hh_tes_in!P13=0,0,11630*1000*SER_hh_tes_in!P13/SER_hh_num_in!P13)</f>
        <v>36984.188757411292</v>
      </c>
      <c r="Q13" s="132">
        <f>IF(SER_hh_tes_in!Q13=0,0,11630*1000*SER_hh_tes_in!Q13/SER_hh_num_in!Q13)</f>
        <v>43822.492187979959</v>
      </c>
      <c r="R13" s="132">
        <f>IF(SER_hh_tes_in!R13=0,0,11630*1000*SER_hh_tes_in!R13/SER_hh_num_in!R13)</f>
        <v>42747.736708833567</v>
      </c>
      <c r="S13" s="132">
        <f>IF(SER_hh_tes_in!S13=0,0,11630*1000*SER_hh_tes_in!S13/SER_hh_num_in!S13)</f>
        <v>39626.349764236533</v>
      </c>
      <c r="T13" s="132">
        <f>IF(SER_hh_tes_in!T13=0,0,11630*1000*SER_hh_tes_in!T13/SER_hh_num_in!T13)</f>
        <v>37783.904087906441</v>
      </c>
      <c r="U13" s="132">
        <f>IF(SER_hh_tes_in!U13=0,0,11630*1000*SER_hh_tes_in!U13/SER_hh_num_in!U13)</f>
        <v>34682.398152001238</v>
      </c>
      <c r="V13" s="132">
        <f>IF(SER_hh_tes_in!V13=0,0,11630*1000*SER_hh_tes_in!V13/SER_hh_num_in!V13)</f>
        <v>32530.177990407676</v>
      </c>
      <c r="W13" s="132">
        <f>IF(SER_hh_tes_in!W13=0,0,11630*1000*SER_hh_tes_in!W13/SER_hh_num_in!W13)</f>
        <v>29468.269796602694</v>
      </c>
      <c r="X13" s="132">
        <f>IF(SER_hh_tes_in!X13=0,0,11630*1000*SER_hh_tes_in!X13/SER_hh_num_in!X13)</f>
        <v>23374.414865214836</v>
      </c>
      <c r="Y13" s="132">
        <f>IF(SER_hh_tes_in!Y13=0,0,11630*1000*SER_hh_tes_in!Y13/SER_hh_num_in!Y13)</f>
        <v>25671.270251028476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29126.156425818928</v>
      </c>
      <c r="D14" s="65">
        <f>IF(SER_hh_tes_in!D14=0,0,11630*1000*SER_hh_tes_in!D14/SER_hh_num_in!D14)</f>
        <v>29272.99106841824</v>
      </c>
      <c r="E14" s="65">
        <f>IF(SER_hh_tes_in!E14=0,0,11630*1000*SER_hh_tes_in!E14/SER_hh_num_in!E14)</f>
        <v>33235.586924973672</v>
      </c>
      <c r="F14" s="65">
        <f>IF(SER_hh_tes_in!F14=0,0,11630*1000*SER_hh_tes_in!F14/SER_hh_num_in!F14)</f>
        <v>39668.622636538297</v>
      </c>
      <c r="G14" s="65">
        <f>IF(SER_hh_tes_in!G14=0,0,11630*1000*SER_hh_tes_in!G14/SER_hh_num_in!G14)</f>
        <v>38410.237428008091</v>
      </c>
      <c r="H14" s="65">
        <f>IF(SER_hh_tes_in!H14=0,0,11630*1000*SER_hh_tes_in!H14/SER_hh_num_in!H14)</f>
        <v>44128.961147048511</v>
      </c>
      <c r="I14" s="65">
        <f>IF(SER_hh_tes_in!I14=0,0,11630*1000*SER_hh_tes_in!I14/SER_hh_num_in!I14)</f>
        <v>45963.915937471123</v>
      </c>
      <c r="J14" s="65">
        <f>IF(SER_hh_tes_in!J14=0,0,11630*1000*SER_hh_tes_in!J14/SER_hh_num_in!J14)</f>
        <v>49954.500275056991</v>
      </c>
      <c r="K14" s="65">
        <f>IF(SER_hh_tes_in!K14=0,0,11630*1000*SER_hh_tes_in!K14/SER_hh_num_in!K14)</f>
        <v>51577.325283092825</v>
      </c>
      <c r="L14" s="65">
        <f>IF(SER_hh_tes_in!L14=0,0,11630*1000*SER_hh_tes_in!L14/SER_hh_num_in!L14)</f>
        <v>0</v>
      </c>
      <c r="M14" s="65">
        <f>IF(SER_hh_tes_in!M14=0,0,11630*1000*SER_hh_tes_in!M14/SER_hh_num_in!M14)</f>
        <v>0</v>
      </c>
      <c r="N14" s="65">
        <f>IF(SER_hh_tes_in!N14=0,0,11630*1000*SER_hh_tes_in!N14/SER_hh_num_in!N14)</f>
        <v>0</v>
      </c>
      <c r="O14" s="65">
        <f>IF(SER_hh_tes_in!O14=0,0,11630*1000*SER_hh_tes_in!O14/SER_hh_num_in!O14)</f>
        <v>0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54410.519122443118</v>
      </c>
      <c r="S14" s="65">
        <f>IF(SER_hh_tes_in!S14=0,0,11630*1000*SER_hh_tes_in!S14/SER_hh_num_in!S14)</f>
        <v>49720.078907464522</v>
      </c>
      <c r="T14" s="65">
        <f>IF(SER_hh_tes_in!T14=0,0,11630*1000*SER_hh_tes_in!T14/SER_hh_num_in!T14)</f>
        <v>0</v>
      </c>
      <c r="U14" s="65">
        <f>IF(SER_hh_tes_in!U14=0,0,11630*1000*SER_hh_tes_in!U14/SER_hh_num_in!U14)</f>
        <v>0</v>
      </c>
      <c r="V14" s="65">
        <f>IF(SER_hh_tes_in!V14=0,0,11630*1000*SER_hh_tes_in!V14/SER_hh_num_in!V14)</f>
        <v>0</v>
      </c>
      <c r="W14" s="65">
        <f>IF(SER_hh_tes_in!W14=0,0,11630*1000*SER_hh_tes_in!W14/SER_hh_num_in!W14)</f>
        <v>24797.090788877154</v>
      </c>
      <c r="X14" s="65">
        <f>IF(SER_hh_tes_in!X14=0,0,11630*1000*SER_hh_tes_in!X14/SER_hh_num_in!X14)</f>
        <v>27598.48887835073</v>
      </c>
      <c r="Y14" s="65">
        <f>IF(SER_hh_tes_in!Y14=0,0,11630*1000*SER_hh_tes_in!Y14/SER_hh_num_in!Y14)</f>
        <v>25017.738167906584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579.96127134879168</v>
      </c>
      <c r="D15" s="134">
        <f>IF(SER_hh_tes_in!D15=0,0,11630*1000*SER_hh_tes_in!D15/SER_hh_num_in!D15)</f>
        <v>564.2270405706887</v>
      </c>
      <c r="E15" s="134">
        <f>IF(SER_hh_tes_in!E15=0,0,11630*1000*SER_hh_tes_in!E15/SER_hh_num_in!E15)</f>
        <v>605.56677911231168</v>
      </c>
      <c r="F15" s="134">
        <f>IF(SER_hh_tes_in!F15=0,0,11630*1000*SER_hh_tes_in!F15/SER_hh_num_in!F15)</f>
        <v>540.48635103787296</v>
      </c>
      <c r="G15" s="134">
        <f>IF(SER_hh_tes_in!G15=0,0,11630*1000*SER_hh_tes_in!G15/SER_hh_num_in!G15)</f>
        <v>768.64337743897443</v>
      </c>
      <c r="H15" s="134">
        <f>IF(SER_hh_tes_in!H15=0,0,11630*1000*SER_hh_tes_in!H15/SER_hh_num_in!H15)</f>
        <v>812.90247383423798</v>
      </c>
      <c r="I15" s="134">
        <f>IF(SER_hh_tes_in!I15=0,0,11630*1000*SER_hh_tes_in!I15/SER_hh_num_in!I15)</f>
        <v>770.62560362720819</v>
      </c>
      <c r="J15" s="134">
        <f>IF(SER_hh_tes_in!J15=0,0,11630*1000*SER_hh_tes_in!J15/SER_hh_num_in!J15)</f>
        <v>819.65265111695737</v>
      </c>
      <c r="K15" s="134">
        <f>IF(SER_hh_tes_in!K15=0,0,11630*1000*SER_hh_tes_in!K15/SER_hh_num_in!K15)</f>
        <v>718.86962599526134</v>
      </c>
      <c r="L15" s="134">
        <f>IF(SER_hh_tes_in!L15=0,0,11630*1000*SER_hh_tes_in!L15/SER_hh_num_in!L15)</f>
        <v>522.92723031889159</v>
      </c>
      <c r="M15" s="134">
        <f>IF(SER_hh_tes_in!M15=0,0,11630*1000*SER_hh_tes_in!M15/SER_hh_num_in!M15)</f>
        <v>583.34523943338854</v>
      </c>
      <c r="N15" s="134">
        <f>IF(SER_hh_tes_in!N15=0,0,11630*1000*SER_hh_tes_in!N15/SER_hh_num_in!N15)</f>
        <v>445.67436028499708</v>
      </c>
      <c r="O15" s="134">
        <f>IF(SER_hh_tes_in!O15=0,0,11630*1000*SER_hh_tes_in!O15/SER_hh_num_in!O15)</f>
        <v>156.85323057611541</v>
      </c>
      <c r="P15" s="134">
        <f>IF(SER_hh_tes_in!P15=0,0,11630*1000*SER_hh_tes_in!P15/SER_hh_num_in!P15)</f>
        <v>143.94018176986216</v>
      </c>
      <c r="Q15" s="134">
        <f>IF(SER_hh_tes_in!Q15=0,0,11630*1000*SER_hh_tes_in!Q15/SER_hh_num_in!Q15)</f>
        <v>304.86502496220254</v>
      </c>
      <c r="R15" s="134">
        <f>IF(SER_hh_tes_in!R15=0,0,11630*1000*SER_hh_tes_in!R15/SER_hh_num_in!R15)</f>
        <v>737.6161300511634</v>
      </c>
      <c r="S15" s="134">
        <f>IF(SER_hh_tes_in!S15=0,0,11630*1000*SER_hh_tes_in!S15/SER_hh_num_in!S15)</f>
        <v>524.52091392996556</v>
      </c>
      <c r="T15" s="134">
        <f>IF(SER_hh_tes_in!T15=0,0,11630*1000*SER_hh_tes_in!T15/SER_hh_num_in!T15)</f>
        <v>491.80768626650502</v>
      </c>
      <c r="U15" s="134">
        <f>IF(SER_hh_tes_in!U15=0,0,11630*1000*SER_hh_tes_in!U15/SER_hh_num_in!U15)</f>
        <v>546.45847656152534</v>
      </c>
      <c r="V15" s="134">
        <f>IF(SER_hh_tes_in!V15=0,0,11630*1000*SER_hh_tes_in!V15/SER_hh_num_in!V15)</f>
        <v>387.24934076417185</v>
      </c>
      <c r="W15" s="134">
        <f>IF(SER_hh_tes_in!W15=0,0,11630*1000*SER_hh_tes_in!W15/SER_hh_num_in!W15)</f>
        <v>337.0109503345239</v>
      </c>
      <c r="X15" s="134">
        <f>IF(SER_hh_tes_in!X15=0,0,11630*1000*SER_hh_tes_in!X15/SER_hh_num_in!X15)</f>
        <v>129.83887551508386</v>
      </c>
      <c r="Y15" s="134">
        <f>IF(SER_hh_tes_in!Y15=0,0,11630*1000*SER_hh_tes_in!Y15/SER_hh_num_in!Y15)</f>
        <v>244.78106208507597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38677.533783094266</v>
      </c>
      <c r="D16" s="130">
        <f>IF(SER_hh_tes_in!D16=0,0,11630*1000*SER_hh_tes_in!D16/SER_hh_num_in!D16)</f>
        <v>31396.375517427121</v>
      </c>
      <c r="E16" s="130">
        <f>IF(SER_hh_tes_in!E16=0,0,11630*1000*SER_hh_tes_in!E16/SER_hh_num_in!E16)</f>
        <v>42040.656239226984</v>
      </c>
      <c r="F16" s="130">
        <f>IF(SER_hh_tes_in!F16=0,0,11630*1000*SER_hh_tes_in!F16/SER_hh_num_in!F16)</f>
        <v>26192.908734697641</v>
      </c>
      <c r="G16" s="130">
        <f>IF(SER_hh_tes_in!G16=0,0,11630*1000*SER_hh_tes_in!G16/SER_hh_num_in!G16)</f>
        <v>26879.987796726196</v>
      </c>
      <c r="H16" s="130">
        <f>IF(SER_hh_tes_in!H16=0,0,11630*1000*SER_hh_tes_in!H16/SER_hh_num_in!H16)</f>
        <v>31700.22430680351</v>
      </c>
      <c r="I16" s="130">
        <f>IF(SER_hh_tes_in!I16=0,0,11630*1000*SER_hh_tes_in!I16/SER_hh_num_in!I16)</f>
        <v>46404.142795800981</v>
      </c>
      <c r="J16" s="130">
        <f>IF(SER_hh_tes_in!J16=0,0,11630*1000*SER_hh_tes_in!J16/SER_hh_num_in!J16)</f>
        <v>44817.317910229562</v>
      </c>
      <c r="K16" s="130">
        <f>IF(SER_hh_tes_in!K16=0,0,11630*1000*SER_hh_tes_in!K16/SER_hh_num_in!K16)</f>
        <v>30185.223131943741</v>
      </c>
      <c r="L16" s="130">
        <f>IF(SER_hh_tes_in!L16=0,0,11630*1000*SER_hh_tes_in!L16/SER_hh_num_in!L16)</f>
        <v>38366.326328257179</v>
      </c>
      <c r="M16" s="130">
        <f>IF(SER_hh_tes_in!M16=0,0,11630*1000*SER_hh_tes_in!M16/SER_hh_num_in!M16)</f>
        <v>32779.997530297391</v>
      </c>
      <c r="N16" s="130">
        <f>IF(SER_hh_tes_in!N16=0,0,11630*1000*SER_hh_tes_in!N16/SER_hh_num_in!N16)</f>
        <v>52996.818287779322</v>
      </c>
      <c r="O16" s="130">
        <f>IF(SER_hh_tes_in!O16=0,0,11630*1000*SER_hh_tes_in!O16/SER_hh_num_in!O16)</f>
        <v>32806.143632230858</v>
      </c>
      <c r="P16" s="130">
        <f>IF(SER_hh_tes_in!P16=0,0,11630*1000*SER_hh_tes_in!P16/SER_hh_num_in!P16)</f>
        <v>26204.600771249181</v>
      </c>
      <c r="Q16" s="130">
        <f>IF(SER_hh_tes_in!Q16=0,0,11630*1000*SER_hh_tes_in!Q16/SER_hh_num_in!Q16)</f>
        <v>32561.009780475862</v>
      </c>
      <c r="R16" s="130">
        <f>IF(SER_hh_tes_in!R16=0,0,11630*1000*SER_hh_tes_in!R16/SER_hh_num_in!R16)</f>
        <v>34170.06792035039</v>
      </c>
      <c r="S16" s="130">
        <f>IF(SER_hh_tes_in!S16=0,0,11630*1000*SER_hh_tes_in!S16/SER_hh_num_in!S16)</f>
        <v>33000.474276716865</v>
      </c>
      <c r="T16" s="130">
        <f>IF(SER_hh_tes_in!T16=0,0,11630*1000*SER_hh_tes_in!T16/SER_hh_num_in!T16)</f>
        <v>27070.4887776213</v>
      </c>
      <c r="U16" s="130">
        <f>IF(SER_hh_tes_in!U16=0,0,11630*1000*SER_hh_tes_in!U16/SER_hh_num_in!U16)</f>
        <v>32610.6523476988</v>
      </c>
      <c r="V16" s="130">
        <f>IF(SER_hh_tes_in!V16=0,0,11630*1000*SER_hh_tes_in!V16/SER_hh_num_in!V16)</f>
        <v>26730.347126490193</v>
      </c>
      <c r="W16" s="130">
        <f>IF(SER_hh_tes_in!W16=0,0,11630*1000*SER_hh_tes_in!W16/SER_hh_num_in!W16)</f>
        <v>31890.055030239484</v>
      </c>
      <c r="X16" s="130">
        <f>IF(SER_hh_tes_in!X16=0,0,11630*1000*SER_hh_tes_in!X16/SER_hh_num_in!X16)</f>
        <v>24651.586180335682</v>
      </c>
      <c r="Y16" s="130">
        <f>IF(SER_hh_tes_in!Y16=0,0,11630*1000*SER_hh_tes_in!Y16/SER_hh_num_in!Y16)</f>
        <v>25888.483743958845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38675.689547736154</v>
      </c>
      <c r="D17" s="132">
        <f>IF(SER_hh_tes_in!D17=0,0,11630*1000*SER_hh_tes_in!D17/SER_hh_num_in!D17)</f>
        <v>31468.611972850984</v>
      </c>
      <c r="E17" s="132">
        <f>IF(SER_hh_tes_in!E17=0,0,11630*1000*SER_hh_tes_in!E17/SER_hh_num_in!E17)</f>
        <v>42022.065553487213</v>
      </c>
      <c r="F17" s="132">
        <f>IF(SER_hh_tes_in!F17=0,0,11630*1000*SER_hh_tes_in!F17/SER_hh_num_in!F17)</f>
        <v>26480.972870991605</v>
      </c>
      <c r="G17" s="132">
        <f>IF(SER_hh_tes_in!G17=0,0,11630*1000*SER_hh_tes_in!G17/SER_hh_num_in!G17)</f>
        <v>27208.185423654595</v>
      </c>
      <c r="H17" s="132">
        <f>IF(SER_hh_tes_in!H17=0,0,11630*1000*SER_hh_tes_in!H17/SER_hh_num_in!H17)</f>
        <v>32055.945295128065</v>
      </c>
      <c r="I17" s="132">
        <f>IF(SER_hh_tes_in!I17=0,0,11630*1000*SER_hh_tes_in!I17/SER_hh_num_in!I17)</f>
        <v>46722.23907491751</v>
      </c>
      <c r="J17" s="132">
        <f>IF(SER_hh_tes_in!J17=0,0,11630*1000*SER_hh_tes_in!J17/SER_hh_num_in!J17)</f>
        <v>43938.958541668238</v>
      </c>
      <c r="K17" s="132">
        <f>IF(SER_hh_tes_in!K17=0,0,11630*1000*SER_hh_tes_in!K17/SER_hh_num_in!K17)</f>
        <v>37318.971591335852</v>
      </c>
      <c r="L17" s="132">
        <f>IF(SER_hh_tes_in!L17=0,0,11630*1000*SER_hh_tes_in!L17/SER_hh_num_in!L17)</f>
        <v>38521.198195904195</v>
      </c>
      <c r="M17" s="132">
        <f>IF(SER_hh_tes_in!M17=0,0,11630*1000*SER_hh_tes_in!M17/SER_hh_num_in!M17)</f>
        <v>33424.81872866489</v>
      </c>
      <c r="N17" s="132">
        <f>IF(SER_hh_tes_in!N17=0,0,11630*1000*SER_hh_tes_in!N17/SER_hh_num_in!N17)</f>
        <v>47815.223648636631</v>
      </c>
      <c r="O17" s="132">
        <f>IF(SER_hh_tes_in!O17=0,0,11630*1000*SER_hh_tes_in!O17/SER_hh_num_in!O17)</f>
        <v>32732.354988192896</v>
      </c>
      <c r="P17" s="132">
        <f>IF(SER_hh_tes_in!P17=0,0,11630*1000*SER_hh_tes_in!P17/SER_hh_num_in!P17)</f>
        <v>27324.7937082709</v>
      </c>
      <c r="Q17" s="132">
        <f>IF(SER_hh_tes_in!Q17=0,0,11630*1000*SER_hh_tes_in!Q17/SER_hh_num_in!Q17)</f>
        <v>32553.286179532286</v>
      </c>
      <c r="R17" s="132">
        <f>IF(SER_hh_tes_in!R17=0,0,11630*1000*SER_hh_tes_in!R17/SER_hh_num_in!R17)</f>
        <v>34169.219316803203</v>
      </c>
      <c r="S17" s="132">
        <f>IF(SER_hh_tes_in!S17=0,0,11630*1000*SER_hh_tes_in!S17/SER_hh_num_in!S17)</f>
        <v>33004.606681256577</v>
      </c>
      <c r="T17" s="132">
        <f>IF(SER_hh_tes_in!T17=0,0,11630*1000*SER_hh_tes_in!T17/SER_hh_num_in!T17)</f>
        <v>27122.024807994567</v>
      </c>
      <c r="U17" s="132">
        <f>IF(SER_hh_tes_in!U17=0,0,11630*1000*SER_hh_tes_in!U17/SER_hh_num_in!U17)</f>
        <v>32645.643702568421</v>
      </c>
      <c r="V17" s="132">
        <f>IF(SER_hh_tes_in!V17=0,0,11630*1000*SER_hh_tes_in!V17/SER_hh_num_in!V17)</f>
        <v>25590.038059188551</v>
      </c>
      <c r="W17" s="132">
        <f>IF(SER_hh_tes_in!W17=0,0,11630*1000*SER_hh_tes_in!W17/SER_hh_num_in!W17)</f>
        <v>30315.799492618746</v>
      </c>
      <c r="X17" s="132">
        <f>IF(SER_hh_tes_in!X17=0,0,11630*1000*SER_hh_tes_in!X17/SER_hh_num_in!X17)</f>
        <v>24633.102973957284</v>
      </c>
      <c r="Y17" s="132">
        <f>IF(SER_hh_tes_in!Y17=0,0,11630*1000*SER_hh_tes_in!Y17/SER_hh_num_in!Y17)</f>
        <v>25891.266569959578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38677.535014240137</v>
      </c>
      <c r="D18" s="132">
        <f>IF(SER_hh_tes_in!D18=0,0,11630*1000*SER_hh_tes_in!D18/SER_hh_num_in!D18)</f>
        <v>31396.224775470397</v>
      </c>
      <c r="E18" s="132">
        <f>IF(SER_hh_tes_in!E18=0,0,11630*1000*SER_hh_tes_in!E18/SER_hh_num_in!E18)</f>
        <v>42040.65888385463</v>
      </c>
      <c r="F18" s="132">
        <f>IF(SER_hh_tes_in!F18=0,0,11630*1000*SER_hh_tes_in!F18/SER_hh_num_in!F18)</f>
        <v>26191.130312478359</v>
      </c>
      <c r="G18" s="132">
        <f>IF(SER_hh_tes_in!G18=0,0,11630*1000*SER_hh_tes_in!G18/SER_hh_num_in!G18)</f>
        <v>26877.832507219671</v>
      </c>
      <c r="H18" s="132">
        <f>IF(SER_hh_tes_in!H18=0,0,11630*1000*SER_hh_tes_in!H18/SER_hh_num_in!H18)</f>
        <v>31698.352593613967</v>
      </c>
      <c r="I18" s="132">
        <f>IF(SER_hh_tes_in!I18=0,0,11630*1000*SER_hh_tes_in!I18/SER_hh_num_in!I18)</f>
        <v>46404.137072582191</v>
      </c>
      <c r="J18" s="132">
        <f>IF(SER_hh_tes_in!J18=0,0,11630*1000*SER_hh_tes_in!J18/SER_hh_num_in!J18)</f>
        <v>44823.498331942443</v>
      </c>
      <c r="K18" s="132">
        <f>IF(SER_hh_tes_in!K18=0,0,11630*1000*SER_hh_tes_in!K18/SER_hh_num_in!K18)</f>
        <v>30085.068142199561</v>
      </c>
      <c r="L18" s="132">
        <f>IF(SER_hh_tes_in!L18=0,0,11630*1000*SER_hh_tes_in!L18/SER_hh_num_in!L18)</f>
        <v>38363.503616332928</v>
      </c>
      <c r="M18" s="132">
        <f>IF(SER_hh_tes_in!M18=0,0,11630*1000*SER_hh_tes_in!M18/SER_hh_num_in!M18)</f>
        <v>32767.119344822178</v>
      </c>
      <c r="N18" s="132">
        <f>IF(SER_hh_tes_in!N18=0,0,11630*1000*SER_hh_tes_in!N18/SER_hh_num_in!N18)</f>
        <v>53100.237986591994</v>
      </c>
      <c r="O18" s="132">
        <f>IF(SER_hh_tes_in!O18=0,0,11630*1000*SER_hh_tes_in!O18/SER_hh_num_in!O18)</f>
        <v>32808.664570862682</v>
      </c>
      <c r="P18" s="132">
        <f>IF(SER_hh_tes_in!P18=0,0,11630*1000*SER_hh_tes_in!P18/SER_hh_num_in!P18)</f>
        <v>26161.155774742492</v>
      </c>
      <c r="Q18" s="132">
        <f>IF(SER_hh_tes_in!Q18=0,0,11630*1000*SER_hh_tes_in!Q18/SER_hh_num_in!Q18)</f>
        <v>32561.217726331848</v>
      </c>
      <c r="R18" s="132">
        <f>IF(SER_hh_tes_in!R18=0,0,11630*1000*SER_hh_tes_in!R18/SER_hh_num_in!R18)</f>
        <v>34170.08600833598</v>
      </c>
      <c r="S18" s="132">
        <f>IF(SER_hh_tes_in!S18=0,0,11630*1000*SER_hh_tes_in!S18/SER_hh_num_in!S18)</f>
        <v>33000.36415711981</v>
      </c>
      <c r="T18" s="132">
        <f>IF(SER_hh_tes_in!T18=0,0,11630*1000*SER_hh_tes_in!T18/SER_hh_num_in!T18)</f>
        <v>27068.127433380414</v>
      </c>
      <c r="U18" s="132">
        <f>IF(SER_hh_tes_in!U18=0,0,11630*1000*SER_hh_tes_in!U18/SER_hh_num_in!U18)</f>
        <v>32609.701947341655</v>
      </c>
      <c r="V18" s="132">
        <f>IF(SER_hh_tes_in!V18=0,0,11630*1000*SER_hh_tes_in!V18/SER_hh_num_in!V18)</f>
        <v>26763.10995852459</v>
      </c>
      <c r="W18" s="132">
        <f>IF(SER_hh_tes_in!W18=0,0,11630*1000*SER_hh_tes_in!W18/SER_hh_num_in!W18)</f>
        <v>31932.88907993248</v>
      </c>
      <c r="X18" s="132">
        <f>IF(SER_hh_tes_in!X18=0,0,11630*1000*SER_hh_tes_in!X18/SER_hh_num_in!X18)</f>
        <v>24652.13142869918</v>
      </c>
      <c r="Y18" s="132">
        <f>IF(SER_hh_tes_in!Y18=0,0,11630*1000*SER_hh_tes_in!Y18/SER_hh_num_in!Y18)</f>
        <v>25888.386563182783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19296.319608914764</v>
      </c>
      <c r="D19" s="130">
        <f>IF(SER_hh_tes_in!D19=0,0,11630*1000*SER_hh_tes_in!D19/SER_hh_num_in!D19)</f>
        <v>20172.446656631739</v>
      </c>
      <c r="E19" s="130">
        <f>IF(SER_hh_tes_in!E19=0,0,11630*1000*SER_hh_tes_in!E19/SER_hh_num_in!E19)</f>
        <v>20311.958681068187</v>
      </c>
      <c r="F19" s="130">
        <f>IF(SER_hh_tes_in!F19=0,0,11630*1000*SER_hh_tes_in!F19/SER_hh_num_in!F19)</f>
        <v>20504.371535617443</v>
      </c>
      <c r="G19" s="130">
        <f>IF(SER_hh_tes_in!G19=0,0,11630*1000*SER_hh_tes_in!G19/SER_hh_num_in!G19)</f>
        <v>21784.00650890257</v>
      </c>
      <c r="H19" s="130">
        <f>IF(SER_hh_tes_in!H19=0,0,11630*1000*SER_hh_tes_in!H19/SER_hh_num_in!H19)</f>
        <v>21408.542255305565</v>
      </c>
      <c r="I19" s="130">
        <f>IF(SER_hh_tes_in!I19=0,0,11630*1000*SER_hh_tes_in!I19/SER_hh_num_in!I19)</f>
        <v>21039.162671863</v>
      </c>
      <c r="J19" s="130">
        <f>IF(SER_hh_tes_in!J19=0,0,11630*1000*SER_hh_tes_in!J19/SER_hh_num_in!J19)</f>
        <v>21198.794475277071</v>
      </c>
      <c r="K19" s="130">
        <f>IF(SER_hh_tes_in!K19=0,0,11630*1000*SER_hh_tes_in!K19/SER_hh_num_in!K19)</f>
        <v>21661.13678368651</v>
      </c>
      <c r="L19" s="130">
        <f>IF(SER_hh_tes_in!L19=0,0,11630*1000*SER_hh_tes_in!L19/SER_hh_num_in!L19)</f>
        <v>22703.296897062042</v>
      </c>
      <c r="M19" s="130">
        <f>IF(SER_hh_tes_in!M19=0,0,11630*1000*SER_hh_tes_in!M19/SER_hh_num_in!M19)</f>
        <v>23274.696574804424</v>
      </c>
      <c r="N19" s="130">
        <f>IF(SER_hh_tes_in!N19=0,0,11630*1000*SER_hh_tes_in!N19/SER_hh_num_in!N19)</f>
        <v>23137.62152034188</v>
      </c>
      <c r="O19" s="130">
        <f>IF(SER_hh_tes_in!O19=0,0,11630*1000*SER_hh_tes_in!O19/SER_hh_num_in!O19)</f>
        <v>23524.848215192662</v>
      </c>
      <c r="P19" s="130">
        <f>IF(SER_hh_tes_in!P19=0,0,11630*1000*SER_hh_tes_in!P19/SER_hh_num_in!P19)</f>
        <v>23936.862332702298</v>
      </c>
      <c r="Q19" s="130">
        <f>IF(SER_hh_tes_in!Q19=0,0,11630*1000*SER_hh_tes_in!Q19/SER_hh_num_in!Q19)</f>
        <v>24042.583138495724</v>
      </c>
      <c r="R19" s="130">
        <f>IF(SER_hh_tes_in!R19=0,0,11630*1000*SER_hh_tes_in!R19/SER_hh_num_in!R19)</f>
        <v>24260.538810347745</v>
      </c>
      <c r="S19" s="130">
        <f>IF(SER_hh_tes_in!S19=0,0,11630*1000*SER_hh_tes_in!S19/SER_hh_num_in!S19)</f>
        <v>24001.53600991183</v>
      </c>
      <c r="T19" s="130">
        <f>IF(SER_hh_tes_in!T19=0,0,11630*1000*SER_hh_tes_in!T19/SER_hh_num_in!T19)</f>
        <v>23838.393161332715</v>
      </c>
      <c r="U19" s="130">
        <f>IF(SER_hh_tes_in!U19=0,0,11630*1000*SER_hh_tes_in!U19/SER_hh_num_in!U19)</f>
        <v>23325.219442216061</v>
      </c>
      <c r="V19" s="130">
        <f>IF(SER_hh_tes_in!V19=0,0,11630*1000*SER_hh_tes_in!V19/SER_hh_num_in!V19)</f>
        <v>21134.888182694307</v>
      </c>
      <c r="W19" s="130">
        <f>IF(SER_hh_tes_in!W19=0,0,11630*1000*SER_hh_tes_in!W19/SER_hh_num_in!W19)</f>
        <v>20707.98009141524</v>
      </c>
      <c r="X19" s="130">
        <f>IF(SER_hh_tes_in!X19=0,0,11630*1000*SER_hh_tes_in!X19/SER_hh_num_in!X19)</f>
        <v>21949.841488153303</v>
      </c>
      <c r="Y19" s="130">
        <f>IF(SER_hh_tes_in!Y19=0,0,11630*1000*SER_hh_tes_in!Y19/SER_hh_num_in!Y19)</f>
        <v>22277.257671274598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0</v>
      </c>
      <c r="D20" s="132">
        <f>IF(SER_hh_tes_in!D20=0,0,11630*1000*SER_hh_tes_in!D20/SER_hh_num_in!D20)</f>
        <v>0</v>
      </c>
      <c r="E20" s="132">
        <f>IF(SER_hh_tes_in!E20=0,0,11630*1000*SER_hh_tes_in!E20/SER_hh_num_in!E20)</f>
        <v>0</v>
      </c>
      <c r="F20" s="132">
        <f>IF(SER_hh_tes_in!F20=0,0,11630*1000*SER_hh_tes_in!F20/SER_hh_num_in!F20)</f>
        <v>0</v>
      </c>
      <c r="G20" s="132">
        <f>IF(SER_hh_tes_in!G20=0,0,11630*1000*SER_hh_tes_in!G20/SER_hh_num_in!G20)</f>
        <v>0</v>
      </c>
      <c r="H20" s="132">
        <f>IF(SER_hh_tes_in!H20=0,0,11630*1000*SER_hh_tes_in!H20/SER_hh_num_in!H20)</f>
        <v>0</v>
      </c>
      <c r="I20" s="132">
        <f>IF(SER_hh_tes_in!I20=0,0,11630*1000*SER_hh_tes_in!I20/SER_hh_num_in!I20)</f>
        <v>0</v>
      </c>
      <c r="J20" s="132">
        <f>IF(SER_hh_tes_in!J20=0,0,11630*1000*SER_hh_tes_in!J20/SER_hh_num_in!J20)</f>
        <v>0</v>
      </c>
      <c r="K20" s="132">
        <f>IF(SER_hh_tes_in!K20=0,0,11630*1000*SER_hh_tes_in!K20/SER_hh_num_in!K20)</f>
        <v>0</v>
      </c>
      <c r="L20" s="132">
        <f>IF(SER_hh_tes_in!L20=0,0,11630*1000*SER_hh_tes_in!L20/SER_hh_num_in!L20)</f>
        <v>0</v>
      </c>
      <c r="M20" s="132">
        <f>IF(SER_hh_tes_in!M20=0,0,11630*1000*SER_hh_tes_in!M20/SER_hh_num_in!M20)</f>
        <v>0</v>
      </c>
      <c r="N20" s="132">
        <f>IF(SER_hh_tes_in!N20=0,0,11630*1000*SER_hh_tes_in!N20/SER_hh_num_in!N20)</f>
        <v>0</v>
      </c>
      <c r="O20" s="132">
        <f>IF(SER_hh_tes_in!O20=0,0,11630*1000*SER_hh_tes_in!O20/SER_hh_num_in!O20)</f>
        <v>0</v>
      </c>
      <c r="P20" s="132">
        <f>IF(SER_hh_tes_in!P20=0,0,11630*1000*SER_hh_tes_in!P20/SER_hh_num_in!P20)</f>
        <v>0</v>
      </c>
      <c r="Q20" s="132">
        <f>IF(SER_hh_tes_in!Q20=0,0,11630*1000*SER_hh_tes_in!Q20/SER_hh_num_in!Q20)</f>
        <v>0</v>
      </c>
      <c r="R20" s="132">
        <f>IF(SER_hh_tes_in!R20=0,0,11630*1000*SER_hh_tes_in!R20/SER_hh_num_in!R20)</f>
        <v>0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0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19430.704748636545</v>
      </c>
      <c r="D21" s="132">
        <f>IF(SER_hh_tes_in!D21=0,0,11630*1000*SER_hh_tes_in!D21/SER_hh_num_in!D21)</f>
        <v>20101.383392294709</v>
      </c>
      <c r="E21" s="132">
        <f>IF(SER_hh_tes_in!E21=0,0,11630*1000*SER_hh_tes_in!E21/SER_hh_num_in!E21)</f>
        <v>19534.63567650914</v>
      </c>
      <c r="F21" s="132">
        <f>IF(SER_hh_tes_in!F21=0,0,11630*1000*SER_hh_tes_in!F21/SER_hh_num_in!F21)</f>
        <v>19873.46345556125</v>
      </c>
      <c r="G21" s="132">
        <f>IF(SER_hh_tes_in!G21=0,0,11630*1000*SER_hh_tes_in!G21/SER_hh_num_in!G21)</f>
        <v>21156.618524628444</v>
      </c>
      <c r="H21" s="132">
        <f>IF(SER_hh_tes_in!H21=0,0,11630*1000*SER_hh_tes_in!H21/SER_hh_num_in!H21)</f>
        <v>20532.788415887975</v>
      </c>
      <c r="I21" s="132">
        <f>IF(SER_hh_tes_in!I21=0,0,11630*1000*SER_hh_tes_in!I21/SER_hh_num_in!I21)</f>
        <v>21676.863849070756</v>
      </c>
      <c r="J21" s="132">
        <f>IF(SER_hh_tes_in!J21=0,0,11630*1000*SER_hh_tes_in!J21/SER_hh_num_in!J21)</f>
        <v>21168.100332729922</v>
      </c>
      <c r="K21" s="132">
        <f>IF(SER_hh_tes_in!K21=0,0,11630*1000*SER_hh_tes_in!K21/SER_hh_num_in!K21)</f>
        <v>18836.884968143055</v>
      </c>
      <c r="L21" s="132">
        <f>IF(SER_hh_tes_in!L21=0,0,11630*1000*SER_hh_tes_in!L21/SER_hh_num_in!L21)</f>
        <v>22452.877092871193</v>
      </c>
      <c r="M21" s="132">
        <f>IF(SER_hh_tes_in!M21=0,0,11630*1000*SER_hh_tes_in!M21/SER_hh_num_in!M21)</f>
        <v>22413.416815602348</v>
      </c>
      <c r="N21" s="132">
        <f>IF(SER_hh_tes_in!N21=0,0,11630*1000*SER_hh_tes_in!N21/SER_hh_num_in!N21)</f>
        <v>23613.448749779243</v>
      </c>
      <c r="O21" s="132">
        <f>IF(SER_hh_tes_in!O21=0,0,11630*1000*SER_hh_tes_in!O21/SER_hh_num_in!O21)</f>
        <v>23532.074461995559</v>
      </c>
      <c r="P21" s="132">
        <f>IF(SER_hh_tes_in!P21=0,0,11630*1000*SER_hh_tes_in!P21/SER_hh_num_in!P21)</f>
        <v>23038.128037674393</v>
      </c>
      <c r="Q21" s="132">
        <f>IF(SER_hh_tes_in!Q21=0,0,11630*1000*SER_hh_tes_in!Q21/SER_hh_num_in!Q21)</f>
        <v>22296.621140406733</v>
      </c>
      <c r="R21" s="132">
        <f>IF(SER_hh_tes_in!R21=0,0,11630*1000*SER_hh_tes_in!R21/SER_hh_num_in!R21)</f>
        <v>22056.304487102254</v>
      </c>
      <c r="S21" s="132">
        <f>IF(SER_hh_tes_in!S21=0,0,11630*1000*SER_hh_tes_in!S21/SER_hh_num_in!S21)</f>
        <v>23507.930553612943</v>
      </c>
      <c r="T21" s="132">
        <f>IF(SER_hh_tes_in!T21=0,0,11630*1000*SER_hh_tes_in!T21/SER_hh_num_in!T21)</f>
        <v>23635.102005387555</v>
      </c>
      <c r="U21" s="132">
        <f>IF(SER_hh_tes_in!U21=0,0,11630*1000*SER_hh_tes_in!U21/SER_hh_num_in!U21)</f>
        <v>23708.084515207491</v>
      </c>
      <c r="V21" s="132">
        <f>IF(SER_hh_tes_in!V21=0,0,11630*1000*SER_hh_tes_in!V21/SER_hh_num_in!V21)</f>
        <v>14232.076131221731</v>
      </c>
      <c r="W21" s="132">
        <f>IF(SER_hh_tes_in!W21=0,0,11630*1000*SER_hh_tes_in!W21/SER_hh_num_in!W21)</f>
        <v>16966.078728331308</v>
      </c>
      <c r="X21" s="132">
        <f>IF(SER_hh_tes_in!X21=0,0,11630*1000*SER_hh_tes_in!X21/SER_hh_num_in!X21)</f>
        <v>20237.347091207757</v>
      </c>
      <c r="Y21" s="132">
        <f>IF(SER_hh_tes_in!Y21=0,0,11630*1000*SER_hh_tes_in!Y21/SER_hh_num_in!Y21)</f>
        <v>21197.341998349963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19384.800259484433</v>
      </c>
      <c r="D22" s="132">
        <f>IF(SER_hh_tes_in!D22=0,0,11630*1000*SER_hh_tes_in!D22/SER_hh_num_in!D22)</f>
        <v>20122.540820496601</v>
      </c>
      <c r="E22" s="132">
        <f>IF(SER_hh_tes_in!E22=0,0,11630*1000*SER_hh_tes_in!E22/SER_hh_num_in!E22)</f>
        <v>20105.481219537181</v>
      </c>
      <c r="F22" s="132">
        <f>IF(SER_hh_tes_in!F22=0,0,11630*1000*SER_hh_tes_in!F22/SER_hh_num_in!F22)</f>
        <v>20426.718169831831</v>
      </c>
      <c r="G22" s="132">
        <f>IF(SER_hh_tes_in!G22=0,0,11630*1000*SER_hh_tes_in!G22/SER_hh_num_in!G22)</f>
        <v>21565.009515327813</v>
      </c>
      <c r="H22" s="132">
        <f>IF(SER_hh_tes_in!H22=0,0,11630*1000*SER_hh_tes_in!H22/SER_hh_num_in!H22)</f>
        <v>21196.213809492121</v>
      </c>
      <c r="I22" s="132">
        <f>IF(SER_hh_tes_in!I22=0,0,11630*1000*SER_hh_tes_in!I22/SER_hh_num_in!I22)</f>
        <v>20929.02800037343</v>
      </c>
      <c r="J22" s="132">
        <f>IF(SER_hh_tes_in!J22=0,0,11630*1000*SER_hh_tes_in!J22/SER_hh_num_in!J22)</f>
        <v>20658.476641221852</v>
      </c>
      <c r="K22" s="132">
        <f>IF(SER_hh_tes_in!K22=0,0,11630*1000*SER_hh_tes_in!K22/SER_hh_num_in!K22)</f>
        <v>18183.003331220734</v>
      </c>
      <c r="L22" s="132">
        <f>IF(SER_hh_tes_in!L22=0,0,11630*1000*SER_hh_tes_in!L22/SER_hh_num_in!L22)</f>
        <v>22291.608996537991</v>
      </c>
      <c r="M22" s="132">
        <f>IF(SER_hh_tes_in!M22=0,0,11630*1000*SER_hh_tes_in!M22/SER_hh_num_in!M22)</f>
        <v>22839.284775018426</v>
      </c>
      <c r="N22" s="132">
        <f>IF(SER_hh_tes_in!N22=0,0,11630*1000*SER_hh_tes_in!N22/SER_hh_num_in!N22)</f>
        <v>22876.135497548752</v>
      </c>
      <c r="O22" s="132">
        <f>IF(SER_hh_tes_in!O22=0,0,11630*1000*SER_hh_tes_in!O22/SER_hh_num_in!O22)</f>
        <v>23331.146768166898</v>
      </c>
      <c r="P22" s="132">
        <f>IF(SER_hh_tes_in!P22=0,0,11630*1000*SER_hh_tes_in!P22/SER_hh_num_in!P22)</f>
        <v>23280.354086998905</v>
      </c>
      <c r="Q22" s="132">
        <f>IF(SER_hh_tes_in!Q22=0,0,11630*1000*SER_hh_tes_in!Q22/SER_hh_num_in!Q22)</f>
        <v>23166.033821269819</v>
      </c>
      <c r="R22" s="132">
        <f>IF(SER_hh_tes_in!R22=0,0,11630*1000*SER_hh_tes_in!R22/SER_hh_num_in!R22)</f>
        <v>22042.3031673109</v>
      </c>
      <c r="S22" s="132">
        <f>IF(SER_hh_tes_in!S22=0,0,11630*1000*SER_hh_tes_in!S22/SER_hh_num_in!S22)</f>
        <v>23374.667181321704</v>
      </c>
      <c r="T22" s="132">
        <f>IF(SER_hh_tes_in!T22=0,0,11630*1000*SER_hh_tes_in!T22/SER_hh_num_in!T22)</f>
        <v>0</v>
      </c>
      <c r="U22" s="132">
        <f>IF(SER_hh_tes_in!U22=0,0,11630*1000*SER_hh_tes_in!U22/SER_hh_num_in!U22)</f>
        <v>0</v>
      </c>
      <c r="V22" s="132">
        <f>IF(SER_hh_tes_in!V22=0,0,11630*1000*SER_hh_tes_in!V22/SER_hh_num_in!V22)</f>
        <v>0</v>
      </c>
      <c r="W22" s="132">
        <f>IF(SER_hh_tes_in!W22=0,0,11630*1000*SER_hh_tes_in!W22/SER_hh_num_in!W22)</f>
        <v>0</v>
      </c>
      <c r="X22" s="132">
        <f>IF(SER_hh_tes_in!X22=0,0,11630*1000*SER_hh_tes_in!X22/SER_hh_num_in!X22)</f>
        <v>18782.363613283283</v>
      </c>
      <c r="Y22" s="132">
        <f>IF(SER_hh_tes_in!Y22=0,0,11630*1000*SER_hh_tes_in!Y22/SER_hh_num_in!Y22)</f>
        <v>18560.396646872709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19455.022634728939</v>
      </c>
      <c r="D23" s="132">
        <f>IF(SER_hh_tes_in!D23=0,0,11630*1000*SER_hh_tes_in!D23/SER_hh_num_in!D23)</f>
        <v>19799.815243879075</v>
      </c>
      <c r="E23" s="132">
        <f>IF(SER_hh_tes_in!E23=0,0,11630*1000*SER_hh_tes_in!E23/SER_hh_num_in!E23)</f>
        <v>19581.372004004526</v>
      </c>
      <c r="F23" s="132">
        <f>IF(SER_hh_tes_in!F23=0,0,11630*1000*SER_hh_tes_in!F23/SER_hh_num_in!F23)</f>
        <v>17200.805925379773</v>
      </c>
      <c r="G23" s="132">
        <f>IF(SER_hh_tes_in!G23=0,0,11630*1000*SER_hh_tes_in!G23/SER_hh_num_in!G23)</f>
        <v>22305.243108032209</v>
      </c>
      <c r="H23" s="132">
        <f>IF(SER_hh_tes_in!H23=0,0,11630*1000*SER_hh_tes_in!H23/SER_hh_num_in!H23)</f>
        <v>21177.297963753052</v>
      </c>
      <c r="I23" s="132">
        <f>IF(SER_hh_tes_in!I23=0,0,11630*1000*SER_hh_tes_in!I23/SER_hh_num_in!I23)</f>
        <v>21439.868834795154</v>
      </c>
      <c r="J23" s="132">
        <f>IF(SER_hh_tes_in!J23=0,0,11630*1000*SER_hh_tes_in!J23/SER_hh_num_in!J23)</f>
        <v>20656.073466709684</v>
      </c>
      <c r="K23" s="132">
        <f>IF(SER_hh_tes_in!K23=0,0,11630*1000*SER_hh_tes_in!K23/SER_hh_num_in!K23)</f>
        <v>18814.192884648357</v>
      </c>
      <c r="L23" s="132">
        <f>IF(SER_hh_tes_in!L23=0,0,11630*1000*SER_hh_tes_in!L23/SER_hh_num_in!L23)</f>
        <v>23337.141708728192</v>
      </c>
      <c r="M23" s="132">
        <f>IF(SER_hh_tes_in!M23=0,0,11630*1000*SER_hh_tes_in!M23/SER_hh_num_in!M23)</f>
        <v>23107.575996099895</v>
      </c>
      <c r="N23" s="132">
        <f>IF(SER_hh_tes_in!N23=0,0,11630*1000*SER_hh_tes_in!N23/SER_hh_num_in!N23)</f>
        <v>23707.970066473936</v>
      </c>
      <c r="O23" s="132">
        <f>IF(SER_hh_tes_in!O23=0,0,11630*1000*SER_hh_tes_in!O23/SER_hh_num_in!O23)</f>
        <v>24217.604659067296</v>
      </c>
      <c r="P23" s="132">
        <f>IF(SER_hh_tes_in!P23=0,0,11630*1000*SER_hh_tes_in!P23/SER_hh_num_in!P23)</f>
        <v>23029.505653405173</v>
      </c>
      <c r="Q23" s="132">
        <f>IF(SER_hh_tes_in!Q23=0,0,11630*1000*SER_hh_tes_in!Q23/SER_hh_num_in!Q23)</f>
        <v>24453.469618728188</v>
      </c>
      <c r="R23" s="132">
        <f>IF(SER_hh_tes_in!R23=0,0,11630*1000*SER_hh_tes_in!R23/SER_hh_num_in!R23)</f>
        <v>23136.38729088167</v>
      </c>
      <c r="S23" s="132">
        <f>IF(SER_hh_tes_in!S23=0,0,11630*1000*SER_hh_tes_in!S23/SER_hh_num_in!S23)</f>
        <v>23292.212305986337</v>
      </c>
      <c r="T23" s="132">
        <f>IF(SER_hh_tes_in!T23=0,0,11630*1000*SER_hh_tes_in!T23/SER_hh_num_in!T23)</f>
        <v>22846.142104235991</v>
      </c>
      <c r="U23" s="132">
        <f>IF(SER_hh_tes_in!U23=0,0,11630*1000*SER_hh_tes_in!U23/SER_hh_num_in!U23)</f>
        <v>22142.62990427707</v>
      </c>
      <c r="V23" s="132">
        <f>IF(SER_hh_tes_in!V23=0,0,11630*1000*SER_hh_tes_in!V23/SER_hh_num_in!V23)</f>
        <v>18871.282875202003</v>
      </c>
      <c r="W23" s="132">
        <f>IF(SER_hh_tes_in!W23=0,0,11630*1000*SER_hh_tes_in!W23/SER_hh_num_in!W23)</f>
        <v>0</v>
      </c>
      <c r="X23" s="132">
        <f>IF(SER_hh_tes_in!X23=0,0,11630*1000*SER_hh_tes_in!X23/SER_hh_num_in!X23)</f>
        <v>0</v>
      </c>
      <c r="Y23" s="132">
        <f>IF(SER_hh_tes_in!Y23=0,0,11630*1000*SER_hh_tes_in!Y23/SER_hh_num_in!Y23)</f>
        <v>0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0</v>
      </c>
      <c r="D24" s="132">
        <f>IF(SER_hh_tes_in!D24=0,0,11630*1000*SER_hh_tes_in!D24/SER_hh_num_in!D24)</f>
        <v>0</v>
      </c>
      <c r="E24" s="132">
        <f>IF(SER_hh_tes_in!E24=0,0,11630*1000*SER_hh_tes_in!E24/SER_hh_num_in!E24)</f>
        <v>0</v>
      </c>
      <c r="F24" s="132">
        <f>IF(SER_hh_tes_in!F24=0,0,11630*1000*SER_hh_tes_in!F24/SER_hh_num_in!F24)</f>
        <v>0</v>
      </c>
      <c r="G24" s="132">
        <f>IF(SER_hh_tes_in!G24=0,0,11630*1000*SER_hh_tes_in!G24/SER_hh_num_in!G24)</f>
        <v>0</v>
      </c>
      <c r="H24" s="132">
        <f>IF(SER_hh_tes_in!H24=0,0,11630*1000*SER_hh_tes_in!H24/SER_hh_num_in!H24)</f>
        <v>0</v>
      </c>
      <c r="I24" s="132">
        <f>IF(SER_hh_tes_in!I24=0,0,11630*1000*SER_hh_tes_in!I24/SER_hh_num_in!I24)</f>
        <v>0</v>
      </c>
      <c r="J24" s="132">
        <f>IF(SER_hh_tes_in!J24=0,0,11630*1000*SER_hh_tes_in!J24/SER_hh_num_in!J24)</f>
        <v>0</v>
      </c>
      <c r="K24" s="132">
        <f>IF(SER_hh_tes_in!K24=0,0,11630*1000*SER_hh_tes_in!K24/SER_hh_num_in!K24)</f>
        <v>0</v>
      </c>
      <c r="L24" s="132">
        <f>IF(SER_hh_tes_in!L24=0,0,11630*1000*SER_hh_tes_in!L24/SER_hh_num_in!L24)</f>
        <v>0</v>
      </c>
      <c r="M24" s="132">
        <f>IF(SER_hh_tes_in!M24=0,0,11630*1000*SER_hh_tes_in!M24/SER_hh_num_in!M24)</f>
        <v>0</v>
      </c>
      <c r="N24" s="132">
        <f>IF(SER_hh_tes_in!N24=0,0,11630*1000*SER_hh_tes_in!N24/SER_hh_num_in!N24)</f>
        <v>0</v>
      </c>
      <c r="O24" s="132">
        <f>IF(SER_hh_tes_in!O24=0,0,11630*1000*SER_hh_tes_in!O24/SER_hh_num_in!O24)</f>
        <v>0</v>
      </c>
      <c r="P24" s="132">
        <f>IF(SER_hh_tes_in!P24=0,0,11630*1000*SER_hh_tes_in!P24/SER_hh_num_in!P24)</f>
        <v>0</v>
      </c>
      <c r="Q24" s="132">
        <f>IF(SER_hh_tes_in!Q24=0,0,11630*1000*SER_hh_tes_in!Q24/SER_hh_num_in!Q24)</f>
        <v>0</v>
      </c>
      <c r="R24" s="132">
        <f>IF(SER_hh_tes_in!R24=0,0,11630*1000*SER_hh_tes_in!R24/SER_hh_num_in!R24)</f>
        <v>0</v>
      </c>
      <c r="S24" s="132">
        <f>IF(SER_hh_tes_in!S24=0,0,11630*1000*SER_hh_tes_in!S24/SER_hh_num_in!S24)</f>
        <v>0</v>
      </c>
      <c r="T24" s="132">
        <f>IF(SER_hh_tes_in!T24=0,0,11630*1000*SER_hh_tes_in!T24/SER_hh_num_in!T24)</f>
        <v>0</v>
      </c>
      <c r="U24" s="132">
        <f>IF(SER_hh_tes_in!U24=0,0,11630*1000*SER_hh_tes_in!U24/SER_hh_num_in!U24)</f>
        <v>0</v>
      </c>
      <c r="V24" s="132">
        <f>IF(SER_hh_tes_in!V24=0,0,11630*1000*SER_hh_tes_in!V24/SER_hh_num_in!V24)</f>
        <v>0</v>
      </c>
      <c r="W24" s="132">
        <f>IF(SER_hh_tes_in!W24=0,0,11630*1000*SER_hh_tes_in!W24/SER_hh_num_in!W24)</f>
        <v>0</v>
      </c>
      <c r="X24" s="132">
        <f>IF(SER_hh_tes_in!X24=0,0,11630*1000*SER_hh_tes_in!X24/SER_hh_num_in!X24)</f>
        <v>0</v>
      </c>
      <c r="Y24" s="132">
        <f>IF(SER_hh_tes_in!Y24=0,0,11630*1000*SER_hh_tes_in!Y24/SER_hh_num_in!Y24)</f>
        <v>0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0</v>
      </c>
      <c r="D25" s="132">
        <f>IF(SER_hh_tes_in!D25=0,0,11630*1000*SER_hh_tes_in!D25/SER_hh_num_in!D25)</f>
        <v>0</v>
      </c>
      <c r="E25" s="132">
        <f>IF(SER_hh_tes_in!E25=0,0,11630*1000*SER_hh_tes_in!E25/SER_hh_num_in!E25)</f>
        <v>0</v>
      </c>
      <c r="F25" s="132">
        <f>IF(SER_hh_tes_in!F25=0,0,11630*1000*SER_hh_tes_in!F25/SER_hh_num_in!F25)</f>
        <v>0</v>
      </c>
      <c r="G25" s="132">
        <f>IF(SER_hh_tes_in!G25=0,0,11630*1000*SER_hh_tes_in!G25/SER_hh_num_in!G25)</f>
        <v>0</v>
      </c>
      <c r="H25" s="132">
        <f>IF(SER_hh_tes_in!H25=0,0,11630*1000*SER_hh_tes_in!H25/SER_hh_num_in!H25)</f>
        <v>0</v>
      </c>
      <c r="I25" s="132">
        <f>IF(SER_hh_tes_in!I25=0,0,11630*1000*SER_hh_tes_in!I25/SER_hh_num_in!I25)</f>
        <v>0</v>
      </c>
      <c r="J25" s="132">
        <f>IF(SER_hh_tes_in!J25=0,0,11630*1000*SER_hh_tes_in!J25/SER_hh_num_in!J25)</f>
        <v>0</v>
      </c>
      <c r="K25" s="132">
        <f>IF(SER_hh_tes_in!K25=0,0,11630*1000*SER_hh_tes_in!K25/SER_hh_num_in!K25)</f>
        <v>0</v>
      </c>
      <c r="L25" s="132">
        <f>IF(SER_hh_tes_in!L25=0,0,11630*1000*SER_hh_tes_in!L25/SER_hh_num_in!L25)</f>
        <v>0</v>
      </c>
      <c r="M25" s="132">
        <f>IF(SER_hh_tes_in!M25=0,0,11630*1000*SER_hh_tes_in!M25/SER_hh_num_in!M25)</f>
        <v>0</v>
      </c>
      <c r="N25" s="132">
        <f>IF(SER_hh_tes_in!N25=0,0,11630*1000*SER_hh_tes_in!N25/SER_hh_num_in!N25)</f>
        <v>0</v>
      </c>
      <c r="O25" s="132">
        <f>IF(SER_hh_tes_in!O25=0,0,11630*1000*SER_hh_tes_in!O25/SER_hh_num_in!O25)</f>
        <v>0</v>
      </c>
      <c r="P25" s="132">
        <f>IF(SER_hh_tes_in!P25=0,0,11630*1000*SER_hh_tes_in!P25/SER_hh_num_in!P25)</f>
        <v>0</v>
      </c>
      <c r="Q25" s="132">
        <f>IF(SER_hh_tes_in!Q25=0,0,11630*1000*SER_hh_tes_in!Q25/SER_hh_num_in!Q25)</f>
        <v>0</v>
      </c>
      <c r="R25" s="132">
        <f>IF(SER_hh_tes_in!R25=0,0,11630*1000*SER_hh_tes_in!R25/SER_hh_num_in!R25)</f>
        <v>0</v>
      </c>
      <c r="S25" s="132">
        <f>IF(SER_hh_tes_in!S25=0,0,11630*1000*SER_hh_tes_in!S25/SER_hh_num_in!S25)</f>
        <v>0</v>
      </c>
      <c r="T25" s="132">
        <f>IF(SER_hh_tes_in!T25=0,0,11630*1000*SER_hh_tes_in!T25/SER_hh_num_in!T25)</f>
        <v>0</v>
      </c>
      <c r="U25" s="132">
        <f>IF(SER_hh_tes_in!U25=0,0,11630*1000*SER_hh_tes_in!U25/SER_hh_num_in!U25)</f>
        <v>0</v>
      </c>
      <c r="V25" s="132">
        <f>IF(SER_hh_tes_in!V25=0,0,11630*1000*SER_hh_tes_in!V25/SER_hh_num_in!V25)</f>
        <v>0</v>
      </c>
      <c r="W25" s="132">
        <f>IF(SER_hh_tes_in!W25=0,0,11630*1000*SER_hh_tes_in!W25/SER_hh_num_in!W25)</f>
        <v>0</v>
      </c>
      <c r="X25" s="132">
        <f>IF(SER_hh_tes_in!X25=0,0,11630*1000*SER_hh_tes_in!X25/SER_hh_num_in!X25)</f>
        <v>0</v>
      </c>
      <c r="Y25" s="132">
        <f>IF(SER_hh_tes_in!Y25=0,0,11630*1000*SER_hh_tes_in!Y25/SER_hh_num_in!Y25)</f>
        <v>0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18353.82812533325</v>
      </c>
      <c r="D26" s="65">
        <f>IF(SER_hh_tes_in!D26=0,0,11630*1000*SER_hh_tes_in!D26/SER_hh_num_in!D26)</f>
        <v>18813.653011949053</v>
      </c>
      <c r="E26" s="65">
        <f>IF(SER_hh_tes_in!E26=0,0,11630*1000*SER_hh_tes_in!E26/SER_hh_num_in!E26)</f>
        <v>18733.289918251736</v>
      </c>
      <c r="F26" s="65">
        <f>IF(SER_hh_tes_in!F26=0,0,11630*1000*SER_hh_tes_in!F26/SER_hh_num_in!F26)</f>
        <v>18809.323642050113</v>
      </c>
      <c r="G26" s="65">
        <f>IF(SER_hh_tes_in!G26=0,0,11630*1000*SER_hh_tes_in!G26/SER_hh_num_in!G26)</f>
        <v>21726.829959766077</v>
      </c>
      <c r="H26" s="65">
        <f>IF(SER_hh_tes_in!H26=0,0,11630*1000*SER_hh_tes_in!H26/SER_hh_num_in!H26)</f>
        <v>18815.242604957075</v>
      </c>
      <c r="I26" s="65">
        <f>IF(SER_hh_tes_in!I26=0,0,11630*1000*SER_hh_tes_in!I26/SER_hh_num_in!I26)</f>
        <v>16355.775163777455</v>
      </c>
      <c r="J26" s="65">
        <f>IF(SER_hh_tes_in!J26=0,0,11630*1000*SER_hh_tes_in!J26/SER_hh_num_in!J26)</f>
        <v>13141.118434471015</v>
      </c>
      <c r="K26" s="65">
        <f>IF(SER_hh_tes_in!K26=0,0,11630*1000*SER_hh_tes_in!K26/SER_hh_num_in!K26)</f>
        <v>4409.708762530704</v>
      </c>
      <c r="L26" s="65">
        <f>IF(SER_hh_tes_in!L26=0,0,11630*1000*SER_hh_tes_in!L26/SER_hh_num_in!L26)</f>
        <v>16180.581912075782</v>
      </c>
      <c r="M26" s="65">
        <f>IF(SER_hh_tes_in!M26=0,0,11630*1000*SER_hh_tes_in!M26/SER_hh_num_in!M26)</f>
        <v>13814.966078415086</v>
      </c>
      <c r="N26" s="65">
        <f>IF(SER_hh_tes_in!N26=0,0,11630*1000*SER_hh_tes_in!N26/SER_hh_num_in!N26)</f>
        <v>14510.909211608719</v>
      </c>
      <c r="O26" s="65">
        <f>IF(SER_hh_tes_in!O26=0,0,11630*1000*SER_hh_tes_in!O26/SER_hh_num_in!O26)</f>
        <v>4195.6504528975984</v>
      </c>
      <c r="P26" s="65">
        <f>IF(SER_hh_tes_in!P26=0,0,11630*1000*SER_hh_tes_in!P26/SER_hh_num_in!P26)</f>
        <v>18175.16687478661</v>
      </c>
      <c r="Q26" s="65">
        <f>IF(SER_hh_tes_in!Q26=0,0,11630*1000*SER_hh_tes_in!Q26/SER_hh_num_in!Q26)</f>
        <v>17120.955864643736</v>
      </c>
      <c r="R26" s="65">
        <f>IF(SER_hh_tes_in!R26=0,0,11630*1000*SER_hh_tes_in!R26/SER_hh_num_in!R26)</f>
        <v>6912.1404108200359</v>
      </c>
      <c r="S26" s="65">
        <f>IF(SER_hh_tes_in!S26=0,0,11630*1000*SER_hh_tes_in!S26/SER_hh_num_in!S26)</f>
        <v>15373.352162334502</v>
      </c>
      <c r="T26" s="65">
        <f>IF(SER_hh_tes_in!T26=0,0,11630*1000*SER_hh_tes_in!T26/SER_hh_num_in!T26)</f>
        <v>17030.374404715036</v>
      </c>
      <c r="U26" s="65">
        <f>IF(SER_hh_tes_in!U26=0,0,11630*1000*SER_hh_tes_in!U26/SER_hh_num_in!U26)</f>
        <v>15370.000356750352</v>
      </c>
      <c r="V26" s="65">
        <f>IF(SER_hh_tes_in!V26=0,0,11630*1000*SER_hh_tes_in!V26/SER_hh_num_in!V26)</f>
        <v>5000.9692598986221</v>
      </c>
      <c r="W26" s="65">
        <f>IF(SER_hh_tes_in!W26=0,0,11630*1000*SER_hh_tes_in!W26/SER_hh_num_in!W26)</f>
        <v>9343.9709553504854</v>
      </c>
      <c r="X26" s="65">
        <f>IF(SER_hh_tes_in!X26=0,0,11630*1000*SER_hh_tes_in!X26/SER_hh_num_in!X26)</f>
        <v>14239.046939269674</v>
      </c>
      <c r="Y26" s="65">
        <f>IF(SER_hh_tes_in!Y26=0,0,11630*1000*SER_hh_tes_in!Y26/SER_hh_num_in!Y26)</f>
        <v>12084.928440992484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852.45149738072746</v>
      </c>
      <c r="D27" s="145">
        <f>IF(SER_hh_tes_in!D27=0,0,11630*1000*SER_hh_tes_in!D27/SER_hh_num_in!D19)</f>
        <v>1244.0005605983335</v>
      </c>
      <c r="E27" s="145">
        <f>IF(SER_hh_tes_in!E27=0,0,11630*1000*SER_hh_tes_in!E27/SER_hh_num_in!E19)</f>
        <v>1471.5458859956668</v>
      </c>
      <c r="F27" s="145">
        <f>IF(SER_hh_tes_in!F27=0,0,11630*1000*SER_hh_tes_in!F27/SER_hh_num_in!F19)</f>
        <v>1719.3946963911019</v>
      </c>
      <c r="G27" s="145">
        <f>IF(SER_hh_tes_in!G27=0,0,11630*1000*SER_hh_tes_in!G27/SER_hh_num_in!G19)</f>
        <v>13.299519334895583</v>
      </c>
      <c r="H27" s="145">
        <f>IF(SER_hh_tes_in!H27=0,0,11630*1000*SER_hh_tes_in!H27/SER_hh_num_in!H19)</f>
        <v>2221.7162048594219</v>
      </c>
      <c r="I27" s="145">
        <f>IF(SER_hh_tes_in!I27=0,0,11630*1000*SER_hh_tes_in!I27/SER_hh_num_in!I19)</f>
        <v>3792.8078078004587</v>
      </c>
      <c r="J27" s="145">
        <f>IF(SER_hh_tes_in!J27=0,0,11630*1000*SER_hh_tes_in!J27/SER_hh_num_in!J19)</f>
        <v>6921.469583388377</v>
      </c>
      <c r="K27" s="145">
        <f>IF(SER_hh_tes_in!K27=0,0,11630*1000*SER_hh_tes_in!K27/SER_hh_num_in!K19)</f>
        <v>15065.660839944063</v>
      </c>
      <c r="L27" s="145">
        <f>IF(SER_hh_tes_in!L27=0,0,11630*1000*SER_hh_tes_in!L27/SER_hh_num_in!L19)</f>
        <v>4829.505630950388</v>
      </c>
      <c r="M27" s="145">
        <f>IF(SER_hh_tes_in!M27=0,0,11630*1000*SER_hh_tes_in!M27/SER_hh_num_in!M19)</f>
        <v>7916.1369407703469</v>
      </c>
      <c r="N27" s="145">
        <f>IF(SER_hh_tes_in!N27=0,0,11630*1000*SER_hh_tes_in!N27/SER_hh_num_in!N19)</f>
        <v>7553.127576220294</v>
      </c>
      <c r="O27" s="145">
        <f>IF(SER_hh_tes_in!O27=0,0,11630*1000*SER_hh_tes_in!O27/SER_hh_num_in!O19)</f>
        <v>17162.812664193669</v>
      </c>
      <c r="P27" s="145">
        <f>IF(SER_hh_tes_in!P27=0,0,11630*1000*SER_hh_tes_in!P27/SER_hh_num_in!P19)</f>
        <v>5233.9557160671466</v>
      </c>
      <c r="Q27" s="145">
        <f>IF(SER_hh_tes_in!Q27=0,0,11630*1000*SER_hh_tes_in!Q27/SER_hh_num_in!Q19)</f>
        <v>6051.1736398779021</v>
      </c>
      <c r="R27" s="145">
        <f>IF(SER_hh_tes_in!R27=0,0,11630*1000*SER_hh_tes_in!R27/SER_hh_num_in!R19)</f>
        <v>15100.165709180323</v>
      </c>
      <c r="S27" s="145">
        <f>IF(SER_hh_tes_in!S27=0,0,11630*1000*SER_hh_tes_in!S27/SER_hh_num_in!S19)</f>
        <v>7441.3658102137433</v>
      </c>
      <c r="T27" s="145">
        <f>IF(SER_hh_tes_in!T27=0,0,11630*1000*SER_hh_tes_in!T27/SER_hh_num_in!T19)</f>
        <v>6070.6911779304664</v>
      </c>
      <c r="U27" s="145">
        <f>IF(SER_hh_tes_in!U27=0,0,11630*1000*SER_hh_tes_in!U27/SER_hh_num_in!U19)</f>
        <v>7057.2099524975883</v>
      </c>
      <c r="V27" s="145">
        <f>IF(SER_hh_tes_in!V27=0,0,11630*1000*SER_hh_tes_in!V27/SER_hh_num_in!V19)</f>
        <v>14877.856615219363</v>
      </c>
      <c r="W27" s="145">
        <f>IF(SER_hh_tes_in!W27=0,0,11630*1000*SER_hh_tes_in!W27/SER_hh_num_in!W19)</f>
        <v>10864.532068873274</v>
      </c>
      <c r="X27" s="145">
        <f>IF(SER_hh_tes_in!X27=0,0,11630*1000*SER_hh_tes_in!X27/SER_hh_num_in!X19)</f>
        <v>7350.5684592583939</v>
      </c>
      <c r="Y27" s="145">
        <f>IF(SER_hh_tes_in!Y27=0,0,11630*1000*SER_hh_tes_in!Y27/SER_hh_num_in!Y19)</f>
        <v>9475.0893150806151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15457.709105424599</v>
      </c>
      <c r="D28" s="146">
        <f>IF(SER_hh_tes_in!D27=0,0,11630*1000*SER_hh_tes_in!D27/SER_hh_num_in!D27)</f>
        <v>16067.273219866163</v>
      </c>
      <c r="E28" s="146">
        <f>IF(SER_hh_tes_in!E27=0,0,11630*1000*SER_hh_tes_in!E27/SER_hh_num_in!E27)</f>
        <v>16334.665680068078</v>
      </c>
      <c r="F28" s="146">
        <f>IF(SER_hh_tes_in!F27=0,0,11630*1000*SER_hh_tes_in!F27/SER_hh_num_in!F27)</f>
        <v>16500.023940743962</v>
      </c>
      <c r="G28" s="146">
        <f>IF(SER_hh_tes_in!G27=0,0,11630*1000*SER_hh_tes_in!G27/SER_hh_num_in!G27)</f>
        <v>17425.073456992977</v>
      </c>
      <c r="H28" s="146">
        <f>IF(SER_hh_tes_in!H27=0,0,11630*1000*SER_hh_tes_in!H27/SER_hh_num_in!H27)</f>
        <v>17063.960694110701</v>
      </c>
      <c r="I28" s="146">
        <f>IF(SER_hh_tes_in!I27=0,0,11630*1000*SER_hh_tes_in!I27/SER_hh_num_in!I27)</f>
        <v>16698.911076270939</v>
      </c>
      <c r="J28" s="146">
        <f>IF(SER_hh_tes_in!J27=0,0,11630*1000*SER_hh_tes_in!J27/SER_hh_num_in!J27)</f>
        <v>16974.907276973801</v>
      </c>
      <c r="K28" s="146">
        <f>IF(SER_hh_tes_in!K27=0,0,11630*1000*SER_hh_tes_in!K27/SER_hh_num_in!K27)</f>
        <v>17265.264351882783</v>
      </c>
      <c r="L28" s="146">
        <f>IF(SER_hh_tes_in!L27=0,0,11630*1000*SER_hh_tes_in!L27/SER_hh_num_in!L27)</f>
        <v>18089.337475207834</v>
      </c>
      <c r="M28" s="146">
        <f>IF(SER_hh_tes_in!M27=0,0,11630*1000*SER_hh_tes_in!M27/SER_hh_num_in!M27)</f>
        <v>18728.243951186931</v>
      </c>
      <c r="N28" s="146">
        <f>IF(SER_hh_tes_in!N27=0,0,11630*1000*SER_hh_tes_in!N27/SER_hh_num_in!N27)</f>
        <v>19423.987486232305</v>
      </c>
      <c r="O28" s="146">
        <f>IF(SER_hh_tes_in!O27=0,0,11630*1000*SER_hh_tes_in!O27/SER_hh_num_in!O27)</f>
        <v>19303.747919067657</v>
      </c>
      <c r="P28" s="146">
        <f>IF(SER_hh_tes_in!P27=0,0,11630*1000*SER_hh_tes_in!P27/SER_hh_num_in!P27)</f>
        <v>19857.834378261075</v>
      </c>
      <c r="Q28" s="146">
        <f>IF(SER_hh_tes_in!Q27=0,0,11630*1000*SER_hh_tes_in!Q27/SER_hh_num_in!Q27)</f>
        <v>20212.003503996955</v>
      </c>
      <c r="R28" s="146">
        <f>IF(SER_hh_tes_in!R27=0,0,11630*1000*SER_hh_tes_in!R27/SER_hh_num_in!R27)</f>
        <v>19701.148915685771</v>
      </c>
      <c r="S28" s="146">
        <f>IF(SER_hh_tes_in!S27=0,0,11630*1000*SER_hh_tes_in!S27/SER_hh_num_in!S27)</f>
        <v>19688.198714891878</v>
      </c>
      <c r="T28" s="146">
        <f>IF(SER_hh_tes_in!T27=0,0,11630*1000*SER_hh_tes_in!T27/SER_hh_num_in!T27)</f>
        <v>20028.365908280026</v>
      </c>
      <c r="U28" s="146">
        <f>IF(SER_hh_tes_in!U27=0,0,11630*1000*SER_hh_tes_in!U27/SER_hh_num_in!U27)</f>
        <v>20081.068664810125</v>
      </c>
      <c r="V28" s="146">
        <f>IF(SER_hh_tes_in!V27=0,0,11630*1000*SER_hh_tes_in!V27/SER_hh_num_in!V27)</f>
        <v>18243.377963461087</v>
      </c>
      <c r="W28" s="146">
        <f>IF(SER_hh_tes_in!W27=0,0,11630*1000*SER_hh_tes_in!W27/SER_hh_num_in!W27)</f>
        <v>17540.617792087629</v>
      </c>
      <c r="X28" s="146">
        <f>IF(SER_hh_tes_in!X27=0,0,11630*1000*SER_hh_tes_in!X27/SER_hh_num_in!X27)</f>
        <v>18423.426629625512</v>
      </c>
      <c r="Y28" s="146">
        <f>IF(SER_hh_tes_in!Y27=0,0,11630*1000*SER_hh_tes_in!Y27/SER_hh_num_in!Y27)</f>
        <v>19555.974476754182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25169.550510181169</v>
      </c>
      <c r="D29" s="130">
        <f>IF(SER_hh_tes_in!D29=0,0,11630*1000*SER_hh_tes_in!D29/SER_hh_num_in!D29)</f>
        <v>26347.69259938737</v>
      </c>
      <c r="E29" s="130">
        <f>IF(SER_hh_tes_in!E29=0,0,11630*1000*SER_hh_tes_in!E29/SER_hh_num_in!E29)</f>
        <v>25215.371009662886</v>
      </c>
      <c r="F29" s="130">
        <f>IF(SER_hh_tes_in!F29=0,0,11630*1000*SER_hh_tes_in!F29/SER_hh_num_in!F29)</f>
        <v>27795.293708876459</v>
      </c>
      <c r="G29" s="130">
        <f>IF(SER_hh_tes_in!G29=0,0,11630*1000*SER_hh_tes_in!G29/SER_hh_num_in!G29)</f>
        <v>26886.986923528577</v>
      </c>
      <c r="H29" s="130">
        <f>IF(SER_hh_tes_in!H29=0,0,11630*1000*SER_hh_tes_in!H29/SER_hh_num_in!H29)</f>
        <v>26215.703909879438</v>
      </c>
      <c r="I29" s="130">
        <f>IF(SER_hh_tes_in!I29=0,0,11630*1000*SER_hh_tes_in!I29/SER_hh_num_in!I29)</f>
        <v>25532.026643804602</v>
      </c>
      <c r="J29" s="130">
        <f>IF(SER_hh_tes_in!J29=0,0,11630*1000*SER_hh_tes_in!J29/SER_hh_num_in!J29)</f>
        <v>25322.346335600461</v>
      </c>
      <c r="K29" s="130">
        <f>IF(SER_hh_tes_in!K29=0,0,11630*1000*SER_hh_tes_in!K29/SER_hh_num_in!K29)</f>
        <v>26082.991829165298</v>
      </c>
      <c r="L29" s="130">
        <f>IF(SER_hh_tes_in!L29=0,0,11630*1000*SER_hh_tes_in!L29/SER_hh_num_in!L29)</f>
        <v>27157.731036591485</v>
      </c>
      <c r="M29" s="130">
        <f>IF(SER_hh_tes_in!M29=0,0,11630*1000*SER_hh_tes_in!M29/SER_hh_num_in!M29)</f>
        <v>24070.669503097422</v>
      </c>
      <c r="N29" s="130">
        <f>IF(SER_hh_tes_in!N29=0,0,11630*1000*SER_hh_tes_in!N29/SER_hh_num_in!N29)</f>
        <v>31104.641198004694</v>
      </c>
      <c r="O29" s="130">
        <f>IF(SER_hh_tes_in!O29=0,0,11630*1000*SER_hh_tes_in!O29/SER_hh_num_in!O29)</f>
        <v>28290.846368459457</v>
      </c>
      <c r="P29" s="130">
        <f>IF(SER_hh_tes_in!P29=0,0,11630*1000*SER_hh_tes_in!P29/SER_hh_num_in!P29)</f>
        <v>29739.811271424936</v>
      </c>
      <c r="Q29" s="130">
        <f>IF(SER_hh_tes_in!Q29=0,0,11630*1000*SER_hh_tes_in!Q29/SER_hh_num_in!Q29)</f>
        <v>28381.188323901872</v>
      </c>
      <c r="R29" s="130">
        <f>IF(SER_hh_tes_in!R29=0,0,11630*1000*SER_hh_tes_in!R29/SER_hh_num_in!R29)</f>
        <v>28422.635095457572</v>
      </c>
      <c r="S29" s="130">
        <f>IF(SER_hh_tes_in!S29=0,0,11630*1000*SER_hh_tes_in!S29/SER_hh_num_in!S29)</f>
        <v>28549.307029338914</v>
      </c>
      <c r="T29" s="130">
        <f>IF(SER_hh_tes_in!T29=0,0,11630*1000*SER_hh_tes_in!T29/SER_hh_num_in!T29)</f>
        <v>28478.46764115</v>
      </c>
      <c r="U29" s="130">
        <f>IF(SER_hh_tes_in!U29=0,0,11630*1000*SER_hh_tes_in!U29/SER_hh_num_in!U29)</f>
        <v>27935.082048617041</v>
      </c>
      <c r="V29" s="130">
        <f>IF(SER_hh_tes_in!V29=0,0,11630*1000*SER_hh_tes_in!V29/SER_hh_num_in!V29)</f>
        <v>23932.059758560699</v>
      </c>
      <c r="W29" s="130">
        <f>IF(SER_hh_tes_in!W29=0,0,11630*1000*SER_hh_tes_in!W29/SER_hh_num_in!W29)</f>
        <v>26461.975583454634</v>
      </c>
      <c r="X29" s="130">
        <f>IF(SER_hh_tes_in!X29=0,0,11630*1000*SER_hh_tes_in!X29/SER_hh_num_in!X29)</f>
        <v>26758.478776531018</v>
      </c>
      <c r="Y29" s="130">
        <f>IF(SER_hh_tes_in!Y29=0,0,11630*1000*SER_hh_tes_in!Y29/SER_hh_num_in!Y29)</f>
        <v>27521.29743174848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28358.248514696912</v>
      </c>
      <c r="D30" s="132">
        <f>IF(SER_hh_tes_in!D30=0,0,11630*1000*SER_hh_tes_in!D30/SER_hh_num_in!D30)</f>
        <v>17388.419601952774</v>
      </c>
      <c r="E30" s="132">
        <f>IF(SER_hh_tes_in!E30=0,0,11630*1000*SER_hh_tes_in!E30/SER_hh_num_in!E30)</f>
        <v>17542.234885268386</v>
      </c>
      <c r="F30" s="132">
        <f>IF(SER_hh_tes_in!F30=0,0,11630*1000*SER_hh_tes_in!F30/SER_hh_num_in!F30)</f>
        <v>34988.807228906728</v>
      </c>
      <c r="G30" s="132">
        <f>IF(SER_hh_tes_in!G30=0,0,11630*1000*SER_hh_tes_in!G30/SER_hh_num_in!G30)</f>
        <v>27806.499117655811</v>
      </c>
      <c r="H30" s="132">
        <f>IF(SER_hh_tes_in!H30=0,0,11630*1000*SER_hh_tes_in!H30/SER_hh_num_in!H30)</f>
        <v>26200.06150250951</v>
      </c>
      <c r="I30" s="132">
        <f>IF(SER_hh_tes_in!I30=0,0,11630*1000*SER_hh_tes_in!I30/SER_hh_num_in!I30)</f>
        <v>25402.675210971411</v>
      </c>
      <c r="J30" s="132">
        <f>IF(SER_hh_tes_in!J30=0,0,11630*1000*SER_hh_tes_in!J30/SER_hh_num_in!J30)</f>
        <v>24076.566654315793</v>
      </c>
      <c r="K30" s="132">
        <f>IF(SER_hh_tes_in!K30=0,0,11630*1000*SER_hh_tes_in!K30/SER_hh_num_in!K30)</f>
        <v>22505.062950257015</v>
      </c>
      <c r="L30" s="132">
        <f>IF(SER_hh_tes_in!L30=0,0,11630*1000*SER_hh_tes_in!L30/SER_hh_num_in!L30)</f>
        <v>24026.127398376975</v>
      </c>
      <c r="M30" s="132">
        <f>IF(SER_hh_tes_in!M30=0,0,11630*1000*SER_hh_tes_in!M30/SER_hh_num_in!M30)</f>
        <v>17278.138455759992</v>
      </c>
      <c r="N30" s="132">
        <f>IF(SER_hh_tes_in!N30=0,0,11630*1000*SER_hh_tes_in!N30/SER_hh_num_in!N30)</f>
        <v>47589.998264681912</v>
      </c>
      <c r="O30" s="132">
        <f>IF(SER_hh_tes_in!O30=0,0,11630*1000*SER_hh_tes_in!O30/SER_hh_num_in!O30)</f>
        <v>32689.991026612162</v>
      </c>
      <c r="P30" s="132">
        <f>IF(SER_hh_tes_in!P30=0,0,11630*1000*SER_hh_tes_in!P30/SER_hh_num_in!P30)</f>
        <v>0</v>
      </c>
      <c r="Q30" s="132">
        <f>IF(SER_hh_tes_in!Q30=0,0,11630*1000*SER_hh_tes_in!Q30/SER_hh_num_in!Q30)</f>
        <v>22947.116507800947</v>
      </c>
      <c r="R30" s="132">
        <f>IF(SER_hh_tes_in!R30=0,0,11630*1000*SER_hh_tes_in!R30/SER_hh_num_in!R30)</f>
        <v>25970.812234269</v>
      </c>
      <c r="S30" s="132">
        <f>IF(SER_hh_tes_in!S30=0,0,11630*1000*SER_hh_tes_in!S30/SER_hh_num_in!S30)</f>
        <v>28451.008719719761</v>
      </c>
      <c r="T30" s="132">
        <f>IF(SER_hh_tes_in!T30=0,0,11630*1000*SER_hh_tes_in!T30/SER_hh_num_in!T30)</f>
        <v>28925.42427886252</v>
      </c>
      <c r="U30" s="132">
        <f>IF(SER_hh_tes_in!U30=0,0,11630*1000*SER_hh_tes_in!U30/SER_hh_num_in!U30)</f>
        <v>31123.94766495638</v>
      </c>
      <c r="V30" s="132">
        <f>IF(SER_hh_tes_in!V30=0,0,11630*1000*SER_hh_tes_in!V30/SER_hh_num_in!V30)</f>
        <v>19369.533194827847</v>
      </c>
      <c r="W30" s="132">
        <f>IF(SER_hh_tes_in!W30=0,0,11630*1000*SER_hh_tes_in!W30/SER_hh_num_in!W30)</f>
        <v>25081.391532008383</v>
      </c>
      <c r="X30" s="132">
        <f>IF(SER_hh_tes_in!X30=0,0,11630*1000*SER_hh_tes_in!X30/SER_hh_num_in!X30)</f>
        <v>26665.856912135117</v>
      </c>
      <c r="Y30" s="132">
        <f>IF(SER_hh_tes_in!Y30=0,0,11630*1000*SER_hh_tes_in!Y30/SER_hh_num_in!Y30)</f>
        <v>28882.218154022543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24229.605184640535</v>
      </c>
      <c r="D31" s="132">
        <f>IF(SER_hh_tes_in!D31=0,0,11630*1000*SER_hh_tes_in!D31/SER_hh_num_in!D31)</f>
        <v>23297.686299573528</v>
      </c>
      <c r="E31" s="132">
        <f>IF(SER_hh_tes_in!E31=0,0,11630*1000*SER_hh_tes_in!E31/SER_hh_num_in!E31)</f>
        <v>24468.306534976822</v>
      </c>
      <c r="F31" s="132">
        <f>IF(SER_hh_tes_in!F31=0,0,11630*1000*SER_hh_tes_in!F31/SER_hh_num_in!F31)</f>
        <v>25010.573546201034</v>
      </c>
      <c r="G31" s="132">
        <f>IF(SER_hh_tes_in!G31=0,0,11630*1000*SER_hh_tes_in!G31/SER_hh_num_in!G31)</f>
        <v>27979.196434039095</v>
      </c>
      <c r="H31" s="132">
        <f>IF(SER_hh_tes_in!H31=0,0,11630*1000*SER_hh_tes_in!H31/SER_hh_num_in!H31)</f>
        <v>26048.442376204264</v>
      </c>
      <c r="I31" s="132">
        <f>IF(SER_hh_tes_in!I31=0,0,11630*1000*SER_hh_tes_in!I31/SER_hh_num_in!I31)</f>
        <v>24971.519072915453</v>
      </c>
      <c r="J31" s="132">
        <f>IF(SER_hh_tes_in!J31=0,0,11630*1000*SER_hh_tes_in!J31/SER_hh_num_in!J31)</f>
        <v>24800.84420828184</v>
      </c>
      <c r="K31" s="132">
        <f>IF(SER_hh_tes_in!K31=0,0,11630*1000*SER_hh_tes_in!K31/SER_hh_num_in!K31)</f>
        <v>26488.978006294143</v>
      </c>
      <c r="L31" s="132">
        <f>IF(SER_hh_tes_in!L31=0,0,11630*1000*SER_hh_tes_in!L31/SER_hh_num_in!L31)</f>
        <v>27671.948640372219</v>
      </c>
      <c r="M31" s="132">
        <f>IF(SER_hh_tes_in!M31=0,0,11630*1000*SER_hh_tes_in!M31/SER_hh_num_in!M31)</f>
        <v>28826.236409452747</v>
      </c>
      <c r="N31" s="132">
        <f>IF(SER_hh_tes_in!N31=0,0,11630*1000*SER_hh_tes_in!N31/SER_hh_num_in!N31)</f>
        <v>28471.115104535831</v>
      </c>
      <c r="O31" s="132">
        <f>IF(SER_hh_tes_in!O31=0,0,11630*1000*SER_hh_tes_in!O31/SER_hh_num_in!O31)</f>
        <v>28113.31306670891</v>
      </c>
      <c r="P31" s="132">
        <f>IF(SER_hh_tes_in!P31=0,0,11630*1000*SER_hh_tes_in!P31/SER_hh_num_in!P31)</f>
        <v>29105.537084478867</v>
      </c>
      <c r="Q31" s="132">
        <f>IF(SER_hh_tes_in!Q31=0,0,11630*1000*SER_hh_tes_in!Q31/SER_hh_num_in!Q31)</f>
        <v>29070.982634444892</v>
      </c>
      <c r="R31" s="132">
        <f>IF(SER_hh_tes_in!R31=0,0,11630*1000*SER_hh_tes_in!R31/SER_hh_num_in!R31)</f>
        <v>28521.110667210763</v>
      </c>
      <c r="S31" s="132">
        <f>IF(SER_hh_tes_in!S31=0,0,11630*1000*SER_hh_tes_in!S31/SER_hh_num_in!S31)</f>
        <v>28124.30371855351</v>
      </c>
      <c r="T31" s="132">
        <f>IF(SER_hh_tes_in!T31=0,0,11630*1000*SER_hh_tes_in!T31/SER_hh_num_in!T31)</f>
        <v>27627.499264471928</v>
      </c>
      <c r="U31" s="132">
        <f>IF(SER_hh_tes_in!U31=0,0,11630*1000*SER_hh_tes_in!U31/SER_hh_num_in!U31)</f>
        <v>27460.43101253729</v>
      </c>
      <c r="V31" s="132">
        <f>IF(SER_hh_tes_in!V31=0,0,11630*1000*SER_hh_tes_in!V31/SER_hh_num_in!V31)</f>
        <v>25627.128764867124</v>
      </c>
      <c r="W31" s="132">
        <f>IF(SER_hh_tes_in!W31=0,0,11630*1000*SER_hh_tes_in!W31/SER_hh_num_in!W31)</f>
        <v>29107.754678608999</v>
      </c>
      <c r="X31" s="132">
        <f>IF(SER_hh_tes_in!X31=0,0,11630*1000*SER_hh_tes_in!X31/SER_hh_num_in!X31)</f>
        <v>0</v>
      </c>
      <c r="Y31" s="132">
        <f>IF(SER_hh_tes_in!Y31=0,0,11630*1000*SER_hh_tes_in!Y31/SER_hh_num_in!Y31)</f>
        <v>0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0</v>
      </c>
      <c r="D32" s="132">
        <f>IF(SER_hh_tes_in!D32=0,0,11630*1000*SER_hh_tes_in!D32/SER_hh_num_in!D32)</f>
        <v>0</v>
      </c>
      <c r="E32" s="132">
        <f>IF(SER_hh_tes_in!E32=0,0,11630*1000*SER_hh_tes_in!E32/SER_hh_num_in!E32)</f>
        <v>0</v>
      </c>
      <c r="F32" s="132">
        <f>IF(SER_hh_tes_in!F32=0,0,11630*1000*SER_hh_tes_in!F32/SER_hh_num_in!F32)</f>
        <v>0</v>
      </c>
      <c r="G32" s="132">
        <f>IF(SER_hh_tes_in!G32=0,0,11630*1000*SER_hh_tes_in!G32/SER_hh_num_in!G32)</f>
        <v>0</v>
      </c>
      <c r="H32" s="132">
        <f>IF(SER_hh_tes_in!H32=0,0,11630*1000*SER_hh_tes_in!H32/SER_hh_num_in!H32)</f>
        <v>0</v>
      </c>
      <c r="I32" s="132">
        <f>IF(SER_hh_tes_in!I32=0,0,11630*1000*SER_hh_tes_in!I32/SER_hh_num_in!I32)</f>
        <v>0</v>
      </c>
      <c r="J32" s="132">
        <f>IF(SER_hh_tes_in!J32=0,0,11630*1000*SER_hh_tes_in!J32/SER_hh_num_in!J32)</f>
        <v>0</v>
      </c>
      <c r="K32" s="132">
        <f>IF(SER_hh_tes_in!K32=0,0,11630*1000*SER_hh_tes_in!K32/SER_hh_num_in!K32)</f>
        <v>0</v>
      </c>
      <c r="L32" s="132">
        <f>IF(SER_hh_tes_in!L32=0,0,11630*1000*SER_hh_tes_in!L32/SER_hh_num_in!L32)</f>
        <v>0</v>
      </c>
      <c r="M32" s="132">
        <f>IF(SER_hh_tes_in!M32=0,0,11630*1000*SER_hh_tes_in!M32/SER_hh_num_in!M32)</f>
        <v>0</v>
      </c>
      <c r="N32" s="132">
        <f>IF(SER_hh_tes_in!N32=0,0,11630*1000*SER_hh_tes_in!N32/SER_hh_num_in!N32)</f>
        <v>0</v>
      </c>
      <c r="O32" s="132">
        <f>IF(SER_hh_tes_in!O32=0,0,11630*1000*SER_hh_tes_in!O32/SER_hh_num_in!O32)</f>
        <v>0</v>
      </c>
      <c r="P32" s="132">
        <f>IF(SER_hh_tes_in!P32=0,0,11630*1000*SER_hh_tes_in!P32/SER_hh_num_in!P32)</f>
        <v>0</v>
      </c>
      <c r="Q32" s="132">
        <f>IF(SER_hh_tes_in!Q32=0,0,11630*1000*SER_hh_tes_in!Q32/SER_hh_num_in!Q32)</f>
        <v>0</v>
      </c>
      <c r="R32" s="132">
        <f>IF(SER_hh_tes_in!R32=0,0,11630*1000*SER_hh_tes_in!R32/SER_hh_num_in!R32)</f>
        <v>0</v>
      </c>
      <c r="S32" s="132">
        <f>IF(SER_hh_tes_in!S32=0,0,11630*1000*SER_hh_tes_in!S32/SER_hh_num_in!S32)</f>
        <v>0</v>
      </c>
      <c r="T32" s="132">
        <f>IF(SER_hh_tes_in!T32=0,0,11630*1000*SER_hh_tes_in!T32/SER_hh_num_in!T32)</f>
        <v>0</v>
      </c>
      <c r="U32" s="132">
        <f>IF(SER_hh_tes_in!U32=0,0,11630*1000*SER_hh_tes_in!U32/SER_hh_num_in!U32)</f>
        <v>0</v>
      </c>
      <c r="V32" s="132">
        <f>IF(SER_hh_tes_in!V32=0,0,11630*1000*SER_hh_tes_in!V32/SER_hh_num_in!V32)</f>
        <v>0</v>
      </c>
      <c r="W32" s="132">
        <f>IF(SER_hh_tes_in!W32=0,0,11630*1000*SER_hh_tes_in!W32/SER_hh_num_in!W32)</f>
        <v>0</v>
      </c>
      <c r="X32" s="132">
        <f>IF(SER_hh_tes_in!X32=0,0,11630*1000*SER_hh_tes_in!X32/SER_hh_num_in!X32)</f>
        <v>0</v>
      </c>
      <c r="Y32" s="132">
        <f>IF(SER_hh_tes_in!Y32=0,0,11630*1000*SER_hh_tes_in!Y32/SER_hh_num_in!Y32)</f>
        <v>0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25181.484256248041</v>
      </c>
      <c r="D33" s="68">
        <f>IF(SER_hh_tes_in!D33=0,0,11630*1000*SER_hh_tes_in!D33/SER_hh_num_in!D33)</f>
        <v>26864.51588436649</v>
      </c>
      <c r="E33" s="68">
        <f>IF(SER_hh_tes_in!E33=0,0,11630*1000*SER_hh_tes_in!E33/SER_hh_num_in!E33)</f>
        <v>26476.196998595911</v>
      </c>
      <c r="F33" s="68">
        <f>IF(SER_hh_tes_in!F33=0,0,11630*1000*SER_hh_tes_in!F33/SER_hh_num_in!F33)</f>
        <v>25686.69968928404</v>
      </c>
      <c r="G33" s="68">
        <f>IF(SER_hh_tes_in!G33=0,0,11630*1000*SER_hh_tes_in!G33/SER_hh_num_in!G33)</f>
        <v>26683.519518559864</v>
      </c>
      <c r="H33" s="68">
        <f>IF(SER_hh_tes_in!H33=0,0,11630*1000*SER_hh_tes_in!H33/SER_hh_num_in!H33)</f>
        <v>26226.174090757038</v>
      </c>
      <c r="I33" s="68">
        <f>IF(SER_hh_tes_in!I33=0,0,11630*1000*SER_hh_tes_in!I33/SER_hh_num_in!I33)</f>
        <v>25567.819463983109</v>
      </c>
      <c r="J33" s="68">
        <f>IF(SER_hh_tes_in!J33=0,0,11630*1000*SER_hh_tes_in!J33/SER_hh_num_in!J33)</f>
        <v>25454.076935790537</v>
      </c>
      <c r="K33" s="68">
        <f>IF(SER_hh_tes_in!K33=0,0,11630*1000*SER_hh_tes_in!K33/SER_hh_num_in!K33)</f>
        <v>26314.924471304337</v>
      </c>
      <c r="L33" s="68">
        <f>IF(SER_hh_tes_in!L33=0,0,11630*1000*SER_hh_tes_in!L33/SER_hh_num_in!L33)</f>
        <v>27483.101583303534</v>
      </c>
      <c r="M33" s="68">
        <f>IF(SER_hh_tes_in!M33=0,0,11630*1000*SER_hh_tes_in!M33/SER_hh_num_in!M33)</f>
        <v>29289.914881225523</v>
      </c>
      <c r="N33" s="68">
        <f>IF(SER_hh_tes_in!N33=0,0,11630*1000*SER_hh_tes_in!N33/SER_hh_num_in!N33)</f>
        <v>25211.459400009295</v>
      </c>
      <c r="O33" s="68">
        <f>IF(SER_hh_tes_in!O33=0,0,11630*1000*SER_hh_tes_in!O33/SER_hh_num_in!O33)</f>
        <v>28031.394073470521</v>
      </c>
      <c r="P33" s="68">
        <f>IF(SER_hh_tes_in!P33=0,0,11630*1000*SER_hh_tes_in!P33/SER_hh_num_in!P33)</f>
        <v>29780.93108728178</v>
      </c>
      <c r="Q33" s="68">
        <f>IF(SER_hh_tes_in!Q33=0,0,11630*1000*SER_hh_tes_in!Q33/SER_hh_num_in!Q33)</f>
        <v>28872.794664607431</v>
      </c>
      <c r="R33" s="68">
        <f>IF(SER_hh_tes_in!R33=0,0,11630*1000*SER_hh_tes_in!R33/SER_hh_num_in!R33)</f>
        <v>28854.576281567555</v>
      </c>
      <c r="S33" s="68">
        <f>IF(SER_hh_tes_in!S33=0,0,11630*1000*SER_hh_tes_in!S33/SER_hh_num_in!S33)</f>
        <v>28586.909415137619</v>
      </c>
      <c r="T33" s="68">
        <f>IF(SER_hh_tes_in!T33=0,0,11630*1000*SER_hh_tes_in!T33/SER_hh_num_in!T33)</f>
        <v>28478.44633445522</v>
      </c>
      <c r="U33" s="68">
        <f>IF(SER_hh_tes_in!U33=0,0,11630*1000*SER_hh_tes_in!U33/SER_hh_num_in!U33)</f>
        <v>27428.801943546921</v>
      </c>
      <c r="V33" s="68">
        <f>IF(SER_hh_tes_in!V33=0,0,11630*1000*SER_hh_tes_in!V33/SER_hh_num_in!V33)</f>
        <v>24411.057566219446</v>
      </c>
      <c r="W33" s="68">
        <f>IF(SER_hh_tes_in!W33=0,0,11630*1000*SER_hh_tes_in!W33/SER_hh_num_in!W33)</f>
        <v>26962.445483979212</v>
      </c>
      <c r="X33" s="68">
        <f>IF(SER_hh_tes_in!X33=0,0,11630*1000*SER_hh_tes_in!X33/SER_hh_num_in!X33)</f>
        <v>26833.024556633845</v>
      </c>
      <c r="Y33" s="68">
        <f>IF(SER_hh_tes_in!Y33=0,0,11630*1000*SER_hh_tes_in!Y33/SER_hh_num_in!Y33)</f>
        <v>26610.649544080628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13523.152333644575</v>
      </c>
      <c r="D3" s="125">
        <f>IF(SER_hh_emi_in!D3=0,0,1000000*SER_hh_emi_in!D3/SER_hh_num_in!D3)</f>
        <v>7775.357951035211</v>
      </c>
      <c r="E3" s="125">
        <f>IF(SER_hh_emi_in!E3=0,0,1000000*SER_hh_emi_in!E3/SER_hh_num_in!E3)</f>
        <v>9667.6522764259971</v>
      </c>
      <c r="F3" s="125">
        <f>IF(SER_hh_emi_in!F3=0,0,1000000*SER_hh_emi_in!F3/SER_hh_num_in!F3)</f>
        <v>8657.4761780039407</v>
      </c>
      <c r="G3" s="125">
        <f>IF(SER_hh_emi_in!G3=0,0,1000000*SER_hh_emi_in!G3/SER_hh_num_in!G3)</f>
        <v>14791.289111951153</v>
      </c>
      <c r="H3" s="125">
        <f>IF(SER_hh_emi_in!H3=0,0,1000000*SER_hh_emi_in!H3/SER_hh_num_in!H3)</f>
        <v>7038.9080447303386</v>
      </c>
      <c r="I3" s="125">
        <f>IF(SER_hh_emi_in!I3=0,0,1000000*SER_hh_emi_in!I3/SER_hh_num_in!I3)</f>
        <v>3963.1603101142136</v>
      </c>
      <c r="J3" s="125">
        <f>IF(SER_hh_emi_in!J3=0,0,1000000*SER_hh_emi_in!J3/SER_hh_num_in!J3)</f>
        <v>4720.3909092568074</v>
      </c>
      <c r="K3" s="125">
        <f>IF(SER_hh_emi_in!K3=0,0,1000000*SER_hh_emi_in!K3/SER_hh_num_in!K3)</f>
        <v>6167.8398132708899</v>
      </c>
      <c r="L3" s="125">
        <f>IF(SER_hh_emi_in!L3=0,0,1000000*SER_hh_emi_in!L3/SER_hh_num_in!L3)</f>
        <v>6901.9190240041034</v>
      </c>
      <c r="M3" s="125">
        <f>IF(SER_hh_emi_in!M3=0,0,1000000*SER_hh_emi_in!M3/SER_hh_num_in!M3)</f>
        <v>7888.3464413859301</v>
      </c>
      <c r="N3" s="125">
        <f>IF(SER_hh_emi_in!N3=0,0,1000000*SER_hh_emi_in!N3/SER_hh_num_in!N3)</f>
        <v>7299.8688624714541</v>
      </c>
      <c r="O3" s="125">
        <f>IF(SER_hh_emi_in!O3=0,0,1000000*SER_hh_emi_in!O3/SER_hh_num_in!O3)</f>
        <v>2587.0308608780133</v>
      </c>
      <c r="P3" s="125">
        <f>IF(SER_hh_emi_in!P3=0,0,1000000*SER_hh_emi_in!P3/SER_hh_num_in!P3)</f>
        <v>1901.104266409772</v>
      </c>
      <c r="Q3" s="125">
        <f>IF(SER_hh_emi_in!Q3=0,0,1000000*SER_hh_emi_in!Q3/SER_hh_num_in!Q3)</f>
        <v>3681.7787482508452</v>
      </c>
      <c r="R3" s="125">
        <f>IF(SER_hh_emi_in!R3=0,0,1000000*SER_hh_emi_in!R3/SER_hh_num_in!R3)</f>
        <v>6037.312479196461</v>
      </c>
      <c r="S3" s="125">
        <f>IF(SER_hh_emi_in!S3=0,0,1000000*SER_hh_emi_in!S3/SER_hh_num_in!S3)</f>
        <v>5138.9186182401982</v>
      </c>
      <c r="T3" s="125">
        <f>IF(SER_hh_emi_in!T3=0,0,1000000*SER_hh_emi_in!T3/SER_hh_num_in!T3)</f>
        <v>5184.9727797537826</v>
      </c>
      <c r="U3" s="125">
        <f>IF(SER_hh_emi_in!U3=0,0,1000000*SER_hh_emi_in!U3/SER_hh_num_in!U3)</f>
        <v>5570.8559956778035</v>
      </c>
      <c r="V3" s="125">
        <f>IF(SER_hh_emi_in!V3=0,0,1000000*SER_hh_emi_in!V3/SER_hh_num_in!V3)</f>
        <v>3232.3830115026699</v>
      </c>
      <c r="W3" s="125">
        <f>IF(SER_hh_emi_in!W3=0,0,1000000*SER_hh_emi_in!W3/SER_hh_num_in!W3)</f>
        <v>5598.4137865755838</v>
      </c>
      <c r="X3" s="125">
        <f>IF(SER_hh_emi_in!X3=0,0,1000000*SER_hh_emi_in!X3/SER_hh_num_in!X3)</f>
        <v>5880.4250755444191</v>
      </c>
      <c r="Y3" s="125">
        <f>IF(SER_hh_emi_in!Y3=0,0,1000000*SER_hh_emi_in!Y3/SER_hh_num_in!Y3)</f>
        <v>6393.7846958195205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12552.533260165103</v>
      </c>
      <c r="D4" s="130">
        <f>IF(SER_hh_emi_in!D4=0,0,1000000*SER_hh_emi_in!D4/SER_hh_num_in!D4)</f>
        <v>6171.0537191515768</v>
      </c>
      <c r="E4" s="130">
        <f>IF(SER_hh_emi_in!E4=0,0,1000000*SER_hh_emi_in!E4/SER_hh_num_in!E4)</f>
        <v>7314.7889163877471</v>
      </c>
      <c r="F4" s="130">
        <f>IF(SER_hh_emi_in!F4=0,0,1000000*SER_hh_emi_in!F4/SER_hh_num_in!F4)</f>
        <v>3528.7888623052118</v>
      </c>
      <c r="G4" s="130">
        <f>IF(SER_hh_emi_in!G4=0,0,1000000*SER_hh_emi_in!G4/SER_hh_num_in!G4)</f>
        <v>10928.556769973344</v>
      </c>
      <c r="H4" s="130">
        <f>IF(SER_hh_emi_in!H4=0,0,1000000*SER_hh_emi_in!H4/SER_hh_num_in!H4)</f>
        <v>4346.4843954409871</v>
      </c>
      <c r="I4" s="130">
        <f>IF(SER_hh_emi_in!I4=0,0,1000000*SER_hh_emi_in!I4/SER_hh_num_in!I4)</f>
        <v>1648.1319740856529</v>
      </c>
      <c r="J4" s="130">
        <f>IF(SER_hh_emi_in!J4=0,0,1000000*SER_hh_emi_in!J4/SER_hh_num_in!J4)</f>
        <v>1974.3309352815634</v>
      </c>
      <c r="K4" s="130">
        <f>IF(SER_hh_emi_in!K4=0,0,1000000*SER_hh_emi_in!K4/SER_hh_num_in!K4)</f>
        <v>3388.7931907739121</v>
      </c>
      <c r="L4" s="130">
        <f>IF(SER_hh_emi_in!L4=0,0,1000000*SER_hh_emi_in!L4/SER_hh_num_in!L4)</f>
        <v>1876.8431732298036</v>
      </c>
      <c r="M4" s="130">
        <f>IF(SER_hh_emi_in!M4=0,0,1000000*SER_hh_emi_in!M4/SER_hh_num_in!M4)</f>
        <v>1152.9569010512037</v>
      </c>
      <c r="N4" s="130">
        <f>IF(SER_hh_emi_in!N4=0,0,1000000*SER_hh_emi_in!N4/SER_hh_num_in!N4)</f>
        <v>18.934755096474447</v>
      </c>
      <c r="O4" s="130">
        <f>IF(SER_hh_emi_in!O4=0,0,1000000*SER_hh_emi_in!O4/SER_hh_num_in!O4)</f>
        <v>51.020671828293857</v>
      </c>
      <c r="P4" s="130">
        <f>IF(SER_hh_emi_in!P4=0,0,1000000*SER_hh_emi_in!P4/SER_hh_num_in!P4)</f>
        <v>119.44221670674973</v>
      </c>
      <c r="Q4" s="130">
        <f>IF(SER_hh_emi_in!Q4=0,0,1000000*SER_hh_emi_in!Q4/SER_hh_num_in!Q4)</f>
        <v>910.79526406230445</v>
      </c>
      <c r="R4" s="130">
        <f>IF(SER_hh_emi_in!R4=0,0,1000000*SER_hh_emi_in!R4/SER_hh_num_in!R4)</f>
        <v>2640.2112653868589</v>
      </c>
      <c r="S4" s="130">
        <f>IF(SER_hh_emi_in!S4=0,0,1000000*SER_hh_emi_in!S4/SER_hh_num_in!S4)</f>
        <v>2262.5598256510279</v>
      </c>
      <c r="T4" s="130">
        <f>IF(SER_hh_emi_in!T4=0,0,1000000*SER_hh_emi_in!T4/SER_hh_num_in!T4)</f>
        <v>1965.7600876258784</v>
      </c>
      <c r="U4" s="130">
        <f>IF(SER_hh_emi_in!U4=0,0,1000000*SER_hh_emi_in!U4/SER_hh_num_in!U4)</f>
        <v>2132.1412035901926</v>
      </c>
      <c r="V4" s="130">
        <f>IF(SER_hh_emi_in!V4=0,0,1000000*SER_hh_emi_in!V4/SER_hh_num_in!V4)</f>
        <v>979.14201357684203</v>
      </c>
      <c r="W4" s="130">
        <f>IF(SER_hh_emi_in!W4=0,0,1000000*SER_hh_emi_in!W4/SER_hh_num_in!W4)</f>
        <v>1463.4656953778529</v>
      </c>
      <c r="X4" s="130">
        <f>IF(SER_hh_emi_in!X4=0,0,1000000*SER_hh_emi_in!X4/SER_hh_num_in!X4)</f>
        <v>517.94965907202675</v>
      </c>
      <c r="Y4" s="130">
        <f>IF(SER_hh_emi_in!Y4=0,0,1000000*SER_hh_emi_in!Y4/SER_hh_num_in!Y4)</f>
        <v>1000.0290491578163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0</v>
      </c>
      <c r="D5" s="132">
        <f>IF(SER_hh_emi_in!D5=0,0,1000000*SER_hh_emi_in!D5/SER_hh_num_in!D5)</f>
        <v>0</v>
      </c>
      <c r="E5" s="132">
        <f>IF(SER_hh_emi_in!E5=0,0,1000000*SER_hh_emi_in!E5/SER_hh_num_in!E5)</f>
        <v>0</v>
      </c>
      <c r="F5" s="132">
        <f>IF(SER_hh_emi_in!F5=0,0,1000000*SER_hh_emi_in!F5/SER_hh_num_in!F5)</f>
        <v>0</v>
      </c>
      <c r="G5" s="132">
        <f>IF(SER_hh_emi_in!G5=0,0,1000000*SER_hh_emi_in!G5/SER_hh_num_in!G5)</f>
        <v>0</v>
      </c>
      <c r="H5" s="132">
        <f>IF(SER_hh_emi_in!H5=0,0,1000000*SER_hh_emi_in!H5/SER_hh_num_in!H5)</f>
        <v>0</v>
      </c>
      <c r="I5" s="132">
        <f>IF(SER_hh_emi_in!I5=0,0,1000000*SER_hh_emi_in!I5/SER_hh_num_in!I5)</f>
        <v>0</v>
      </c>
      <c r="J5" s="132">
        <f>IF(SER_hh_emi_in!J5=0,0,1000000*SER_hh_emi_in!J5/SER_hh_num_in!J5)</f>
        <v>0</v>
      </c>
      <c r="K5" s="132">
        <f>IF(SER_hh_emi_in!K5=0,0,1000000*SER_hh_emi_in!K5/SER_hh_num_in!K5)</f>
        <v>0</v>
      </c>
      <c r="L5" s="132">
        <f>IF(SER_hh_emi_in!L5=0,0,1000000*SER_hh_emi_in!L5/SER_hh_num_in!L5)</f>
        <v>0</v>
      </c>
      <c r="M5" s="132">
        <f>IF(SER_hh_emi_in!M5=0,0,1000000*SER_hh_emi_in!M5/SER_hh_num_in!M5)</f>
        <v>0</v>
      </c>
      <c r="N5" s="132">
        <f>IF(SER_hh_emi_in!N5=0,0,1000000*SER_hh_emi_in!N5/SER_hh_num_in!N5)</f>
        <v>0</v>
      </c>
      <c r="O5" s="132">
        <f>IF(SER_hh_emi_in!O5=0,0,1000000*SER_hh_emi_in!O5/SER_hh_num_in!O5)</f>
        <v>0</v>
      </c>
      <c r="P5" s="132">
        <f>IF(SER_hh_emi_in!P5=0,0,1000000*SER_hh_emi_in!P5/SER_hh_num_in!P5)</f>
        <v>0</v>
      </c>
      <c r="Q5" s="132">
        <f>IF(SER_hh_emi_in!Q5=0,0,1000000*SER_hh_emi_in!Q5/SER_hh_num_in!Q5)</f>
        <v>0</v>
      </c>
      <c r="R5" s="132">
        <f>IF(SER_hh_emi_in!R5=0,0,1000000*SER_hh_emi_in!R5/SER_hh_num_in!R5)</f>
        <v>0</v>
      </c>
      <c r="S5" s="132">
        <f>IF(SER_hh_emi_in!S5=0,0,1000000*SER_hh_emi_in!S5/SER_hh_num_in!S5)</f>
        <v>0</v>
      </c>
      <c r="T5" s="132">
        <f>IF(SER_hh_emi_in!T5=0,0,1000000*SER_hh_emi_in!T5/SER_hh_num_in!T5)</f>
        <v>0</v>
      </c>
      <c r="U5" s="132">
        <f>IF(SER_hh_emi_in!U5=0,0,1000000*SER_hh_emi_in!U5/SER_hh_num_in!U5)</f>
        <v>0</v>
      </c>
      <c r="V5" s="132">
        <f>IF(SER_hh_emi_in!V5=0,0,1000000*SER_hh_emi_in!V5/SER_hh_num_in!V5)</f>
        <v>0</v>
      </c>
      <c r="W5" s="132">
        <f>IF(SER_hh_emi_in!W5=0,0,1000000*SER_hh_emi_in!W5/SER_hh_num_in!W5)</f>
        <v>0</v>
      </c>
      <c r="X5" s="132">
        <f>IF(SER_hh_emi_in!X5=0,0,1000000*SER_hh_emi_in!X5/SER_hh_num_in!X5)</f>
        <v>10901.170357582883</v>
      </c>
      <c r="Y5" s="132">
        <f>IF(SER_hh_emi_in!Y5=0,0,1000000*SER_hh_emi_in!Y5/SER_hh_num_in!Y5)</f>
        <v>17539.836021607054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0</v>
      </c>
      <c r="D6" s="132">
        <f>IF(SER_hh_emi_in!D6=0,0,1000000*SER_hh_emi_in!D6/SER_hh_num_in!D6)</f>
        <v>0</v>
      </c>
      <c r="E6" s="132">
        <f>IF(SER_hh_emi_in!E6=0,0,1000000*SER_hh_emi_in!E6/SER_hh_num_in!E6)</f>
        <v>0</v>
      </c>
      <c r="F6" s="132">
        <f>IF(SER_hh_emi_in!F6=0,0,1000000*SER_hh_emi_in!F6/SER_hh_num_in!F6)</f>
        <v>0</v>
      </c>
      <c r="G6" s="132">
        <f>IF(SER_hh_emi_in!G6=0,0,1000000*SER_hh_emi_in!G6/SER_hh_num_in!G6)</f>
        <v>0</v>
      </c>
      <c r="H6" s="132">
        <f>IF(SER_hh_emi_in!H6=0,0,1000000*SER_hh_emi_in!H6/SER_hh_num_in!H6)</f>
        <v>0</v>
      </c>
      <c r="I6" s="132">
        <f>IF(SER_hh_emi_in!I6=0,0,1000000*SER_hh_emi_in!I6/SER_hh_num_in!I6)</f>
        <v>0</v>
      </c>
      <c r="J6" s="132">
        <f>IF(SER_hh_emi_in!J6=0,0,1000000*SER_hh_emi_in!J6/SER_hh_num_in!J6)</f>
        <v>0</v>
      </c>
      <c r="K6" s="132">
        <f>IF(SER_hh_emi_in!K6=0,0,1000000*SER_hh_emi_in!K6/SER_hh_num_in!K6)</f>
        <v>0</v>
      </c>
      <c r="L6" s="132">
        <f>IF(SER_hh_emi_in!L6=0,0,1000000*SER_hh_emi_in!L6/SER_hh_num_in!L6)</f>
        <v>0</v>
      </c>
      <c r="M6" s="132">
        <f>IF(SER_hh_emi_in!M6=0,0,1000000*SER_hh_emi_in!M6/SER_hh_num_in!M6)</f>
        <v>0</v>
      </c>
      <c r="N6" s="132">
        <f>IF(SER_hh_emi_in!N6=0,0,1000000*SER_hh_emi_in!N6/SER_hh_num_in!N6)</f>
        <v>0</v>
      </c>
      <c r="O6" s="132">
        <f>IF(SER_hh_emi_in!O6=0,0,1000000*SER_hh_emi_in!O6/SER_hh_num_in!O6)</f>
        <v>0</v>
      </c>
      <c r="P6" s="132">
        <f>IF(SER_hh_emi_in!P6=0,0,1000000*SER_hh_emi_in!P6/SER_hh_num_in!P6)</f>
        <v>0</v>
      </c>
      <c r="Q6" s="132">
        <f>IF(SER_hh_emi_in!Q6=0,0,1000000*SER_hh_emi_in!Q6/SER_hh_num_in!Q6)</f>
        <v>0</v>
      </c>
      <c r="R6" s="132">
        <f>IF(SER_hh_emi_in!R6=0,0,1000000*SER_hh_emi_in!R6/SER_hh_num_in!R6)</f>
        <v>0</v>
      </c>
      <c r="S6" s="132">
        <f>IF(SER_hh_emi_in!S6=0,0,1000000*SER_hh_emi_in!S6/SER_hh_num_in!S6)</f>
        <v>0</v>
      </c>
      <c r="T6" s="132">
        <f>IF(SER_hh_emi_in!T6=0,0,1000000*SER_hh_emi_in!T6/SER_hh_num_in!T6)</f>
        <v>0</v>
      </c>
      <c r="U6" s="132">
        <f>IF(SER_hh_emi_in!U6=0,0,1000000*SER_hh_emi_in!U6/SER_hh_num_in!U6)</f>
        <v>0</v>
      </c>
      <c r="V6" s="132">
        <f>IF(SER_hh_emi_in!V6=0,0,1000000*SER_hh_emi_in!V6/SER_hh_num_in!V6)</f>
        <v>0</v>
      </c>
      <c r="W6" s="132">
        <f>IF(SER_hh_emi_in!W6=0,0,1000000*SER_hh_emi_in!W6/SER_hh_num_in!W6)</f>
        <v>0</v>
      </c>
      <c r="X6" s="132">
        <f>IF(SER_hh_emi_in!X6=0,0,1000000*SER_hh_emi_in!X6/SER_hh_num_in!X6)</f>
        <v>0</v>
      </c>
      <c r="Y6" s="132">
        <f>IF(SER_hh_emi_in!Y6=0,0,1000000*SER_hh_emi_in!Y6/SER_hh_num_in!Y6)</f>
        <v>0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19019.170769686469</v>
      </c>
      <c r="D7" s="132">
        <f>IF(SER_hh_emi_in!D7=0,0,1000000*SER_hh_emi_in!D7/SER_hh_num_in!D7)</f>
        <v>19499.32709038545</v>
      </c>
      <c r="E7" s="132">
        <f>IF(SER_hh_emi_in!E7=0,0,1000000*SER_hh_emi_in!E7/SER_hh_num_in!E7)</f>
        <v>20670.29627984246</v>
      </c>
      <c r="F7" s="132">
        <f>IF(SER_hh_emi_in!F7=0,0,1000000*SER_hh_emi_in!F7/SER_hh_num_in!F7)</f>
        <v>20706.428994569535</v>
      </c>
      <c r="G7" s="132">
        <f>IF(SER_hh_emi_in!G7=0,0,1000000*SER_hh_emi_in!G7/SER_hh_num_in!G7)</f>
        <v>26045.689133813481</v>
      </c>
      <c r="H7" s="132">
        <f>IF(SER_hh_emi_in!H7=0,0,1000000*SER_hh_emi_in!H7/SER_hh_num_in!H7)</f>
        <v>27700.949198553655</v>
      </c>
      <c r="I7" s="132">
        <f>IF(SER_hh_emi_in!I7=0,0,1000000*SER_hh_emi_in!I7/SER_hh_num_in!I7)</f>
        <v>0</v>
      </c>
      <c r="J7" s="132">
        <f>IF(SER_hh_emi_in!J7=0,0,1000000*SER_hh_emi_in!J7/SER_hh_num_in!J7)</f>
        <v>0</v>
      </c>
      <c r="K7" s="132">
        <f>IF(SER_hh_emi_in!K7=0,0,1000000*SER_hh_emi_in!K7/SER_hh_num_in!K7)</f>
        <v>0</v>
      </c>
      <c r="L7" s="132">
        <f>IF(SER_hh_emi_in!L7=0,0,1000000*SER_hh_emi_in!L7/SER_hh_num_in!L7)</f>
        <v>0</v>
      </c>
      <c r="M7" s="132">
        <f>IF(SER_hh_emi_in!M7=0,0,1000000*SER_hh_emi_in!M7/SER_hh_num_in!M7)</f>
        <v>20548.172736390814</v>
      </c>
      <c r="N7" s="132">
        <f>IF(SER_hh_emi_in!N7=0,0,1000000*SER_hh_emi_in!N7/SER_hh_num_in!N7)</f>
        <v>0</v>
      </c>
      <c r="O7" s="132">
        <f>IF(SER_hh_emi_in!O7=0,0,1000000*SER_hh_emi_in!O7/SER_hh_num_in!O7)</f>
        <v>0</v>
      </c>
      <c r="P7" s="132">
        <f>IF(SER_hh_emi_in!P7=0,0,1000000*SER_hh_emi_in!P7/SER_hh_num_in!P7)</f>
        <v>0</v>
      </c>
      <c r="Q7" s="132">
        <f>IF(SER_hh_emi_in!Q7=0,0,1000000*SER_hh_emi_in!Q7/SER_hh_num_in!Q7)</f>
        <v>0</v>
      </c>
      <c r="R7" s="132">
        <f>IF(SER_hh_emi_in!R7=0,0,1000000*SER_hh_emi_in!R7/SER_hh_num_in!R7)</f>
        <v>26232.072952914637</v>
      </c>
      <c r="S7" s="132">
        <f>IF(SER_hh_emi_in!S7=0,0,1000000*SER_hh_emi_in!S7/SER_hh_num_in!S7)</f>
        <v>14061.738345120202</v>
      </c>
      <c r="T7" s="132">
        <f>IF(SER_hh_emi_in!T7=0,0,1000000*SER_hh_emi_in!T7/SER_hh_num_in!T7)</f>
        <v>14007.651907045414</v>
      </c>
      <c r="U7" s="132">
        <f>IF(SER_hh_emi_in!U7=0,0,1000000*SER_hh_emi_in!U7/SER_hh_num_in!U7)</f>
        <v>16027.546443400555</v>
      </c>
      <c r="V7" s="132">
        <f>IF(SER_hh_emi_in!V7=0,0,1000000*SER_hh_emi_in!V7/SER_hh_num_in!V7)</f>
        <v>15552.950039136438</v>
      </c>
      <c r="W7" s="132">
        <f>IF(SER_hh_emi_in!W7=0,0,1000000*SER_hh_emi_in!W7/SER_hh_num_in!W7)</f>
        <v>8998.6727628050267</v>
      </c>
      <c r="X7" s="132">
        <f>IF(SER_hh_emi_in!X7=0,0,1000000*SER_hh_emi_in!X7/SER_hh_num_in!X7)</f>
        <v>0</v>
      </c>
      <c r="Y7" s="132">
        <f>IF(SER_hh_emi_in!Y7=0,0,1000000*SER_hh_emi_in!Y7/SER_hh_num_in!Y7)</f>
        <v>0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3760.019302998563</v>
      </c>
      <c r="D8" s="132">
        <f>IF(SER_hh_emi_in!D8=0,0,1000000*SER_hh_emi_in!D8/SER_hh_num_in!D8)</f>
        <v>3852.7719595063668</v>
      </c>
      <c r="E8" s="132">
        <f>IF(SER_hh_emi_in!E8=0,0,1000000*SER_hh_emi_in!E8/SER_hh_num_in!E8)</f>
        <v>3924.7466848927879</v>
      </c>
      <c r="F8" s="132">
        <f>IF(SER_hh_emi_in!F8=0,0,1000000*SER_hh_emi_in!F8/SER_hh_num_in!F8)</f>
        <v>4547.2703816612002</v>
      </c>
      <c r="G8" s="132">
        <f>IF(SER_hh_emi_in!G8=0,0,1000000*SER_hh_emi_in!G8/SER_hh_num_in!G8)</f>
        <v>5368.1585142037993</v>
      </c>
      <c r="H8" s="132">
        <f>IF(SER_hh_emi_in!H8=0,0,1000000*SER_hh_emi_in!H8/SER_hh_num_in!H8)</f>
        <v>5185.941892983873</v>
      </c>
      <c r="I8" s="132">
        <f>IF(SER_hh_emi_in!I8=0,0,1000000*SER_hh_emi_in!I8/SER_hh_num_in!I8)</f>
        <v>5092.4066026774581</v>
      </c>
      <c r="J8" s="132">
        <f>IF(SER_hh_emi_in!J8=0,0,1000000*SER_hh_emi_in!J8/SER_hh_num_in!J8)</f>
        <v>4885.4876939452497</v>
      </c>
      <c r="K8" s="132">
        <f>IF(SER_hh_emi_in!K8=0,0,1000000*SER_hh_emi_in!K8/SER_hh_num_in!K8)</f>
        <v>4235.2703191843775</v>
      </c>
      <c r="L8" s="132">
        <f>IF(SER_hh_emi_in!L8=0,0,1000000*SER_hh_emi_in!L8/SER_hh_num_in!L8)</f>
        <v>3275.0063444948855</v>
      </c>
      <c r="M8" s="132">
        <f>IF(SER_hh_emi_in!M8=0,0,1000000*SER_hh_emi_in!M8/SER_hh_num_in!M8)</f>
        <v>2271.849760529492</v>
      </c>
      <c r="N8" s="132">
        <f>IF(SER_hh_emi_in!N8=0,0,1000000*SER_hh_emi_in!N8/SER_hh_num_in!N8)</f>
        <v>1444.7056992194209</v>
      </c>
      <c r="O8" s="132">
        <f>IF(SER_hh_emi_in!O8=0,0,1000000*SER_hh_emi_in!O8/SER_hh_num_in!O8)</f>
        <v>1644.8929544589537</v>
      </c>
      <c r="P8" s="132">
        <f>IF(SER_hh_emi_in!P8=0,0,1000000*SER_hh_emi_in!P8/SER_hh_num_in!P8)</f>
        <v>2364.715334921163</v>
      </c>
      <c r="Q8" s="132">
        <f>IF(SER_hh_emi_in!Q8=0,0,1000000*SER_hh_emi_in!Q8/SER_hh_num_in!Q8)</f>
        <v>3658.0259343026669</v>
      </c>
      <c r="R8" s="132">
        <f>IF(SER_hh_emi_in!R8=0,0,1000000*SER_hh_emi_in!R8/SER_hh_num_in!R8)</f>
        <v>3011.7448811705481</v>
      </c>
      <c r="S8" s="132">
        <f>IF(SER_hh_emi_in!S8=0,0,1000000*SER_hh_emi_in!S8/SER_hh_num_in!S8)</f>
        <v>2649.2777395531266</v>
      </c>
      <c r="T8" s="132">
        <f>IF(SER_hh_emi_in!T8=0,0,1000000*SER_hh_emi_in!T8/SER_hh_num_in!T8)</f>
        <v>2377.1036573731799</v>
      </c>
      <c r="U8" s="132">
        <f>IF(SER_hh_emi_in!U8=0,0,1000000*SER_hh_emi_in!U8/SER_hh_num_in!U8)</f>
        <v>2068.9387353903303</v>
      </c>
      <c r="V8" s="132">
        <f>IF(SER_hh_emi_in!V8=0,0,1000000*SER_hh_emi_in!V8/SER_hh_num_in!V8)</f>
        <v>2037.7885560763152</v>
      </c>
      <c r="W8" s="132">
        <f>IF(SER_hh_emi_in!W8=0,0,1000000*SER_hh_emi_in!W8/SER_hh_num_in!W8)</f>
        <v>1769.7325724252757</v>
      </c>
      <c r="X8" s="132">
        <f>IF(SER_hh_emi_in!X8=0,0,1000000*SER_hh_emi_in!X8/SER_hh_num_in!X8)</f>
        <v>1374.5352419324217</v>
      </c>
      <c r="Y8" s="132">
        <f>IF(SER_hh_emi_in!Y8=0,0,1000000*SER_hh_emi_in!Y8/SER_hh_num_in!Y8)</f>
        <v>1549.6208555759561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10497.835086914964</v>
      </c>
      <c r="D9" s="132">
        <f>IF(SER_hh_emi_in!D9=0,0,1000000*SER_hh_emi_in!D9/SER_hh_num_in!D9)</f>
        <v>10478.479456494981</v>
      </c>
      <c r="E9" s="132">
        <f>IF(SER_hh_emi_in!E9=0,0,1000000*SER_hh_emi_in!E9/SER_hh_num_in!E9)</f>
        <v>11764.064436344728</v>
      </c>
      <c r="F9" s="132">
        <f>IF(SER_hh_emi_in!F9=0,0,1000000*SER_hh_emi_in!F9/SER_hh_num_in!F9)</f>
        <v>14390.622473266656</v>
      </c>
      <c r="G9" s="132">
        <f>IF(SER_hh_emi_in!G9=0,0,1000000*SER_hh_emi_in!G9/SER_hh_num_in!G9)</f>
        <v>18209.248765315911</v>
      </c>
      <c r="H9" s="132">
        <f>IF(SER_hh_emi_in!H9=0,0,1000000*SER_hh_emi_in!H9/SER_hh_num_in!H9)</f>
        <v>18626.734140967736</v>
      </c>
      <c r="I9" s="132">
        <f>IF(SER_hh_emi_in!I9=0,0,1000000*SER_hh_emi_in!I9/SER_hh_num_in!I9)</f>
        <v>18389.328793136676</v>
      </c>
      <c r="J9" s="132">
        <f>IF(SER_hh_emi_in!J9=0,0,1000000*SER_hh_emi_in!J9/SER_hh_num_in!J9)</f>
        <v>20426.865886730429</v>
      </c>
      <c r="K9" s="132">
        <f>IF(SER_hh_emi_in!K9=0,0,1000000*SER_hh_emi_in!K9/SER_hh_num_in!K9)</f>
        <v>18798.930955250278</v>
      </c>
      <c r="L9" s="132">
        <f>IF(SER_hh_emi_in!L9=0,0,1000000*SER_hh_emi_in!L9/SER_hh_num_in!L9)</f>
        <v>13871.911897628032</v>
      </c>
      <c r="M9" s="132">
        <f>IF(SER_hh_emi_in!M9=0,0,1000000*SER_hh_emi_in!M9/SER_hh_num_in!M9)</f>
        <v>17329.486576315358</v>
      </c>
      <c r="N9" s="132">
        <f>IF(SER_hh_emi_in!N9=0,0,1000000*SER_hh_emi_in!N9/SER_hh_num_in!N9)</f>
        <v>0</v>
      </c>
      <c r="O9" s="132">
        <f>IF(SER_hh_emi_in!O9=0,0,1000000*SER_hh_emi_in!O9/SER_hh_num_in!O9)</f>
        <v>0</v>
      </c>
      <c r="P9" s="132">
        <f>IF(SER_hh_emi_in!P9=0,0,1000000*SER_hh_emi_in!P9/SER_hh_num_in!P9)</f>
        <v>0</v>
      </c>
      <c r="Q9" s="132">
        <f>IF(SER_hh_emi_in!Q9=0,0,1000000*SER_hh_emi_in!Q9/SER_hh_num_in!Q9)</f>
        <v>14468.920344411106</v>
      </c>
      <c r="R9" s="132">
        <f>IF(SER_hh_emi_in!R9=0,0,1000000*SER_hh_emi_in!R9/SER_hh_num_in!R9)</f>
        <v>0</v>
      </c>
      <c r="S9" s="132">
        <f>IF(SER_hh_emi_in!S9=0,0,1000000*SER_hh_emi_in!S9/SER_hh_num_in!S9)</f>
        <v>11857.253787080765</v>
      </c>
      <c r="T9" s="132">
        <f>IF(SER_hh_emi_in!T9=0,0,1000000*SER_hh_emi_in!T9/SER_hh_num_in!T9)</f>
        <v>10420.394370522528</v>
      </c>
      <c r="U9" s="132">
        <f>IF(SER_hh_emi_in!U9=0,0,1000000*SER_hh_emi_in!U9/SER_hh_num_in!U9)</f>
        <v>10881.254742447943</v>
      </c>
      <c r="V9" s="132">
        <f>IF(SER_hh_emi_in!V9=0,0,1000000*SER_hh_emi_in!V9/SER_hh_num_in!V9)</f>
        <v>9006.5354626132666</v>
      </c>
      <c r="W9" s="132">
        <f>IF(SER_hh_emi_in!W9=0,0,1000000*SER_hh_emi_in!W9/SER_hh_num_in!W9)</f>
        <v>8273.8460552662018</v>
      </c>
      <c r="X9" s="132">
        <f>IF(SER_hh_emi_in!X9=0,0,1000000*SER_hh_emi_in!X9/SER_hh_num_in!X9)</f>
        <v>0</v>
      </c>
      <c r="Y9" s="132">
        <f>IF(SER_hh_emi_in!Y9=0,0,1000000*SER_hh_emi_in!Y9/SER_hh_num_in!Y9)</f>
        <v>6847.2595140218609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0</v>
      </c>
      <c r="D10" s="132">
        <f>IF(SER_hh_emi_in!D10=0,0,1000000*SER_hh_emi_in!D10/SER_hh_num_in!D10)</f>
        <v>0</v>
      </c>
      <c r="E10" s="132">
        <f>IF(SER_hh_emi_in!E10=0,0,1000000*SER_hh_emi_in!E10/SER_hh_num_in!E10)</f>
        <v>0</v>
      </c>
      <c r="F10" s="132">
        <f>IF(SER_hh_emi_in!F10=0,0,1000000*SER_hh_emi_in!F10/SER_hh_num_in!F10)</f>
        <v>0</v>
      </c>
      <c r="G10" s="132">
        <f>IF(SER_hh_emi_in!G10=0,0,1000000*SER_hh_emi_in!G10/SER_hh_num_in!G10)</f>
        <v>0</v>
      </c>
      <c r="H10" s="132">
        <f>IF(SER_hh_emi_in!H10=0,0,1000000*SER_hh_emi_in!H10/SER_hh_num_in!H10)</f>
        <v>0</v>
      </c>
      <c r="I10" s="132">
        <f>IF(SER_hh_emi_in!I10=0,0,1000000*SER_hh_emi_in!I10/SER_hh_num_in!I10)</f>
        <v>0</v>
      </c>
      <c r="J10" s="132">
        <f>IF(SER_hh_emi_in!J10=0,0,1000000*SER_hh_emi_in!J10/SER_hh_num_in!J10)</f>
        <v>0</v>
      </c>
      <c r="K10" s="132">
        <f>IF(SER_hh_emi_in!K10=0,0,1000000*SER_hh_emi_in!K10/SER_hh_num_in!K10)</f>
        <v>0</v>
      </c>
      <c r="L10" s="132">
        <f>IF(SER_hh_emi_in!L10=0,0,1000000*SER_hh_emi_in!L10/SER_hh_num_in!L10)</f>
        <v>0</v>
      </c>
      <c r="M10" s="132">
        <f>IF(SER_hh_emi_in!M10=0,0,1000000*SER_hh_emi_in!M10/SER_hh_num_in!M10)</f>
        <v>0</v>
      </c>
      <c r="N10" s="132">
        <f>IF(SER_hh_emi_in!N10=0,0,1000000*SER_hh_emi_in!N10/SER_hh_num_in!N10)</f>
        <v>0</v>
      </c>
      <c r="O10" s="132">
        <f>IF(SER_hh_emi_in!O10=0,0,1000000*SER_hh_emi_in!O10/SER_hh_num_in!O10)</f>
        <v>0</v>
      </c>
      <c r="P10" s="132">
        <f>IF(SER_hh_emi_in!P10=0,0,1000000*SER_hh_emi_in!P10/SER_hh_num_in!P10)</f>
        <v>0</v>
      </c>
      <c r="Q10" s="132">
        <f>IF(SER_hh_emi_in!Q10=0,0,1000000*SER_hh_emi_in!Q10/SER_hh_num_in!Q10)</f>
        <v>0</v>
      </c>
      <c r="R10" s="132">
        <f>IF(SER_hh_emi_in!R10=0,0,1000000*SER_hh_emi_in!R10/SER_hh_num_in!R10)</f>
        <v>0</v>
      </c>
      <c r="S10" s="132">
        <f>IF(SER_hh_emi_in!S10=0,0,1000000*SER_hh_emi_in!S10/SER_hh_num_in!S10)</f>
        <v>0</v>
      </c>
      <c r="T10" s="132">
        <f>IF(SER_hh_emi_in!T10=0,0,1000000*SER_hh_emi_in!T10/SER_hh_num_in!T10)</f>
        <v>0</v>
      </c>
      <c r="U10" s="132">
        <f>IF(SER_hh_emi_in!U10=0,0,1000000*SER_hh_emi_in!U10/SER_hh_num_in!U10)</f>
        <v>0</v>
      </c>
      <c r="V10" s="132">
        <f>IF(SER_hh_emi_in!V10=0,0,1000000*SER_hh_emi_in!V10/SER_hh_num_in!V10)</f>
        <v>0</v>
      </c>
      <c r="W10" s="132">
        <f>IF(SER_hh_emi_in!W10=0,0,1000000*SER_hh_emi_in!W10/SER_hh_num_in!W10)</f>
        <v>0</v>
      </c>
      <c r="X10" s="132">
        <f>IF(SER_hh_emi_in!X10=0,0,1000000*SER_hh_emi_in!X10/SER_hh_num_in!X10)</f>
        <v>0</v>
      </c>
      <c r="Y10" s="132">
        <f>IF(SER_hh_emi_in!Y10=0,0,1000000*SER_hh_emi_in!Y10/SER_hh_num_in!Y10)</f>
        <v>0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4.1908074263732473</v>
      </c>
      <c r="D16" s="130">
        <f>IF(SER_hh_emi_in!D16=0,0,1000000*SER_hh_emi_in!D16/SER_hh_num_in!D16)</f>
        <v>10.632356867594162</v>
      </c>
      <c r="E16" s="130">
        <f>IF(SER_hh_emi_in!E16=0,0,1000000*SER_hh_emi_in!E16/SER_hh_num_in!E16)</f>
        <v>0.91164507175544263</v>
      </c>
      <c r="F16" s="130">
        <f>IF(SER_hh_emi_in!F16=0,0,1000000*SER_hh_emi_in!F16/SER_hh_num_in!F16)</f>
        <v>25.226182620350201</v>
      </c>
      <c r="G16" s="130">
        <f>IF(SER_hh_emi_in!G16=0,0,1000000*SER_hh_emi_in!G16/SER_hh_num_in!G16)</f>
        <v>27.64821756177933</v>
      </c>
      <c r="H16" s="130">
        <f>IF(SER_hh_emi_in!H16=0,0,1000000*SER_hh_emi_in!H16/SER_hh_num_in!H16)</f>
        <v>25.897712263138995</v>
      </c>
      <c r="I16" s="130">
        <f>IF(SER_hh_emi_in!I16=0,0,1000000*SER_hh_emi_in!I16/SER_hh_num_in!I16)</f>
        <v>0.13342936508106076</v>
      </c>
      <c r="J16" s="130">
        <f>IF(SER_hh_emi_in!J16=0,0,1000000*SER_hh_emi_in!J16/SER_hh_num_in!J16)</f>
        <v>48.944309690034572</v>
      </c>
      <c r="K16" s="130">
        <f>IF(SER_hh_emi_in!K16=0,0,1000000*SER_hh_emi_in!K16/SER_hh_num_in!K16)</f>
        <v>81.028158223222817</v>
      </c>
      <c r="L16" s="130">
        <f>IF(SER_hh_emi_in!L16=0,0,1000000*SER_hh_emi_in!L16/SER_hh_num_in!L16)</f>
        <v>106.53652916186485</v>
      </c>
      <c r="M16" s="130">
        <f>IF(SER_hh_emi_in!M16=0,0,1000000*SER_hh_emi_in!M16/SER_hh_num_in!M16)</f>
        <v>92.806337591404727</v>
      </c>
      <c r="N16" s="130">
        <f>IF(SER_hh_emi_in!N16=0,0,1000000*SER_hh_emi_in!N16/SER_hh_num_in!N16)</f>
        <v>128.924843376491</v>
      </c>
      <c r="O16" s="130">
        <f>IF(SER_hh_emi_in!O16=0,0,1000000*SER_hh_emi_in!O16/SER_hh_num_in!O16)</f>
        <v>143.84587834959126</v>
      </c>
      <c r="P16" s="130">
        <f>IF(SER_hh_emi_in!P16=0,0,1000000*SER_hh_emi_in!P16/SER_hh_num_in!P16)</f>
        <v>134.78995828836432</v>
      </c>
      <c r="Q16" s="130">
        <f>IF(SER_hh_emi_in!Q16=0,0,1000000*SER_hh_emi_in!Q16/SER_hh_num_in!Q16)</f>
        <v>113.44160012165264</v>
      </c>
      <c r="R16" s="130">
        <f>IF(SER_hh_emi_in!R16=0,0,1000000*SER_hh_emi_in!R16/SER_hh_num_in!R16)</f>
        <v>93.67544840715064</v>
      </c>
      <c r="S16" s="130">
        <f>IF(SER_hh_emi_in!S16=0,0,1000000*SER_hh_emi_in!S16/SER_hh_num_in!S16)</f>
        <v>111.71772400063173</v>
      </c>
      <c r="T16" s="130">
        <f>IF(SER_hh_emi_in!T16=0,0,1000000*SER_hh_emi_in!T16/SER_hh_num_in!T16)</f>
        <v>148.97567692545795</v>
      </c>
      <c r="U16" s="130">
        <f>IF(SER_hh_emi_in!U16=0,0,1000000*SER_hh_emi_in!U16/SER_hh_num_in!U16)</f>
        <v>102.47880913219302</v>
      </c>
      <c r="V16" s="130">
        <f>IF(SER_hh_emi_in!V16=0,0,1000000*SER_hh_emi_in!V16/SER_hh_num_in!V16)</f>
        <v>85.288942463735964</v>
      </c>
      <c r="W16" s="130">
        <f>IF(SER_hh_emi_in!W16=0,0,1000000*SER_hh_emi_in!W16/SER_hh_num_in!W16)</f>
        <v>95.883050166023139</v>
      </c>
      <c r="X16" s="130">
        <f>IF(SER_hh_emi_in!X16=0,0,1000000*SER_hh_emi_in!X16/SER_hh_num_in!X16)</f>
        <v>82.873267374025701</v>
      </c>
      <c r="Y16" s="130">
        <f>IF(SER_hh_emi_in!Y16=0,0,1000000*SER_hh_emi_in!Y16/SER_hh_num_in!Y16)</f>
        <v>101.70341202682472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6281.9483126897057</v>
      </c>
      <c r="D17" s="132">
        <f>IF(SER_hh_emi_in!D17=0,0,1000000*SER_hh_emi_in!D17/SER_hh_num_in!D17)</f>
        <v>5105.7219365678338</v>
      </c>
      <c r="E17" s="132">
        <f>IF(SER_hh_emi_in!E17=0,0,1000000*SER_hh_emi_in!E17/SER_hh_num_in!E17)</f>
        <v>6409.4157092043488</v>
      </c>
      <c r="F17" s="132">
        <f>IF(SER_hh_emi_in!F17=0,0,1000000*SER_hh_emi_in!F17/SER_hh_num_in!F17)</f>
        <v>4111.2966498794203</v>
      </c>
      <c r="G17" s="132">
        <f>IF(SER_hh_emi_in!G17=0,0,1000000*SER_hh_emi_in!G17/SER_hh_num_in!G17)</f>
        <v>4237.792314261359</v>
      </c>
      <c r="H17" s="132">
        <f>IF(SER_hh_emi_in!H17=0,0,1000000*SER_hh_emi_in!H17/SER_hh_num_in!H17)</f>
        <v>4947.7841706657746</v>
      </c>
      <c r="I17" s="132">
        <f>IF(SER_hh_emi_in!I17=0,0,1000000*SER_hh_emi_in!I17/SER_hh_num_in!I17)</f>
        <v>7416.1323766042642</v>
      </c>
      <c r="J17" s="132">
        <f>IF(SER_hh_emi_in!J17=0,0,1000000*SER_hh_emi_in!J17/SER_hh_num_in!J17)</f>
        <v>7004.8924554987616</v>
      </c>
      <c r="K17" s="132">
        <f>IF(SER_hh_emi_in!K17=0,0,1000000*SER_hh_emi_in!K17/SER_hh_num_in!K17)</f>
        <v>5852.428069188506</v>
      </c>
      <c r="L17" s="132">
        <f>IF(SER_hh_emi_in!L17=0,0,1000000*SER_hh_emi_in!L17/SER_hh_num_in!L17)</f>
        <v>5951.8057903252047</v>
      </c>
      <c r="M17" s="132">
        <f>IF(SER_hh_emi_in!M17=0,0,1000000*SER_hh_emi_in!M17/SER_hh_num_in!M17)</f>
        <v>4739.6949801689616</v>
      </c>
      <c r="N17" s="132">
        <f>IF(SER_hh_emi_in!N17=0,0,1000000*SER_hh_emi_in!N17/SER_hh_num_in!N17)</f>
        <v>6588.3932518271486</v>
      </c>
      <c r="O17" s="132">
        <f>IF(SER_hh_emi_in!O17=0,0,1000000*SER_hh_emi_in!O17/SER_hh_num_in!O17)</f>
        <v>4354.2586904095087</v>
      </c>
      <c r="P17" s="132">
        <f>IF(SER_hh_emi_in!P17=0,0,1000000*SER_hh_emi_in!P17/SER_hh_num_in!P17)</f>
        <v>3610.2364169582679</v>
      </c>
      <c r="Q17" s="132">
        <f>IF(SER_hh_emi_in!Q17=0,0,1000000*SER_hh_emi_in!Q17/SER_hh_num_in!Q17)</f>
        <v>4326.9309509880113</v>
      </c>
      <c r="R17" s="132">
        <f>IF(SER_hh_emi_in!R17=0,0,1000000*SER_hh_emi_in!R17/SER_hh_num_in!R17)</f>
        <v>4488.4886480989253</v>
      </c>
      <c r="S17" s="132">
        <f>IF(SER_hh_emi_in!S17=0,0,1000000*SER_hh_emi_in!S17/SER_hh_num_in!S17)</f>
        <v>4304.0943960784443</v>
      </c>
      <c r="T17" s="132">
        <f>IF(SER_hh_emi_in!T17=0,0,1000000*SER_hh_emi_in!T17/SER_hh_num_in!T17)</f>
        <v>3400.3504142342827</v>
      </c>
      <c r="U17" s="132">
        <f>IF(SER_hh_emi_in!U17=0,0,1000000*SER_hh_emi_in!U17/SER_hh_num_in!U17)</f>
        <v>3875.4912559478407</v>
      </c>
      <c r="V17" s="132">
        <f>IF(SER_hh_emi_in!V17=0,0,1000000*SER_hh_emi_in!V17/SER_hh_num_in!V17)</f>
        <v>3053.7671964149777</v>
      </c>
      <c r="W17" s="132">
        <f>IF(SER_hh_emi_in!W17=0,0,1000000*SER_hh_emi_in!W17/SER_hh_num_in!W17)</f>
        <v>3619.8184186334961</v>
      </c>
      <c r="X17" s="132">
        <f>IF(SER_hh_emi_in!X17=0,0,1000000*SER_hh_emi_in!X17/SER_hh_num_in!X17)</f>
        <v>2892.1686392890438</v>
      </c>
      <c r="Y17" s="132">
        <f>IF(SER_hh_emi_in!Y17=0,0,1000000*SER_hh_emi_in!Y17/SER_hh_num_in!Y17)</f>
        <v>3014.0376289620904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833.20504143014648</v>
      </c>
      <c r="D19" s="130">
        <f>IF(SER_hh_emi_in!D19=0,0,1000000*SER_hh_emi_in!D19/SER_hh_num_in!D19)</f>
        <v>979.96917017536794</v>
      </c>
      <c r="E19" s="130">
        <f>IF(SER_hh_emi_in!E19=0,0,1000000*SER_hh_emi_in!E19/SER_hh_num_in!E19)</f>
        <v>970.11389787861242</v>
      </c>
      <c r="F19" s="130">
        <f>IF(SER_hh_emi_in!F19=0,0,1000000*SER_hh_emi_in!F19/SER_hh_num_in!F19)</f>
        <v>1069.6395212553616</v>
      </c>
      <c r="G19" s="130">
        <f>IF(SER_hh_emi_in!G19=0,0,1000000*SER_hh_emi_in!G19/SER_hh_num_in!G19)</f>
        <v>1843.0756622793881</v>
      </c>
      <c r="H19" s="130">
        <f>IF(SER_hh_emi_in!H19=0,0,1000000*SER_hh_emi_in!H19/SER_hh_num_in!H19)</f>
        <v>1545.4279733620785</v>
      </c>
      <c r="I19" s="130">
        <f>IF(SER_hh_emi_in!I19=0,0,1000000*SER_hh_emi_in!I19/SER_hh_num_in!I19)</f>
        <v>1691.4522173375401</v>
      </c>
      <c r="J19" s="130">
        <f>IF(SER_hh_emi_in!J19=0,0,1000000*SER_hh_emi_in!J19/SER_hh_num_in!J19)</f>
        <v>1372.957284629807</v>
      </c>
      <c r="K19" s="130">
        <f>IF(SER_hh_emi_in!K19=0,0,1000000*SER_hh_emi_in!K19/SER_hh_num_in!K19)</f>
        <v>1218.3032163257503</v>
      </c>
      <c r="L19" s="130">
        <f>IF(SER_hh_emi_in!L19=0,0,1000000*SER_hh_emi_in!L19/SER_hh_num_in!L19)</f>
        <v>2359.120405815137</v>
      </c>
      <c r="M19" s="130">
        <f>IF(SER_hh_emi_in!M19=0,0,1000000*SER_hh_emi_in!M19/SER_hh_num_in!M19)</f>
        <v>1586.2383429009017</v>
      </c>
      <c r="N19" s="130">
        <f>IF(SER_hh_emi_in!N19=0,0,1000000*SER_hh_emi_in!N19/SER_hh_num_in!N19)</f>
        <v>1107.3877214135377</v>
      </c>
      <c r="O19" s="130">
        <f>IF(SER_hh_emi_in!O19=0,0,1000000*SER_hh_emi_in!O19/SER_hh_num_in!O19)</f>
        <v>1048.3024653934672</v>
      </c>
      <c r="P19" s="130">
        <f>IF(SER_hh_emi_in!P19=0,0,1000000*SER_hh_emi_in!P19/SER_hh_num_in!P19)</f>
        <v>1026.1894888351578</v>
      </c>
      <c r="Q19" s="130">
        <f>IF(SER_hh_emi_in!Q19=0,0,1000000*SER_hh_emi_in!Q19/SER_hh_num_in!Q19)</f>
        <v>1181.7068167361981</v>
      </c>
      <c r="R19" s="130">
        <f>IF(SER_hh_emi_in!R19=0,0,1000000*SER_hh_emi_in!R19/SER_hh_num_in!R19)</f>
        <v>1140.1950776845626</v>
      </c>
      <c r="S19" s="130">
        <f>IF(SER_hh_emi_in!S19=0,0,1000000*SER_hh_emi_in!S19/SER_hh_num_in!S19)</f>
        <v>1131.7199256414733</v>
      </c>
      <c r="T19" s="130">
        <f>IF(SER_hh_emi_in!T19=0,0,1000000*SER_hh_emi_in!T19/SER_hh_num_in!T19)</f>
        <v>819.20615186839075</v>
      </c>
      <c r="U19" s="130">
        <f>IF(SER_hh_emi_in!U19=0,0,1000000*SER_hh_emi_in!U19/SER_hh_num_in!U19)</f>
        <v>780.8838922405929</v>
      </c>
      <c r="V19" s="130">
        <f>IF(SER_hh_emi_in!V19=0,0,1000000*SER_hh_emi_in!V19/SER_hh_num_in!V19)</f>
        <v>520.43529691557342</v>
      </c>
      <c r="W19" s="130">
        <f>IF(SER_hh_emi_in!W19=0,0,1000000*SER_hh_emi_in!W19/SER_hh_num_in!W19)</f>
        <v>371.96139737170563</v>
      </c>
      <c r="X19" s="130">
        <f>IF(SER_hh_emi_in!X19=0,0,1000000*SER_hh_emi_in!X19/SER_hh_num_in!X19)</f>
        <v>422.40786083328572</v>
      </c>
      <c r="Y19" s="130">
        <f>IF(SER_hh_emi_in!Y19=0,0,1000000*SER_hh_emi_in!Y19/SER_hh_num_in!Y19)</f>
        <v>562.87526267839894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0</v>
      </c>
      <c r="D20" s="132">
        <f>IF(SER_hh_emi_in!D20=0,0,1000000*SER_hh_emi_in!D20/SER_hh_num_in!D20)</f>
        <v>0</v>
      </c>
      <c r="E20" s="132">
        <f>IF(SER_hh_emi_in!E20=0,0,1000000*SER_hh_emi_in!E20/SER_hh_num_in!E20)</f>
        <v>0</v>
      </c>
      <c r="F20" s="132">
        <f>IF(SER_hh_emi_in!F20=0,0,1000000*SER_hh_emi_in!F20/SER_hh_num_in!F20)</f>
        <v>0</v>
      </c>
      <c r="G20" s="132">
        <f>IF(SER_hh_emi_in!G20=0,0,1000000*SER_hh_emi_in!G20/SER_hh_num_in!G20)</f>
        <v>0</v>
      </c>
      <c r="H20" s="132">
        <f>IF(SER_hh_emi_in!H20=0,0,1000000*SER_hh_emi_in!H20/SER_hh_num_in!H20)</f>
        <v>0</v>
      </c>
      <c r="I20" s="132">
        <f>IF(SER_hh_emi_in!I20=0,0,1000000*SER_hh_emi_in!I20/SER_hh_num_in!I20)</f>
        <v>0</v>
      </c>
      <c r="J20" s="132">
        <f>IF(SER_hh_emi_in!J20=0,0,1000000*SER_hh_emi_in!J20/SER_hh_num_in!J20)</f>
        <v>0</v>
      </c>
      <c r="K20" s="132">
        <f>IF(SER_hh_emi_in!K20=0,0,1000000*SER_hh_emi_in!K20/SER_hh_num_in!K20)</f>
        <v>0</v>
      </c>
      <c r="L20" s="132">
        <f>IF(SER_hh_emi_in!L20=0,0,1000000*SER_hh_emi_in!L20/SER_hh_num_in!L20)</f>
        <v>0</v>
      </c>
      <c r="M20" s="132">
        <f>IF(SER_hh_emi_in!M20=0,0,1000000*SER_hh_emi_in!M20/SER_hh_num_in!M20)</f>
        <v>0</v>
      </c>
      <c r="N20" s="132">
        <f>IF(SER_hh_emi_in!N20=0,0,1000000*SER_hh_emi_in!N20/SER_hh_num_in!N20)</f>
        <v>0</v>
      </c>
      <c r="O20" s="132">
        <f>IF(SER_hh_emi_in!O20=0,0,1000000*SER_hh_emi_in!O20/SER_hh_num_in!O20)</f>
        <v>0</v>
      </c>
      <c r="P20" s="132">
        <f>IF(SER_hh_emi_in!P20=0,0,1000000*SER_hh_emi_in!P20/SER_hh_num_in!P20)</f>
        <v>0</v>
      </c>
      <c r="Q20" s="132">
        <f>IF(SER_hh_emi_in!Q20=0,0,1000000*SER_hh_emi_in!Q20/SER_hh_num_in!Q20)</f>
        <v>0</v>
      </c>
      <c r="R20" s="132">
        <f>IF(SER_hh_emi_in!R20=0,0,1000000*SER_hh_emi_in!R20/SER_hh_num_in!R20)</f>
        <v>0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0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9525.6615916371429</v>
      </c>
      <c r="D21" s="132">
        <f>IF(SER_hh_emi_in!D21=0,0,1000000*SER_hh_emi_in!D21/SER_hh_num_in!D21)</f>
        <v>9811.5844982646868</v>
      </c>
      <c r="E21" s="132">
        <f>IF(SER_hh_emi_in!E21=0,0,1000000*SER_hh_emi_in!E21/SER_hh_num_in!E21)</f>
        <v>9487.940238216881</v>
      </c>
      <c r="F21" s="132">
        <f>IF(SER_hh_emi_in!F21=0,0,1000000*SER_hh_emi_in!F21/SER_hh_num_in!F21)</f>
        <v>9604.3661235595737</v>
      </c>
      <c r="G21" s="132">
        <f>IF(SER_hh_emi_in!G21=0,0,1000000*SER_hh_emi_in!G21/SER_hh_num_in!G21)</f>
        <v>10168.163456005212</v>
      </c>
      <c r="H21" s="132">
        <f>IF(SER_hh_emi_in!H21=0,0,1000000*SER_hh_emi_in!H21/SER_hh_num_in!H21)</f>
        <v>9809.4892929371508</v>
      </c>
      <c r="I21" s="132">
        <f>IF(SER_hh_emi_in!I21=0,0,1000000*SER_hh_emi_in!I21/SER_hh_num_in!I21)</f>
        <v>10288.509449881645</v>
      </c>
      <c r="J21" s="132">
        <f>IF(SER_hh_emi_in!J21=0,0,1000000*SER_hh_emi_in!J21/SER_hh_num_in!J21)</f>
        <v>9971.3714772262247</v>
      </c>
      <c r="K21" s="132">
        <f>IF(SER_hh_emi_in!K21=0,0,1000000*SER_hh_emi_in!K21/SER_hh_num_in!K21)</f>
        <v>8794.2626273087899</v>
      </c>
      <c r="L21" s="132">
        <f>IF(SER_hh_emi_in!L21=0,0,1000000*SER_hh_emi_in!L21/SER_hh_num_in!L21)</f>
        <v>10374.12295583979</v>
      </c>
      <c r="M21" s="132">
        <f>IF(SER_hh_emi_in!M21=0,0,1000000*SER_hh_emi_in!M21/SER_hh_num_in!M21)</f>
        <v>10142.24760507642</v>
      </c>
      <c r="N21" s="132">
        <f>IF(SER_hh_emi_in!N21=0,0,1000000*SER_hh_emi_in!N21/SER_hh_num_in!N21)</f>
        <v>10333.854184519923</v>
      </c>
      <c r="O21" s="132">
        <f>IF(SER_hh_emi_in!O21=0,0,1000000*SER_hh_emi_in!O21/SER_hh_num_in!O21)</f>
        <v>9825.8143085525153</v>
      </c>
      <c r="P21" s="132">
        <f>IF(SER_hh_emi_in!P21=0,0,1000000*SER_hh_emi_in!P21/SER_hh_num_in!P21)</f>
        <v>9112.6488490145694</v>
      </c>
      <c r="Q21" s="132">
        <f>IF(SER_hh_emi_in!Q21=0,0,1000000*SER_hh_emi_in!Q21/SER_hh_num_in!Q21)</f>
        <v>8419.8600447860863</v>
      </c>
      <c r="R21" s="132">
        <f>IF(SER_hh_emi_in!R21=0,0,1000000*SER_hh_emi_in!R21/SER_hh_num_in!R21)</f>
        <v>8091.324985004846</v>
      </c>
      <c r="S21" s="132">
        <f>IF(SER_hh_emi_in!S21=0,0,1000000*SER_hh_emi_in!S21/SER_hh_num_in!S21)</f>
        <v>8400.5529782204667</v>
      </c>
      <c r="T21" s="132">
        <f>IF(SER_hh_emi_in!T21=0,0,1000000*SER_hh_emi_in!T21/SER_hh_num_in!T21)</f>
        <v>8254.3844163838021</v>
      </c>
      <c r="U21" s="132">
        <f>IF(SER_hh_emi_in!U21=0,0,1000000*SER_hh_emi_in!U21/SER_hh_num_in!U21)</f>
        <v>8122.9233109671577</v>
      </c>
      <c r="V21" s="132">
        <f>IF(SER_hh_emi_in!V21=0,0,1000000*SER_hh_emi_in!V21/SER_hh_num_in!V21)</f>
        <v>4804.5348883107772</v>
      </c>
      <c r="W21" s="132">
        <f>IF(SER_hh_emi_in!W21=0,0,1000000*SER_hh_emi_in!W21/SER_hh_num_in!W21)</f>
        <v>5676.1962548098445</v>
      </c>
      <c r="X21" s="132">
        <f>IF(SER_hh_emi_in!X21=0,0,1000000*SER_hh_emi_in!X21/SER_hh_num_in!X21)</f>
        <v>6741.3105385411245</v>
      </c>
      <c r="Y21" s="132">
        <f>IF(SER_hh_emi_in!Y21=0,0,1000000*SER_hh_emi_in!Y21/SER_hh_num_in!Y21)</f>
        <v>7045.6435356685797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11862.41614935482</v>
      </c>
      <c r="D22" s="132">
        <f>IF(SER_hh_emi_in!D22=0,0,1000000*SER_hh_emi_in!D22/SER_hh_num_in!D22)</f>
        <v>12253.556453913667</v>
      </c>
      <c r="E22" s="132">
        <f>IF(SER_hh_emi_in!E22=0,0,1000000*SER_hh_emi_in!E22/SER_hh_num_in!E22)</f>
        <v>12172.224908563643</v>
      </c>
      <c r="F22" s="132">
        <f>IF(SER_hh_emi_in!F22=0,0,1000000*SER_hh_emi_in!F22/SER_hh_num_in!F22)</f>
        <v>12307.24853822737</v>
      </c>
      <c r="G22" s="132">
        <f>IF(SER_hh_emi_in!G22=0,0,1000000*SER_hh_emi_in!G22/SER_hh_num_in!G22)</f>
        <v>12904.462999456468</v>
      </c>
      <c r="H22" s="132">
        <f>IF(SER_hh_emi_in!H22=0,0,1000000*SER_hh_emi_in!H22/SER_hh_num_in!H22)</f>
        <v>12603.366296497079</v>
      </c>
      <c r="I22" s="132">
        <f>IF(SER_hh_emi_in!I22=0,0,1000000*SER_hh_emi_in!I22/SER_hh_num_in!I22)</f>
        <v>12356.208951802833</v>
      </c>
      <c r="J22" s="132">
        <f>IF(SER_hh_emi_in!J22=0,0,1000000*SER_hh_emi_in!J22/SER_hh_num_in!J22)</f>
        <v>12083.854087064383</v>
      </c>
      <c r="K22" s="132">
        <f>IF(SER_hh_emi_in!K22=0,0,1000000*SER_hh_emi_in!K22/SER_hh_num_in!K22)</f>
        <v>10526.776976962605</v>
      </c>
      <c r="L22" s="132">
        <f>IF(SER_hh_emi_in!L22=0,0,1000000*SER_hh_emi_in!L22/SER_hh_num_in!L22)</f>
        <v>12721.935841071223</v>
      </c>
      <c r="M22" s="132">
        <f>IF(SER_hh_emi_in!M22=0,0,1000000*SER_hh_emi_in!M22/SER_hh_num_in!M22)</f>
        <v>12730.521542240171</v>
      </c>
      <c r="N22" s="132">
        <f>IF(SER_hh_emi_in!N22=0,0,1000000*SER_hh_emi_in!N22/SER_hh_num_in!N22)</f>
        <v>10899.073572101075</v>
      </c>
      <c r="O22" s="132">
        <f>IF(SER_hh_emi_in!O22=0,0,1000000*SER_hh_emi_in!O22/SER_hh_num_in!O22)</f>
        <v>11243.976719227994</v>
      </c>
      <c r="P22" s="132">
        <f>IF(SER_hh_emi_in!P22=0,0,1000000*SER_hh_emi_in!P22/SER_hh_num_in!P22)</f>
        <v>11206.256881920372</v>
      </c>
      <c r="Q22" s="132">
        <f>IF(SER_hh_emi_in!Q22=0,0,1000000*SER_hh_emi_in!Q22/SER_hh_num_in!Q22)</f>
        <v>10106.445523395792</v>
      </c>
      <c r="R22" s="132">
        <f>IF(SER_hh_emi_in!R22=0,0,1000000*SER_hh_emi_in!R22/SER_hh_num_in!R22)</f>
        <v>9473.0170564034415</v>
      </c>
      <c r="S22" s="132">
        <f>IF(SER_hh_emi_in!S22=0,0,1000000*SER_hh_emi_in!S22/SER_hh_num_in!S22)</f>
        <v>10028.372190909111</v>
      </c>
      <c r="T22" s="132">
        <f>IF(SER_hh_emi_in!T22=0,0,1000000*SER_hh_emi_in!T22/SER_hh_num_in!T22)</f>
        <v>0</v>
      </c>
      <c r="U22" s="132">
        <f>IF(SER_hh_emi_in!U22=0,0,1000000*SER_hh_emi_in!U22/SER_hh_num_in!U22)</f>
        <v>0</v>
      </c>
      <c r="V22" s="132">
        <f>IF(SER_hh_emi_in!V22=0,0,1000000*SER_hh_emi_in!V22/SER_hh_num_in!V22)</f>
        <v>0</v>
      </c>
      <c r="W22" s="132">
        <f>IF(SER_hh_emi_in!W22=0,0,1000000*SER_hh_emi_in!W22/SER_hh_num_in!W22)</f>
        <v>0</v>
      </c>
      <c r="X22" s="132">
        <f>IF(SER_hh_emi_in!X22=0,0,1000000*SER_hh_emi_in!X22/SER_hh_num_in!X22)</f>
        <v>7464.2511819356387</v>
      </c>
      <c r="Y22" s="132">
        <f>IF(SER_hh_emi_in!Y22=0,0,1000000*SER_hh_emi_in!Y22/SER_hh_num_in!Y22)</f>
        <v>7377.7510268235874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7624.9690310316382</v>
      </c>
      <c r="D23" s="132">
        <f>IF(SER_hh_emi_in!D23=0,0,1000000*SER_hh_emi_in!D23/SER_hh_num_in!D23)</f>
        <v>7775.594004468423</v>
      </c>
      <c r="E23" s="132">
        <f>IF(SER_hh_emi_in!E23=0,0,1000000*SER_hh_emi_in!E23/SER_hh_num_in!E23)</f>
        <v>7245.2514461583251</v>
      </c>
      <c r="F23" s="132">
        <f>IF(SER_hh_emi_in!F23=0,0,1000000*SER_hh_emi_in!F23/SER_hh_num_in!F23)</f>
        <v>6489.8022886387944</v>
      </c>
      <c r="G23" s="132">
        <f>IF(SER_hh_emi_in!G23=0,0,1000000*SER_hh_emi_in!G23/SER_hh_num_in!G23)</f>
        <v>8451.6425305359189</v>
      </c>
      <c r="H23" s="132">
        <f>IF(SER_hh_emi_in!H23=0,0,1000000*SER_hh_emi_in!H23/SER_hh_num_in!H23)</f>
        <v>7955.1048373062386</v>
      </c>
      <c r="I23" s="132">
        <f>IF(SER_hh_emi_in!I23=0,0,1000000*SER_hh_emi_in!I23/SER_hh_num_in!I23)</f>
        <v>8280.1681121120109</v>
      </c>
      <c r="J23" s="132">
        <f>IF(SER_hh_emi_in!J23=0,0,1000000*SER_hh_emi_in!J23/SER_hh_num_in!J23)</f>
        <v>8003.1304912919077</v>
      </c>
      <c r="K23" s="132">
        <f>IF(SER_hh_emi_in!K23=0,0,1000000*SER_hh_emi_in!K23/SER_hh_num_in!K23)</f>
        <v>7154.4594109096197</v>
      </c>
      <c r="L23" s="132">
        <f>IF(SER_hh_emi_in!L23=0,0,1000000*SER_hh_emi_in!L23/SER_hh_num_in!L23)</f>
        <v>8714.2922927948002</v>
      </c>
      <c r="M23" s="132">
        <f>IF(SER_hh_emi_in!M23=0,0,1000000*SER_hh_emi_in!M23/SER_hh_num_in!M23)</f>
        <v>7843.0583694084289</v>
      </c>
      <c r="N23" s="132">
        <f>IF(SER_hh_emi_in!N23=0,0,1000000*SER_hh_emi_in!N23/SER_hh_num_in!N23)</f>
        <v>7682.6532666067415</v>
      </c>
      <c r="O23" s="132">
        <f>IF(SER_hh_emi_in!O23=0,0,1000000*SER_hh_emi_in!O23/SER_hh_num_in!O23)</f>
        <v>7378.4977388092693</v>
      </c>
      <c r="P23" s="132">
        <f>IF(SER_hh_emi_in!P23=0,0,1000000*SER_hh_emi_in!P23/SER_hh_num_in!P23)</f>
        <v>6750.6537656398959</v>
      </c>
      <c r="Q23" s="132">
        <f>IF(SER_hh_emi_in!Q23=0,0,1000000*SER_hh_emi_in!Q23/SER_hh_num_in!Q23)</f>
        <v>7010.4724074032583</v>
      </c>
      <c r="R23" s="132">
        <f>IF(SER_hh_emi_in!R23=0,0,1000000*SER_hh_emi_in!R23/SER_hh_num_in!R23)</f>
        <v>6501.7129741322715</v>
      </c>
      <c r="S23" s="132">
        <f>IF(SER_hh_emi_in!S23=0,0,1000000*SER_hh_emi_in!S23/SER_hh_num_in!S23)</f>
        <v>6495.1615306740905</v>
      </c>
      <c r="T23" s="132">
        <f>IF(SER_hh_emi_in!T23=0,0,1000000*SER_hh_emi_in!T23/SER_hh_num_in!T23)</f>
        <v>6149.0031911436699</v>
      </c>
      <c r="U23" s="132">
        <f>IF(SER_hh_emi_in!U23=0,0,1000000*SER_hh_emi_in!U23/SER_hh_num_in!U23)</f>
        <v>5670.7723152731196</v>
      </c>
      <c r="V23" s="132">
        <f>IF(SER_hh_emi_in!V23=0,0,1000000*SER_hh_emi_in!V23/SER_hh_num_in!V23)</f>
        <v>4885.0574587618639</v>
      </c>
      <c r="W23" s="132">
        <f>IF(SER_hh_emi_in!W23=0,0,1000000*SER_hh_emi_in!W23/SER_hh_num_in!W23)</f>
        <v>0</v>
      </c>
      <c r="X23" s="132">
        <f>IF(SER_hh_emi_in!X23=0,0,1000000*SER_hh_emi_in!X23/SER_hh_num_in!X23)</f>
        <v>0</v>
      </c>
      <c r="Y23" s="132">
        <f>IF(SER_hh_emi_in!Y23=0,0,1000000*SER_hh_emi_in!Y23/SER_hh_num_in!Y23)</f>
        <v>0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0</v>
      </c>
      <c r="D24" s="132">
        <f>IF(SER_hh_emi_in!D24=0,0,1000000*SER_hh_emi_in!D24/SER_hh_num_in!D24)</f>
        <v>0</v>
      </c>
      <c r="E24" s="132">
        <f>IF(SER_hh_emi_in!E24=0,0,1000000*SER_hh_emi_in!E24/SER_hh_num_in!E24)</f>
        <v>0</v>
      </c>
      <c r="F24" s="132">
        <f>IF(SER_hh_emi_in!F24=0,0,1000000*SER_hh_emi_in!F24/SER_hh_num_in!F24)</f>
        <v>0</v>
      </c>
      <c r="G24" s="132">
        <f>IF(SER_hh_emi_in!G24=0,0,1000000*SER_hh_emi_in!G24/SER_hh_num_in!G24)</f>
        <v>0</v>
      </c>
      <c r="H24" s="132">
        <f>IF(SER_hh_emi_in!H24=0,0,1000000*SER_hh_emi_in!H24/SER_hh_num_in!H24)</f>
        <v>0</v>
      </c>
      <c r="I24" s="132">
        <f>IF(SER_hh_emi_in!I24=0,0,1000000*SER_hh_emi_in!I24/SER_hh_num_in!I24)</f>
        <v>0</v>
      </c>
      <c r="J24" s="132">
        <f>IF(SER_hh_emi_in!J24=0,0,1000000*SER_hh_emi_in!J24/SER_hh_num_in!J24)</f>
        <v>0</v>
      </c>
      <c r="K24" s="132">
        <f>IF(SER_hh_emi_in!K24=0,0,1000000*SER_hh_emi_in!K24/SER_hh_num_in!K24)</f>
        <v>0</v>
      </c>
      <c r="L24" s="132">
        <f>IF(SER_hh_emi_in!L24=0,0,1000000*SER_hh_emi_in!L24/SER_hh_num_in!L24)</f>
        <v>0</v>
      </c>
      <c r="M24" s="132">
        <f>IF(SER_hh_emi_in!M24=0,0,1000000*SER_hh_emi_in!M24/SER_hh_num_in!M24)</f>
        <v>0</v>
      </c>
      <c r="N24" s="132">
        <f>IF(SER_hh_emi_in!N24=0,0,1000000*SER_hh_emi_in!N24/SER_hh_num_in!N24)</f>
        <v>0</v>
      </c>
      <c r="O24" s="132">
        <f>IF(SER_hh_emi_in!O24=0,0,1000000*SER_hh_emi_in!O24/SER_hh_num_in!O24)</f>
        <v>0</v>
      </c>
      <c r="P24" s="132">
        <f>IF(SER_hh_emi_in!P24=0,0,1000000*SER_hh_emi_in!P24/SER_hh_num_in!P24)</f>
        <v>0</v>
      </c>
      <c r="Q24" s="132">
        <f>IF(SER_hh_emi_in!Q24=0,0,1000000*SER_hh_emi_in!Q24/SER_hh_num_in!Q24)</f>
        <v>0</v>
      </c>
      <c r="R24" s="132">
        <f>IF(SER_hh_emi_in!R24=0,0,1000000*SER_hh_emi_in!R24/SER_hh_num_in!R24)</f>
        <v>0</v>
      </c>
      <c r="S24" s="132">
        <f>IF(SER_hh_emi_in!S24=0,0,1000000*SER_hh_emi_in!S24/SER_hh_num_in!S24)</f>
        <v>0</v>
      </c>
      <c r="T24" s="132">
        <f>IF(SER_hh_emi_in!T24=0,0,1000000*SER_hh_emi_in!T24/SER_hh_num_in!T24)</f>
        <v>0</v>
      </c>
      <c r="U24" s="132">
        <f>IF(SER_hh_emi_in!U24=0,0,1000000*SER_hh_emi_in!U24/SER_hh_num_in!U24)</f>
        <v>0</v>
      </c>
      <c r="V24" s="132">
        <f>IF(SER_hh_emi_in!V24=0,0,1000000*SER_hh_emi_in!V24/SER_hh_num_in!V24)</f>
        <v>0</v>
      </c>
      <c r="W24" s="132">
        <f>IF(SER_hh_emi_in!W24=0,0,1000000*SER_hh_emi_in!W24/SER_hh_num_in!W24)</f>
        <v>0</v>
      </c>
      <c r="X24" s="132">
        <f>IF(SER_hh_emi_in!X24=0,0,1000000*SER_hh_emi_in!X24/SER_hh_num_in!X24)</f>
        <v>0</v>
      </c>
      <c r="Y24" s="132">
        <f>IF(SER_hh_emi_in!Y24=0,0,1000000*SER_hh_emi_in!Y24/SER_hh_num_in!Y24)</f>
        <v>0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133.22322462295179</v>
      </c>
      <c r="D29" s="130">
        <f>IF(SER_hh_emi_in!D29=0,0,1000000*SER_hh_emi_in!D29/SER_hh_num_in!D29)</f>
        <v>613.70270484067146</v>
      </c>
      <c r="E29" s="130">
        <f>IF(SER_hh_emi_in!E29=0,0,1000000*SER_hh_emi_in!E29/SER_hh_num_in!E29)</f>
        <v>1381.8378170878811</v>
      </c>
      <c r="F29" s="130">
        <f>IF(SER_hh_emi_in!F29=0,0,1000000*SER_hh_emi_in!F29/SER_hh_num_in!F29)</f>
        <v>4033.8216118230171</v>
      </c>
      <c r="G29" s="130">
        <f>IF(SER_hh_emi_in!G29=0,0,1000000*SER_hh_emi_in!G29/SER_hh_num_in!G29)</f>
        <v>1992.0084621366393</v>
      </c>
      <c r="H29" s="130">
        <f>IF(SER_hh_emi_in!H29=0,0,1000000*SER_hh_emi_in!H29/SER_hh_num_in!H29)</f>
        <v>1121.097963664133</v>
      </c>
      <c r="I29" s="130">
        <f>IF(SER_hh_emi_in!I29=0,0,1000000*SER_hh_emi_in!I29/SER_hh_num_in!I29)</f>
        <v>623.44268932593991</v>
      </c>
      <c r="J29" s="130">
        <f>IF(SER_hh_emi_in!J29=0,0,1000000*SER_hh_emi_in!J29/SER_hh_num_in!J29)</f>
        <v>1324.1583796554016</v>
      </c>
      <c r="K29" s="130">
        <f>IF(SER_hh_emi_in!K29=0,0,1000000*SER_hh_emi_in!K29/SER_hh_num_in!K29)</f>
        <v>1479.7152479480055</v>
      </c>
      <c r="L29" s="130">
        <f>IF(SER_hh_emi_in!L29=0,0,1000000*SER_hh_emi_in!L29/SER_hh_num_in!L29)</f>
        <v>2559.418915797296</v>
      </c>
      <c r="M29" s="130">
        <f>IF(SER_hh_emi_in!M29=0,0,1000000*SER_hh_emi_in!M29/SER_hh_num_in!M29)</f>
        <v>5056.3448598424229</v>
      </c>
      <c r="N29" s="130">
        <f>IF(SER_hh_emi_in!N29=0,0,1000000*SER_hh_emi_in!N29/SER_hh_num_in!N29)</f>
        <v>6044.6215425849523</v>
      </c>
      <c r="O29" s="130">
        <f>IF(SER_hh_emi_in!O29=0,0,1000000*SER_hh_emi_in!O29/SER_hh_num_in!O29)</f>
        <v>1343.8618453066606</v>
      </c>
      <c r="P29" s="130">
        <f>IF(SER_hh_emi_in!P29=0,0,1000000*SER_hh_emi_in!P29/SER_hh_num_in!P29)</f>
        <v>620.68260257950044</v>
      </c>
      <c r="Q29" s="130">
        <f>IF(SER_hh_emi_in!Q29=0,0,1000000*SER_hh_emi_in!Q29/SER_hh_num_in!Q29)</f>
        <v>1475.8350673306895</v>
      </c>
      <c r="R29" s="130">
        <f>IF(SER_hh_emi_in!R29=0,0,1000000*SER_hh_emi_in!R29/SER_hh_num_in!R29)</f>
        <v>2163.2306877178889</v>
      </c>
      <c r="S29" s="130">
        <f>IF(SER_hh_emi_in!S29=0,0,1000000*SER_hh_emi_in!S29/SER_hh_num_in!S29)</f>
        <v>1632.9211429470638</v>
      </c>
      <c r="T29" s="130">
        <f>IF(SER_hh_emi_in!T29=0,0,1000000*SER_hh_emi_in!T29/SER_hh_num_in!T29)</f>
        <v>2251.030863334056</v>
      </c>
      <c r="U29" s="130">
        <f>IF(SER_hh_emi_in!U29=0,0,1000000*SER_hh_emi_in!U29/SER_hh_num_in!U29)</f>
        <v>2555.3520907148254</v>
      </c>
      <c r="V29" s="130">
        <f>IF(SER_hh_emi_in!V29=0,0,1000000*SER_hh_emi_in!V29/SER_hh_num_in!V29)</f>
        <v>1647.5167585465176</v>
      </c>
      <c r="W29" s="130">
        <f>IF(SER_hh_emi_in!W29=0,0,1000000*SER_hh_emi_in!W29/SER_hh_num_in!W29)</f>
        <v>3667.1036436600016</v>
      </c>
      <c r="X29" s="130">
        <f>IF(SER_hh_emi_in!X29=0,0,1000000*SER_hh_emi_in!X29/SER_hh_num_in!X29)</f>
        <v>4857.194288265081</v>
      </c>
      <c r="Y29" s="130">
        <f>IF(SER_hh_emi_in!Y29=0,0,1000000*SER_hh_emi_in!Y29/SER_hh_num_in!Y29)</f>
        <v>4729.1769719564782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12700.709456521719</v>
      </c>
      <c r="D30" s="132">
        <f>IF(SER_hh_emi_in!D30=0,0,1000000*SER_hh_emi_in!D30/SER_hh_num_in!D30)</f>
        <v>7776.4030844333683</v>
      </c>
      <c r="E30" s="132">
        <f>IF(SER_hh_emi_in!E30=0,0,1000000*SER_hh_emi_in!E30/SER_hh_num_in!E30)</f>
        <v>7833.8365308388857</v>
      </c>
      <c r="F30" s="132">
        <f>IF(SER_hh_emi_in!F30=0,0,1000000*SER_hh_emi_in!F30/SER_hh_num_in!F30)</f>
        <v>15602.369318186798</v>
      </c>
      <c r="G30" s="132">
        <f>IF(SER_hh_emi_in!G30=0,0,1000000*SER_hh_emi_in!G30/SER_hh_num_in!G30)</f>
        <v>12381.704026482153</v>
      </c>
      <c r="H30" s="132">
        <f>IF(SER_hh_emi_in!H30=0,0,1000000*SER_hh_emi_in!H30/SER_hh_num_in!H30)</f>
        <v>11649.571785001146</v>
      </c>
      <c r="I30" s="132">
        <f>IF(SER_hh_emi_in!I30=0,0,1000000*SER_hh_emi_in!I30/SER_hh_num_in!I30)</f>
        <v>11278.763708531642</v>
      </c>
      <c r="J30" s="132">
        <f>IF(SER_hh_emi_in!J30=0,0,1000000*SER_hh_emi_in!J30/SER_hh_num_in!J30)</f>
        <v>10674.604388483413</v>
      </c>
      <c r="K30" s="132">
        <f>IF(SER_hh_emi_in!K30=0,0,1000000*SER_hh_emi_in!K30/SER_hh_num_in!K30)</f>
        <v>9963.5341239018981</v>
      </c>
      <c r="L30" s="132">
        <f>IF(SER_hh_emi_in!L30=0,0,1000000*SER_hh_emi_in!L30/SER_hh_num_in!L30)</f>
        <v>10621.690685882561</v>
      </c>
      <c r="M30" s="132">
        <f>IF(SER_hh_emi_in!M30=0,0,1000000*SER_hh_emi_in!M30/SER_hh_num_in!M30)</f>
        <v>7630.1672240993448</v>
      </c>
      <c r="N30" s="132">
        <f>IF(SER_hh_emi_in!N30=0,0,1000000*SER_hh_emi_in!N30/SER_hh_num_in!N30)</f>
        <v>21003.359409216042</v>
      </c>
      <c r="O30" s="132">
        <f>IF(SER_hh_emi_in!O30=0,0,1000000*SER_hh_emi_in!O30/SER_hh_num_in!O30)</f>
        <v>14422.154661816356</v>
      </c>
      <c r="P30" s="132">
        <f>IF(SER_hh_emi_in!P30=0,0,1000000*SER_hh_emi_in!P30/SER_hh_num_in!P30)</f>
        <v>0</v>
      </c>
      <c r="Q30" s="132">
        <f>IF(SER_hh_emi_in!Q30=0,0,1000000*SER_hh_emi_in!Q30/SER_hh_num_in!Q30)</f>
        <v>10072.055388175233</v>
      </c>
      <c r="R30" s="132">
        <f>IF(SER_hh_emi_in!R30=0,0,1000000*SER_hh_emi_in!R30/SER_hh_num_in!R30)</f>
        <v>11277.685741838126</v>
      </c>
      <c r="S30" s="132">
        <f>IF(SER_hh_emi_in!S30=0,0,1000000*SER_hh_emi_in!S30/SER_hh_num_in!S30)</f>
        <v>12171.628267964134</v>
      </c>
      <c r="T30" s="132">
        <f>IF(SER_hh_emi_in!T30=0,0,1000000*SER_hh_emi_in!T30/SER_hh_num_in!T30)</f>
        <v>12176.620105609911</v>
      </c>
      <c r="U30" s="132">
        <f>IF(SER_hh_emi_in!U30=0,0,1000000*SER_hh_emi_in!U30/SER_hh_num_in!U30)</f>
        <v>12913.73773033213</v>
      </c>
      <c r="V30" s="132">
        <f>IF(SER_hh_emi_in!V30=0,0,1000000*SER_hh_emi_in!V30/SER_hh_num_in!V30)</f>
        <v>7955.5120445681814</v>
      </c>
      <c r="W30" s="132">
        <f>IF(SER_hh_emi_in!W30=0,0,1000000*SER_hh_emi_in!W30/SER_hh_num_in!W30)</f>
        <v>10251.744244856349</v>
      </c>
      <c r="X30" s="132">
        <f>IF(SER_hh_emi_in!X30=0,0,1000000*SER_hh_emi_in!X30/SER_hh_num_in!X30)</f>
        <v>10892.17561238115</v>
      </c>
      <c r="Y30" s="132">
        <f>IF(SER_hh_emi_in!Y30=0,0,1000000*SER_hh_emi_in!Y30/SER_hh_num_in!Y30)</f>
        <v>11796.711007443428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8773.7355851531975</v>
      </c>
      <c r="D31" s="132">
        <f>IF(SER_hh_emi_in!D31=0,0,1000000*SER_hh_emi_in!D31/SER_hh_num_in!D31)</f>
        <v>8543.9906314675754</v>
      </c>
      <c r="E31" s="132">
        <f>IF(SER_hh_emi_in!E31=0,0,1000000*SER_hh_emi_in!E31/SER_hh_num_in!E31)</f>
        <v>8548.8024575428353</v>
      </c>
      <c r="F31" s="132">
        <f>IF(SER_hh_emi_in!F31=0,0,1000000*SER_hh_emi_in!F31/SER_hh_num_in!F31)</f>
        <v>9009.2301412299657</v>
      </c>
      <c r="G31" s="132">
        <f>IF(SER_hh_emi_in!G31=0,0,1000000*SER_hh_emi_in!G31/SER_hh_num_in!G31)</f>
        <v>10237.264277672975</v>
      </c>
      <c r="H31" s="132">
        <f>IF(SER_hh_emi_in!H31=0,0,1000000*SER_hh_emi_in!H31/SER_hh_num_in!H31)</f>
        <v>9559.1527395044541</v>
      </c>
      <c r="I31" s="132">
        <f>IF(SER_hh_emi_in!I31=0,0,1000000*SER_hh_emi_in!I31/SER_hh_num_in!I31)</f>
        <v>9534.9818445767542</v>
      </c>
      <c r="J31" s="132">
        <f>IF(SER_hh_emi_in!J31=0,0,1000000*SER_hh_emi_in!J31/SER_hh_num_in!J31)</f>
        <v>9621.2758428079342</v>
      </c>
      <c r="K31" s="132">
        <f>IF(SER_hh_emi_in!K31=0,0,1000000*SER_hh_emi_in!K31/SER_hh_num_in!K31)</f>
        <v>10224.101832924498</v>
      </c>
      <c r="L31" s="132">
        <f>IF(SER_hh_emi_in!L31=0,0,1000000*SER_hh_emi_in!L31/SER_hh_num_in!L31)</f>
        <v>10642.335248985088</v>
      </c>
      <c r="M31" s="132">
        <f>IF(SER_hh_emi_in!M31=0,0,1000000*SER_hh_emi_in!M31/SER_hh_num_in!M31)</f>
        <v>10312.99200863803</v>
      </c>
      <c r="N31" s="132">
        <f>IF(SER_hh_emi_in!N31=0,0,1000000*SER_hh_emi_in!N31/SER_hh_num_in!N31)</f>
        <v>10055.196375399326</v>
      </c>
      <c r="O31" s="132">
        <f>IF(SER_hh_emi_in!O31=0,0,1000000*SER_hh_emi_in!O31/SER_hh_num_in!O31)</f>
        <v>9754.0927353089082</v>
      </c>
      <c r="P31" s="132">
        <f>IF(SER_hh_emi_in!P31=0,0,1000000*SER_hh_emi_in!P31/SER_hh_num_in!P31)</f>
        <v>10194.727254755478</v>
      </c>
      <c r="Q31" s="132">
        <f>IF(SER_hh_emi_in!Q31=0,0,1000000*SER_hh_emi_in!Q31/SER_hh_num_in!Q31)</f>
        <v>10334.950374326871</v>
      </c>
      <c r="R31" s="132">
        <f>IF(SER_hh_emi_in!R31=0,0,1000000*SER_hh_emi_in!R31/SER_hh_num_in!R31)</f>
        <v>10077.187582772733</v>
      </c>
      <c r="S31" s="132">
        <f>IF(SER_hh_emi_in!S31=0,0,1000000*SER_hh_emi_in!S31/SER_hh_num_in!S31)</f>
        <v>9916.1132579782243</v>
      </c>
      <c r="T31" s="132">
        <f>IF(SER_hh_emi_in!T31=0,0,1000000*SER_hh_emi_in!T31/SER_hh_num_in!T31)</f>
        <v>9410.4622647616288</v>
      </c>
      <c r="U31" s="132">
        <f>IF(SER_hh_emi_in!U31=0,0,1000000*SER_hh_emi_in!U31/SER_hh_num_in!U31)</f>
        <v>8895.343670934406</v>
      </c>
      <c r="V31" s="132">
        <f>IF(SER_hh_emi_in!V31=0,0,1000000*SER_hh_emi_in!V31/SER_hh_num_in!V31)</f>
        <v>8399.4587348706682</v>
      </c>
      <c r="W31" s="132">
        <f>IF(SER_hh_emi_in!W31=0,0,1000000*SER_hh_emi_in!W31/SER_hh_num_in!W31)</f>
        <v>9619.4070892487161</v>
      </c>
      <c r="X31" s="132">
        <f>IF(SER_hh_emi_in!X31=0,0,1000000*SER_hh_emi_in!X31/SER_hh_num_in!X31)</f>
        <v>0</v>
      </c>
      <c r="Y31" s="132">
        <f>IF(SER_hh_emi_in!Y31=0,0,1000000*SER_hh_emi_in!Y31/SER_hh_num_in!Y31)</f>
        <v>0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0</v>
      </c>
      <c r="D32" s="132">
        <f>IF(SER_hh_emi_in!D32=0,0,1000000*SER_hh_emi_in!D32/SER_hh_num_in!D32)</f>
        <v>0</v>
      </c>
      <c r="E32" s="132">
        <f>IF(SER_hh_emi_in!E32=0,0,1000000*SER_hh_emi_in!E32/SER_hh_num_in!E32)</f>
        <v>0</v>
      </c>
      <c r="F32" s="132">
        <f>IF(SER_hh_emi_in!F32=0,0,1000000*SER_hh_emi_in!F32/SER_hh_num_in!F32)</f>
        <v>0</v>
      </c>
      <c r="G32" s="132">
        <f>IF(SER_hh_emi_in!G32=0,0,1000000*SER_hh_emi_in!G32/SER_hh_num_in!G32)</f>
        <v>0</v>
      </c>
      <c r="H32" s="132">
        <f>IF(SER_hh_emi_in!H32=0,0,1000000*SER_hh_emi_in!H32/SER_hh_num_in!H32)</f>
        <v>0</v>
      </c>
      <c r="I32" s="132">
        <f>IF(SER_hh_emi_in!I32=0,0,1000000*SER_hh_emi_in!I32/SER_hh_num_in!I32)</f>
        <v>0</v>
      </c>
      <c r="J32" s="132">
        <f>IF(SER_hh_emi_in!J32=0,0,1000000*SER_hh_emi_in!J32/SER_hh_num_in!J32)</f>
        <v>0</v>
      </c>
      <c r="K32" s="132">
        <f>IF(SER_hh_emi_in!K32=0,0,1000000*SER_hh_emi_in!K32/SER_hh_num_in!K32)</f>
        <v>0</v>
      </c>
      <c r="L32" s="132">
        <f>IF(SER_hh_emi_in!L32=0,0,1000000*SER_hh_emi_in!L32/SER_hh_num_in!L32)</f>
        <v>0</v>
      </c>
      <c r="M32" s="132">
        <f>IF(SER_hh_emi_in!M32=0,0,1000000*SER_hh_emi_in!M32/SER_hh_num_in!M32)</f>
        <v>0</v>
      </c>
      <c r="N32" s="132">
        <f>IF(SER_hh_emi_in!N32=0,0,1000000*SER_hh_emi_in!N32/SER_hh_num_in!N32)</f>
        <v>0</v>
      </c>
      <c r="O32" s="132">
        <f>IF(SER_hh_emi_in!O32=0,0,1000000*SER_hh_emi_in!O32/SER_hh_num_in!O32)</f>
        <v>0</v>
      </c>
      <c r="P32" s="132">
        <f>IF(SER_hh_emi_in!P32=0,0,1000000*SER_hh_emi_in!P32/SER_hh_num_in!P32)</f>
        <v>0</v>
      </c>
      <c r="Q32" s="132">
        <f>IF(SER_hh_emi_in!Q32=0,0,1000000*SER_hh_emi_in!Q32/SER_hh_num_in!Q32)</f>
        <v>0</v>
      </c>
      <c r="R32" s="132">
        <f>IF(SER_hh_emi_in!R32=0,0,1000000*SER_hh_emi_in!R32/SER_hh_num_in!R32)</f>
        <v>0</v>
      </c>
      <c r="S32" s="132">
        <f>IF(SER_hh_emi_in!S32=0,0,1000000*SER_hh_emi_in!S32/SER_hh_num_in!S32)</f>
        <v>0</v>
      </c>
      <c r="T32" s="132">
        <f>IF(SER_hh_emi_in!T32=0,0,1000000*SER_hh_emi_in!T32/SER_hh_num_in!T32)</f>
        <v>0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0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167.91473713261334</v>
      </c>
      <c r="D3" s="125">
        <f>IF(SER_hh_fech_in!D3=0,0,SER_hh_fech_in!D3/SER_summary!D$27)</f>
        <v>155.70862960717082</v>
      </c>
      <c r="E3" s="125">
        <f>IF(SER_hh_fech_in!E3=0,0,SER_hh_fech_in!E3/SER_summary!E$27)</f>
        <v>165.98556161939834</v>
      </c>
      <c r="F3" s="125">
        <f>IF(SER_hh_fech_in!F3=0,0,SER_hh_fech_in!F3/SER_summary!F$27)</f>
        <v>168.62991615813766</v>
      </c>
      <c r="G3" s="125">
        <f>IF(SER_hh_fech_in!G3=0,0,SER_hh_fech_in!G3/SER_summary!G$27)</f>
        <v>180.76184743486229</v>
      </c>
      <c r="H3" s="125">
        <f>IF(SER_hh_fech_in!H3=0,0,SER_hh_fech_in!H3/SER_summary!H$27)</f>
        <v>171.25223827347719</v>
      </c>
      <c r="I3" s="125">
        <f>IF(SER_hh_fech_in!I3=0,0,SER_hh_fech_in!I3/SER_summary!I$27)</f>
        <v>165.20741214934486</v>
      </c>
      <c r="J3" s="125">
        <f>IF(SER_hh_fech_in!J3=0,0,SER_hh_fech_in!J3/SER_summary!J$27)</f>
        <v>159.5547325792958</v>
      </c>
      <c r="K3" s="125">
        <f>IF(SER_hh_fech_in!K3=0,0,SER_hh_fech_in!K3/SER_summary!K$27)</f>
        <v>129.42691235374235</v>
      </c>
      <c r="L3" s="125">
        <f>IF(SER_hh_fech_in!L3=0,0,SER_hh_fech_in!L3/SER_summary!L$27)</f>
        <v>127.97497873899469</v>
      </c>
      <c r="M3" s="125">
        <f>IF(SER_hh_fech_in!M3=0,0,SER_hh_fech_in!M3/SER_summary!M$27)</f>
        <v>115.79915430781794</v>
      </c>
      <c r="N3" s="125">
        <f>IF(SER_hh_fech_in!N3=0,0,SER_hh_fech_in!N3/SER_summary!N$27)</f>
        <v>137.18872260601813</v>
      </c>
      <c r="O3" s="125">
        <f>IF(SER_hh_fech_in!O3=0,0,SER_hh_fech_in!O3/SER_summary!O$27)</f>
        <v>102.148583783326</v>
      </c>
      <c r="P3" s="125">
        <f>IF(SER_hh_fech_in!P3=0,0,SER_hh_fech_in!P3/SER_summary!P$27)</f>
        <v>107.22776983681625</v>
      </c>
      <c r="Q3" s="125">
        <f>IF(SER_hh_fech_in!Q3=0,0,SER_hh_fech_in!Q3/SER_summary!Q$27)</f>
        <v>110.02409194815208</v>
      </c>
      <c r="R3" s="125">
        <f>IF(SER_hh_fech_in!R3=0,0,SER_hh_fech_in!R3/SER_summary!R$27)</f>
        <v>169.02523528832884</v>
      </c>
      <c r="S3" s="125">
        <f>IF(SER_hh_fech_in!S3=0,0,SER_hh_fech_in!S3/SER_summary!S$27)</f>
        <v>134.9055814570435</v>
      </c>
      <c r="T3" s="125">
        <f>IF(SER_hh_fech_in!T3=0,0,SER_hh_fech_in!T3/SER_summary!T$27)</f>
        <v>106.54215208040158</v>
      </c>
      <c r="U3" s="125">
        <f>IF(SER_hh_fech_in!U3=0,0,SER_hh_fech_in!U3/SER_summary!U$27)</f>
        <v>106.02851666490687</v>
      </c>
      <c r="V3" s="125">
        <f>IF(SER_hh_fech_in!V3=0,0,SER_hh_fech_in!V3/SER_summary!V$27)</f>
        <v>82.964141236570242</v>
      </c>
      <c r="W3" s="125">
        <f>IF(SER_hh_fech_in!W3=0,0,SER_hh_fech_in!W3/SER_summary!W$27)</f>
        <v>97.425529811436093</v>
      </c>
      <c r="X3" s="125">
        <f>IF(SER_hh_fech_in!X3=0,0,SER_hh_fech_in!X3/SER_summary!X$27)</f>
        <v>100.55502465885765</v>
      </c>
      <c r="Y3" s="125">
        <f>IF(SER_hh_fech_in!Y3=0,0,SER_hh_fech_in!Y3/SER_summary!Y$27)</f>
        <v>97.795313875784402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67.805788361351318</v>
      </c>
      <c r="D4" s="130">
        <f>IF(SER_hh_fech_in!D4=0,0,SER_hh_fech_in!D4/SER_summary!D$27)</f>
        <v>56.086256440174502</v>
      </c>
      <c r="E4" s="130">
        <f>IF(SER_hh_fech_in!E4=0,0,SER_hh_fech_in!E4/SER_summary!E$27)</f>
        <v>63.072711833111299</v>
      </c>
      <c r="F4" s="130">
        <f>IF(SER_hh_fech_in!F4=0,0,SER_hh_fech_in!F4/SER_summary!F$27)</f>
        <v>66.105709430201415</v>
      </c>
      <c r="G4" s="130">
        <f>IF(SER_hh_fech_in!G4=0,0,SER_hh_fech_in!G4/SER_summary!G$27)</f>
        <v>78.074178950832049</v>
      </c>
      <c r="H4" s="130">
        <f>IF(SER_hh_fech_in!H4=0,0,SER_hh_fech_in!H4/SER_summary!H$27)</f>
        <v>72.376719870271117</v>
      </c>
      <c r="I4" s="130">
        <f>IF(SER_hh_fech_in!I4=0,0,SER_hh_fech_in!I4/SER_summary!I$27)</f>
        <v>65.006802390873943</v>
      </c>
      <c r="J4" s="130">
        <f>IF(SER_hh_fech_in!J4=0,0,SER_hh_fech_in!J4/SER_summary!J$27)</f>
        <v>62.833642730919706</v>
      </c>
      <c r="K4" s="130">
        <f>IF(SER_hh_fech_in!K4=0,0,SER_hh_fech_in!K4/SER_summary!K$27)</f>
        <v>43.592683441438403</v>
      </c>
      <c r="L4" s="130">
        <f>IF(SER_hh_fech_in!L4=0,0,SER_hh_fech_in!L4/SER_summary!L$27)</f>
        <v>25.643888272927871</v>
      </c>
      <c r="M4" s="130">
        <f>IF(SER_hh_fech_in!M4=0,0,SER_hh_fech_in!M4/SER_summary!M$27)</f>
        <v>19.870435165782443</v>
      </c>
      <c r="N4" s="130">
        <f>IF(SER_hh_fech_in!N4=0,0,SER_hh_fech_in!N4/SER_summary!N$27)</f>
        <v>23.623937895235777</v>
      </c>
      <c r="O4" s="130">
        <f>IF(SER_hh_fech_in!O4=0,0,SER_hh_fech_in!O4/SER_summary!O$27)</f>
        <v>13.647760750800733</v>
      </c>
      <c r="P4" s="130">
        <f>IF(SER_hh_fech_in!P4=0,0,SER_hh_fech_in!P4/SER_summary!P$27)</f>
        <v>13.171313386367958</v>
      </c>
      <c r="Q4" s="130">
        <f>IF(SER_hh_fech_in!Q4=0,0,SER_hh_fech_in!Q4/SER_summary!Q$27)</f>
        <v>17.525090057736989</v>
      </c>
      <c r="R4" s="130">
        <f>IF(SER_hh_fech_in!R4=0,0,SER_hh_fech_in!R4/SER_summary!R$27)</f>
        <v>81.078278729371561</v>
      </c>
      <c r="S4" s="130">
        <f>IF(SER_hh_fech_in!S4=0,0,SER_hh_fech_in!S4/SER_summary!S$27)</f>
        <v>46.402796053885687</v>
      </c>
      <c r="T4" s="130">
        <f>IF(SER_hh_fech_in!T4=0,0,SER_hh_fech_in!T4/SER_summary!T$27)</f>
        <v>20.282224987971194</v>
      </c>
      <c r="U4" s="130">
        <f>IF(SER_hh_fech_in!U4=0,0,SER_hh_fech_in!U4/SER_summary!U$27)</f>
        <v>21.263308409610751</v>
      </c>
      <c r="V4" s="130">
        <f>IF(SER_hh_fech_in!V4=0,0,SER_hh_fech_in!V4/SER_summary!V$27)</f>
        <v>14.02802998819659</v>
      </c>
      <c r="W4" s="130">
        <f>IF(SER_hh_fech_in!W4=0,0,SER_hh_fech_in!W4/SER_summary!W$27)</f>
        <v>20.535016303171137</v>
      </c>
      <c r="X4" s="130">
        <f>IF(SER_hh_fech_in!X4=0,0,SER_hh_fech_in!X4/SER_summary!X$27)</f>
        <v>21.153119756867074</v>
      </c>
      <c r="Y4" s="130">
        <f>IF(SER_hh_fech_in!Y4=0,0,SER_hh_fech_in!Y4/SER_summary!Y$27)</f>
        <v>17.647469962276219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0</v>
      </c>
      <c r="D5" s="132">
        <f>IF(SER_hh_fech_in!D5=0,0,SER_hh_fech_in!D5/SER_summary!D$27)</f>
        <v>0</v>
      </c>
      <c r="E5" s="132">
        <f>IF(SER_hh_fech_in!E5=0,0,SER_hh_fech_in!E5/SER_summary!E$27)</f>
        <v>0</v>
      </c>
      <c r="F5" s="132">
        <f>IF(SER_hh_fech_in!F5=0,0,SER_hh_fech_in!F5/SER_summary!F$27)</f>
        <v>0</v>
      </c>
      <c r="G5" s="132">
        <f>IF(SER_hh_fech_in!G5=0,0,SER_hh_fech_in!G5/SER_summary!G$27)</f>
        <v>0</v>
      </c>
      <c r="H5" s="132">
        <f>IF(SER_hh_fech_in!H5=0,0,SER_hh_fech_in!H5/SER_summary!H$27)</f>
        <v>0</v>
      </c>
      <c r="I5" s="132">
        <f>IF(SER_hh_fech_in!I5=0,0,SER_hh_fech_in!I5/SER_summary!I$27)</f>
        <v>0</v>
      </c>
      <c r="J5" s="132">
        <f>IF(SER_hh_fech_in!J5=0,0,SER_hh_fech_in!J5/SER_summary!J$27)</f>
        <v>0</v>
      </c>
      <c r="K5" s="132">
        <f>IF(SER_hh_fech_in!K5=0,0,SER_hh_fech_in!K5/SER_summary!K$27)</f>
        <v>0</v>
      </c>
      <c r="L5" s="132">
        <f>IF(SER_hh_fech_in!L5=0,0,SER_hh_fech_in!L5/SER_summary!L$27)</f>
        <v>0</v>
      </c>
      <c r="M5" s="132">
        <f>IF(SER_hh_fech_in!M5=0,0,SER_hh_fech_in!M5/SER_summary!M$27)</f>
        <v>0</v>
      </c>
      <c r="N5" s="132">
        <f>IF(SER_hh_fech_in!N5=0,0,SER_hh_fech_in!N5/SER_summary!N$27)</f>
        <v>0</v>
      </c>
      <c r="O5" s="132">
        <f>IF(SER_hh_fech_in!O5=0,0,SER_hh_fech_in!O5/SER_summary!O$27)</f>
        <v>0</v>
      </c>
      <c r="P5" s="132">
        <f>IF(SER_hh_fech_in!P5=0,0,SER_hh_fech_in!P5/SER_summary!P$27)</f>
        <v>0</v>
      </c>
      <c r="Q5" s="132">
        <f>IF(SER_hh_fech_in!Q5=0,0,SER_hh_fech_in!Q5/SER_summary!Q$27)</f>
        <v>0</v>
      </c>
      <c r="R5" s="132">
        <f>IF(SER_hh_fech_in!R5=0,0,SER_hh_fech_in!R5/SER_summary!R$27)</f>
        <v>0</v>
      </c>
      <c r="S5" s="132">
        <f>IF(SER_hh_fech_in!S5=0,0,SER_hh_fech_in!S5/SER_summary!S$27)</f>
        <v>0</v>
      </c>
      <c r="T5" s="132">
        <f>IF(SER_hh_fech_in!T5=0,0,SER_hh_fech_in!T5/SER_summary!T$27)</f>
        <v>0</v>
      </c>
      <c r="U5" s="132">
        <f>IF(SER_hh_fech_in!U5=0,0,SER_hh_fech_in!U5/SER_summary!U$27)</f>
        <v>0</v>
      </c>
      <c r="V5" s="132">
        <f>IF(SER_hh_fech_in!V5=0,0,SER_hh_fech_in!V5/SER_summary!V$27)</f>
        <v>0</v>
      </c>
      <c r="W5" s="132">
        <f>IF(SER_hh_fech_in!W5=0,0,SER_hh_fech_in!W5/SER_summary!W$27)</f>
        <v>0</v>
      </c>
      <c r="X5" s="132">
        <f>IF(SER_hh_fech_in!X5=0,0,SER_hh_fech_in!X5/SER_summary!X$27)</f>
        <v>25.769328488531674</v>
      </c>
      <c r="Y5" s="132">
        <f>IF(SER_hh_fech_in!Y5=0,0,SER_hh_fech_in!Y5/SER_summary!Y$27)</f>
        <v>50.275421719630913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0</v>
      </c>
      <c r="D6" s="132">
        <f>IF(SER_hh_fech_in!D6=0,0,SER_hh_fech_in!D6/SER_summary!D$27)</f>
        <v>0</v>
      </c>
      <c r="E6" s="132">
        <f>IF(SER_hh_fech_in!E6=0,0,SER_hh_fech_in!E6/SER_summary!E$27)</f>
        <v>0</v>
      </c>
      <c r="F6" s="132">
        <f>IF(SER_hh_fech_in!F6=0,0,SER_hh_fech_in!F6/SER_summary!F$27)</f>
        <v>0</v>
      </c>
      <c r="G6" s="132">
        <f>IF(SER_hh_fech_in!G6=0,0,SER_hh_fech_in!G6/SER_summary!G$27)</f>
        <v>0</v>
      </c>
      <c r="H6" s="132">
        <f>IF(SER_hh_fech_in!H6=0,0,SER_hh_fech_in!H6/SER_summary!H$27)</f>
        <v>0</v>
      </c>
      <c r="I6" s="132">
        <f>IF(SER_hh_fech_in!I6=0,0,SER_hh_fech_in!I6/SER_summary!I$27)</f>
        <v>0</v>
      </c>
      <c r="J6" s="132">
        <f>IF(SER_hh_fech_in!J6=0,0,SER_hh_fech_in!J6/SER_summary!J$27)</f>
        <v>0</v>
      </c>
      <c r="K6" s="132">
        <f>IF(SER_hh_fech_in!K6=0,0,SER_hh_fech_in!K6/SER_summary!K$27)</f>
        <v>0</v>
      </c>
      <c r="L6" s="132">
        <f>IF(SER_hh_fech_in!L6=0,0,SER_hh_fech_in!L6/SER_summary!L$27)</f>
        <v>0</v>
      </c>
      <c r="M6" s="132">
        <f>IF(SER_hh_fech_in!M6=0,0,SER_hh_fech_in!M6/SER_summary!M$27)</f>
        <v>0</v>
      </c>
      <c r="N6" s="132">
        <f>IF(SER_hh_fech_in!N6=0,0,SER_hh_fech_in!N6/SER_summary!N$27)</f>
        <v>0</v>
      </c>
      <c r="O6" s="132">
        <f>IF(SER_hh_fech_in!O6=0,0,SER_hh_fech_in!O6/SER_summary!O$27)</f>
        <v>0</v>
      </c>
      <c r="P6" s="132">
        <f>IF(SER_hh_fech_in!P6=0,0,SER_hh_fech_in!P6/SER_summary!P$27)</f>
        <v>0</v>
      </c>
      <c r="Q6" s="132">
        <f>IF(SER_hh_fech_in!Q6=0,0,SER_hh_fech_in!Q6/SER_summary!Q$27)</f>
        <v>0</v>
      </c>
      <c r="R6" s="132">
        <f>IF(SER_hh_fech_in!R6=0,0,SER_hh_fech_in!R6/SER_summary!R$27)</f>
        <v>0</v>
      </c>
      <c r="S6" s="132">
        <f>IF(SER_hh_fech_in!S6=0,0,SER_hh_fech_in!S6/SER_summary!S$27)</f>
        <v>0</v>
      </c>
      <c r="T6" s="132">
        <f>IF(SER_hh_fech_in!T6=0,0,SER_hh_fech_in!T6/SER_summary!T$27)</f>
        <v>0</v>
      </c>
      <c r="U6" s="132">
        <f>IF(SER_hh_fech_in!U6=0,0,SER_hh_fech_in!U6/SER_summary!U$27)</f>
        <v>0</v>
      </c>
      <c r="V6" s="132">
        <f>IF(SER_hh_fech_in!V6=0,0,SER_hh_fech_in!V6/SER_summary!V$27)</f>
        <v>0</v>
      </c>
      <c r="W6" s="132">
        <f>IF(SER_hh_fech_in!W6=0,0,SER_hh_fech_in!W6/SER_summary!W$27)</f>
        <v>0</v>
      </c>
      <c r="X6" s="132">
        <f>IF(SER_hh_fech_in!X6=0,0,SER_hh_fech_in!X6/SER_summary!X$27)</f>
        <v>0</v>
      </c>
      <c r="Y6" s="132">
        <f>IF(SER_hh_fech_in!Y6=0,0,SER_hh_fech_in!Y6/SER_summary!Y$27)</f>
        <v>0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79.033189775798519</v>
      </c>
      <c r="D7" s="132">
        <f>IF(SER_hh_fech_in!D7=0,0,SER_hh_fech_in!D7/SER_summary!D$27)</f>
        <v>81.022723309884924</v>
      </c>
      <c r="E7" s="132">
        <f>IF(SER_hh_fech_in!E7=0,0,SER_hh_fech_in!E7/SER_summary!E$27)</f>
        <v>85.902718767773152</v>
      </c>
      <c r="F7" s="132">
        <f>IF(SER_hh_fech_in!F7=0,0,SER_hh_fech_in!F7/SER_summary!F$27)</f>
        <v>85.976745254604552</v>
      </c>
      <c r="G7" s="132">
        <f>IF(SER_hh_fech_in!G7=0,0,SER_hh_fech_in!G7/SER_summary!G$27)</f>
        <v>108.20535814195685</v>
      </c>
      <c r="H7" s="132">
        <f>IF(SER_hh_fech_in!H7=0,0,SER_hh_fech_in!H7/SER_summary!H$27)</f>
        <v>115.02975772073722</v>
      </c>
      <c r="I7" s="132">
        <f>IF(SER_hh_fech_in!I7=0,0,SER_hh_fech_in!I7/SER_summary!I$27)</f>
        <v>0</v>
      </c>
      <c r="J7" s="132">
        <f>IF(SER_hh_fech_in!J7=0,0,SER_hh_fech_in!J7/SER_summary!J$27)</f>
        <v>0</v>
      </c>
      <c r="K7" s="132">
        <f>IF(SER_hh_fech_in!K7=0,0,SER_hh_fech_in!K7/SER_summary!K$27)</f>
        <v>0</v>
      </c>
      <c r="L7" s="132">
        <f>IF(SER_hh_fech_in!L7=0,0,SER_hh_fech_in!L7/SER_summary!L$27)</f>
        <v>0</v>
      </c>
      <c r="M7" s="132">
        <f>IF(SER_hh_fech_in!M7=0,0,SER_hh_fech_in!M7/SER_summary!M$27)</f>
        <v>85.587430800848082</v>
      </c>
      <c r="N7" s="132">
        <f>IF(SER_hh_fech_in!N7=0,0,SER_hh_fech_in!N7/SER_summary!N$27)</f>
        <v>0</v>
      </c>
      <c r="O7" s="132">
        <f>IF(SER_hh_fech_in!O7=0,0,SER_hh_fech_in!O7/SER_summary!O$27)</f>
        <v>0</v>
      </c>
      <c r="P7" s="132">
        <f>IF(SER_hh_fech_in!P7=0,0,SER_hh_fech_in!P7/SER_summary!P$27)</f>
        <v>0</v>
      </c>
      <c r="Q7" s="132">
        <f>IF(SER_hh_fech_in!Q7=0,0,SER_hh_fech_in!Q7/SER_summary!Q$27)</f>
        <v>0</v>
      </c>
      <c r="R7" s="132">
        <f>IF(SER_hh_fech_in!R7=0,0,SER_hh_fech_in!R7/SER_summary!R$27)</f>
        <v>112.11662454001797</v>
      </c>
      <c r="S7" s="132">
        <f>IF(SER_hh_fech_in!S7=0,0,SER_hh_fech_in!S7/SER_summary!S$27)</f>
        <v>58.48849885095283</v>
      </c>
      <c r="T7" s="132">
        <f>IF(SER_hh_fech_in!T7=0,0,SER_hh_fech_in!T7/SER_summary!T$27)</f>
        <v>60.946359925634432</v>
      </c>
      <c r="U7" s="132">
        <f>IF(SER_hh_fech_in!U7=0,0,SER_hh_fech_in!U7/SER_summary!U$27)</f>
        <v>69.482747466022502</v>
      </c>
      <c r="V7" s="132">
        <f>IF(SER_hh_fech_in!V7=0,0,SER_hh_fech_in!V7/SER_summary!V$27)</f>
        <v>67.115973113210771</v>
      </c>
      <c r="W7" s="132">
        <f>IF(SER_hh_fech_in!W7=0,0,SER_hh_fech_in!W7/SER_summary!W$27)</f>
        <v>39.305823860068763</v>
      </c>
      <c r="X7" s="132">
        <f>IF(SER_hh_fech_in!X7=0,0,SER_hh_fech_in!X7/SER_summary!X$27)</f>
        <v>0</v>
      </c>
      <c r="Y7" s="132">
        <f>IF(SER_hh_fech_in!Y7=0,0,SER_hh_fech_in!Y7/SER_summary!Y$27)</f>
        <v>0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22.4698869022554</v>
      </c>
      <c r="D8" s="132">
        <f>IF(SER_hh_fech_in!D8=0,0,SER_hh_fech_in!D8/SER_summary!D$27)</f>
        <v>22.701636578753821</v>
      </c>
      <c r="E8" s="132">
        <f>IF(SER_hh_fech_in!E8=0,0,SER_hh_fech_in!E8/SER_summary!E$27)</f>
        <v>24.239615783335328</v>
      </c>
      <c r="F8" s="132">
        <f>IF(SER_hh_fech_in!F8=0,0,SER_hh_fech_in!F8/SER_summary!F$27)</f>
        <v>27.201115860000986</v>
      </c>
      <c r="G8" s="132">
        <f>IF(SER_hh_fech_in!G8=0,0,SER_hh_fech_in!G8/SER_summary!G$27)</f>
        <v>31.569081678213813</v>
      </c>
      <c r="H8" s="132">
        <f>IF(SER_hh_fech_in!H8=0,0,SER_hh_fech_in!H8/SER_summary!H$27)</f>
        <v>30.364172145336919</v>
      </c>
      <c r="I8" s="132">
        <f>IF(SER_hh_fech_in!I8=0,0,SER_hh_fech_in!I8/SER_summary!I$27)</f>
        <v>28.615844116408496</v>
      </c>
      <c r="J8" s="132">
        <f>IF(SER_hh_fech_in!J8=0,0,SER_hh_fech_in!J8/SER_summary!J$27)</f>
        <v>26.982851264987833</v>
      </c>
      <c r="K8" s="132">
        <f>IF(SER_hh_fech_in!K8=0,0,SER_hh_fech_in!K8/SER_summary!K$27)</f>
        <v>23.477710042025251</v>
      </c>
      <c r="L8" s="132">
        <f>IF(SER_hh_fech_in!L8=0,0,SER_hh_fech_in!L8/SER_summary!L$27)</f>
        <v>18.194439289159895</v>
      </c>
      <c r="M8" s="132">
        <f>IF(SER_hh_fech_in!M8=0,0,SER_hh_fech_in!M8/SER_summary!M$27)</f>
        <v>13.553244364831434</v>
      </c>
      <c r="N8" s="132">
        <f>IF(SER_hh_fech_in!N8=0,0,SER_hh_fech_in!N8/SER_summary!N$27)</f>
        <v>8.7255928242632184</v>
      </c>
      <c r="O8" s="132">
        <f>IF(SER_hh_fech_in!O8=0,0,SER_hh_fech_in!O8/SER_summary!O$27)</f>
        <v>10.109038347659496</v>
      </c>
      <c r="P8" s="132">
        <f>IF(SER_hh_fech_in!P8=0,0,SER_hh_fech_in!P8/SER_summary!P$27)</f>
        <v>14.381192039768599</v>
      </c>
      <c r="Q8" s="132">
        <f>IF(SER_hh_fech_in!Q8=0,0,SER_hh_fech_in!Q8/SER_summary!Q$27)</f>
        <v>21.830519042901589</v>
      </c>
      <c r="R8" s="132">
        <f>IF(SER_hh_fech_in!R8=0,0,SER_hh_fech_in!R8/SER_summary!R$27)</f>
        <v>17.895655586428695</v>
      </c>
      <c r="S8" s="132">
        <f>IF(SER_hh_fech_in!S8=0,0,SER_hh_fech_in!S8/SER_summary!S$27)</f>
        <v>15.545800058936152</v>
      </c>
      <c r="T8" s="132">
        <f>IF(SER_hh_fech_in!T8=0,0,SER_hh_fech_in!T8/SER_summary!T$27)</f>
        <v>14.211977381416139</v>
      </c>
      <c r="U8" s="132">
        <f>IF(SER_hh_fech_in!U8=0,0,SER_hh_fech_in!U8/SER_summary!U$27)</f>
        <v>12.823224499159711</v>
      </c>
      <c r="V8" s="132">
        <f>IF(SER_hh_fech_in!V8=0,0,SER_hh_fech_in!V8/SER_summary!V$27)</f>
        <v>12.359099793130973</v>
      </c>
      <c r="W8" s="132">
        <f>IF(SER_hh_fech_in!W8=0,0,SER_hh_fech_in!W8/SER_summary!W$27)</f>
        <v>10.594568523041342</v>
      </c>
      <c r="X8" s="132">
        <f>IF(SER_hh_fech_in!X8=0,0,SER_hh_fech_in!X8/SER_summary!X$27)</f>
        <v>8.3284880087487991</v>
      </c>
      <c r="Y8" s="132">
        <f>IF(SER_hh_fech_in!Y8=0,0,SER_hh_fech_in!Y8/SER_summary!Y$27)</f>
        <v>9.4625432346730349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62.735094719698004</v>
      </c>
      <c r="D9" s="132">
        <f>IF(SER_hh_fech_in!D9=0,0,SER_hh_fech_in!D9/SER_summary!D$27)</f>
        <v>61.742204059688206</v>
      </c>
      <c r="E9" s="132">
        <f>IF(SER_hh_fech_in!E9=0,0,SER_hh_fech_in!E9/SER_summary!E$27)</f>
        <v>72.656001745291007</v>
      </c>
      <c r="F9" s="132">
        <f>IF(SER_hh_fech_in!F9=0,0,SER_hh_fech_in!F9/SER_summary!F$27)</f>
        <v>86.082628992441784</v>
      </c>
      <c r="G9" s="132">
        <f>IF(SER_hh_fech_in!G9=0,0,SER_hh_fech_in!G9/SER_summary!G$27)</f>
        <v>107.08500131845179</v>
      </c>
      <c r="H9" s="132">
        <f>IF(SER_hh_fech_in!H9=0,0,SER_hh_fech_in!H9/SER_summary!H$27)</f>
        <v>109.06126093062409</v>
      </c>
      <c r="I9" s="132">
        <f>IF(SER_hh_fech_in!I9=0,0,SER_hh_fech_in!I9/SER_summary!I$27)</f>
        <v>103.33545751690473</v>
      </c>
      <c r="J9" s="132">
        <f>IF(SER_hh_fech_in!J9=0,0,SER_hh_fech_in!J9/SER_summary!J$27)</f>
        <v>112.81884605186723</v>
      </c>
      <c r="K9" s="132">
        <f>IF(SER_hh_fech_in!K9=0,0,SER_hh_fech_in!K9/SER_summary!K$27)</f>
        <v>104.20960571707133</v>
      </c>
      <c r="L9" s="132">
        <f>IF(SER_hh_fech_in!L9=0,0,SER_hh_fech_in!L9/SER_summary!L$27)</f>
        <v>77.066006076667676</v>
      </c>
      <c r="M9" s="132">
        <f>IF(SER_hh_fech_in!M9=0,0,SER_hh_fech_in!M9/SER_summary!M$27)</f>
        <v>103.3830539177589</v>
      </c>
      <c r="N9" s="132">
        <f>IF(SER_hh_fech_in!N9=0,0,SER_hh_fech_in!N9/SER_summary!N$27)</f>
        <v>0</v>
      </c>
      <c r="O9" s="132">
        <f>IF(SER_hh_fech_in!O9=0,0,SER_hh_fech_in!O9/SER_summary!O$27)</f>
        <v>0</v>
      </c>
      <c r="P9" s="132">
        <f>IF(SER_hh_fech_in!P9=0,0,SER_hh_fech_in!P9/SER_summary!P$27)</f>
        <v>0</v>
      </c>
      <c r="Q9" s="132">
        <f>IF(SER_hh_fech_in!Q9=0,0,SER_hh_fech_in!Q9/SER_summary!Q$27)</f>
        <v>86.348223545087109</v>
      </c>
      <c r="R9" s="132">
        <f>IF(SER_hh_fech_in!R9=0,0,SER_hh_fech_in!R9/SER_summary!R$27)</f>
        <v>0</v>
      </c>
      <c r="S9" s="132">
        <f>IF(SER_hh_fech_in!S9=0,0,SER_hh_fech_in!S9/SER_summary!S$27)</f>
        <v>69.577641434119116</v>
      </c>
      <c r="T9" s="132">
        <f>IF(SER_hh_fech_in!T9=0,0,SER_hh_fech_in!T9/SER_summary!T$27)</f>
        <v>62.300358101738844</v>
      </c>
      <c r="U9" s="132">
        <f>IF(SER_hh_fech_in!U9=0,0,SER_hh_fech_in!U9/SER_summary!U$27)</f>
        <v>67.441712994286277</v>
      </c>
      <c r="V9" s="132">
        <f>IF(SER_hh_fech_in!V9=0,0,SER_hh_fech_in!V9/SER_summary!V$27)</f>
        <v>54.624249528193808</v>
      </c>
      <c r="W9" s="132">
        <f>IF(SER_hh_fech_in!W9=0,0,SER_hh_fech_in!W9/SER_summary!W$27)</f>
        <v>49.531680858133882</v>
      </c>
      <c r="X9" s="132">
        <f>IF(SER_hh_fech_in!X9=0,0,SER_hh_fech_in!X9/SER_summary!X$27)</f>
        <v>0</v>
      </c>
      <c r="Y9" s="132">
        <f>IF(SER_hh_fech_in!Y9=0,0,SER_hh_fech_in!Y9/SER_summary!Y$27)</f>
        <v>41.811833492894202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0</v>
      </c>
      <c r="D10" s="132">
        <f>IF(SER_hh_fech_in!D10=0,0,SER_hh_fech_in!D10/SER_summary!D$27)</f>
        <v>0</v>
      </c>
      <c r="E10" s="132">
        <f>IF(SER_hh_fech_in!E10=0,0,SER_hh_fech_in!E10/SER_summary!E$27)</f>
        <v>0</v>
      </c>
      <c r="F10" s="132">
        <f>IF(SER_hh_fech_in!F10=0,0,SER_hh_fech_in!F10/SER_summary!F$27)</f>
        <v>0</v>
      </c>
      <c r="G10" s="132">
        <f>IF(SER_hh_fech_in!G10=0,0,SER_hh_fech_in!G10/SER_summary!G$27)</f>
        <v>0</v>
      </c>
      <c r="H10" s="132">
        <f>IF(SER_hh_fech_in!H10=0,0,SER_hh_fech_in!H10/SER_summary!H$27)</f>
        <v>0</v>
      </c>
      <c r="I10" s="132">
        <f>IF(SER_hh_fech_in!I10=0,0,SER_hh_fech_in!I10/SER_summary!I$27)</f>
        <v>0</v>
      </c>
      <c r="J10" s="132">
        <f>IF(SER_hh_fech_in!J10=0,0,SER_hh_fech_in!J10/SER_summary!J$27)</f>
        <v>0</v>
      </c>
      <c r="K10" s="132">
        <f>IF(SER_hh_fech_in!K10=0,0,SER_hh_fech_in!K10/SER_summary!K$27)</f>
        <v>0</v>
      </c>
      <c r="L10" s="132">
        <f>IF(SER_hh_fech_in!L10=0,0,SER_hh_fech_in!L10/SER_summary!L$27)</f>
        <v>0</v>
      </c>
      <c r="M10" s="132">
        <f>IF(SER_hh_fech_in!M10=0,0,SER_hh_fech_in!M10/SER_summary!M$27)</f>
        <v>0</v>
      </c>
      <c r="N10" s="132">
        <f>IF(SER_hh_fech_in!N10=0,0,SER_hh_fech_in!N10/SER_summary!N$27)</f>
        <v>145.74863397928993</v>
      </c>
      <c r="O10" s="132">
        <f>IF(SER_hh_fech_in!O10=0,0,SER_hh_fech_in!O10/SER_summary!O$27)</f>
        <v>76.951074316838884</v>
      </c>
      <c r="P10" s="132">
        <f>IF(SER_hh_fech_in!P10=0,0,SER_hh_fech_in!P10/SER_summary!P$27)</f>
        <v>55.778047707172156</v>
      </c>
      <c r="Q10" s="132">
        <f>IF(SER_hh_fech_in!Q10=0,0,SER_hh_fech_in!Q10/SER_summary!Q$27)</f>
        <v>161.14818944676622</v>
      </c>
      <c r="R10" s="132">
        <f>IF(SER_hh_fech_in!R10=0,0,SER_hh_fech_in!R10/SER_summary!R$27)</f>
        <v>0</v>
      </c>
      <c r="S10" s="132">
        <f>IF(SER_hh_fech_in!S10=0,0,SER_hh_fech_in!S10/SER_summary!S$27)</f>
        <v>0</v>
      </c>
      <c r="T10" s="132">
        <f>IF(SER_hh_fech_in!T10=0,0,SER_hh_fech_in!T10/SER_summary!T$27)</f>
        <v>0</v>
      </c>
      <c r="U10" s="132">
        <f>IF(SER_hh_fech_in!U10=0,0,SER_hh_fech_in!U10/SER_summary!U$27)</f>
        <v>0</v>
      </c>
      <c r="V10" s="132">
        <f>IF(SER_hh_fech_in!V10=0,0,SER_hh_fech_in!V10/SER_summary!V$27)</f>
        <v>0</v>
      </c>
      <c r="W10" s="132">
        <f>IF(SER_hh_fech_in!W10=0,0,SER_hh_fech_in!W10/SER_summary!W$27)</f>
        <v>0</v>
      </c>
      <c r="X10" s="132">
        <f>IF(SER_hh_fech_in!X10=0,0,SER_hh_fech_in!X10/SER_summary!X$27)</f>
        <v>0</v>
      </c>
      <c r="Y10" s="132">
        <f>IF(SER_hh_fech_in!Y10=0,0,SER_hh_fech_in!Y10/SER_summary!Y$27)</f>
        <v>0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0</v>
      </c>
      <c r="D11" s="132">
        <f>IF(SER_hh_fech_in!D11=0,0,SER_hh_fech_in!D11/SER_summary!D$27)</f>
        <v>0</v>
      </c>
      <c r="E11" s="132">
        <f>IF(SER_hh_fech_in!E11=0,0,SER_hh_fech_in!E11/SER_summary!E$27)</f>
        <v>0</v>
      </c>
      <c r="F11" s="132">
        <f>IF(SER_hh_fech_in!F11=0,0,SER_hh_fech_in!F11/SER_summary!F$27)</f>
        <v>74.629332446179305</v>
      </c>
      <c r="G11" s="132">
        <f>IF(SER_hh_fech_in!G11=0,0,SER_hh_fech_in!G11/SER_summary!G$27)</f>
        <v>57.54500774701954</v>
      </c>
      <c r="H11" s="132">
        <f>IF(SER_hh_fech_in!H11=0,0,SER_hh_fech_in!H11/SER_summary!H$27)</f>
        <v>55.028518736073359</v>
      </c>
      <c r="I11" s="132">
        <f>IF(SER_hh_fech_in!I11=0,0,SER_hh_fech_in!I11/SER_summary!I$27)</f>
        <v>0</v>
      </c>
      <c r="J11" s="132">
        <f>IF(SER_hh_fech_in!J11=0,0,SER_hh_fech_in!J11/SER_summary!J$27)</f>
        <v>52.163449591638646</v>
      </c>
      <c r="K11" s="132">
        <f>IF(SER_hh_fech_in!K11=0,0,SER_hh_fech_in!K11/SER_summary!K$27)</f>
        <v>56.676905915822807</v>
      </c>
      <c r="L11" s="132">
        <f>IF(SER_hh_fech_in!L11=0,0,SER_hh_fech_in!L11/SER_summary!L$27)</f>
        <v>48.536424245792141</v>
      </c>
      <c r="M11" s="132">
        <f>IF(SER_hh_fech_in!M11=0,0,SER_hh_fech_in!M11/SER_summary!M$27)</f>
        <v>44.189284177349322</v>
      </c>
      <c r="N11" s="132">
        <f>IF(SER_hh_fech_in!N11=0,0,SER_hh_fech_in!N11/SER_summary!N$27)</f>
        <v>43.465505724860016</v>
      </c>
      <c r="O11" s="132">
        <f>IF(SER_hh_fech_in!O11=0,0,SER_hh_fech_in!O11/SER_summary!O$27)</f>
        <v>40.692720909737666</v>
      </c>
      <c r="P11" s="132">
        <f>IF(SER_hh_fech_in!P11=0,0,SER_hh_fech_in!P11/SER_summary!P$27)</f>
        <v>45.177629123891023</v>
      </c>
      <c r="Q11" s="132">
        <f>IF(SER_hh_fech_in!Q11=0,0,SER_hh_fech_in!Q11/SER_summary!Q$27)</f>
        <v>0</v>
      </c>
      <c r="R11" s="132">
        <f>IF(SER_hh_fech_in!R11=0,0,SER_hh_fech_in!R11/SER_summary!R$27)</f>
        <v>0</v>
      </c>
      <c r="S11" s="132">
        <f>IF(SER_hh_fech_in!S11=0,0,SER_hh_fech_in!S11/SER_summary!S$27)</f>
        <v>46.012274421669723</v>
      </c>
      <c r="T11" s="132">
        <f>IF(SER_hh_fech_in!T11=0,0,SER_hh_fech_in!T11/SER_summary!T$27)</f>
        <v>43.978404616625056</v>
      </c>
      <c r="U11" s="132">
        <f>IF(SER_hh_fech_in!U11=0,0,SER_hh_fech_in!U11/SER_summary!U$27)</f>
        <v>57.330276321576122</v>
      </c>
      <c r="V11" s="132">
        <f>IF(SER_hh_fech_in!V11=0,0,SER_hh_fech_in!V11/SER_summary!V$27)</f>
        <v>17.946310711459446</v>
      </c>
      <c r="W11" s="132">
        <f>IF(SER_hh_fech_in!W11=0,0,SER_hh_fech_in!W11/SER_summary!W$27)</f>
        <v>14.294054606893814</v>
      </c>
      <c r="X11" s="132">
        <f>IF(SER_hh_fech_in!X11=0,0,SER_hh_fech_in!X11/SER_summary!X$27)</f>
        <v>28.979128334936664</v>
      </c>
      <c r="Y11" s="132">
        <f>IF(SER_hh_fech_in!Y11=0,0,SER_hh_fech_in!Y11/SER_summary!Y$27)</f>
        <v>29.254968450285602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0</v>
      </c>
      <c r="D12" s="132">
        <f>IF(SER_hh_fech_in!D12=0,0,SER_hh_fech_in!D12/SER_summary!D$27)</f>
        <v>0</v>
      </c>
      <c r="E12" s="132">
        <f>IF(SER_hh_fech_in!E12=0,0,SER_hh_fech_in!E12/SER_summary!E$27)</f>
        <v>0</v>
      </c>
      <c r="F12" s="132">
        <f>IF(SER_hh_fech_in!F12=0,0,SER_hh_fech_in!F12/SER_summary!F$27)</f>
        <v>0</v>
      </c>
      <c r="G12" s="132">
        <f>IF(SER_hh_fech_in!G12=0,0,SER_hh_fech_in!G12/SER_summary!G$27)</f>
        <v>0</v>
      </c>
      <c r="H12" s="132">
        <f>IF(SER_hh_fech_in!H12=0,0,SER_hh_fech_in!H12/SER_summary!H$27)</f>
        <v>0</v>
      </c>
      <c r="I12" s="132">
        <f>IF(SER_hh_fech_in!I12=0,0,SER_hh_fech_in!I12/SER_summary!I$27)</f>
        <v>0</v>
      </c>
      <c r="J12" s="132">
        <f>IF(SER_hh_fech_in!J12=0,0,SER_hh_fech_in!J12/SER_summary!J$27)</f>
        <v>0</v>
      </c>
      <c r="K12" s="132">
        <f>IF(SER_hh_fech_in!K12=0,0,SER_hh_fech_in!K12/SER_summary!K$27)</f>
        <v>0</v>
      </c>
      <c r="L12" s="132">
        <f>IF(SER_hh_fech_in!L12=0,0,SER_hh_fech_in!L12/SER_summary!L$27)</f>
        <v>0</v>
      </c>
      <c r="M12" s="132">
        <f>IF(SER_hh_fech_in!M12=0,0,SER_hh_fech_in!M12/SER_summary!M$27)</f>
        <v>0</v>
      </c>
      <c r="N12" s="132">
        <f>IF(SER_hh_fech_in!N12=0,0,SER_hh_fech_in!N12/SER_summary!N$27)</f>
        <v>0</v>
      </c>
      <c r="O12" s="132">
        <f>IF(SER_hh_fech_in!O12=0,0,SER_hh_fech_in!O12/SER_summary!O$27)</f>
        <v>0</v>
      </c>
      <c r="P12" s="132">
        <f>IF(SER_hh_fech_in!P12=0,0,SER_hh_fech_in!P12/SER_summary!P$27)</f>
        <v>0</v>
      </c>
      <c r="Q12" s="132">
        <f>IF(SER_hh_fech_in!Q12=0,0,SER_hh_fech_in!Q12/SER_summary!Q$27)</f>
        <v>0</v>
      </c>
      <c r="R12" s="132">
        <f>IF(SER_hh_fech_in!R12=0,0,SER_hh_fech_in!R12/SER_summary!R$27)</f>
        <v>0</v>
      </c>
      <c r="S12" s="132">
        <f>IF(SER_hh_fech_in!S12=0,0,SER_hh_fech_in!S12/SER_summary!S$27)</f>
        <v>0</v>
      </c>
      <c r="T12" s="132">
        <f>IF(SER_hh_fech_in!T12=0,0,SER_hh_fech_in!T12/SER_summary!T$27)</f>
        <v>0</v>
      </c>
      <c r="U12" s="132">
        <f>IF(SER_hh_fech_in!U12=0,0,SER_hh_fech_in!U12/SER_summary!U$27)</f>
        <v>0</v>
      </c>
      <c r="V12" s="132">
        <f>IF(SER_hh_fech_in!V12=0,0,SER_hh_fech_in!V12/SER_summary!V$27)</f>
        <v>0</v>
      </c>
      <c r="W12" s="132">
        <f>IF(SER_hh_fech_in!W12=0,0,SER_hh_fech_in!W12/SER_summary!W$27)</f>
        <v>0</v>
      </c>
      <c r="X12" s="132">
        <f>IF(SER_hh_fech_in!X12=0,0,SER_hh_fech_in!X12/SER_summary!X$27)</f>
        <v>0</v>
      </c>
      <c r="Y12" s="132">
        <f>IF(SER_hh_fech_in!Y12=0,0,SER_hh_fech_in!Y12/SER_summary!Y$27)</f>
        <v>0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20.949158689506984</v>
      </c>
      <c r="D13" s="132">
        <f>IF(SER_hh_fech_in!D13=0,0,SER_hh_fech_in!D13/SER_summary!D$27)</f>
        <v>20.443402305863593</v>
      </c>
      <c r="E13" s="132">
        <f>IF(SER_hh_fech_in!E13=0,0,SER_hh_fech_in!E13/SER_summary!E$27)</f>
        <v>20.916579659065203</v>
      </c>
      <c r="F13" s="132">
        <f>IF(SER_hh_fech_in!F13=0,0,SER_hh_fech_in!F13/SER_summary!F$27)</f>
        <v>24.377162199848929</v>
      </c>
      <c r="G13" s="132">
        <f>IF(SER_hh_fech_in!G13=0,0,SER_hh_fech_in!G13/SER_summary!G$27)</f>
        <v>22.379392890886756</v>
      </c>
      <c r="H13" s="132">
        <f>IF(SER_hh_fech_in!H13=0,0,SER_hh_fech_in!H13/SER_summary!H$27)</f>
        <v>23.261759764071812</v>
      </c>
      <c r="I13" s="132">
        <f>IF(SER_hh_fech_in!I13=0,0,SER_hh_fech_in!I13/SER_summary!I$27)</f>
        <v>24.239370019161548</v>
      </c>
      <c r="J13" s="132">
        <f>IF(SER_hh_fech_in!J13=0,0,SER_hh_fech_in!J13/SER_summary!J$27)</f>
        <v>22.884016154663918</v>
      </c>
      <c r="K13" s="132">
        <f>IF(SER_hh_fech_in!K13=0,0,SER_hh_fech_in!K13/SER_summary!K$27)</f>
        <v>20.703322864617551</v>
      </c>
      <c r="L13" s="132">
        <f>IF(SER_hh_fech_in!L13=0,0,SER_hh_fech_in!L13/SER_summary!L$27)</f>
        <v>16.898780456619619</v>
      </c>
      <c r="M13" s="132">
        <f>IF(SER_hh_fech_in!M13=0,0,SER_hh_fech_in!M13/SER_summary!M$27)</f>
        <v>14.379195218490183</v>
      </c>
      <c r="N13" s="132">
        <f>IF(SER_hh_fech_in!N13=0,0,SER_hh_fech_in!N13/SER_summary!N$27)</f>
        <v>14.872214082823806</v>
      </c>
      <c r="O13" s="132">
        <f>IF(SER_hh_fech_in!O13=0,0,SER_hh_fech_in!O13/SER_summary!O$27)</f>
        <v>12.479992788990716</v>
      </c>
      <c r="P13" s="132">
        <f>IF(SER_hh_fech_in!P13=0,0,SER_hh_fech_in!P13/SER_summary!P$27)</f>
        <v>12.694347066493407</v>
      </c>
      <c r="Q13" s="132">
        <f>IF(SER_hh_fech_in!Q13=0,0,SER_hh_fech_in!Q13/SER_summary!Q$27)</f>
        <v>14.258292139760711</v>
      </c>
      <c r="R13" s="132">
        <f>IF(SER_hh_fech_in!R13=0,0,SER_hh_fech_in!R13/SER_summary!R$27)</f>
        <v>13.283170666816602</v>
      </c>
      <c r="S13" s="132">
        <f>IF(SER_hh_fech_in!S13=0,0,SER_hh_fech_in!S13/SER_summary!S$27)</f>
        <v>11.96480511899331</v>
      </c>
      <c r="T13" s="132">
        <f>IF(SER_hh_fech_in!T13=0,0,SER_hh_fech_in!T13/SER_summary!T$27)</f>
        <v>11.210732206017944</v>
      </c>
      <c r="U13" s="132">
        <f>IF(SER_hh_fech_in!U13=0,0,SER_hh_fech_in!U13/SER_summary!U$27)</f>
        <v>10.171876945324966</v>
      </c>
      <c r="V13" s="132">
        <f>IF(SER_hh_fech_in!V13=0,0,SER_hh_fech_in!V13/SER_summary!V$27)</f>
        <v>9.4405535283972188</v>
      </c>
      <c r="W13" s="132">
        <f>IF(SER_hh_fech_in!W13=0,0,SER_hh_fech_in!W13/SER_summary!W$27)</f>
        <v>8.4631083882418245</v>
      </c>
      <c r="X13" s="132">
        <f>IF(SER_hh_fech_in!X13=0,0,SER_hh_fech_in!X13/SER_summary!X$27)</f>
        <v>6.6550451298459805</v>
      </c>
      <c r="Y13" s="132">
        <f>IF(SER_hh_fech_in!Y13=0,0,SER_hh_fech_in!Y13/SER_summary!Y$27)</f>
        <v>7.2552791732665316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53.645881733436802</v>
      </c>
      <c r="D14" s="65">
        <f>IF(SER_hh_fech_in!D14=0,0,SER_hh_fech_in!D14/SER_summary!D$27)</f>
        <v>53.5590972679936</v>
      </c>
      <c r="E14" s="65">
        <f>IF(SER_hh_fech_in!E14=0,0,SER_hh_fech_in!E14/SER_summary!E$27)</f>
        <v>60.410087740897332</v>
      </c>
      <c r="F14" s="65">
        <f>IF(SER_hh_fech_in!F14=0,0,SER_hh_fech_in!F14/SER_summary!F$27)</f>
        <v>71.633020938631205</v>
      </c>
      <c r="G14" s="65">
        <f>IF(SER_hh_fech_in!G14=0,0,SER_hh_fech_in!G14/SER_summary!G$27)</f>
        <v>68.912634344623754</v>
      </c>
      <c r="H14" s="65">
        <f>IF(SER_hh_fech_in!H14=0,0,SER_hh_fech_in!H14/SER_summary!H$27)</f>
        <v>78.665778851566586</v>
      </c>
      <c r="I14" s="65">
        <f>IF(SER_hh_fech_in!I14=0,0,SER_hh_fech_in!I14/SER_summary!I$27)</f>
        <v>81.416994945417969</v>
      </c>
      <c r="J14" s="65">
        <f>IF(SER_hh_fech_in!J14=0,0,SER_hh_fech_in!J14/SER_summary!J$27)</f>
        <v>87.930511855751206</v>
      </c>
      <c r="K14" s="65">
        <f>IF(SER_hh_fech_in!K14=0,0,SER_hh_fech_in!K14/SER_summary!K$27)</f>
        <v>90.224844503040316</v>
      </c>
      <c r="L14" s="65">
        <f>IF(SER_hh_fech_in!L14=0,0,SER_hh_fech_in!L14/SER_summary!L$27)</f>
        <v>0</v>
      </c>
      <c r="M14" s="65">
        <f>IF(SER_hh_fech_in!M14=0,0,SER_hh_fech_in!M14/SER_summary!M$27)</f>
        <v>0</v>
      </c>
      <c r="N14" s="65">
        <f>IF(SER_hh_fech_in!N14=0,0,SER_hh_fech_in!N14/SER_summary!N$27)</f>
        <v>0</v>
      </c>
      <c r="O14" s="65">
        <f>IF(SER_hh_fech_in!O14=0,0,SER_hh_fech_in!O14/SER_summary!O$27)</f>
        <v>0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89.901283733392106</v>
      </c>
      <c r="S14" s="65">
        <f>IF(SER_hh_fech_in!S14=0,0,SER_hh_fech_in!S14/SER_summary!S$27)</f>
        <v>79.444392116425036</v>
      </c>
      <c r="T14" s="65">
        <f>IF(SER_hh_fech_in!T14=0,0,SER_hh_fech_in!T14/SER_summary!T$27)</f>
        <v>0</v>
      </c>
      <c r="U14" s="65">
        <f>IF(SER_hh_fech_in!U14=0,0,SER_hh_fech_in!U14/SER_summary!U$27)</f>
        <v>0</v>
      </c>
      <c r="V14" s="65">
        <f>IF(SER_hh_fech_in!V14=0,0,SER_hh_fech_in!V14/SER_summary!V$27)</f>
        <v>0</v>
      </c>
      <c r="W14" s="65">
        <f>IF(SER_hh_fech_in!W14=0,0,SER_hh_fech_in!W14/SER_summary!W$27)</f>
        <v>35.058164452217653</v>
      </c>
      <c r="X14" s="65">
        <f>IF(SER_hh_fech_in!X14=0,0,SER_hh_fech_in!X14/SER_summary!X$27)</f>
        <v>38.382785598032697</v>
      </c>
      <c r="Y14" s="65">
        <f>IF(SER_hh_fech_in!Y14=0,0,SER_hh_fech_in!Y14/SER_summary!Y$27)</f>
        <v>34.266756325176672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0.64440141260976858</v>
      </c>
      <c r="D15" s="134">
        <f>IF(SER_hh_fech_in!D15=0,0,SER_hh_fech_in!D15/SER_summary!D$27)</f>
        <v>0.62691893396743192</v>
      </c>
      <c r="E15" s="134">
        <f>IF(SER_hh_fech_in!E15=0,0,SER_hh_fech_in!E15/SER_summary!E$27)</f>
        <v>0.67285197679145747</v>
      </c>
      <c r="F15" s="134">
        <f>IF(SER_hh_fech_in!F15=0,0,SER_hh_fech_in!F15/SER_summary!F$27)</f>
        <v>0.60054039004208104</v>
      </c>
      <c r="G15" s="134">
        <f>IF(SER_hh_fech_in!G15=0,0,SER_hh_fech_in!G15/SER_summary!G$27)</f>
        <v>0.85404819715441593</v>
      </c>
      <c r="H15" s="134">
        <f>IF(SER_hh_fech_in!H15=0,0,SER_hh_fech_in!H15/SER_summary!H$27)</f>
        <v>0.90322497092693099</v>
      </c>
      <c r="I15" s="134">
        <f>IF(SER_hh_fech_in!I15=0,0,SER_hh_fech_in!I15/SER_summary!I$27)</f>
        <v>0.85625067069689786</v>
      </c>
      <c r="J15" s="134">
        <f>IF(SER_hh_fech_in!J15=0,0,SER_hh_fech_in!J15/SER_summary!J$27)</f>
        <v>0.91072516790773028</v>
      </c>
      <c r="K15" s="134">
        <f>IF(SER_hh_fech_in!K15=0,0,SER_hh_fech_in!K15/SER_summary!K$27)</f>
        <v>0.79874402888362372</v>
      </c>
      <c r="L15" s="134">
        <f>IF(SER_hh_fech_in!L15=0,0,SER_hh_fech_in!L15/SER_summary!L$27)</f>
        <v>0.58103025590987945</v>
      </c>
      <c r="M15" s="134">
        <f>IF(SER_hh_fech_in!M15=0,0,SER_hh_fech_in!M15/SER_summary!M$27)</f>
        <v>0.64816137714820954</v>
      </c>
      <c r="N15" s="134">
        <f>IF(SER_hh_fech_in!N15=0,0,SER_hh_fech_in!N15/SER_summary!N$27)</f>
        <v>0.49519373364999675</v>
      </c>
      <c r="O15" s="134">
        <f>IF(SER_hh_fech_in!O15=0,0,SER_hh_fech_in!O15/SER_summary!O$27)</f>
        <v>0.17428136730679489</v>
      </c>
      <c r="P15" s="134">
        <f>IF(SER_hh_fech_in!P15=0,0,SER_hh_fech_in!P15/SER_summary!P$27)</f>
        <v>0.15993353529984686</v>
      </c>
      <c r="Q15" s="134">
        <f>IF(SER_hh_fech_in!Q15=0,0,SER_hh_fech_in!Q15/SER_summary!Q$27)</f>
        <v>0.33873891662466943</v>
      </c>
      <c r="R15" s="134">
        <f>IF(SER_hh_fech_in!R15=0,0,SER_hh_fech_in!R15/SER_summary!R$27)</f>
        <v>0.81957347783462597</v>
      </c>
      <c r="S15" s="134">
        <f>IF(SER_hh_fech_in!S15=0,0,SER_hh_fech_in!S15/SER_summary!S$27)</f>
        <v>0.58280101547773955</v>
      </c>
      <c r="T15" s="134">
        <f>IF(SER_hh_fech_in!T15=0,0,SER_hh_fech_in!T15/SER_summary!T$27)</f>
        <v>0.54645298474056114</v>
      </c>
      <c r="U15" s="134">
        <f>IF(SER_hh_fech_in!U15=0,0,SER_hh_fech_in!U15/SER_summary!U$27)</f>
        <v>0.60717608506836152</v>
      </c>
      <c r="V15" s="134">
        <f>IF(SER_hh_fech_in!V15=0,0,SER_hh_fech_in!V15/SER_summary!V$27)</f>
        <v>0.43027704529352423</v>
      </c>
      <c r="W15" s="134">
        <f>IF(SER_hh_fech_in!W15=0,0,SER_hh_fech_in!W15/SER_summary!W$27)</f>
        <v>0.37445661148280435</v>
      </c>
      <c r="X15" s="134">
        <f>IF(SER_hh_fech_in!X15=0,0,SER_hh_fech_in!X15/SER_summary!X$27)</f>
        <v>0.14426541723898204</v>
      </c>
      <c r="Y15" s="134">
        <f>IF(SER_hh_fech_in!Y15=0,0,SER_hh_fech_in!Y15/SER_summary!Y$27)</f>
        <v>0.27197895787230669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19.642014473334136</v>
      </c>
      <c r="D16" s="130">
        <f>IF(SER_hh_fech_in!D16=0,0,SER_hh_fech_in!D16/SER_summary!D$27)</f>
        <v>15.340684549337322</v>
      </c>
      <c r="E16" s="130">
        <f>IF(SER_hh_fech_in!E16=0,0,SER_hh_fech_in!E16/SER_summary!E$27)</f>
        <v>19.718869516359465</v>
      </c>
      <c r="F16" s="130">
        <f>IF(SER_hh_fech_in!F16=0,0,SER_hh_fech_in!F16/SER_summary!F$27)</f>
        <v>11.905130623522318</v>
      </c>
      <c r="G16" s="130">
        <f>IF(SER_hh_fech_in!G16=0,0,SER_hh_fech_in!G16/SER_summary!G$27)</f>
        <v>11.782770185267536</v>
      </c>
      <c r="H16" s="130">
        <f>IF(SER_hh_fech_in!H16=0,0,SER_hh_fech_in!H16/SER_summary!H$27)</f>
        <v>13.387319007742505</v>
      </c>
      <c r="I16" s="130">
        <f>IF(SER_hh_fech_in!I16=0,0,SER_hh_fech_in!I16/SER_summary!I$27)</f>
        <v>18.802912364916523</v>
      </c>
      <c r="J16" s="130">
        <f>IF(SER_hh_fech_in!J16=0,0,SER_hh_fech_in!J16/SER_summary!J$27)</f>
        <v>17.689974303346155</v>
      </c>
      <c r="K16" s="130">
        <f>IF(SER_hh_fech_in!K16=0,0,SER_hh_fech_in!K16/SER_summary!K$27)</f>
        <v>11.668814676274682</v>
      </c>
      <c r="L16" s="130">
        <f>IF(SER_hh_fech_in!L16=0,0,SER_hh_fech_in!L16/SER_summary!L$27)</f>
        <v>14.365124510655139</v>
      </c>
      <c r="M16" s="130">
        <f>IF(SER_hh_fech_in!M16=0,0,SER_hh_fech_in!M16/SER_summary!M$27)</f>
        <v>11.865562494029293</v>
      </c>
      <c r="N16" s="130">
        <f>IF(SER_hh_fech_in!N16=0,0,SER_hh_fech_in!N16/SER_summary!N$27)</f>
        <v>18.360351838663583</v>
      </c>
      <c r="O16" s="130">
        <f>IF(SER_hh_fech_in!O16=0,0,SER_hh_fech_in!O16/SER_summary!O$27)</f>
        <v>11.122238551582084</v>
      </c>
      <c r="P16" s="130">
        <f>IF(SER_hh_fech_in!P16=0,0,SER_hh_fech_in!P16/SER_summary!P$27)</f>
        <v>8.5944049037762049</v>
      </c>
      <c r="Q16" s="130">
        <f>IF(SER_hh_fech_in!Q16=0,0,SER_hh_fech_in!Q16/SER_summary!Q$27)</f>
        <v>10.149813212501286</v>
      </c>
      <c r="R16" s="130">
        <f>IF(SER_hh_fech_in!R16=0,0,SER_hh_fech_in!R16/SER_summary!R$27)</f>
        <v>10.258138590627519</v>
      </c>
      <c r="S16" s="130">
        <f>IF(SER_hh_fech_in!S16=0,0,SER_hh_fech_in!S16/SER_summary!S$27)</f>
        <v>9.8365184040647744</v>
      </c>
      <c r="T16" s="130">
        <f>IF(SER_hh_fech_in!T16=0,0,SER_hh_fech_in!T16/SER_summary!T$27)</f>
        <v>8.2126902157514365</v>
      </c>
      <c r="U16" s="130">
        <f>IF(SER_hh_fech_in!U16=0,0,SER_hh_fech_in!U16/SER_summary!U$27)</f>
        <v>9.5561727944104966</v>
      </c>
      <c r="V16" s="130">
        <f>IF(SER_hh_fech_in!V16=0,0,SER_hh_fech_in!V16/SER_summary!V$27)</f>
        <v>7.7801903138304356</v>
      </c>
      <c r="W16" s="130">
        <f>IF(SER_hh_fech_in!W16=0,0,SER_hh_fech_in!W16/SER_summary!W$27)</f>
        <v>9.1981125088087552</v>
      </c>
      <c r="X16" s="130">
        <f>IF(SER_hh_fech_in!X16=0,0,SER_hh_fech_in!X16/SER_summary!X$27)</f>
        <v>7.1123078098495478</v>
      </c>
      <c r="Y16" s="130">
        <f>IF(SER_hh_fech_in!Y16=0,0,SER_hh_fech_in!Y16/SER_summary!Y$27)</f>
        <v>7.4967785516208627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37.540942409360227</v>
      </c>
      <c r="D17" s="132">
        <f>IF(SER_hh_fech_in!D17=0,0,SER_hh_fech_in!D17/SER_summary!D$27)</f>
        <v>30.084376935453186</v>
      </c>
      <c r="E17" s="132">
        <f>IF(SER_hh_fech_in!E17=0,0,SER_hh_fech_in!E17/SER_summary!E$27)</f>
        <v>39.585172409931246</v>
      </c>
      <c r="F17" s="132">
        <f>IF(SER_hh_fech_in!F17=0,0,SER_hh_fech_in!F17/SER_summary!F$27)</f>
        <v>24.593183849197416</v>
      </c>
      <c r="G17" s="132">
        <f>IF(SER_hh_fech_in!G17=0,0,SER_hh_fech_in!G17/SER_summary!G$27)</f>
        <v>24.921620952556051</v>
      </c>
      <c r="H17" s="132">
        <f>IF(SER_hh_fech_in!H17=0,0,SER_hh_fech_in!H17/SER_summary!H$27)</f>
        <v>28.969736529312829</v>
      </c>
      <c r="I17" s="132">
        <f>IF(SER_hh_fech_in!I17=0,0,SER_hh_fech_in!I17/SER_summary!I$27)</f>
        <v>41.673594548396508</v>
      </c>
      <c r="J17" s="132">
        <f>IF(SER_hh_fech_in!J17=0,0,SER_hh_fech_in!J17/SER_summary!J$27)</f>
        <v>38.688455092867684</v>
      </c>
      <c r="K17" s="132">
        <f>IF(SER_hh_fech_in!K17=0,0,SER_hh_fech_in!K17/SER_summary!K$27)</f>
        <v>32.442228924050838</v>
      </c>
      <c r="L17" s="132">
        <f>IF(SER_hh_fech_in!L17=0,0,SER_hh_fech_in!L17/SER_summary!L$27)</f>
        <v>33.065514298917833</v>
      </c>
      <c r="M17" s="132">
        <f>IF(SER_hh_fech_in!M17=0,0,SER_hh_fech_in!M17/SER_summary!M$27)</f>
        <v>28.275744900500399</v>
      </c>
      <c r="N17" s="132">
        <f>IF(SER_hh_fech_in!N17=0,0,SER_hh_fech_in!N17/SER_summary!N$27)</f>
        <v>39.791936110328848</v>
      </c>
      <c r="O17" s="132">
        <f>IF(SER_hh_fech_in!O17=0,0,SER_hh_fech_in!O17/SER_summary!O$27)</f>
        <v>26.760019828437866</v>
      </c>
      <c r="P17" s="132">
        <f>IF(SER_hh_fech_in!P17=0,0,SER_hh_fech_in!P17/SER_summary!P$27)</f>
        <v>21.955921059299044</v>
      </c>
      <c r="Q17" s="132">
        <f>IF(SER_hh_fech_in!Q17=0,0,SER_hh_fech_in!Q17/SER_summary!Q$27)</f>
        <v>25.822438172754751</v>
      </c>
      <c r="R17" s="132">
        <f>IF(SER_hh_fech_in!R17=0,0,SER_hh_fech_in!R17/SER_summary!R$27)</f>
        <v>26.670402082248849</v>
      </c>
      <c r="S17" s="132">
        <f>IF(SER_hh_fech_in!S17=0,0,SER_hh_fech_in!S17/SER_summary!S$27)</f>
        <v>25.256163186389564</v>
      </c>
      <c r="T17" s="132">
        <f>IF(SER_hh_fech_in!T17=0,0,SER_hh_fech_in!T17/SER_summary!T$27)</f>
        <v>20.329657491414981</v>
      </c>
      <c r="U17" s="132">
        <f>IF(SER_hh_fech_in!U17=0,0,SER_hh_fech_in!U17/SER_summary!U$27)</f>
        <v>24.020186566894051</v>
      </c>
      <c r="V17" s="132">
        <f>IF(SER_hh_fech_in!V17=0,0,SER_hh_fech_in!V17/SER_summary!V$27)</f>
        <v>18.520966472671205</v>
      </c>
      <c r="W17" s="132">
        <f>IF(SER_hh_fech_in!W17=0,0,SER_hh_fech_in!W17/SER_summary!W$27)</f>
        <v>21.670174847165509</v>
      </c>
      <c r="X17" s="132">
        <f>IF(SER_hh_fech_in!X17=0,0,SER_hh_fech_in!X17/SER_summary!X$27)</f>
        <v>17.524026373986835</v>
      </c>
      <c r="Y17" s="132">
        <f>IF(SER_hh_fech_in!Y17=0,0,SER_hh_fech_in!Y17/SER_summary!Y$27)</f>
        <v>18.404799646546333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19.630065786234404</v>
      </c>
      <c r="D18" s="132">
        <f>IF(SER_hh_fech_in!D18=0,0,SER_hh_fech_in!D18/SER_summary!D$27)</f>
        <v>15.309917632182463</v>
      </c>
      <c r="E18" s="132">
        <f>IF(SER_hh_fech_in!E18=0,0,SER_hh_fech_in!E18/SER_summary!E$27)</f>
        <v>19.716043425130422</v>
      </c>
      <c r="F18" s="132">
        <f>IF(SER_hh_fech_in!F18=0,0,SER_hh_fech_in!F18/SER_summary!F$27)</f>
        <v>11.826798360206674</v>
      </c>
      <c r="G18" s="132">
        <f>IF(SER_hh_fech_in!G18=0,0,SER_hh_fech_in!G18/SER_summary!G$27)</f>
        <v>11.696486724135998</v>
      </c>
      <c r="H18" s="132">
        <f>IF(SER_hh_fech_in!H18=0,0,SER_hh_fech_in!H18/SER_summary!H$27)</f>
        <v>13.305328297727488</v>
      </c>
      <c r="I18" s="132">
        <f>IF(SER_hh_fech_in!I18=0,0,SER_hh_fech_in!I18/SER_summary!I$27)</f>
        <v>18.802500873406828</v>
      </c>
      <c r="J18" s="132">
        <f>IF(SER_hh_fech_in!J18=0,0,SER_hh_fech_in!J18/SER_summary!J$27)</f>
        <v>17.542222174486216</v>
      </c>
      <c r="K18" s="132">
        <f>IF(SER_hh_fech_in!K18=0,0,SER_hh_fech_in!K18/SER_summary!K$27)</f>
        <v>11.377164206289518</v>
      </c>
      <c r="L18" s="132">
        <f>IF(SER_hh_fech_in!L18=0,0,SER_hh_fech_in!L18/SER_summary!L$27)</f>
        <v>14.024289121727479</v>
      </c>
      <c r="M18" s="132">
        <f>IF(SER_hh_fech_in!M18=0,0,SER_hh_fech_in!M18/SER_summary!M$27)</f>
        <v>11.537823000898959</v>
      </c>
      <c r="N18" s="132">
        <f>IF(SER_hh_fech_in!N18=0,0,SER_hh_fech_in!N18/SER_summary!N$27)</f>
        <v>17.932597808328872</v>
      </c>
      <c r="O18" s="132">
        <f>IF(SER_hh_fech_in!O18=0,0,SER_hh_fech_in!O18/SER_summary!O$27)</f>
        <v>10.587984433609364</v>
      </c>
      <c r="P18" s="132">
        <f>IF(SER_hh_fech_in!P18=0,0,SER_hh_fech_in!P18/SER_summary!P$27)</f>
        <v>8.0761986167020865</v>
      </c>
      <c r="Q18" s="132">
        <f>IF(SER_hh_fech_in!Q18=0,0,SER_hh_fech_in!Q18/SER_summary!Q$27)</f>
        <v>9.7278523374293826</v>
      </c>
      <c r="R18" s="132">
        <f>IF(SER_hh_fech_in!R18=0,0,SER_hh_fech_in!R18/SER_summary!R$27)</f>
        <v>9.9083111754232132</v>
      </c>
      <c r="S18" s="132">
        <f>IF(SER_hh_fech_in!S18=0,0,SER_hh_fech_in!S18/SER_summary!S$27)</f>
        <v>9.4256183932301649</v>
      </c>
      <c r="T18" s="132">
        <f>IF(SER_hh_fech_in!T18=0,0,SER_hh_fech_in!T18/SER_summary!T$27)</f>
        <v>7.6574993970918461</v>
      </c>
      <c r="U18" s="132">
        <f>IF(SER_hh_fech_in!U18=0,0,SER_hh_fech_in!U18/SER_summary!U$27)</f>
        <v>9.1633156470860158</v>
      </c>
      <c r="V18" s="132">
        <f>IF(SER_hh_fech_in!V18=0,0,SER_hh_fech_in!V18/SER_summary!V$27)</f>
        <v>7.4715913073839877</v>
      </c>
      <c r="W18" s="132">
        <f>IF(SER_hh_fech_in!W18=0,0,SER_hh_fech_in!W18/SER_summary!W$27)</f>
        <v>8.8587591286182175</v>
      </c>
      <c r="X18" s="132">
        <f>IF(SER_hh_fech_in!X18=0,0,SER_hh_fech_in!X18/SER_summary!X$27)</f>
        <v>6.8051656186029668</v>
      </c>
      <c r="Y18" s="132">
        <f>IF(SER_hh_fech_in!Y18=0,0,SER_hh_fech_in!Y18/SER_summary!Y$27)</f>
        <v>7.1158528469529632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38.866768256685837</v>
      </c>
      <c r="D19" s="130">
        <f>IF(SER_hh_fech_in!D19=0,0,SER_hh_fech_in!D19/SER_summary!D$27)</f>
        <v>40.230473739826088</v>
      </c>
      <c r="E19" s="130">
        <f>IF(SER_hh_fech_in!E19=0,0,SER_hh_fech_in!E19/SER_summary!E$27)</f>
        <v>40.125616204145018</v>
      </c>
      <c r="F19" s="130">
        <f>IF(SER_hh_fech_in!F19=0,0,SER_hh_fech_in!F19/SER_summary!F$27)</f>
        <v>40.17179377285499</v>
      </c>
      <c r="G19" s="130">
        <f>IF(SER_hh_fech_in!G19=0,0,SER_hh_fech_in!G19/SER_summary!G$27)</f>
        <v>44.528707205703633</v>
      </c>
      <c r="H19" s="130">
        <f>IF(SER_hh_fech_in!H19=0,0,SER_hh_fech_in!H19/SER_summary!H$27)</f>
        <v>41.42102048685021</v>
      </c>
      <c r="I19" s="130">
        <f>IF(SER_hh_fech_in!I19=0,0,SER_hh_fech_in!I19/SER_summary!I$27)</f>
        <v>39.188290624587005</v>
      </c>
      <c r="J19" s="130">
        <f>IF(SER_hh_fech_in!J19=0,0,SER_hh_fech_in!J19/SER_summary!J$27)</f>
        <v>36.409025907011753</v>
      </c>
      <c r="K19" s="130">
        <f>IF(SER_hh_fech_in!K19=0,0,SER_hh_fech_in!K19/SER_summary!K$27)</f>
        <v>30.221082372316264</v>
      </c>
      <c r="L19" s="130">
        <f>IF(SER_hh_fech_in!L19=0,0,SER_hh_fech_in!L19/SER_summary!L$27)</f>
        <v>40.989569367762662</v>
      </c>
      <c r="M19" s="130">
        <f>IF(SER_hh_fech_in!M19=0,0,SER_hh_fech_in!M19/SER_summary!M$27)</f>
        <v>38.780034808780513</v>
      </c>
      <c r="N19" s="130">
        <f>IF(SER_hh_fech_in!N19=0,0,SER_hh_fech_in!N19/SER_summary!N$27)</f>
        <v>37.857911998484809</v>
      </c>
      <c r="O19" s="130">
        <f>IF(SER_hh_fech_in!O19=0,0,SER_hh_fech_in!O19/SER_summary!O$27)</f>
        <v>31.006951456016296</v>
      </c>
      <c r="P19" s="130">
        <f>IF(SER_hh_fech_in!P19=0,0,SER_hh_fech_in!P19/SER_summary!P$27)</f>
        <v>38.313851684519619</v>
      </c>
      <c r="Q19" s="130">
        <f>IF(SER_hh_fech_in!Q19=0,0,SER_hh_fech_in!Q19/SER_summary!Q$27)</f>
        <v>36.777335592302627</v>
      </c>
      <c r="R19" s="130">
        <f>IF(SER_hh_fech_in!R19=0,0,SER_hh_fech_in!R19/SER_summary!R$27)</f>
        <v>31.929503093886414</v>
      </c>
      <c r="S19" s="130">
        <f>IF(SER_hh_fech_in!S19=0,0,SER_hh_fech_in!S19/SER_summary!S$27)</f>
        <v>34.518963310960025</v>
      </c>
      <c r="T19" s="130">
        <f>IF(SER_hh_fech_in!T19=0,0,SER_hh_fech_in!T19/SER_summary!T$27)</f>
        <v>34.054452821373296</v>
      </c>
      <c r="U19" s="130">
        <f>IF(SER_hh_fech_in!U19=0,0,SER_hh_fech_in!U19/SER_summary!U$27)</f>
        <v>32.311674903618211</v>
      </c>
      <c r="V19" s="130">
        <f>IF(SER_hh_fech_in!V19=0,0,SER_hh_fech_in!V19/SER_summary!V$27)</f>
        <v>25.872268413669325</v>
      </c>
      <c r="W19" s="130">
        <f>IF(SER_hh_fech_in!W19=0,0,SER_hh_fech_in!W19/SER_summary!W$27)</f>
        <v>26.286082907130808</v>
      </c>
      <c r="X19" s="130">
        <f>IF(SER_hh_fech_in!X19=0,0,SER_hh_fech_in!X19/SER_summary!X$27)</f>
        <v>28.870498917581919</v>
      </c>
      <c r="Y19" s="130">
        <f>IF(SER_hh_fech_in!Y19=0,0,SER_hh_fech_in!Y19/SER_summary!Y$27)</f>
        <v>28.597278112567388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0</v>
      </c>
      <c r="D20" s="132">
        <f>IF(SER_hh_fech_in!D20=0,0,SER_hh_fech_in!D20/SER_summary!D$27)</f>
        <v>0</v>
      </c>
      <c r="E20" s="132">
        <f>IF(SER_hh_fech_in!E20=0,0,SER_hh_fech_in!E20/SER_summary!E$27)</f>
        <v>0</v>
      </c>
      <c r="F20" s="132">
        <f>IF(SER_hh_fech_in!F20=0,0,SER_hh_fech_in!F20/SER_summary!F$27)</f>
        <v>0</v>
      </c>
      <c r="G20" s="132">
        <f>IF(SER_hh_fech_in!G20=0,0,SER_hh_fech_in!G20/SER_summary!G$27)</f>
        <v>0</v>
      </c>
      <c r="H20" s="132">
        <f>IF(SER_hh_fech_in!H20=0,0,SER_hh_fech_in!H20/SER_summary!H$27)</f>
        <v>0</v>
      </c>
      <c r="I20" s="132">
        <f>IF(SER_hh_fech_in!I20=0,0,SER_hh_fech_in!I20/SER_summary!I$27)</f>
        <v>0</v>
      </c>
      <c r="J20" s="132">
        <f>IF(SER_hh_fech_in!J20=0,0,SER_hh_fech_in!J20/SER_summary!J$27)</f>
        <v>0</v>
      </c>
      <c r="K20" s="132">
        <f>IF(SER_hh_fech_in!K20=0,0,SER_hh_fech_in!K20/SER_summary!K$27)</f>
        <v>0</v>
      </c>
      <c r="L20" s="132">
        <f>IF(SER_hh_fech_in!L20=0,0,SER_hh_fech_in!L20/SER_summary!L$27)</f>
        <v>0</v>
      </c>
      <c r="M20" s="132">
        <f>IF(SER_hh_fech_in!M20=0,0,SER_hh_fech_in!M20/SER_summary!M$27)</f>
        <v>0</v>
      </c>
      <c r="N20" s="132">
        <f>IF(SER_hh_fech_in!N20=0,0,SER_hh_fech_in!N20/SER_summary!N$27)</f>
        <v>0</v>
      </c>
      <c r="O20" s="132">
        <f>IF(SER_hh_fech_in!O20=0,0,SER_hh_fech_in!O20/SER_summary!O$27)</f>
        <v>0</v>
      </c>
      <c r="P20" s="132">
        <f>IF(SER_hh_fech_in!P20=0,0,SER_hh_fech_in!P20/SER_summary!P$27)</f>
        <v>0</v>
      </c>
      <c r="Q20" s="132">
        <f>IF(SER_hh_fech_in!Q20=0,0,SER_hh_fech_in!Q20/SER_summary!Q$27)</f>
        <v>0</v>
      </c>
      <c r="R20" s="132">
        <f>IF(SER_hh_fech_in!R20=0,0,SER_hh_fech_in!R20/SER_summary!R$27)</f>
        <v>0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0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46.59301124824961</v>
      </c>
      <c r="D21" s="132">
        <f>IF(SER_hh_fech_in!D21=0,0,SER_hh_fech_in!D21/SER_summary!D$27)</f>
        <v>47.991550244882148</v>
      </c>
      <c r="E21" s="132">
        <f>IF(SER_hh_fech_in!E21=0,0,SER_hh_fech_in!E21/SER_summary!E$27)</f>
        <v>46.408504227156982</v>
      </c>
      <c r="F21" s="132">
        <f>IF(SER_hh_fech_in!F21=0,0,SER_hh_fech_in!F21/SER_summary!F$27)</f>
        <v>46.977979904323796</v>
      </c>
      <c r="G21" s="132">
        <f>IF(SER_hh_fech_in!G21=0,0,SER_hh_fech_in!G21/SER_summary!G$27)</f>
        <v>49.735690242830351</v>
      </c>
      <c r="H21" s="132">
        <f>IF(SER_hh_fech_in!H21=0,0,SER_hh_fech_in!H21/SER_summary!H$27)</f>
        <v>47.981301935675049</v>
      </c>
      <c r="I21" s="132">
        <f>IF(SER_hh_fech_in!I21=0,0,SER_hh_fech_in!I21/SER_summary!I$27)</f>
        <v>50.324340405595862</v>
      </c>
      <c r="J21" s="132">
        <f>IF(SER_hh_fech_in!J21=0,0,SER_hh_fech_in!J21/SER_summary!J$27)</f>
        <v>48.773118688864535</v>
      </c>
      <c r="K21" s="132">
        <f>IF(SER_hh_fech_in!K21=0,0,SER_hh_fech_in!K21/SER_summary!K$27)</f>
        <v>43.015508536855023</v>
      </c>
      <c r="L21" s="132">
        <f>IF(SER_hh_fech_in!L21=0,0,SER_hh_fech_in!L21/SER_summary!L$27)</f>
        <v>50.743103029875115</v>
      </c>
      <c r="M21" s="132">
        <f>IF(SER_hh_fech_in!M21=0,0,SER_hh_fech_in!M21/SER_summary!M$27)</f>
        <v>49.608927652933893</v>
      </c>
      <c r="N21" s="132">
        <f>IF(SER_hh_fech_in!N21=0,0,SER_hh_fech_in!N21/SER_summary!N$27)</f>
        <v>50.546135785446978</v>
      </c>
      <c r="O21" s="132">
        <f>IF(SER_hh_fech_in!O21=0,0,SER_hh_fech_in!O21/SER_summary!O$27)</f>
        <v>48.061152729121503</v>
      </c>
      <c r="P21" s="132">
        <f>IF(SER_hh_fech_in!P21=0,0,SER_hh_fech_in!P21/SER_summary!P$27)</f>
        <v>44.572835832866552</v>
      </c>
      <c r="Q21" s="132">
        <f>IF(SER_hh_fech_in!Q21=0,0,SER_hh_fech_in!Q21/SER_summary!Q$27)</f>
        <v>41.184187575991878</v>
      </c>
      <c r="R21" s="132">
        <f>IF(SER_hh_fech_in!R21=0,0,SER_hh_fech_in!R21/SER_summary!R$27)</f>
        <v>39.577219116260899</v>
      </c>
      <c r="S21" s="132">
        <f>IF(SER_hh_fech_in!S21=0,0,SER_hh_fech_in!S21/SER_summary!S$27)</f>
        <v>41.089750632057992</v>
      </c>
      <c r="T21" s="132">
        <f>IF(SER_hh_fech_in!T21=0,0,SER_hh_fech_in!T21/SER_summary!T$27)</f>
        <v>40.374794155777622</v>
      </c>
      <c r="U21" s="132">
        <f>IF(SER_hh_fech_in!U21=0,0,SER_hh_fech_in!U21/SER_summary!U$27)</f>
        <v>39.73177648141867</v>
      </c>
      <c r="V21" s="132">
        <f>IF(SER_hh_fech_in!V21=0,0,SER_hh_fech_in!V21/SER_summary!V$27)</f>
        <v>23.500493476505913</v>
      </c>
      <c r="W21" s="132">
        <f>IF(SER_hh_fech_in!W21=0,0,SER_hh_fech_in!W21/SER_summary!W$27)</f>
        <v>27.764063776925926</v>
      </c>
      <c r="X21" s="132">
        <f>IF(SER_hh_fech_in!X21=0,0,SER_hh_fech_in!X21/SER_summary!X$27)</f>
        <v>32.97387322954512</v>
      </c>
      <c r="Y21" s="132">
        <f>IF(SER_hh_fech_in!Y21=0,0,SER_hh_fech_in!Y21/SER_summary!Y$27)</f>
        <v>34.462461777643639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49.293662593624838</v>
      </c>
      <c r="D22" s="132">
        <f>IF(SER_hh_fech_in!D22=0,0,SER_hh_fech_in!D22/SER_summary!D$27)</f>
        <v>50.915424390056529</v>
      </c>
      <c r="E22" s="132">
        <f>IF(SER_hh_fech_in!E22=0,0,SER_hh_fech_in!E22/SER_summary!E$27)</f>
        <v>50.585980913980173</v>
      </c>
      <c r="F22" s="132">
        <f>IF(SER_hh_fech_in!F22=0,0,SER_hh_fech_in!F22/SER_summary!F$27)</f>
        <v>51.101866605477255</v>
      </c>
      <c r="G22" s="132">
        <f>IF(SER_hh_fech_in!G22=0,0,SER_hh_fech_in!G22/SER_summary!G$27)</f>
        <v>53.610869472946597</v>
      </c>
      <c r="H22" s="132">
        <f>IF(SER_hh_fech_in!H22=0,0,SER_hh_fech_in!H22/SER_summary!H$27)</f>
        <v>52.336191123279633</v>
      </c>
      <c r="I22" s="132">
        <f>IF(SER_hh_fech_in!I22=0,0,SER_hh_fech_in!I22/SER_summary!I$27)</f>
        <v>51.29294165680637</v>
      </c>
      <c r="J22" s="132">
        <f>IF(SER_hh_fech_in!J22=0,0,SER_hh_fech_in!J22/SER_summary!J$27)</f>
        <v>50.196537925433681</v>
      </c>
      <c r="K22" s="132">
        <f>IF(SER_hh_fech_in!K22=0,0,SER_hh_fech_in!K22/SER_summary!K$27)</f>
        <v>43.735198801725019</v>
      </c>
      <c r="L22" s="132">
        <f>IF(SER_hh_fech_in!L22=0,0,SER_hh_fech_in!L22/SER_summary!L$27)</f>
        <v>52.98951967257802</v>
      </c>
      <c r="M22" s="132">
        <f>IF(SER_hh_fech_in!M22=0,0,SER_hh_fech_in!M22/SER_summary!M$27)</f>
        <v>53.025280911015194</v>
      </c>
      <c r="N22" s="132">
        <f>IF(SER_hh_fech_in!N22=0,0,SER_hh_fech_in!N22/SER_summary!N$27)</f>
        <v>51.144739384120172</v>
      </c>
      <c r="O22" s="132">
        <f>IF(SER_hh_fech_in!O22=0,0,SER_hh_fech_in!O22/SER_summary!O$27)</f>
        <v>49.483984343746371</v>
      </c>
      <c r="P22" s="132">
        <f>IF(SER_hh_fech_in!P22=0,0,SER_hh_fech_in!P22/SER_summary!P$27)</f>
        <v>46.482438602978434</v>
      </c>
      <c r="Q22" s="132">
        <f>IF(SER_hh_fech_in!Q22=0,0,SER_hh_fech_in!Q22/SER_summary!Q$27)</f>
        <v>43.935782783085074</v>
      </c>
      <c r="R22" s="132">
        <f>IF(SER_hh_fech_in!R22=0,0,SER_hh_fech_in!R22/SER_summary!R$27)</f>
        <v>40.487943841890058</v>
      </c>
      <c r="S22" s="132">
        <f>IF(SER_hh_fech_in!S22=0,0,SER_hh_fech_in!S22/SER_summary!S$27)</f>
        <v>41.712085730030772</v>
      </c>
      <c r="T22" s="132">
        <f>IF(SER_hh_fech_in!T22=0,0,SER_hh_fech_in!T22/SER_summary!T$27)</f>
        <v>0</v>
      </c>
      <c r="U22" s="132">
        <f>IF(SER_hh_fech_in!U22=0,0,SER_hh_fech_in!U22/SER_summary!U$27)</f>
        <v>0</v>
      </c>
      <c r="V22" s="132">
        <f>IF(SER_hh_fech_in!V22=0,0,SER_hh_fech_in!V22/SER_summary!V$27)</f>
        <v>0</v>
      </c>
      <c r="W22" s="132">
        <f>IF(SER_hh_fech_in!W22=0,0,SER_hh_fech_in!W22/SER_summary!W$27)</f>
        <v>0</v>
      </c>
      <c r="X22" s="132">
        <f>IF(SER_hh_fech_in!X22=0,0,SER_hh_fech_in!X22/SER_summary!X$27)</f>
        <v>31.045336685370113</v>
      </c>
      <c r="Y22" s="132">
        <f>IF(SER_hh_fech_in!Y22=0,0,SER_hh_fech_in!Y22/SER_summary!Y$27)</f>
        <v>30.611308230702623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45.566838346772798</v>
      </c>
      <c r="D23" s="132">
        <f>IF(SER_hh_fech_in!D23=0,0,SER_hh_fech_in!D23/SER_summary!D$27)</f>
        <v>45.816028337165214</v>
      </c>
      <c r="E23" s="132">
        <f>IF(SER_hh_fech_in!E23=0,0,SER_hh_fech_in!E23/SER_summary!E$27)</f>
        <v>44.747374903083681</v>
      </c>
      <c r="F23" s="132">
        <f>IF(SER_hh_fech_in!F23=0,0,SER_hh_fech_in!F23/SER_summary!F$27)</f>
        <v>38.821061679924526</v>
      </c>
      <c r="G23" s="132">
        <f>IF(SER_hh_fech_in!G23=0,0,SER_hh_fech_in!G23/SER_summary!G$27)</f>
        <v>49.702443147979061</v>
      </c>
      <c r="H23" s="132">
        <f>IF(SER_hh_fech_in!H23=0,0,SER_hh_fech_in!H23/SER_summary!H$27)</f>
        <v>46.577878753513488</v>
      </c>
      <c r="I23" s="132">
        <f>IF(SER_hh_fech_in!I23=0,0,SER_hh_fech_in!I23/SER_summary!I$27)</f>
        <v>46.528884757410111</v>
      </c>
      <c r="J23" s="132">
        <f>IF(SER_hh_fech_in!J23=0,0,SER_hh_fech_in!J23/SER_summary!J$27)</f>
        <v>44.201785620798773</v>
      </c>
      <c r="K23" s="132">
        <f>IF(SER_hh_fech_in!K23=0,0,SER_hh_fech_in!K23/SER_summary!K$27)</f>
        <v>39.659882580794125</v>
      </c>
      <c r="L23" s="132">
        <f>IF(SER_hh_fech_in!L23=0,0,SER_hh_fech_in!L23/SER_summary!L$27)</f>
        <v>48.41262745513945</v>
      </c>
      <c r="M23" s="132">
        <f>IF(SER_hh_fech_in!M23=0,0,SER_hh_fech_in!M23/SER_summary!M$27)</f>
        <v>46.789575831570005</v>
      </c>
      <c r="N23" s="132">
        <f>IF(SER_hh_fech_in!N23=0,0,SER_hh_fech_in!N23/SER_summary!N$27)</f>
        <v>46.400941209428161</v>
      </c>
      <c r="O23" s="132">
        <f>IF(SER_hh_fech_in!O23=0,0,SER_hh_fech_in!O23/SER_summary!O$27)</f>
        <v>45.346121999942618</v>
      </c>
      <c r="P23" s="132">
        <f>IF(SER_hh_fech_in!P23=0,0,SER_hh_fech_in!P23/SER_summary!P$27)</f>
        <v>41.054602540940095</v>
      </c>
      <c r="Q23" s="132">
        <f>IF(SER_hh_fech_in!Q23=0,0,SER_hh_fech_in!Q23/SER_summary!Q$27)</f>
        <v>41.837388290339604</v>
      </c>
      <c r="R23" s="132">
        <f>IF(SER_hh_fech_in!R23=0,0,SER_hh_fech_in!R23/SER_summary!R$27)</f>
        <v>38.632892458561919</v>
      </c>
      <c r="S23" s="132">
        <f>IF(SER_hh_fech_in!S23=0,0,SER_hh_fech_in!S23/SER_summary!S$27)</f>
        <v>38.113211385449105</v>
      </c>
      <c r="T23" s="132">
        <f>IF(SER_hh_fech_in!T23=0,0,SER_hh_fech_in!T23/SER_summary!T$27)</f>
        <v>36.763013678317805</v>
      </c>
      <c r="U23" s="132">
        <f>IF(SER_hh_fech_in!U23=0,0,SER_hh_fech_in!U23/SER_summary!U$27)</f>
        <v>35.147288432708393</v>
      </c>
      <c r="V23" s="132">
        <f>IF(SER_hh_fech_in!V23=0,0,SER_hh_fech_in!V23/SER_summary!V$27)</f>
        <v>29.627663011449172</v>
      </c>
      <c r="W23" s="132">
        <f>IF(SER_hh_fech_in!W23=0,0,SER_hh_fech_in!W23/SER_summary!W$27)</f>
        <v>0</v>
      </c>
      <c r="X23" s="132">
        <f>IF(SER_hh_fech_in!X23=0,0,SER_hh_fech_in!X23/SER_summary!X$27)</f>
        <v>0</v>
      </c>
      <c r="Y23" s="132">
        <f>IF(SER_hh_fech_in!Y23=0,0,SER_hh_fech_in!Y23/SER_summary!Y$27)</f>
        <v>0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0</v>
      </c>
      <c r="D24" s="132">
        <f>IF(SER_hh_fech_in!D24=0,0,SER_hh_fech_in!D24/SER_summary!D$27)</f>
        <v>0</v>
      </c>
      <c r="E24" s="132">
        <f>IF(SER_hh_fech_in!E24=0,0,SER_hh_fech_in!E24/SER_summary!E$27)</f>
        <v>0</v>
      </c>
      <c r="F24" s="132">
        <f>IF(SER_hh_fech_in!F24=0,0,SER_hh_fech_in!F24/SER_summary!F$27)</f>
        <v>0</v>
      </c>
      <c r="G24" s="132">
        <f>IF(SER_hh_fech_in!G24=0,0,SER_hh_fech_in!G24/SER_summary!G$27)</f>
        <v>0</v>
      </c>
      <c r="H24" s="132">
        <f>IF(SER_hh_fech_in!H24=0,0,SER_hh_fech_in!H24/SER_summary!H$27)</f>
        <v>0</v>
      </c>
      <c r="I24" s="132">
        <f>IF(SER_hh_fech_in!I24=0,0,SER_hh_fech_in!I24/SER_summary!I$27)</f>
        <v>0</v>
      </c>
      <c r="J24" s="132">
        <f>IF(SER_hh_fech_in!J24=0,0,SER_hh_fech_in!J24/SER_summary!J$27)</f>
        <v>0</v>
      </c>
      <c r="K24" s="132">
        <f>IF(SER_hh_fech_in!K24=0,0,SER_hh_fech_in!K24/SER_summary!K$27)</f>
        <v>0</v>
      </c>
      <c r="L24" s="132">
        <f>IF(SER_hh_fech_in!L24=0,0,SER_hh_fech_in!L24/SER_summary!L$27)</f>
        <v>0</v>
      </c>
      <c r="M24" s="132">
        <f>IF(SER_hh_fech_in!M24=0,0,SER_hh_fech_in!M24/SER_summary!M$27)</f>
        <v>0</v>
      </c>
      <c r="N24" s="132">
        <f>IF(SER_hh_fech_in!N24=0,0,SER_hh_fech_in!N24/SER_summary!N$27)</f>
        <v>0</v>
      </c>
      <c r="O24" s="132">
        <f>IF(SER_hh_fech_in!O24=0,0,SER_hh_fech_in!O24/SER_summary!O$27)</f>
        <v>0</v>
      </c>
      <c r="P24" s="132">
        <f>IF(SER_hh_fech_in!P24=0,0,SER_hh_fech_in!P24/SER_summary!P$27)</f>
        <v>0</v>
      </c>
      <c r="Q24" s="132">
        <f>IF(SER_hh_fech_in!Q24=0,0,SER_hh_fech_in!Q24/SER_summary!Q$27)</f>
        <v>0</v>
      </c>
      <c r="R24" s="132">
        <f>IF(SER_hh_fech_in!R24=0,0,SER_hh_fech_in!R24/SER_summary!R$27)</f>
        <v>0</v>
      </c>
      <c r="S24" s="132">
        <f>IF(SER_hh_fech_in!S24=0,0,SER_hh_fech_in!S24/SER_summary!S$27)</f>
        <v>0</v>
      </c>
      <c r="T24" s="132">
        <f>IF(SER_hh_fech_in!T24=0,0,SER_hh_fech_in!T24/SER_summary!T$27)</f>
        <v>0</v>
      </c>
      <c r="U24" s="132">
        <f>IF(SER_hh_fech_in!U24=0,0,SER_hh_fech_in!U24/SER_summary!U$27)</f>
        <v>0</v>
      </c>
      <c r="V24" s="132">
        <f>IF(SER_hh_fech_in!V24=0,0,SER_hh_fech_in!V24/SER_summary!V$27)</f>
        <v>0</v>
      </c>
      <c r="W24" s="132">
        <f>IF(SER_hh_fech_in!W24=0,0,SER_hh_fech_in!W24/SER_summary!W$27)</f>
        <v>0</v>
      </c>
      <c r="X24" s="132">
        <f>IF(SER_hh_fech_in!X24=0,0,SER_hh_fech_in!X24/SER_summary!X$27)</f>
        <v>0</v>
      </c>
      <c r="Y24" s="132">
        <f>IF(SER_hh_fech_in!Y24=0,0,SER_hh_fech_in!Y24/SER_summary!Y$27)</f>
        <v>0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0</v>
      </c>
      <c r="D25" s="132">
        <f>IF(SER_hh_fech_in!D25=0,0,SER_hh_fech_in!D25/SER_summary!D$27)</f>
        <v>0</v>
      </c>
      <c r="E25" s="132">
        <f>IF(SER_hh_fech_in!E25=0,0,SER_hh_fech_in!E25/SER_summary!E$27)</f>
        <v>0</v>
      </c>
      <c r="F25" s="132">
        <f>IF(SER_hh_fech_in!F25=0,0,SER_hh_fech_in!F25/SER_summary!F$27)</f>
        <v>0</v>
      </c>
      <c r="G25" s="132">
        <f>IF(SER_hh_fech_in!G25=0,0,SER_hh_fech_in!G25/SER_summary!G$27)</f>
        <v>0</v>
      </c>
      <c r="H25" s="132">
        <f>IF(SER_hh_fech_in!H25=0,0,SER_hh_fech_in!H25/SER_summary!H$27)</f>
        <v>0</v>
      </c>
      <c r="I25" s="132">
        <f>IF(SER_hh_fech_in!I25=0,0,SER_hh_fech_in!I25/SER_summary!I$27)</f>
        <v>0</v>
      </c>
      <c r="J25" s="132">
        <f>IF(SER_hh_fech_in!J25=0,0,SER_hh_fech_in!J25/SER_summary!J$27)</f>
        <v>0</v>
      </c>
      <c r="K25" s="132">
        <f>IF(SER_hh_fech_in!K25=0,0,SER_hh_fech_in!K25/SER_summary!K$27)</f>
        <v>0</v>
      </c>
      <c r="L25" s="132">
        <f>IF(SER_hh_fech_in!L25=0,0,SER_hh_fech_in!L25/SER_summary!L$27)</f>
        <v>0</v>
      </c>
      <c r="M25" s="132">
        <f>IF(SER_hh_fech_in!M25=0,0,SER_hh_fech_in!M25/SER_summary!M$27)</f>
        <v>0</v>
      </c>
      <c r="N25" s="132">
        <f>IF(SER_hh_fech_in!N25=0,0,SER_hh_fech_in!N25/SER_summary!N$27)</f>
        <v>0</v>
      </c>
      <c r="O25" s="132">
        <f>IF(SER_hh_fech_in!O25=0,0,SER_hh_fech_in!O25/SER_summary!O$27)</f>
        <v>0</v>
      </c>
      <c r="P25" s="132">
        <f>IF(SER_hh_fech_in!P25=0,0,SER_hh_fech_in!P25/SER_summary!P$27)</f>
        <v>0</v>
      </c>
      <c r="Q25" s="132">
        <f>IF(SER_hh_fech_in!Q25=0,0,SER_hh_fech_in!Q25/SER_summary!Q$27)</f>
        <v>0</v>
      </c>
      <c r="R25" s="132">
        <f>IF(SER_hh_fech_in!R25=0,0,SER_hh_fech_in!R25/SER_summary!R$27)</f>
        <v>0</v>
      </c>
      <c r="S25" s="132">
        <f>IF(SER_hh_fech_in!S25=0,0,SER_hh_fech_in!S25/SER_summary!S$27)</f>
        <v>0</v>
      </c>
      <c r="T25" s="132">
        <f>IF(SER_hh_fech_in!T25=0,0,SER_hh_fech_in!T25/SER_summary!T$27)</f>
        <v>0</v>
      </c>
      <c r="U25" s="132">
        <f>IF(SER_hh_fech_in!U25=0,0,SER_hh_fech_in!U25/SER_summary!U$27)</f>
        <v>0</v>
      </c>
      <c r="V25" s="132">
        <f>IF(SER_hh_fech_in!V25=0,0,SER_hh_fech_in!V25/SER_summary!V$27)</f>
        <v>0</v>
      </c>
      <c r="W25" s="132">
        <f>IF(SER_hh_fech_in!W25=0,0,SER_hh_fech_in!W25/SER_summary!W$27)</f>
        <v>0</v>
      </c>
      <c r="X25" s="132">
        <f>IF(SER_hh_fech_in!X25=0,0,SER_hh_fech_in!X25/SER_summary!X$27)</f>
        <v>0</v>
      </c>
      <c r="Y25" s="132">
        <f>IF(SER_hh_fech_in!Y25=0,0,SER_hh_fech_in!Y25/SER_summary!Y$27)</f>
        <v>0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37.041956758287569</v>
      </c>
      <c r="D26" s="65">
        <f>IF(SER_hh_fech_in!D26=0,0,SER_hh_fech_in!D26/SER_summary!D$27)</f>
        <v>37.818933296930929</v>
      </c>
      <c r="E26" s="65">
        <f>IF(SER_hh_fech_in!E26=0,0,SER_hh_fech_in!E26/SER_summary!E$27)</f>
        <v>37.494100263587598</v>
      </c>
      <c r="F26" s="65">
        <f>IF(SER_hh_fech_in!F26=0,0,SER_hh_fech_in!F26/SER_summary!F$27)</f>
        <v>37.481791556886272</v>
      </c>
      <c r="G26" s="65">
        <f>IF(SER_hh_fech_in!G26=0,0,SER_hh_fech_in!G26/SER_summary!G$27)</f>
        <v>43.092338693146047</v>
      </c>
      <c r="H26" s="65">
        <f>IF(SER_hh_fech_in!H26=0,0,SER_hh_fech_in!H26/SER_summary!H$27)</f>
        <v>37.131685780316204</v>
      </c>
      <c r="I26" s="65">
        <f>IF(SER_hh_fech_in!I26=0,0,SER_hh_fech_in!I26/SER_summary!I$27)</f>
        <v>32.105609656300174</v>
      </c>
      <c r="J26" s="65">
        <f>IF(SER_hh_fech_in!J26=0,0,SER_hh_fech_in!J26/SER_summary!J$27)</f>
        <v>25.640882575419916</v>
      </c>
      <c r="K26" s="65">
        <f>IF(SER_hh_fech_in!K26=0,0,SER_hh_fech_in!K26/SER_summary!K$27)</f>
        <v>8.5449205082685449</v>
      </c>
      <c r="L26" s="65">
        <f>IF(SER_hh_fech_in!L26=0,0,SER_hh_fech_in!L26/SER_summary!L$27)</f>
        <v>31.107530827688645</v>
      </c>
      <c r="M26" s="65">
        <f>IF(SER_hh_fech_in!M26=0,0,SER_hh_fech_in!M26/SER_summary!M$27)</f>
        <v>26.168586273663411</v>
      </c>
      <c r="N26" s="65">
        <f>IF(SER_hh_fech_in!N26=0,0,SER_hh_fech_in!N26/SER_summary!N$27)</f>
        <v>26.835443543556394</v>
      </c>
      <c r="O26" s="65">
        <f>IF(SER_hh_fech_in!O26=0,0,SER_hh_fech_in!O26/SER_summary!O$27)</f>
        <v>7.4885178076235244</v>
      </c>
      <c r="P26" s="65">
        <f>IF(SER_hh_fech_in!P26=0,0,SER_hh_fech_in!P26/SER_summary!P$27)</f>
        <v>31.03583901847685</v>
      </c>
      <c r="Q26" s="65">
        <f>IF(SER_hh_fech_in!Q26=0,0,SER_hh_fech_in!Q26/SER_summary!Q$27)</f>
        <v>28.064048985559634</v>
      </c>
      <c r="R26" s="65">
        <f>IF(SER_hh_fech_in!R26=0,0,SER_hh_fech_in!R26/SER_summary!R$27)</f>
        <v>11.030965035032407</v>
      </c>
      <c r="S26" s="65">
        <f>IF(SER_hh_fech_in!S26=0,0,SER_hh_fech_in!S26/SER_summary!S$27)</f>
        <v>23.922108878244835</v>
      </c>
      <c r="T26" s="65">
        <f>IF(SER_hh_fech_in!T26=0,0,SER_hh_fech_in!T26/SER_summary!T$27)</f>
        <v>25.86052443707317</v>
      </c>
      <c r="U26" s="65">
        <f>IF(SER_hh_fech_in!U26=0,0,SER_hh_fech_in!U26/SER_summary!U$27)</f>
        <v>22.78766384043502</v>
      </c>
      <c r="V26" s="65">
        <f>IF(SER_hh_fech_in!V26=0,0,SER_hh_fech_in!V26/SER_summary!V$27)</f>
        <v>7.2462317572215156</v>
      </c>
      <c r="W26" s="65">
        <f>IF(SER_hh_fech_in!W26=0,0,SER_hh_fech_in!W26/SER_summary!W$27)</f>
        <v>13.264204151122797</v>
      </c>
      <c r="X26" s="65">
        <f>IF(SER_hh_fech_in!X26=0,0,SER_hh_fech_in!X26/SER_summary!X$27)</f>
        <v>19.909379008393685</v>
      </c>
      <c r="Y26" s="65">
        <f>IF(SER_hh_fech_in!Y26=0,0,SER_hh_fech_in!Y26/SER_summary!Y$27)</f>
        <v>16.663919360940064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0.94716833042303061</v>
      </c>
      <c r="D27" s="145">
        <f>IF(SER_hh_fech_in!D27=0,0,SER_hh_fech_in!D27/SER_summary!D$27)</f>
        <v>1.3822228451092595</v>
      </c>
      <c r="E27" s="145">
        <f>IF(SER_hh_fech_in!E27=0,0,SER_hh_fech_in!E27/SER_summary!E$27)</f>
        <v>1.6350509844396297</v>
      </c>
      <c r="F27" s="145">
        <f>IF(SER_hh_fech_in!F27=0,0,SER_hh_fech_in!F27/SER_summary!F$27)</f>
        <v>1.9104385515456688</v>
      </c>
      <c r="G27" s="145">
        <f>IF(SER_hh_fech_in!G27=0,0,SER_hh_fech_in!G27/SER_summary!G$27)</f>
        <v>1.4777243705439536E-2</v>
      </c>
      <c r="H27" s="145">
        <f>IF(SER_hh_fech_in!H27=0,0,SER_hh_fech_in!H27/SER_summary!H$27)</f>
        <v>2.4685735609549129</v>
      </c>
      <c r="I27" s="145">
        <f>IF(SER_hh_fech_in!I27=0,0,SER_hh_fech_in!I27/SER_summary!I$27)</f>
        <v>4.2142308975560647</v>
      </c>
      <c r="J27" s="145">
        <f>IF(SER_hh_fech_in!J27=0,0,SER_hh_fech_in!J27/SER_summary!J$27)</f>
        <v>7.6905217593204176</v>
      </c>
      <c r="K27" s="145">
        <f>IF(SER_hh_fech_in!K27=0,0,SER_hh_fech_in!K27/SER_summary!K$27)</f>
        <v>16.739623155493405</v>
      </c>
      <c r="L27" s="145">
        <f>IF(SER_hh_fech_in!L27=0,0,SER_hh_fech_in!L27/SER_summary!L$27)</f>
        <v>5.3661173677226524</v>
      </c>
      <c r="M27" s="145">
        <f>IF(SER_hh_fech_in!M27=0,0,SER_hh_fech_in!M27/SER_summary!M$27)</f>
        <v>8.7957077119670526</v>
      </c>
      <c r="N27" s="145">
        <f>IF(SER_hh_fech_in!N27=0,0,SER_hh_fech_in!N27/SER_summary!N$27)</f>
        <v>8.3923639735781048</v>
      </c>
      <c r="O27" s="145">
        <f>IF(SER_hh_fech_in!O27=0,0,SER_hh_fech_in!O27/SER_summary!O$27)</f>
        <v>19.069791849104078</v>
      </c>
      <c r="P27" s="145">
        <f>IF(SER_hh_fech_in!P27=0,0,SER_hh_fech_in!P27/SER_summary!P$27)</f>
        <v>5.8155063511857188</v>
      </c>
      <c r="Q27" s="145">
        <f>IF(SER_hh_fech_in!Q27=0,0,SER_hh_fech_in!Q27/SER_summary!Q$27)</f>
        <v>6.7235262665310014</v>
      </c>
      <c r="R27" s="145">
        <f>IF(SER_hh_fech_in!R27=0,0,SER_hh_fech_in!R27/SER_summary!R$27)</f>
        <v>16.777961899089249</v>
      </c>
      <c r="S27" s="145">
        <f>IF(SER_hh_fech_in!S27=0,0,SER_hh_fech_in!S27/SER_summary!S$27)</f>
        <v>8.2681842335708264</v>
      </c>
      <c r="T27" s="145">
        <f>IF(SER_hh_fech_in!T27=0,0,SER_hh_fech_in!T27/SER_summary!T$27)</f>
        <v>6.7452124199227415</v>
      </c>
      <c r="U27" s="145">
        <f>IF(SER_hh_fech_in!U27=0,0,SER_hh_fech_in!U27/SER_summary!U$27)</f>
        <v>7.8413443916639878</v>
      </c>
      <c r="V27" s="145">
        <f>IF(SER_hh_fech_in!V27=0,0,SER_hh_fech_in!V27/SER_summary!V$27)</f>
        <v>16.530951794688178</v>
      </c>
      <c r="W27" s="145">
        <f>IF(SER_hh_fech_in!W27=0,0,SER_hh_fech_in!W27/SER_summary!W$27)</f>
        <v>12.071702298748082</v>
      </c>
      <c r="X27" s="145">
        <f>IF(SER_hh_fech_in!X27=0,0,SER_hh_fech_in!X27/SER_summary!X$27)</f>
        <v>8.167298288064881</v>
      </c>
      <c r="Y27" s="145">
        <f>IF(SER_hh_fech_in!Y27=0,0,SER_hh_fech_in!Y27/SER_summary!Y$27)</f>
        <v>10.527877016756241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17.175232339360669</v>
      </c>
      <c r="D28" s="146">
        <f>IF(SER_hh_fech_in!D28=0,0,SER_hh_fech_in!D28/SER_summary!D$27)</f>
        <v>17.852525799851293</v>
      </c>
      <c r="E28" s="146">
        <f>IF(SER_hh_fech_in!E28=0,0,SER_hh_fech_in!E28/SER_summary!E$27)</f>
        <v>18.149628533408976</v>
      </c>
      <c r="F28" s="146">
        <f>IF(SER_hh_fech_in!F28=0,0,SER_hh_fech_in!F28/SER_summary!F$27)</f>
        <v>18.333359934159958</v>
      </c>
      <c r="G28" s="146">
        <f>IF(SER_hh_fech_in!G28=0,0,SER_hh_fech_in!G28/SER_summary!G$27)</f>
        <v>19.361192729992194</v>
      </c>
      <c r="H28" s="146">
        <f>IF(SER_hh_fech_in!H28=0,0,SER_hh_fech_in!H28/SER_summary!H$27)</f>
        <v>18.959956326789666</v>
      </c>
      <c r="I28" s="146">
        <f>IF(SER_hh_fech_in!I28=0,0,SER_hh_fech_in!I28/SER_summary!I$27)</f>
        <v>18.55434564030104</v>
      </c>
      <c r="J28" s="146">
        <f>IF(SER_hh_fech_in!J28=0,0,SER_hh_fech_in!J28/SER_summary!J$27)</f>
        <v>18.861008085526443</v>
      </c>
      <c r="K28" s="146">
        <f>IF(SER_hh_fech_in!K28=0,0,SER_hh_fech_in!K28/SER_summary!K$27)</f>
        <v>19.183627057647538</v>
      </c>
      <c r="L28" s="146">
        <f>IF(SER_hh_fech_in!L28=0,0,SER_hh_fech_in!L28/SER_summary!L$27)</f>
        <v>20.099263861342035</v>
      </c>
      <c r="M28" s="146">
        <f>IF(SER_hh_fech_in!M28=0,0,SER_hh_fech_in!M28/SER_summary!M$27)</f>
        <v>20.809159945763255</v>
      </c>
      <c r="N28" s="146">
        <f>IF(SER_hh_fech_in!N28=0,0,SER_hh_fech_in!N28/SER_summary!N$27)</f>
        <v>21.582208318035896</v>
      </c>
      <c r="O28" s="146">
        <f>IF(SER_hh_fech_in!O28=0,0,SER_hh_fech_in!O28/SER_summary!O$27)</f>
        <v>21.448608798964063</v>
      </c>
      <c r="P28" s="146">
        <f>IF(SER_hh_fech_in!P28=0,0,SER_hh_fech_in!P28/SER_summary!P$27)</f>
        <v>22.064260420290083</v>
      </c>
      <c r="Q28" s="146">
        <f>IF(SER_hh_fech_in!Q28=0,0,SER_hh_fech_in!Q28/SER_summary!Q$27)</f>
        <v>22.457781671107725</v>
      </c>
      <c r="R28" s="146">
        <f>IF(SER_hh_fech_in!R28=0,0,SER_hh_fech_in!R28/SER_summary!R$27)</f>
        <v>21.890165461873078</v>
      </c>
      <c r="S28" s="146">
        <f>IF(SER_hh_fech_in!S28=0,0,SER_hh_fech_in!S28/SER_summary!S$27)</f>
        <v>21.875776349879864</v>
      </c>
      <c r="T28" s="146">
        <f>IF(SER_hh_fech_in!T28=0,0,SER_hh_fech_in!T28/SER_summary!T$27)</f>
        <v>22.25373989808892</v>
      </c>
      <c r="U28" s="146">
        <f>IF(SER_hh_fech_in!U28=0,0,SER_hh_fech_in!U28/SER_summary!U$27)</f>
        <v>22.312298516455698</v>
      </c>
      <c r="V28" s="146">
        <f>IF(SER_hh_fech_in!V28=0,0,SER_hh_fech_in!V28/SER_summary!V$27)</f>
        <v>20.270419959401206</v>
      </c>
      <c r="W28" s="146">
        <f>IF(SER_hh_fech_in!W28=0,0,SER_hh_fech_in!W28/SER_summary!W$27)</f>
        <v>19.489575324541811</v>
      </c>
      <c r="X28" s="146">
        <f>IF(SER_hh_fech_in!X28=0,0,SER_hh_fech_in!X28/SER_summary!X$27)</f>
        <v>20.470474032917235</v>
      </c>
      <c r="Y28" s="146">
        <f>IF(SER_hh_fech_in!Y28=0,0,SER_hh_fech_in!Y28/SER_summary!Y$27)</f>
        <v>21.72886052972687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41.600166041242048</v>
      </c>
      <c r="D29" s="130">
        <f>IF(SER_hh_fech_in!D29=0,0,SER_hh_fech_in!D29/SER_summary!D$27)</f>
        <v>44.051214877832869</v>
      </c>
      <c r="E29" s="130">
        <f>IF(SER_hh_fech_in!E29=0,0,SER_hh_fech_in!E29/SER_summary!E$27)</f>
        <v>43.068364065782525</v>
      </c>
      <c r="F29" s="130">
        <f>IF(SER_hh_fech_in!F29=0,0,SER_hh_fech_in!F29/SER_summary!F$27)</f>
        <v>50.447282331558938</v>
      </c>
      <c r="G29" s="130">
        <f>IF(SER_hh_fech_in!G29=0,0,SER_hh_fech_in!G29/SER_summary!G$27)</f>
        <v>46.376191093059084</v>
      </c>
      <c r="H29" s="130">
        <f>IF(SER_hh_fech_in!H29=0,0,SER_hh_fech_in!H29/SER_summary!H$27)</f>
        <v>44.067178908613343</v>
      </c>
      <c r="I29" s="130">
        <f>IF(SER_hh_fech_in!I29=0,0,SER_hh_fech_in!I29/SER_summary!I$27)</f>
        <v>42.209406768967405</v>
      </c>
      <c r="J29" s="130">
        <f>IF(SER_hh_fech_in!J29=0,0,SER_hh_fech_in!J29/SER_summary!J$27)</f>
        <v>42.622089638018188</v>
      </c>
      <c r="K29" s="130">
        <f>IF(SER_hh_fech_in!K29=0,0,SER_hh_fech_in!K29/SER_summary!K$27)</f>
        <v>43.944331863712996</v>
      </c>
      <c r="L29" s="130">
        <f>IF(SER_hh_fech_in!L29=0,0,SER_hh_fech_in!L29/SER_summary!L$27)</f>
        <v>46.976396587648985</v>
      </c>
      <c r="M29" s="130">
        <f>IF(SER_hh_fech_in!M29=0,0,SER_hh_fech_in!M29/SER_summary!M$27)</f>
        <v>45.283121839225721</v>
      </c>
      <c r="N29" s="130">
        <f>IF(SER_hh_fech_in!N29=0,0,SER_hh_fech_in!N29/SER_summary!N$27)</f>
        <v>57.346520873633999</v>
      </c>
      <c r="O29" s="130">
        <f>IF(SER_hh_fech_in!O29=0,0,SER_hh_fech_in!O29/SER_summary!O$27)</f>
        <v>46.371633024926865</v>
      </c>
      <c r="P29" s="130">
        <f>IF(SER_hh_fech_in!P29=0,0,SER_hh_fech_in!P29/SER_summary!P$27)</f>
        <v>47.14819986215246</v>
      </c>
      <c r="Q29" s="130">
        <f>IF(SER_hh_fech_in!Q29=0,0,SER_hh_fech_in!Q29/SER_summary!Q$27)</f>
        <v>45.571853085611174</v>
      </c>
      <c r="R29" s="130">
        <f>IF(SER_hh_fech_in!R29=0,0,SER_hh_fech_in!R29/SER_summary!R$27)</f>
        <v>45.759314874443355</v>
      </c>
      <c r="S29" s="130">
        <f>IF(SER_hh_fech_in!S29=0,0,SER_hh_fech_in!S29/SER_summary!S$27)</f>
        <v>44.147303688132979</v>
      </c>
      <c r="T29" s="130">
        <f>IF(SER_hh_fech_in!T29=0,0,SER_hh_fech_in!T29/SER_summary!T$27)</f>
        <v>43.992784055305634</v>
      </c>
      <c r="U29" s="130">
        <f>IF(SER_hh_fech_in!U29=0,0,SER_hh_fech_in!U29/SER_summary!U$27)</f>
        <v>42.897360557267412</v>
      </c>
      <c r="V29" s="130">
        <f>IF(SER_hh_fech_in!V29=0,0,SER_hh_fech_in!V29/SER_summary!V$27)</f>
        <v>35.283652520873886</v>
      </c>
      <c r="W29" s="130">
        <f>IF(SER_hh_fech_in!W29=0,0,SER_hh_fech_in!W29/SER_summary!W$27)</f>
        <v>41.406318092325364</v>
      </c>
      <c r="X29" s="130">
        <f>IF(SER_hh_fech_in!X29=0,0,SER_hh_fech_in!X29/SER_summary!X$27)</f>
        <v>43.41909817455911</v>
      </c>
      <c r="Y29" s="130">
        <f>IF(SER_hh_fech_in!Y29=0,0,SER_hh_fech_in!Y29/SER_summary!Y$27)</f>
        <v>44.053787249319896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62.123170435531094</v>
      </c>
      <c r="D30" s="132">
        <f>IF(SER_hh_fech_in!D30=0,0,SER_hh_fech_in!D30/SER_summary!D$27)</f>
        <v>38.036836906113002</v>
      </c>
      <c r="E30" s="132">
        <f>IF(SER_hh_fech_in!E30=0,0,SER_hh_fech_in!E30/SER_summary!E$27)</f>
        <v>38.317761982933646</v>
      </c>
      <c r="F30" s="132">
        <f>IF(SER_hh_fech_in!F30=0,0,SER_hh_fech_in!F30/SER_summary!F$27)</f>
        <v>76.316102787006685</v>
      </c>
      <c r="G30" s="132">
        <f>IF(SER_hh_fech_in!G30=0,0,SER_hh_fech_in!G30/SER_summary!G$27)</f>
        <v>60.562814396520082</v>
      </c>
      <c r="H30" s="132">
        <f>IF(SER_hh_fech_in!H30=0,0,SER_hh_fech_in!H30/SER_summary!H$27)</f>
        <v>56.981724995603415</v>
      </c>
      <c r="I30" s="132">
        <f>IF(SER_hh_fech_in!I30=0,0,SER_hh_fech_in!I30/SER_summary!I$27)</f>
        <v>55.167985896048009</v>
      </c>
      <c r="J30" s="132">
        <f>IF(SER_hh_fech_in!J30=0,0,SER_hh_fech_in!J30/SER_summary!J$27)</f>
        <v>52.212852362913118</v>
      </c>
      <c r="K30" s="132">
        <f>IF(SER_hh_fech_in!K30=0,0,SER_hh_fech_in!K30/SER_summary!K$27)</f>
        <v>48.734783725136943</v>
      </c>
      <c r="L30" s="132">
        <f>IF(SER_hh_fech_in!L30=0,0,SER_hh_fech_in!L30/SER_summary!L$27)</f>
        <v>51.954034776675059</v>
      </c>
      <c r="M30" s="132">
        <f>IF(SER_hh_fech_in!M30=0,0,SER_hh_fech_in!M30/SER_summary!M$27)</f>
        <v>37.321551251684298</v>
      </c>
      <c r="N30" s="132">
        <f>IF(SER_hh_fech_in!N30=0,0,SER_hh_fech_in!N30/SER_summary!N$27)</f>
        <v>102.73404653213612</v>
      </c>
      <c r="O30" s="132">
        <f>IF(SER_hh_fech_in!O30=0,0,SER_hh_fech_in!O30/SER_summary!O$27)</f>
        <v>70.543301157365121</v>
      </c>
      <c r="P30" s="132">
        <f>IF(SER_hh_fech_in!P30=0,0,SER_hh_fech_in!P30/SER_summary!P$27)</f>
        <v>0</v>
      </c>
      <c r="Q30" s="132">
        <f>IF(SER_hh_fech_in!Q30=0,0,SER_hh_fech_in!Q30/SER_summary!Q$27)</f>
        <v>49.265595410847126</v>
      </c>
      <c r="R30" s="132">
        <f>IF(SER_hh_fech_in!R30=0,0,SER_hh_fech_in!R30/SER_summary!R$27)</f>
        <v>55.162713221410868</v>
      </c>
      <c r="S30" s="132">
        <f>IF(SER_hh_fech_in!S30=0,0,SER_hh_fech_in!S30/SER_summary!S$27)</f>
        <v>59.53526769171085</v>
      </c>
      <c r="T30" s="132">
        <f>IF(SER_hh_fech_in!T30=0,0,SER_hh_fech_in!T30/SER_summary!T$27)</f>
        <v>59.55968434197095</v>
      </c>
      <c r="U30" s="132">
        <f>IF(SER_hh_fech_in!U30=0,0,SER_hh_fech_in!U30/SER_summary!U$27)</f>
        <v>63.165158822622004</v>
      </c>
      <c r="V30" s="132">
        <f>IF(SER_hh_fech_in!V30=0,0,SER_hh_fech_in!V30/SER_summary!V$27)</f>
        <v>38.912915246073155</v>
      </c>
      <c r="W30" s="132">
        <f>IF(SER_hh_fech_in!W30=0,0,SER_hh_fech_in!W30/SER_summary!W$27)</f>
        <v>50.144510207471718</v>
      </c>
      <c r="X30" s="132">
        <f>IF(SER_hh_fech_in!X30=0,0,SER_hh_fech_in!X30/SER_summary!X$27)</f>
        <v>53.277061749824625</v>
      </c>
      <c r="Y30" s="132">
        <f>IF(SER_hh_fech_in!Y30=0,0,SER_hh_fech_in!Y30/SER_summary!Y$27)</f>
        <v>57.701429278645627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52.431870802223187</v>
      </c>
      <c r="D31" s="132">
        <f>IF(SER_hh_fech_in!D31=0,0,SER_hh_fech_in!D31/SER_summary!D$27)</f>
        <v>50.343641483703486</v>
      </c>
      <c r="E31" s="132">
        <f>IF(SER_hh_fech_in!E31=0,0,SER_hh_fech_in!E31/SER_summary!E$27)</f>
        <v>52.798232246709119</v>
      </c>
      <c r="F31" s="132">
        <f>IF(SER_hh_fech_in!F31=0,0,SER_hh_fech_in!F31/SER_summary!F$27)</f>
        <v>53.89191587756082</v>
      </c>
      <c r="G31" s="132">
        <f>IF(SER_hh_fech_in!G31=0,0,SER_hh_fech_in!G31/SER_summary!G$27)</f>
        <v>60.203332537256983</v>
      </c>
      <c r="H31" s="132">
        <f>IF(SER_hh_fech_in!H31=0,0,SER_hh_fech_in!H31/SER_summary!H$27)</f>
        <v>55.969728418780193</v>
      </c>
      <c r="I31" s="132">
        <f>IF(SER_hh_fech_in!I31=0,0,SER_hh_fech_in!I31/SER_summary!I$27)</f>
        <v>53.580080187182055</v>
      </c>
      <c r="J31" s="132">
        <f>IF(SER_hh_fech_in!J31=0,0,SER_hh_fech_in!J31/SER_summary!J$27)</f>
        <v>53.138902666288502</v>
      </c>
      <c r="K31" s="132">
        <f>IF(SER_hh_fech_in!K31=0,0,SER_hh_fech_in!K31/SER_summary!K$27)</f>
        <v>56.676075004290766</v>
      </c>
      <c r="L31" s="132">
        <f>IF(SER_hh_fech_in!L31=0,0,SER_hh_fech_in!L31/SER_summary!L$27)</f>
        <v>59.12395342623676</v>
      </c>
      <c r="M31" s="132">
        <f>IF(SER_hh_fech_in!M31=0,0,SER_hh_fech_in!M31/SER_summary!M$27)</f>
        <v>61.524535316564354</v>
      </c>
      <c r="N31" s="132">
        <f>IF(SER_hh_fech_in!N31=0,0,SER_hh_fech_in!N31/SER_summary!N$27)</f>
        <v>60.730396084923562</v>
      </c>
      <c r="O31" s="132">
        <f>IF(SER_hh_fech_in!O31=0,0,SER_hh_fech_in!O31/SER_summary!O$27)</f>
        <v>59.945844646345471</v>
      </c>
      <c r="P31" s="132">
        <f>IF(SER_hh_fech_in!P31=0,0,SER_hh_fech_in!P31/SER_summary!P$27)</f>
        <v>61.999991406402984</v>
      </c>
      <c r="Q31" s="132">
        <f>IF(SER_hh_fech_in!Q31=0,0,SER_hh_fech_in!Q31/SER_summary!Q$27)</f>
        <v>61.677345925431588</v>
      </c>
      <c r="R31" s="132">
        <f>IF(SER_hh_fech_in!R31=0,0,SER_hh_fech_in!R31/SER_summary!R$27)</f>
        <v>59.878205285119108</v>
      </c>
      <c r="S31" s="132">
        <f>IF(SER_hh_fech_in!S31=0,0,SER_hh_fech_in!S31/SER_summary!S$27)</f>
        <v>58.18714730011574</v>
      </c>
      <c r="T31" s="132">
        <f>IF(SER_hh_fech_in!T31=0,0,SER_hh_fech_in!T31/SER_summary!T$27)</f>
        <v>56.262282227630429</v>
      </c>
      <c r="U31" s="132">
        <f>IF(SER_hh_fech_in!U31=0,0,SER_hh_fech_in!U31/SER_summary!U$27)</f>
        <v>55.133091636979394</v>
      </c>
      <c r="V31" s="132">
        <f>IF(SER_hh_fech_in!V31=0,0,SER_hh_fech_in!V31/SER_summary!V$27)</f>
        <v>50.942355330738501</v>
      </c>
      <c r="W31" s="132">
        <f>IF(SER_hh_fech_in!W31=0,0,SER_hh_fech_in!W31/SER_summary!W$27)</f>
        <v>57.586931012074317</v>
      </c>
      <c r="X31" s="132">
        <f>IF(SER_hh_fech_in!X31=0,0,SER_hh_fech_in!X31/SER_summary!X$27)</f>
        <v>0</v>
      </c>
      <c r="Y31" s="132">
        <f>IF(SER_hh_fech_in!Y31=0,0,SER_hh_fech_in!Y31/SER_summary!Y$27)</f>
        <v>0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0</v>
      </c>
      <c r="D32" s="132">
        <f>IF(SER_hh_fech_in!D32=0,0,SER_hh_fech_in!D32/SER_summary!D$27)</f>
        <v>0</v>
      </c>
      <c r="E32" s="132">
        <f>IF(SER_hh_fech_in!E32=0,0,SER_hh_fech_in!E32/SER_summary!E$27)</f>
        <v>0</v>
      </c>
      <c r="F32" s="132">
        <f>IF(SER_hh_fech_in!F32=0,0,SER_hh_fech_in!F32/SER_summary!F$27)</f>
        <v>0</v>
      </c>
      <c r="G32" s="132">
        <f>IF(SER_hh_fech_in!G32=0,0,SER_hh_fech_in!G32/SER_summary!G$27)</f>
        <v>0</v>
      </c>
      <c r="H32" s="132">
        <f>IF(SER_hh_fech_in!H32=0,0,SER_hh_fech_in!H32/SER_summary!H$27)</f>
        <v>0</v>
      </c>
      <c r="I32" s="132">
        <f>IF(SER_hh_fech_in!I32=0,0,SER_hh_fech_in!I32/SER_summary!I$27)</f>
        <v>0</v>
      </c>
      <c r="J32" s="132">
        <f>IF(SER_hh_fech_in!J32=0,0,SER_hh_fech_in!J32/SER_summary!J$27)</f>
        <v>0</v>
      </c>
      <c r="K32" s="132">
        <f>IF(SER_hh_fech_in!K32=0,0,SER_hh_fech_in!K32/SER_summary!K$27)</f>
        <v>0</v>
      </c>
      <c r="L32" s="132">
        <f>IF(SER_hh_fech_in!L32=0,0,SER_hh_fech_in!L32/SER_summary!L$27)</f>
        <v>0</v>
      </c>
      <c r="M32" s="132">
        <f>IF(SER_hh_fech_in!M32=0,0,SER_hh_fech_in!M32/SER_summary!M$27)</f>
        <v>0</v>
      </c>
      <c r="N32" s="132">
        <f>IF(SER_hh_fech_in!N32=0,0,SER_hh_fech_in!N32/SER_summary!N$27)</f>
        <v>0</v>
      </c>
      <c r="O32" s="132">
        <f>IF(SER_hh_fech_in!O32=0,0,SER_hh_fech_in!O32/SER_summary!O$27)</f>
        <v>0</v>
      </c>
      <c r="P32" s="132">
        <f>IF(SER_hh_fech_in!P32=0,0,SER_hh_fech_in!P32/SER_summary!P$27)</f>
        <v>0</v>
      </c>
      <c r="Q32" s="132">
        <f>IF(SER_hh_fech_in!Q32=0,0,SER_hh_fech_in!Q32/SER_summary!Q$27)</f>
        <v>0</v>
      </c>
      <c r="R32" s="132">
        <f>IF(SER_hh_fech_in!R32=0,0,SER_hh_fech_in!R32/SER_summary!R$27)</f>
        <v>0</v>
      </c>
      <c r="S32" s="132">
        <f>IF(SER_hh_fech_in!S32=0,0,SER_hh_fech_in!S32/SER_summary!S$27)</f>
        <v>0</v>
      </c>
      <c r="T32" s="132">
        <f>IF(SER_hh_fech_in!T32=0,0,SER_hh_fech_in!T32/SER_summary!T$27)</f>
        <v>0</v>
      </c>
      <c r="U32" s="132">
        <f>IF(SER_hh_fech_in!U32=0,0,SER_hh_fech_in!U32/SER_summary!U$27)</f>
        <v>0</v>
      </c>
      <c r="V32" s="132">
        <f>IF(SER_hh_fech_in!V32=0,0,SER_hh_fech_in!V32/SER_summary!V$27)</f>
        <v>0</v>
      </c>
      <c r="W32" s="132">
        <f>IF(SER_hh_fech_in!W32=0,0,SER_hh_fech_in!W32/SER_summary!W$27)</f>
        <v>0</v>
      </c>
      <c r="X32" s="132">
        <f>IF(SER_hh_fech_in!X32=0,0,SER_hh_fech_in!X32/SER_summary!X$27)</f>
        <v>0</v>
      </c>
      <c r="Y32" s="132">
        <f>IF(SER_hh_fech_in!Y32=0,0,SER_hh_fech_in!Y32/SER_summary!Y$27)</f>
        <v>0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41.430479880139174</v>
      </c>
      <c r="D33" s="68">
        <f>IF(SER_hh_fech_in!D33=0,0,SER_hh_fech_in!D33/SER_summary!D$27)</f>
        <v>44.093658373885681</v>
      </c>
      <c r="E33" s="68">
        <f>IF(SER_hh_fech_in!E33=0,0,SER_hh_fech_in!E33/SER_summary!E$27)</f>
        <v>43.347569946392632</v>
      </c>
      <c r="F33" s="68">
        <f>IF(SER_hh_fech_in!F33=0,0,SER_hh_fech_in!F33/SER_summary!F$27)</f>
        <v>41.949381503940188</v>
      </c>
      <c r="G33" s="68">
        <f>IF(SER_hh_fech_in!G33=0,0,SER_hh_fech_in!G33/SER_summary!G$27)</f>
        <v>43.463668037927157</v>
      </c>
      <c r="H33" s="68">
        <f>IF(SER_hh_fech_in!H33=0,0,SER_hh_fech_in!H33/SER_summary!H$27)</f>
        <v>42.603680372269423</v>
      </c>
      <c r="I33" s="68">
        <f>IF(SER_hh_fech_in!I33=0,0,SER_hh_fech_in!I33/SER_summary!I$27)</f>
        <v>41.41795368401413</v>
      </c>
      <c r="J33" s="68">
        <f>IF(SER_hh_fech_in!J33=0,0,SER_hh_fech_in!J33/SER_summary!J$27)</f>
        <v>41.11034231102235</v>
      </c>
      <c r="K33" s="68">
        <f>IF(SER_hh_fech_in!K33=0,0,SER_hh_fech_in!K33/SER_summary!K$27)</f>
        <v>42.362253398453305</v>
      </c>
      <c r="L33" s="68">
        <f>IF(SER_hh_fech_in!L33=0,0,SER_hh_fech_in!L33/SER_summary!L$27)</f>
        <v>44.086208534071567</v>
      </c>
      <c r="M33" s="68">
        <f>IF(SER_hh_fech_in!M33=0,0,SER_hh_fech_in!M33/SER_summary!M$27)</f>
        <v>46.74797634259432</v>
      </c>
      <c r="N33" s="68">
        <f>IF(SER_hh_fech_in!N33=0,0,SER_hh_fech_in!N33/SER_summary!N$27)</f>
        <v>39.96298353430317</v>
      </c>
      <c r="O33" s="68">
        <f>IF(SER_hh_fech_in!O33=0,0,SER_hh_fech_in!O33/SER_summary!O$27)</f>
        <v>44.014047665960533</v>
      </c>
      <c r="P33" s="68">
        <f>IF(SER_hh_fech_in!P33=0,0,SER_hh_fech_in!P33/SER_summary!P$27)</f>
        <v>46.185362423687145</v>
      </c>
      <c r="Q33" s="68">
        <f>IF(SER_hh_fech_in!Q33=0,0,SER_hh_fech_in!Q33/SER_summary!Q$27)</f>
        <v>44.074759083990109</v>
      </c>
      <c r="R33" s="68">
        <f>IF(SER_hh_fech_in!R33=0,0,SER_hh_fech_in!R33/SER_summary!R$27)</f>
        <v>43.126599016843691</v>
      </c>
      <c r="S33" s="68">
        <f>IF(SER_hh_fech_in!S33=0,0,SER_hh_fech_in!S33/SER_summary!S$27)</f>
        <v>41.63786955570734</v>
      </c>
      <c r="T33" s="68">
        <f>IF(SER_hh_fech_in!T33=0,0,SER_hh_fech_in!T33/SER_summary!T$27)</f>
        <v>40.372450623039093</v>
      </c>
      <c r="U33" s="68">
        <f>IF(SER_hh_fech_in!U33=0,0,SER_hh_fech_in!U33/SER_summary!U$27)</f>
        <v>37.916996848590557</v>
      </c>
      <c r="V33" s="68">
        <f>IF(SER_hh_fech_in!V33=0,0,SER_hh_fech_in!V33/SER_summary!V$27)</f>
        <v>33.060341820678943</v>
      </c>
      <c r="W33" s="68">
        <f>IF(SER_hh_fech_in!W33=0,0,SER_hh_fech_in!W33/SER_summary!W$27)</f>
        <v>35.969007295391023</v>
      </c>
      <c r="X33" s="68">
        <f>IF(SER_hh_fech_in!X33=0,0,SER_hh_fech_in!X33/SER_summary!X$27)</f>
        <v>35.485014902359737</v>
      </c>
      <c r="Y33" s="68">
        <f>IF(SER_hh_fech_in!Y33=0,0,SER_hh_fech_in!Y33/SER_summary!Y$27)</f>
        <v>34.921590066749744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125.48018332263827</v>
      </c>
      <c r="D3" s="125">
        <f>IF(SER_hh_tesh_in!D3=0,0,SER_hh_tesh_in!D3/SER_summary!D$27)</f>
        <v>119.44977730466715</v>
      </c>
      <c r="E3" s="125">
        <f>IF(SER_hh_tesh_in!E3=0,0,SER_hh_tesh_in!E3/SER_summary!E$27)</f>
        <v>133.84366003734877</v>
      </c>
      <c r="F3" s="125">
        <f>IF(SER_hh_tesh_in!F3=0,0,SER_hh_tesh_in!F3/SER_summary!F$27)</f>
        <v>127.67665520512115</v>
      </c>
      <c r="G3" s="125">
        <f>IF(SER_hh_tesh_in!G3=0,0,SER_hh_tesh_in!G3/SER_summary!G$27)</f>
        <v>129.79493348116503</v>
      </c>
      <c r="H3" s="125">
        <f>IF(SER_hh_tesh_in!H3=0,0,SER_hh_tesh_in!H3/SER_summary!H$27)</f>
        <v>137.27310209663628</v>
      </c>
      <c r="I3" s="125">
        <f>IF(SER_hh_tesh_in!I3=0,0,SER_hh_tesh_in!I3/SER_summary!I$27)</f>
        <v>154.44848995066016</v>
      </c>
      <c r="J3" s="125">
        <f>IF(SER_hh_tesh_in!J3=0,0,SER_hh_tesh_in!J3/SER_summary!J$27)</f>
        <v>155.12767695642293</v>
      </c>
      <c r="K3" s="125">
        <f>IF(SER_hh_tesh_in!K3=0,0,SER_hh_tesh_in!K3/SER_summary!K$27)</f>
        <v>136.70069168654055</v>
      </c>
      <c r="L3" s="125">
        <f>IF(SER_hh_tesh_in!L3=0,0,SER_hh_tesh_in!L3/SER_summary!L$27)</f>
        <v>139.39302565343223</v>
      </c>
      <c r="M3" s="125">
        <f>IF(SER_hh_tesh_in!M3=0,0,SER_hh_tesh_in!M3/SER_summary!M$27)</f>
        <v>127.31890529714268</v>
      </c>
      <c r="N3" s="125">
        <f>IF(SER_hh_tesh_in!N3=0,0,SER_hh_tesh_in!N3/SER_summary!N$27)</f>
        <v>162.36639009048363</v>
      </c>
      <c r="O3" s="125">
        <f>IF(SER_hh_tesh_in!O3=0,0,SER_hh_tesh_in!O3/SER_summary!O$27)</f>
        <v>131.15976819210502</v>
      </c>
      <c r="P3" s="125">
        <f>IF(SER_hh_tesh_in!P3=0,0,SER_hh_tesh_in!P3/SER_summary!P$27)</f>
        <v>129.55377699752239</v>
      </c>
      <c r="Q3" s="125">
        <f>IF(SER_hh_tesh_in!Q3=0,0,SER_hh_tesh_in!Q3/SER_summary!Q$27)</f>
        <v>144.76329523541165</v>
      </c>
      <c r="R3" s="125">
        <f>IF(SER_hh_tesh_in!R3=0,0,SER_hh_tesh_in!R3/SER_summary!R$27)</f>
        <v>155.96045247399402</v>
      </c>
      <c r="S3" s="125">
        <f>IF(SER_hh_tesh_in!S3=0,0,SER_hh_tesh_in!S3/SER_summary!S$27)</f>
        <v>142.65689194617323</v>
      </c>
      <c r="T3" s="125">
        <f>IF(SER_hh_tesh_in!T3=0,0,SER_hh_tesh_in!T3/SER_summary!T$27)</f>
        <v>129.73523324467678</v>
      </c>
      <c r="U3" s="125">
        <f>IF(SER_hh_tesh_in!U3=0,0,SER_hh_tesh_in!U3/SER_summary!U$27)</f>
        <v>132.83417994540287</v>
      </c>
      <c r="V3" s="125">
        <f>IF(SER_hh_tesh_in!V3=0,0,SER_hh_tesh_in!V3/SER_summary!V$27)</f>
        <v>115.68109103818138</v>
      </c>
      <c r="W3" s="125">
        <f>IF(SER_hh_tesh_in!W3=0,0,SER_hh_tesh_in!W3/SER_summary!W$27)</f>
        <v>118.12941397816108</v>
      </c>
      <c r="X3" s="125">
        <f>IF(SER_hh_tesh_in!X3=0,0,SER_hh_tesh_in!X3/SER_summary!X$27)</f>
        <v>109.2008151756911</v>
      </c>
      <c r="Y3" s="125">
        <f>IF(SER_hh_tesh_in!Y3=0,0,SER_hh_tesh_in!Y3/SER_summary!Y$27)</f>
        <v>112.94339271873642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33.098623431315801</v>
      </c>
      <c r="D4" s="130">
        <f>IF(SER_hh_tesh_in!D4=0,0,SER_hh_tesh_in!D4/SER_summary!D$27)</f>
        <v>32.875872000837994</v>
      </c>
      <c r="E4" s="130">
        <f>IF(SER_hh_tesh_in!E4=0,0,SER_hh_tesh_in!E4/SER_summary!E$27)</f>
        <v>36.545897892950904</v>
      </c>
      <c r="F4" s="130">
        <f>IF(SER_hh_tesh_in!F4=0,0,SER_hh_tesh_in!F4/SER_summary!F$27)</f>
        <v>44.907128561575</v>
      </c>
      <c r="G4" s="130">
        <f>IF(SER_hh_tesh_in!G4=0,0,SER_hh_tesh_in!G4/SER_summary!G$27)</f>
        <v>45.849398782101289</v>
      </c>
      <c r="H4" s="130">
        <f>IF(SER_hh_tesh_in!H4=0,0,SER_hh_tesh_in!H4/SER_summary!H$27)</f>
        <v>49.134801572204609</v>
      </c>
      <c r="I4" s="130">
        <f>IF(SER_hh_tesh_in!I4=0,0,SER_hh_tesh_in!I4/SER_summary!I$27)</f>
        <v>51.142565382361759</v>
      </c>
      <c r="J4" s="130">
        <f>IF(SER_hh_tesh_in!J4=0,0,SER_hh_tesh_in!J4/SER_summary!J$27)</f>
        <v>53.640500599637292</v>
      </c>
      <c r="K4" s="130">
        <f>IF(SER_hh_tesh_in!K4=0,0,SER_hh_tesh_in!K4/SER_summary!K$27)</f>
        <v>50.112523081212146</v>
      </c>
      <c r="L4" s="130">
        <f>IF(SER_hh_tesh_in!L4=0,0,SER_hh_tesh_in!L4/SER_summary!L$27)</f>
        <v>41.362632029087003</v>
      </c>
      <c r="M4" s="130">
        <f>IF(SER_hh_tesh_in!M4=0,0,SER_hh_tesh_in!M4/SER_summary!M$27)</f>
        <v>38.290723510254651</v>
      </c>
      <c r="N4" s="130">
        <f>IF(SER_hh_tesh_in!N4=0,0,SER_hh_tesh_in!N4/SER_summary!N$27)</f>
        <v>43.211855639232667</v>
      </c>
      <c r="O4" s="130">
        <f>IF(SER_hh_tesh_in!O4=0,0,SER_hh_tesh_in!O4/SER_summary!O$27)</f>
        <v>37.13550350779056</v>
      </c>
      <c r="P4" s="130">
        <f>IF(SER_hh_tesh_in!P4=0,0,SER_hh_tesh_in!P4/SER_summary!P$27)</f>
        <v>40.796805469326358</v>
      </c>
      <c r="Q4" s="130">
        <f>IF(SER_hh_tesh_in!Q4=0,0,SER_hh_tesh_in!Q4/SER_summary!Q$27)</f>
        <v>50.335760521107801</v>
      </c>
      <c r="R4" s="130">
        <f>IF(SER_hh_tesh_in!R4=0,0,SER_hh_tesh_in!R4/SER_summary!R$27)</f>
        <v>59.456850444932108</v>
      </c>
      <c r="S4" s="130">
        <f>IF(SER_hh_tesh_in!S4=0,0,SER_hh_tesh_in!S4/SER_summary!S$27)</f>
        <v>47.599872706209226</v>
      </c>
      <c r="T4" s="130">
        <f>IF(SER_hh_tesh_in!T4=0,0,SER_hh_tesh_in!T4/SER_summary!T$27)</f>
        <v>41.527067044561178</v>
      </c>
      <c r="U4" s="130">
        <f>IF(SER_hh_tesh_in!U4=0,0,SER_hh_tesh_in!U4/SER_summary!U$27)</f>
        <v>39.644231235922973</v>
      </c>
      <c r="V4" s="130">
        <f>IF(SER_hh_tesh_in!V4=0,0,SER_hh_tesh_in!V4/SER_summary!V$27)</f>
        <v>35.906318740686714</v>
      </c>
      <c r="W4" s="130">
        <f>IF(SER_hh_tesh_in!W4=0,0,SER_hh_tesh_in!W4/SER_summary!W$27)</f>
        <v>30.284957639150644</v>
      </c>
      <c r="X4" s="130">
        <f>IF(SER_hh_tesh_in!X4=0,0,SER_hh_tesh_in!X4/SER_summary!X$27)</f>
        <v>27.689808014557766</v>
      </c>
      <c r="Y4" s="130">
        <f>IF(SER_hh_tesh_in!Y4=0,0,SER_hh_tesh_in!Y4/SER_summary!Y$27)</f>
        <v>28.846682888756447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0</v>
      </c>
      <c r="D5" s="132">
        <f>IF(SER_hh_tesh_in!D5=0,0,SER_hh_tesh_in!D5/SER_summary!D$27)</f>
        <v>0</v>
      </c>
      <c r="E5" s="132">
        <f>IF(SER_hh_tesh_in!E5=0,0,SER_hh_tesh_in!E5/SER_summary!E$27)</f>
        <v>0</v>
      </c>
      <c r="F5" s="132">
        <f>IF(SER_hh_tesh_in!F5=0,0,SER_hh_tesh_in!F5/SER_summary!F$27)</f>
        <v>0</v>
      </c>
      <c r="G5" s="132">
        <f>IF(SER_hh_tesh_in!G5=0,0,SER_hh_tesh_in!G5/SER_summary!G$27)</f>
        <v>0</v>
      </c>
      <c r="H5" s="132">
        <f>IF(SER_hh_tesh_in!H5=0,0,SER_hh_tesh_in!H5/SER_summary!H$27)</f>
        <v>0</v>
      </c>
      <c r="I5" s="132">
        <f>IF(SER_hh_tesh_in!I5=0,0,SER_hh_tesh_in!I5/SER_summary!I$27)</f>
        <v>0</v>
      </c>
      <c r="J5" s="132">
        <f>IF(SER_hh_tesh_in!J5=0,0,SER_hh_tesh_in!J5/SER_summary!J$27)</f>
        <v>0</v>
      </c>
      <c r="K5" s="132">
        <f>IF(SER_hh_tesh_in!K5=0,0,SER_hh_tesh_in!K5/SER_summary!K$27)</f>
        <v>0</v>
      </c>
      <c r="L5" s="132">
        <f>IF(SER_hh_tesh_in!L5=0,0,SER_hh_tesh_in!L5/SER_summary!L$27)</f>
        <v>0</v>
      </c>
      <c r="M5" s="132">
        <f>IF(SER_hh_tesh_in!M5=0,0,SER_hh_tesh_in!M5/SER_summary!M$27)</f>
        <v>0</v>
      </c>
      <c r="N5" s="132">
        <f>IF(SER_hh_tesh_in!N5=0,0,SER_hh_tesh_in!N5/SER_summary!N$27)</f>
        <v>0</v>
      </c>
      <c r="O5" s="132">
        <f>IF(SER_hh_tesh_in!O5=0,0,SER_hh_tesh_in!O5/SER_summary!O$27)</f>
        <v>0</v>
      </c>
      <c r="P5" s="132">
        <f>IF(SER_hh_tesh_in!P5=0,0,SER_hh_tesh_in!P5/SER_summary!P$27)</f>
        <v>0</v>
      </c>
      <c r="Q5" s="132">
        <f>IF(SER_hh_tesh_in!Q5=0,0,SER_hh_tesh_in!Q5/SER_summary!Q$27)</f>
        <v>0</v>
      </c>
      <c r="R5" s="132">
        <f>IF(SER_hh_tesh_in!R5=0,0,SER_hh_tesh_in!R5/SER_summary!R$27)</f>
        <v>0</v>
      </c>
      <c r="S5" s="132">
        <f>IF(SER_hh_tesh_in!S5=0,0,SER_hh_tesh_in!S5/SER_summary!S$27)</f>
        <v>0</v>
      </c>
      <c r="T5" s="132">
        <f>IF(SER_hh_tesh_in!T5=0,0,SER_hh_tesh_in!T5/SER_summary!T$27)</f>
        <v>0</v>
      </c>
      <c r="U5" s="132">
        <f>IF(SER_hh_tesh_in!U5=0,0,SER_hh_tesh_in!U5/SER_summary!U$27)</f>
        <v>0</v>
      </c>
      <c r="V5" s="132">
        <f>IF(SER_hh_tesh_in!V5=0,0,SER_hh_tesh_in!V5/SER_summary!V$27)</f>
        <v>0</v>
      </c>
      <c r="W5" s="132">
        <f>IF(SER_hh_tesh_in!W5=0,0,SER_hh_tesh_in!W5/SER_summary!W$27)</f>
        <v>0</v>
      </c>
      <c r="X5" s="132">
        <f>IF(SER_hh_tesh_in!X5=0,0,SER_hh_tesh_in!X5/SER_summary!X$27)</f>
        <v>19.678936981682178</v>
      </c>
      <c r="Y5" s="132">
        <f>IF(SER_hh_tesh_in!Y5=0,0,SER_hh_tesh_in!Y5/SER_summary!Y$27)</f>
        <v>38.677540106999082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0</v>
      </c>
      <c r="D6" s="132">
        <f>IF(SER_hh_tesh_in!D6=0,0,SER_hh_tesh_in!D6/SER_summary!D$27)</f>
        <v>0</v>
      </c>
      <c r="E6" s="132">
        <f>IF(SER_hh_tesh_in!E6=0,0,SER_hh_tesh_in!E6/SER_summary!E$27)</f>
        <v>0</v>
      </c>
      <c r="F6" s="132">
        <f>IF(SER_hh_tesh_in!F6=0,0,SER_hh_tesh_in!F6/SER_summary!F$27)</f>
        <v>0</v>
      </c>
      <c r="G6" s="132">
        <f>IF(SER_hh_tesh_in!G6=0,0,SER_hh_tesh_in!G6/SER_summary!G$27)</f>
        <v>0</v>
      </c>
      <c r="H6" s="132">
        <f>IF(SER_hh_tesh_in!H6=0,0,SER_hh_tesh_in!H6/SER_summary!H$27)</f>
        <v>0</v>
      </c>
      <c r="I6" s="132">
        <f>IF(SER_hh_tesh_in!I6=0,0,SER_hh_tesh_in!I6/SER_summary!I$27)</f>
        <v>0</v>
      </c>
      <c r="J6" s="132">
        <f>IF(SER_hh_tesh_in!J6=0,0,SER_hh_tesh_in!J6/SER_summary!J$27)</f>
        <v>0</v>
      </c>
      <c r="K6" s="132">
        <f>IF(SER_hh_tesh_in!K6=0,0,SER_hh_tesh_in!K6/SER_summary!K$27)</f>
        <v>0</v>
      </c>
      <c r="L6" s="132">
        <f>IF(SER_hh_tesh_in!L6=0,0,SER_hh_tesh_in!L6/SER_summary!L$27)</f>
        <v>0</v>
      </c>
      <c r="M6" s="132">
        <f>IF(SER_hh_tesh_in!M6=0,0,SER_hh_tesh_in!M6/SER_summary!M$27)</f>
        <v>0</v>
      </c>
      <c r="N6" s="132">
        <f>IF(SER_hh_tesh_in!N6=0,0,SER_hh_tesh_in!N6/SER_summary!N$27)</f>
        <v>0</v>
      </c>
      <c r="O6" s="132">
        <f>IF(SER_hh_tesh_in!O6=0,0,SER_hh_tesh_in!O6/SER_summary!O$27)</f>
        <v>0</v>
      </c>
      <c r="P6" s="132">
        <f>IF(SER_hh_tesh_in!P6=0,0,SER_hh_tesh_in!P6/SER_summary!P$27)</f>
        <v>0</v>
      </c>
      <c r="Q6" s="132">
        <f>IF(SER_hh_tesh_in!Q6=0,0,SER_hh_tesh_in!Q6/SER_summary!Q$27)</f>
        <v>0</v>
      </c>
      <c r="R6" s="132">
        <f>IF(SER_hh_tesh_in!R6=0,0,SER_hh_tesh_in!R6/SER_summary!R$27)</f>
        <v>0</v>
      </c>
      <c r="S6" s="132">
        <f>IF(SER_hh_tesh_in!S6=0,0,SER_hh_tesh_in!S6/SER_summary!S$27)</f>
        <v>0</v>
      </c>
      <c r="T6" s="132">
        <f>IF(SER_hh_tesh_in!T6=0,0,SER_hh_tesh_in!T6/SER_summary!T$27)</f>
        <v>0</v>
      </c>
      <c r="U6" s="132">
        <f>IF(SER_hh_tesh_in!U6=0,0,SER_hh_tesh_in!U6/SER_summary!U$27)</f>
        <v>0</v>
      </c>
      <c r="V6" s="132">
        <f>IF(SER_hh_tesh_in!V6=0,0,SER_hh_tesh_in!V6/SER_summary!V$27)</f>
        <v>0</v>
      </c>
      <c r="W6" s="132">
        <f>IF(SER_hh_tesh_in!W6=0,0,SER_hh_tesh_in!W6/SER_summary!W$27)</f>
        <v>0</v>
      </c>
      <c r="X6" s="132">
        <f>IF(SER_hh_tesh_in!X6=0,0,SER_hh_tesh_in!X6/SER_summary!X$27)</f>
        <v>0</v>
      </c>
      <c r="Y6" s="132">
        <f>IF(SER_hh_tesh_in!Y6=0,0,SER_hh_tesh_in!Y6/SER_summary!Y$27)</f>
        <v>0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33.114078143890659</v>
      </c>
      <c r="D7" s="132">
        <f>IF(SER_hh_tesh_in!D7=0,0,SER_hh_tesh_in!D7/SER_summary!D$27)</f>
        <v>34.317996242668336</v>
      </c>
      <c r="E7" s="132">
        <f>IF(SER_hh_tesh_in!E7=0,0,SER_hh_tesh_in!E7/SER_summary!E$27)</f>
        <v>36.79849858694439</v>
      </c>
      <c r="F7" s="132">
        <f>IF(SER_hh_tesh_in!F7=0,0,SER_hh_tesh_in!F7/SER_summary!F$27)</f>
        <v>37.241835470029891</v>
      </c>
      <c r="G7" s="132">
        <f>IF(SER_hh_tesh_in!G7=0,0,SER_hh_tesh_in!G7/SER_summary!G$27)</f>
        <v>47.411637692383422</v>
      </c>
      <c r="H7" s="132">
        <f>IF(SER_hh_tesh_in!H7=0,0,SER_hh_tesh_in!H7/SER_summary!H$27)</f>
        <v>50.998072736526474</v>
      </c>
      <c r="I7" s="132">
        <f>IF(SER_hh_tesh_in!I7=0,0,SER_hh_tesh_in!I7/SER_summary!I$27)</f>
        <v>0</v>
      </c>
      <c r="J7" s="132">
        <f>IF(SER_hh_tesh_in!J7=0,0,SER_hh_tesh_in!J7/SER_summary!J$27)</f>
        <v>0</v>
      </c>
      <c r="K7" s="132">
        <f>IF(SER_hh_tesh_in!K7=0,0,SER_hh_tesh_in!K7/SER_summary!K$27)</f>
        <v>0</v>
      </c>
      <c r="L7" s="132">
        <f>IF(SER_hh_tesh_in!L7=0,0,SER_hh_tesh_in!L7/SER_summary!L$27)</f>
        <v>0</v>
      </c>
      <c r="M7" s="132">
        <f>IF(SER_hh_tesh_in!M7=0,0,SER_hh_tesh_in!M7/SER_summary!M$27)</f>
        <v>41.226014578041891</v>
      </c>
      <c r="N7" s="132">
        <f>IF(SER_hh_tesh_in!N7=0,0,SER_hh_tesh_in!N7/SER_summary!N$27)</f>
        <v>0</v>
      </c>
      <c r="O7" s="132">
        <f>IF(SER_hh_tesh_in!O7=0,0,SER_hh_tesh_in!O7/SER_summary!O$27)</f>
        <v>0</v>
      </c>
      <c r="P7" s="132">
        <f>IF(SER_hh_tesh_in!P7=0,0,SER_hh_tesh_in!P7/SER_summary!P$27)</f>
        <v>0</v>
      </c>
      <c r="Q7" s="132">
        <f>IF(SER_hh_tesh_in!Q7=0,0,SER_hh_tesh_in!Q7/SER_summary!Q$27)</f>
        <v>0</v>
      </c>
      <c r="R7" s="132">
        <f>IF(SER_hh_tesh_in!R7=0,0,SER_hh_tesh_in!R7/SER_summary!R$27)</f>
        <v>67.38829312625279</v>
      </c>
      <c r="S7" s="132">
        <f>IF(SER_hh_tesh_in!S7=0,0,SER_hh_tesh_in!S7/SER_summary!S$27)</f>
        <v>35.433260297614268</v>
      </c>
      <c r="T7" s="132">
        <f>IF(SER_hh_tesh_in!T7=0,0,SER_hh_tesh_in!T7/SER_summary!T$27)</f>
        <v>37.01858213772465</v>
      </c>
      <c r="U7" s="132">
        <f>IF(SER_hh_tesh_in!U7=0,0,SER_hh_tesh_in!U7/SER_summary!U$27)</f>
        <v>42.235732101330399</v>
      </c>
      <c r="V7" s="132">
        <f>IF(SER_hh_tesh_in!V7=0,0,SER_hh_tesh_in!V7/SER_summary!V$27)</f>
        <v>40.886336009909755</v>
      </c>
      <c r="W7" s="132">
        <f>IF(SER_hh_tesh_in!W7=0,0,SER_hh_tesh_in!W7/SER_summary!W$27)</f>
        <v>24.017029789384573</v>
      </c>
      <c r="X7" s="132">
        <f>IF(SER_hh_tesh_in!X7=0,0,SER_hh_tesh_in!X7/SER_summary!X$27)</f>
        <v>0</v>
      </c>
      <c r="Y7" s="132">
        <f>IF(SER_hh_tesh_in!Y7=0,0,SER_hh_tesh_in!Y7/SER_summary!Y$27)</f>
        <v>0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28.301519776080912</v>
      </c>
      <c r="D8" s="132">
        <f>IF(SER_hh_tesh_in!D8=0,0,SER_hh_tesh_in!D8/SER_summary!D$27)</f>
        <v>30.325846624127475</v>
      </c>
      <c r="E8" s="132">
        <f>IF(SER_hh_tesh_in!E8=0,0,SER_hh_tesh_in!E8/SER_summary!E$27)</f>
        <v>34.253682466584088</v>
      </c>
      <c r="F8" s="132">
        <f>IF(SER_hh_tesh_in!F8=0,0,SER_hh_tesh_in!F8/SER_summary!F$27)</f>
        <v>40.545875642564738</v>
      </c>
      <c r="G8" s="132">
        <f>IF(SER_hh_tesh_in!G8=0,0,SER_hh_tesh_in!G8/SER_summary!G$27)</f>
        <v>49.531865718433721</v>
      </c>
      <c r="H8" s="132">
        <f>IF(SER_hh_tesh_in!H8=0,0,SER_hh_tesh_in!H8/SER_summary!H$27)</f>
        <v>50.048195686027775</v>
      </c>
      <c r="I8" s="132">
        <f>IF(SER_hh_tesh_in!I8=0,0,SER_hh_tesh_in!I8/SER_summary!I$27)</f>
        <v>49.465036951411328</v>
      </c>
      <c r="J8" s="132">
        <f>IF(SER_hh_tesh_in!J8=0,0,SER_hh_tesh_in!J8/SER_summary!J$27)</f>
        <v>48.85863161086013</v>
      </c>
      <c r="K8" s="132">
        <f>IF(SER_hh_tesh_in!K8=0,0,SER_hh_tesh_in!K8/SER_summary!K$27)</f>
        <v>44.498053704847727</v>
      </c>
      <c r="L8" s="132">
        <f>IF(SER_hh_tesh_in!L8=0,0,SER_hh_tesh_in!L8/SER_summary!L$27)</f>
        <v>36.072020579962604</v>
      </c>
      <c r="M8" s="132">
        <f>IF(SER_hh_tesh_in!M8=0,0,SER_hh_tesh_in!M8/SER_summary!M$27)</f>
        <v>28.334463638330771</v>
      </c>
      <c r="N8" s="132">
        <f>IF(SER_hh_tesh_in!N8=0,0,SER_hh_tesh_in!N8/SER_summary!N$27)</f>
        <v>19.419624338748577</v>
      </c>
      <c r="O8" s="132">
        <f>IF(SER_hh_tesh_in!O8=0,0,SER_hh_tesh_in!O8/SER_summary!O$27)</f>
        <v>24.159697318863426</v>
      </c>
      <c r="P8" s="132">
        <f>IF(SER_hh_tesh_in!P8=0,0,SER_hh_tesh_in!P8/SER_summary!P$27)</f>
        <v>36.914326548248248</v>
      </c>
      <c r="Q8" s="132">
        <f>IF(SER_hh_tesh_in!Q8=0,0,SER_hh_tesh_in!Q8/SER_summary!Q$27)</f>
        <v>59.057686147469695</v>
      </c>
      <c r="R8" s="132">
        <f>IF(SER_hh_tesh_in!R8=0,0,SER_hh_tesh_in!R8/SER_summary!R$27)</f>
        <v>50.569870056456644</v>
      </c>
      <c r="S8" s="132">
        <f>IF(SER_hh_tesh_in!S8=0,0,SER_hh_tesh_in!S8/SER_summary!S$27)</f>
        <v>45.152617669900266</v>
      </c>
      <c r="T8" s="132">
        <f>IF(SER_hh_tesh_in!T8=0,0,SER_hh_tesh_in!T8/SER_summary!T$27)</f>
        <v>41.987584650060477</v>
      </c>
      <c r="U8" s="132">
        <f>IF(SER_hh_tesh_in!U8=0,0,SER_hh_tesh_in!U8/SER_summary!U$27)</f>
        <v>38.324537243054706</v>
      </c>
      <c r="V8" s="132">
        <f>IF(SER_hh_tesh_in!V8=0,0,SER_hh_tesh_in!V8/SER_summary!V$27)</f>
        <v>37.326866849479423</v>
      </c>
      <c r="W8" s="132">
        <f>IF(SER_hh_tesh_in!W8=0,0,SER_hh_tesh_in!W8/SER_summary!W$27)</f>
        <v>32.323546530148434</v>
      </c>
      <c r="X8" s="132">
        <f>IF(SER_hh_tesh_in!X8=0,0,SER_hh_tesh_in!X8/SER_summary!X$27)</f>
        <v>25.620832453091605</v>
      </c>
      <c r="Y8" s="132">
        <f>IF(SER_hh_tesh_in!Y8=0,0,SER_hh_tesh_in!Y8/SER_summary!Y$27)</f>
        <v>29.312720997012093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28.047138188487558</v>
      </c>
      <c r="D9" s="132">
        <f>IF(SER_hh_tesh_in!D9=0,0,SER_hh_tesh_in!D9/SER_summary!D$27)</f>
        <v>27.828728631939686</v>
      </c>
      <c r="E9" s="132">
        <f>IF(SER_hh_tesh_in!E9=0,0,SER_hh_tesh_in!E9/SER_summary!E$27)</f>
        <v>33.029880832253319</v>
      </c>
      <c r="F9" s="132">
        <f>IF(SER_hh_tesh_in!F9=0,0,SER_hh_tesh_in!F9/SER_summary!F$27)</f>
        <v>39.466640162558598</v>
      </c>
      <c r="G9" s="132">
        <f>IF(SER_hh_tesh_in!G9=0,0,SER_hh_tesh_in!G9/SER_summary!G$27)</f>
        <v>49.531870347390281</v>
      </c>
      <c r="H9" s="132">
        <f>IF(SER_hh_tesh_in!H9=0,0,SER_hh_tesh_in!H9/SER_summary!H$27)</f>
        <v>50.909597637039802</v>
      </c>
      <c r="I9" s="132">
        <f>IF(SER_hh_tesh_in!I9=0,0,SER_hh_tesh_in!I9/SER_summary!I$27)</f>
        <v>48.699905623575262</v>
      </c>
      <c r="J9" s="132">
        <f>IF(SER_hh_tesh_in!J9=0,0,SER_hh_tesh_in!J9/SER_summary!J$27)</f>
        <v>53.725639648570564</v>
      </c>
      <c r="K9" s="132">
        <f>IF(SER_hh_tesh_in!K9=0,0,SER_hh_tesh_in!K9/SER_summary!K$27)</f>
        <v>50.20596971127344</v>
      </c>
      <c r="L9" s="132">
        <f>IF(SER_hh_tesh_in!L9=0,0,SER_hh_tesh_in!L9/SER_summary!L$27)</f>
        <v>37.610317974156139</v>
      </c>
      <c r="M9" s="132">
        <f>IF(SER_hh_tesh_in!M9=0,0,SER_hh_tesh_in!M9/SER_summary!M$27)</f>
        <v>51.648653727979571</v>
      </c>
      <c r="N9" s="132">
        <f>IF(SER_hh_tesh_in!N9=0,0,SER_hh_tesh_in!N9/SER_summary!N$27)</f>
        <v>0</v>
      </c>
      <c r="O9" s="132">
        <f>IF(SER_hh_tesh_in!O9=0,0,SER_hh_tesh_in!O9/SER_summary!O$27)</f>
        <v>0</v>
      </c>
      <c r="P9" s="132">
        <f>IF(SER_hh_tesh_in!P9=0,0,SER_hh_tesh_in!P9/SER_summary!P$27)</f>
        <v>0</v>
      </c>
      <c r="Q9" s="132">
        <f>IF(SER_hh_tesh_in!Q9=0,0,SER_hh_tesh_in!Q9/SER_summary!Q$27)</f>
        <v>51.83961918726515</v>
      </c>
      <c r="R9" s="132">
        <f>IF(SER_hh_tesh_in!R9=0,0,SER_hh_tesh_in!R9/SER_summary!R$27)</f>
        <v>0</v>
      </c>
      <c r="S9" s="132">
        <f>IF(SER_hh_tesh_in!S9=0,0,SER_hh_tesh_in!S9/SER_summary!S$27)</f>
        <v>43.377696675851773</v>
      </c>
      <c r="T9" s="132">
        <f>IF(SER_hh_tesh_in!T9=0,0,SER_hh_tesh_in!T9/SER_summary!T$27)</f>
        <v>39.34584189695488</v>
      </c>
      <c r="U9" s="132">
        <f>IF(SER_hh_tesh_in!U9=0,0,SER_hh_tesh_in!U9/SER_summary!U$27)</f>
        <v>43.067850879686077</v>
      </c>
      <c r="V9" s="132">
        <f>IF(SER_hh_tesh_in!V9=0,0,SER_hh_tesh_in!V9/SER_summary!V$27)</f>
        <v>35.231541159528774</v>
      </c>
      <c r="W9" s="132">
        <f>IF(SER_hh_tesh_in!W9=0,0,SER_hh_tesh_in!W9/SER_summary!W$27)</f>
        <v>32.182211155606396</v>
      </c>
      <c r="X9" s="132">
        <f>IF(SER_hh_tesh_in!X9=0,0,SER_hh_tesh_in!X9/SER_summary!X$27)</f>
        <v>0</v>
      </c>
      <c r="Y9" s="132">
        <f>IF(SER_hh_tesh_in!Y9=0,0,SER_hh_tesh_in!Y9/SER_summary!Y$27)</f>
        <v>27.380050112803293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0</v>
      </c>
      <c r="D10" s="132">
        <f>IF(SER_hh_tesh_in!D10=0,0,SER_hh_tesh_in!D10/SER_summary!D$27)</f>
        <v>0</v>
      </c>
      <c r="E10" s="132">
        <f>IF(SER_hh_tesh_in!E10=0,0,SER_hh_tesh_in!E10/SER_summary!E$27)</f>
        <v>0</v>
      </c>
      <c r="F10" s="132">
        <f>IF(SER_hh_tesh_in!F10=0,0,SER_hh_tesh_in!F10/SER_summary!F$27)</f>
        <v>0</v>
      </c>
      <c r="G10" s="132">
        <f>IF(SER_hh_tesh_in!G10=0,0,SER_hh_tesh_in!G10/SER_summary!G$27)</f>
        <v>0</v>
      </c>
      <c r="H10" s="132">
        <f>IF(SER_hh_tesh_in!H10=0,0,SER_hh_tesh_in!H10/SER_summary!H$27)</f>
        <v>0</v>
      </c>
      <c r="I10" s="132">
        <f>IF(SER_hh_tesh_in!I10=0,0,SER_hh_tesh_in!I10/SER_summary!I$27)</f>
        <v>0</v>
      </c>
      <c r="J10" s="132">
        <f>IF(SER_hh_tesh_in!J10=0,0,SER_hh_tesh_in!J10/SER_summary!J$27)</f>
        <v>0</v>
      </c>
      <c r="K10" s="132">
        <f>IF(SER_hh_tesh_in!K10=0,0,SER_hh_tesh_in!K10/SER_summary!K$27)</f>
        <v>0</v>
      </c>
      <c r="L10" s="132">
        <f>IF(SER_hh_tesh_in!L10=0,0,SER_hh_tesh_in!L10/SER_summary!L$27)</f>
        <v>0</v>
      </c>
      <c r="M10" s="132">
        <f>IF(SER_hh_tesh_in!M10=0,0,SER_hh_tesh_in!M10/SER_summary!M$27)</f>
        <v>0</v>
      </c>
      <c r="N10" s="132">
        <f>IF(SER_hh_tesh_in!N10=0,0,SER_hh_tesh_in!N10/SER_summary!N$27)</f>
        <v>69.895673528964977</v>
      </c>
      <c r="O10" s="132">
        <f>IF(SER_hh_tesh_in!O10=0,0,SER_hh_tesh_in!O10/SER_summary!O$27)</f>
        <v>37.31500926845812</v>
      </c>
      <c r="P10" s="132">
        <f>IF(SER_hh_tesh_in!P10=0,0,SER_hh_tesh_in!P10/SER_summary!P$27)</f>
        <v>27.305448919388802</v>
      </c>
      <c r="Q10" s="132">
        <f>IF(SER_hh_tesh_in!Q10=0,0,SER_hh_tesh_in!Q10/SER_summary!Q$27)</f>
        <v>79.776216717663686</v>
      </c>
      <c r="R10" s="132">
        <f>IF(SER_hh_tesh_in!R10=0,0,SER_hh_tesh_in!R10/SER_summary!R$27)</f>
        <v>0</v>
      </c>
      <c r="S10" s="132">
        <f>IF(SER_hh_tesh_in!S10=0,0,SER_hh_tesh_in!S10/SER_summary!S$27)</f>
        <v>0</v>
      </c>
      <c r="T10" s="132">
        <f>IF(SER_hh_tesh_in!T10=0,0,SER_hh_tesh_in!T10/SER_summary!T$27)</f>
        <v>0</v>
      </c>
      <c r="U10" s="132">
        <f>IF(SER_hh_tesh_in!U10=0,0,SER_hh_tesh_in!U10/SER_summary!U$27)</f>
        <v>0</v>
      </c>
      <c r="V10" s="132">
        <f>IF(SER_hh_tesh_in!V10=0,0,SER_hh_tesh_in!V10/SER_summary!V$27)</f>
        <v>0</v>
      </c>
      <c r="W10" s="132">
        <f>IF(SER_hh_tesh_in!W10=0,0,SER_hh_tesh_in!W10/SER_summary!W$27)</f>
        <v>0</v>
      </c>
      <c r="X10" s="132">
        <f>IF(SER_hh_tesh_in!X10=0,0,SER_hh_tesh_in!X10/SER_summary!X$27)</f>
        <v>0</v>
      </c>
      <c r="Y10" s="132">
        <f>IF(SER_hh_tesh_in!Y10=0,0,SER_hh_tesh_in!Y10/SER_summary!Y$27)</f>
        <v>0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0</v>
      </c>
      <c r="D11" s="132">
        <f>IF(SER_hh_tesh_in!D11=0,0,SER_hh_tesh_in!D11/SER_summary!D$27)</f>
        <v>0</v>
      </c>
      <c r="E11" s="132">
        <f>IF(SER_hh_tesh_in!E11=0,0,SER_hh_tesh_in!E11/SER_summary!E$27)</f>
        <v>0</v>
      </c>
      <c r="F11" s="132">
        <f>IF(SER_hh_tesh_in!F11=0,0,SER_hh_tesh_in!F11/SER_summary!F$27)</f>
        <v>65.551278673268783</v>
      </c>
      <c r="G11" s="132">
        <f>IF(SER_hh_tesh_in!G11=0,0,SER_hh_tesh_in!G11/SER_summary!G$27)</f>
        <v>50.816144863092859</v>
      </c>
      <c r="H11" s="132">
        <f>IF(SER_hh_tesh_in!H11=0,0,SER_hh_tesh_in!H11/SER_summary!H$27)</f>
        <v>48.853116129878501</v>
      </c>
      <c r="I11" s="132">
        <f>IF(SER_hh_tesh_in!I11=0,0,SER_hh_tesh_in!I11/SER_summary!I$27)</f>
        <v>0</v>
      </c>
      <c r="J11" s="132">
        <f>IF(SER_hh_tesh_in!J11=0,0,SER_hh_tesh_in!J11/SER_summary!J$27)</f>
        <v>46.801126932068385</v>
      </c>
      <c r="K11" s="132">
        <f>IF(SER_hh_tesh_in!K11=0,0,SER_hh_tesh_in!K11/SER_summary!K$27)</f>
        <v>51.117788854318249</v>
      </c>
      <c r="L11" s="132">
        <f>IF(SER_hh_tesh_in!L11=0,0,SER_hh_tesh_in!L11/SER_summary!L$27)</f>
        <v>44.004660402844316</v>
      </c>
      <c r="M11" s="132">
        <f>IF(SER_hh_tesh_in!M11=0,0,SER_hh_tesh_in!M11/SER_summary!M$27)</f>
        <v>40.274030601308041</v>
      </c>
      <c r="N11" s="132">
        <f>IF(SER_hh_tesh_in!N11=0,0,SER_hh_tesh_in!N11/SER_summary!N$27)</f>
        <v>39.824534295395075</v>
      </c>
      <c r="O11" s="132">
        <f>IF(SER_hh_tesh_in!O11=0,0,SER_hh_tesh_in!O11/SER_summary!O$27)</f>
        <v>37.482657641380762</v>
      </c>
      <c r="P11" s="132">
        <f>IF(SER_hh_tesh_in!P11=0,0,SER_hh_tesh_in!P11/SER_summary!P$27)</f>
        <v>41.831797068633001</v>
      </c>
      <c r="Q11" s="132">
        <f>IF(SER_hh_tesh_in!Q11=0,0,SER_hh_tesh_in!Q11/SER_summary!Q$27)</f>
        <v>0</v>
      </c>
      <c r="R11" s="132">
        <f>IF(SER_hh_tesh_in!R11=0,0,SER_hh_tesh_in!R11/SER_summary!R$27)</f>
        <v>0</v>
      </c>
      <c r="S11" s="132">
        <f>IF(SER_hh_tesh_in!S11=0,0,SER_hh_tesh_in!S11/SER_summary!S$27)</f>
        <v>43.157023103173401</v>
      </c>
      <c r="T11" s="132">
        <f>IF(SER_hh_tesh_in!T11=0,0,SER_hh_tesh_in!T11/SER_summary!T$27)</f>
        <v>41.397044952284809</v>
      </c>
      <c r="U11" s="132">
        <f>IF(SER_hh_tesh_in!U11=0,0,SER_hh_tesh_in!U11/SER_summary!U$27)</f>
        <v>54.147224524506768</v>
      </c>
      <c r="V11" s="132">
        <f>IF(SER_hh_tesh_in!V11=0,0,SER_hh_tesh_in!V11/SER_summary!V$27)</f>
        <v>17.004728663225119</v>
      </c>
      <c r="W11" s="132">
        <f>IF(SER_hh_tesh_in!W11=0,0,SER_hh_tesh_in!W11/SER_summary!W$27)</f>
        <v>13.584918842756078</v>
      </c>
      <c r="X11" s="132">
        <f>IF(SER_hh_tesh_in!X11=0,0,SER_hh_tesh_in!X11/SER_summary!X$27)</f>
        <v>27.580612703246548</v>
      </c>
      <c r="Y11" s="132">
        <f>IF(SER_hh_tesh_in!Y11=0,0,SER_hh_tesh_in!Y11/SER_summary!Y$27)</f>
        <v>27.881035978091923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0</v>
      </c>
      <c r="D12" s="132">
        <f>IF(SER_hh_tesh_in!D12=0,0,SER_hh_tesh_in!D12/SER_summary!D$27)</f>
        <v>0</v>
      </c>
      <c r="E12" s="132">
        <f>IF(SER_hh_tesh_in!E12=0,0,SER_hh_tesh_in!E12/SER_summary!E$27)</f>
        <v>0</v>
      </c>
      <c r="F12" s="132">
        <f>IF(SER_hh_tesh_in!F12=0,0,SER_hh_tesh_in!F12/SER_summary!F$27)</f>
        <v>0</v>
      </c>
      <c r="G12" s="132">
        <f>IF(SER_hh_tesh_in!G12=0,0,SER_hh_tesh_in!G12/SER_summary!G$27)</f>
        <v>0</v>
      </c>
      <c r="H12" s="132">
        <f>IF(SER_hh_tesh_in!H12=0,0,SER_hh_tesh_in!H12/SER_summary!H$27)</f>
        <v>0</v>
      </c>
      <c r="I12" s="132">
        <f>IF(SER_hh_tesh_in!I12=0,0,SER_hh_tesh_in!I12/SER_summary!I$27)</f>
        <v>0</v>
      </c>
      <c r="J12" s="132">
        <f>IF(SER_hh_tesh_in!J12=0,0,SER_hh_tesh_in!J12/SER_summary!J$27)</f>
        <v>0</v>
      </c>
      <c r="K12" s="132">
        <f>IF(SER_hh_tesh_in!K12=0,0,SER_hh_tesh_in!K12/SER_summary!K$27)</f>
        <v>0</v>
      </c>
      <c r="L12" s="132">
        <f>IF(SER_hh_tesh_in!L12=0,0,SER_hh_tesh_in!L12/SER_summary!L$27)</f>
        <v>0</v>
      </c>
      <c r="M12" s="132">
        <f>IF(SER_hh_tesh_in!M12=0,0,SER_hh_tesh_in!M12/SER_summary!M$27)</f>
        <v>0</v>
      </c>
      <c r="N12" s="132">
        <f>IF(SER_hh_tesh_in!N12=0,0,SER_hh_tesh_in!N12/SER_summary!N$27)</f>
        <v>0</v>
      </c>
      <c r="O12" s="132">
        <f>IF(SER_hh_tesh_in!O12=0,0,SER_hh_tesh_in!O12/SER_summary!O$27)</f>
        <v>0</v>
      </c>
      <c r="P12" s="132">
        <f>IF(SER_hh_tesh_in!P12=0,0,SER_hh_tesh_in!P12/SER_summary!P$27)</f>
        <v>0</v>
      </c>
      <c r="Q12" s="132">
        <f>IF(SER_hh_tesh_in!Q12=0,0,SER_hh_tesh_in!Q12/SER_summary!Q$27)</f>
        <v>0</v>
      </c>
      <c r="R12" s="132">
        <f>IF(SER_hh_tesh_in!R12=0,0,SER_hh_tesh_in!R12/SER_summary!R$27)</f>
        <v>0</v>
      </c>
      <c r="S12" s="132">
        <f>IF(SER_hh_tesh_in!S12=0,0,SER_hh_tesh_in!S12/SER_summary!S$27)</f>
        <v>0</v>
      </c>
      <c r="T12" s="132">
        <f>IF(SER_hh_tesh_in!T12=0,0,SER_hh_tesh_in!T12/SER_summary!T$27)</f>
        <v>0</v>
      </c>
      <c r="U12" s="132">
        <f>IF(SER_hh_tesh_in!U12=0,0,SER_hh_tesh_in!U12/SER_summary!U$27)</f>
        <v>0</v>
      </c>
      <c r="V12" s="132">
        <f>IF(SER_hh_tesh_in!V12=0,0,SER_hh_tesh_in!V12/SER_summary!V$27)</f>
        <v>0</v>
      </c>
      <c r="W12" s="132">
        <f>IF(SER_hh_tesh_in!W12=0,0,SER_hh_tesh_in!W12/SER_summary!W$27)</f>
        <v>0</v>
      </c>
      <c r="X12" s="132">
        <f>IF(SER_hh_tesh_in!X12=0,0,SER_hh_tesh_in!X12/SER_summary!X$27)</f>
        <v>0</v>
      </c>
      <c r="Y12" s="132">
        <f>IF(SER_hh_tesh_in!Y12=0,0,SER_hh_tesh_in!Y12/SER_summary!Y$27)</f>
        <v>0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31.64838293425386</v>
      </c>
      <c r="D13" s="132">
        <f>IF(SER_hh_tesh_in!D13=0,0,SER_hh_tesh_in!D13/SER_summary!D$27)</f>
        <v>32.93544151636145</v>
      </c>
      <c r="E13" s="132">
        <f>IF(SER_hh_tesh_in!E13=0,0,SER_hh_tesh_in!E13/SER_summary!E$27)</f>
        <v>35.831679844195136</v>
      </c>
      <c r="F13" s="132">
        <f>IF(SER_hh_tesh_in!F13=0,0,SER_hh_tesh_in!F13/SER_summary!F$27)</f>
        <v>44.264095549334058</v>
      </c>
      <c r="G13" s="132">
        <f>IF(SER_hh_tesh_in!G13=0,0,SER_hh_tesh_in!G13/SER_summary!G$27)</f>
        <v>42.971342819696133</v>
      </c>
      <c r="H13" s="132">
        <f>IF(SER_hh_tesh_in!H13=0,0,SER_hh_tesh_in!H13/SER_summary!H$27)</f>
        <v>47.127211007300204</v>
      </c>
      <c r="I13" s="132">
        <f>IF(SER_hh_tesh_in!I13=0,0,SER_hh_tesh_in!I13/SER_summary!I$27)</f>
        <v>51.714477830644221</v>
      </c>
      <c r="J13" s="132">
        <f>IF(SER_hh_tesh_in!J13=0,0,SER_hh_tesh_in!J13/SER_summary!J$27)</f>
        <v>51.343835872936232</v>
      </c>
      <c r="K13" s="132">
        <f>IF(SER_hh_tesh_in!K13=0,0,SER_hh_tesh_in!K13/SER_summary!K$27)</f>
        <v>48.802265688211563</v>
      </c>
      <c r="L13" s="132">
        <f>IF(SER_hh_tesh_in!L13=0,0,SER_hh_tesh_in!L13/SER_summary!L$27)</f>
        <v>41.814268251700867</v>
      </c>
      <c r="M13" s="132">
        <f>IF(SER_hh_tesh_in!M13=0,0,SER_hh_tesh_in!M13/SER_summary!M$27)</f>
        <v>37.640108459620954</v>
      </c>
      <c r="N13" s="132">
        <f>IF(SER_hh_tesh_in!N13=0,0,SER_hh_tesh_in!N13/SER_summary!N$27)</f>
        <v>41.565220019744828</v>
      </c>
      <c r="O13" s="132">
        <f>IF(SER_hh_tesh_in!O13=0,0,SER_hh_tesh_in!O13/SER_summary!O$27)</f>
        <v>37.546022535403303</v>
      </c>
      <c r="P13" s="132">
        <f>IF(SER_hh_tesh_in!P13=0,0,SER_hh_tesh_in!P13/SER_summary!P$27)</f>
        <v>41.093543063790321</v>
      </c>
      <c r="Q13" s="132">
        <f>IF(SER_hh_tesh_in!Q13=0,0,SER_hh_tesh_in!Q13/SER_summary!Q$27)</f>
        <v>48.691657986644394</v>
      </c>
      <c r="R13" s="132">
        <f>IF(SER_hh_tesh_in!R13=0,0,SER_hh_tesh_in!R13/SER_summary!R$27)</f>
        <v>47.497485232037299</v>
      </c>
      <c r="S13" s="132">
        <f>IF(SER_hh_tesh_in!S13=0,0,SER_hh_tesh_in!S13/SER_summary!S$27)</f>
        <v>44.029277515818372</v>
      </c>
      <c r="T13" s="132">
        <f>IF(SER_hh_tesh_in!T13=0,0,SER_hh_tesh_in!T13/SER_summary!T$27)</f>
        <v>41.982115653229386</v>
      </c>
      <c r="U13" s="132">
        <f>IF(SER_hh_tesh_in!U13=0,0,SER_hh_tesh_in!U13/SER_summary!U$27)</f>
        <v>38.535997946668047</v>
      </c>
      <c r="V13" s="132">
        <f>IF(SER_hh_tesh_in!V13=0,0,SER_hh_tesh_in!V13/SER_summary!V$27)</f>
        <v>36.144642211564083</v>
      </c>
      <c r="W13" s="132">
        <f>IF(SER_hh_tesh_in!W13=0,0,SER_hh_tesh_in!W13/SER_summary!W$27)</f>
        <v>32.742521996225214</v>
      </c>
      <c r="X13" s="132">
        <f>IF(SER_hh_tesh_in!X13=0,0,SER_hh_tesh_in!X13/SER_summary!X$27)</f>
        <v>25.971572072460926</v>
      </c>
      <c r="Y13" s="132">
        <f>IF(SER_hh_tesh_in!Y13=0,0,SER_hh_tesh_in!Y13/SER_summary!Y$27)</f>
        <v>28.523633612253867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32.362396028687705</v>
      </c>
      <c r="D14" s="65">
        <f>IF(SER_hh_tesh_in!D14=0,0,SER_hh_tesh_in!D14/SER_summary!D$27)</f>
        <v>32.525545631575824</v>
      </c>
      <c r="E14" s="65">
        <f>IF(SER_hh_tesh_in!E14=0,0,SER_hh_tesh_in!E14/SER_summary!E$27)</f>
        <v>36.928429916637413</v>
      </c>
      <c r="F14" s="65">
        <f>IF(SER_hh_tesh_in!F14=0,0,SER_hh_tesh_in!F14/SER_summary!F$27)</f>
        <v>44.076247373931444</v>
      </c>
      <c r="G14" s="65">
        <f>IF(SER_hh_tesh_in!G14=0,0,SER_hh_tesh_in!G14/SER_summary!G$27)</f>
        <v>42.678041586675654</v>
      </c>
      <c r="H14" s="65">
        <f>IF(SER_hh_tesh_in!H14=0,0,SER_hh_tesh_in!H14/SER_summary!H$27)</f>
        <v>49.032179052276113</v>
      </c>
      <c r="I14" s="65">
        <f>IF(SER_hh_tesh_in!I14=0,0,SER_hh_tesh_in!I14/SER_summary!I$27)</f>
        <v>51.071017708301241</v>
      </c>
      <c r="J14" s="65">
        <f>IF(SER_hh_tesh_in!J14=0,0,SER_hh_tesh_in!J14/SER_summary!J$27)</f>
        <v>55.505000305618871</v>
      </c>
      <c r="K14" s="65">
        <f>IF(SER_hh_tesh_in!K14=0,0,SER_hh_tesh_in!K14/SER_summary!K$27)</f>
        <v>57.308139203436475</v>
      </c>
      <c r="L14" s="65">
        <f>IF(SER_hh_tesh_in!L14=0,0,SER_hh_tesh_in!L14/SER_summary!L$27)</f>
        <v>0</v>
      </c>
      <c r="M14" s="65">
        <f>IF(SER_hh_tesh_in!M14=0,0,SER_hh_tesh_in!M14/SER_summary!M$27)</f>
        <v>0</v>
      </c>
      <c r="N14" s="65">
        <f>IF(SER_hh_tesh_in!N14=0,0,SER_hh_tesh_in!N14/SER_summary!N$27)</f>
        <v>0</v>
      </c>
      <c r="O14" s="65">
        <f>IF(SER_hh_tesh_in!O14=0,0,SER_hh_tesh_in!O14/SER_summary!O$27)</f>
        <v>0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60.456132358270132</v>
      </c>
      <c r="S14" s="65">
        <f>IF(SER_hh_tesh_in!S14=0,0,SER_hh_tesh_in!S14/SER_summary!S$27)</f>
        <v>55.244532119405022</v>
      </c>
      <c r="T14" s="65">
        <f>IF(SER_hh_tesh_in!T14=0,0,SER_hh_tesh_in!T14/SER_summary!T$27)</f>
        <v>0</v>
      </c>
      <c r="U14" s="65">
        <f>IF(SER_hh_tesh_in!U14=0,0,SER_hh_tesh_in!U14/SER_summary!U$27)</f>
        <v>0</v>
      </c>
      <c r="V14" s="65">
        <f>IF(SER_hh_tesh_in!V14=0,0,SER_hh_tesh_in!V14/SER_summary!V$27)</f>
        <v>0</v>
      </c>
      <c r="W14" s="65">
        <f>IF(SER_hh_tesh_in!W14=0,0,SER_hh_tesh_in!W14/SER_summary!W$27)</f>
        <v>27.552323098752392</v>
      </c>
      <c r="X14" s="65">
        <f>IF(SER_hh_tesh_in!X14=0,0,SER_hh_tesh_in!X14/SER_summary!X$27)</f>
        <v>30.664987642611919</v>
      </c>
      <c r="Y14" s="65">
        <f>IF(SER_hh_tesh_in!Y14=0,0,SER_hh_tesh_in!Y14/SER_summary!Y$27)</f>
        <v>27.79748685322954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0.64440141260976858</v>
      </c>
      <c r="D15" s="134">
        <f>IF(SER_hh_tesh_in!D15=0,0,SER_hh_tesh_in!D15/SER_summary!D$27)</f>
        <v>0.62691893396743192</v>
      </c>
      <c r="E15" s="134">
        <f>IF(SER_hh_tesh_in!E15=0,0,SER_hh_tesh_in!E15/SER_summary!E$27)</f>
        <v>0.67285197679145747</v>
      </c>
      <c r="F15" s="134">
        <f>IF(SER_hh_tesh_in!F15=0,0,SER_hh_tesh_in!F15/SER_summary!F$27)</f>
        <v>0.60054039004208104</v>
      </c>
      <c r="G15" s="134">
        <f>IF(SER_hh_tesh_in!G15=0,0,SER_hh_tesh_in!G15/SER_summary!G$27)</f>
        <v>0.85404819715441593</v>
      </c>
      <c r="H15" s="134">
        <f>IF(SER_hh_tesh_in!H15=0,0,SER_hh_tesh_in!H15/SER_summary!H$27)</f>
        <v>0.90322497092693099</v>
      </c>
      <c r="I15" s="134">
        <f>IF(SER_hh_tesh_in!I15=0,0,SER_hh_tesh_in!I15/SER_summary!I$27)</f>
        <v>0.85625067069689786</v>
      </c>
      <c r="J15" s="134">
        <f>IF(SER_hh_tesh_in!J15=0,0,SER_hh_tesh_in!J15/SER_summary!J$27)</f>
        <v>0.91072516790773028</v>
      </c>
      <c r="K15" s="134">
        <f>IF(SER_hh_tesh_in!K15=0,0,SER_hh_tesh_in!K15/SER_summary!K$27)</f>
        <v>0.79874402888362372</v>
      </c>
      <c r="L15" s="134">
        <f>IF(SER_hh_tesh_in!L15=0,0,SER_hh_tesh_in!L15/SER_summary!L$27)</f>
        <v>0.58103025590987945</v>
      </c>
      <c r="M15" s="134">
        <f>IF(SER_hh_tesh_in!M15=0,0,SER_hh_tesh_in!M15/SER_summary!M$27)</f>
        <v>0.64816137714820954</v>
      </c>
      <c r="N15" s="134">
        <f>IF(SER_hh_tesh_in!N15=0,0,SER_hh_tesh_in!N15/SER_summary!N$27)</f>
        <v>0.49519373364999675</v>
      </c>
      <c r="O15" s="134">
        <f>IF(SER_hh_tesh_in!O15=0,0,SER_hh_tesh_in!O15/SER_summary!O$27)</f>
        <v>0.17428136730679489</v>
      </c>
      <c r="P15" s="134">
        <f>IF(SER_hh_tesh_in!P15=0,0,SER_hh_tesh_in!P15/SER_summary!P$27)</f>
        <v>0.15993353529984686</v>
      </c>
      <c r="Q15" s="134">
        <f>IF(SER_hh_tesh_in!Q15=0,0,SER_hh_tesh_in!Q15/SER_summary!Q$27)</f>
        <v>0.33873891662466943</v>
      </c>
      <c r="R15" s="134">
        <f>IF(SER_hh_tesh_in!R15=0,0,SER_hh_tesh_in!R15/SER_summary!R$27)</f>
        <v>0.81957347783462597</v>
      </c>
      <c r="S15" s="134">
        <f>IF(SER_hh_tesh_in!S15=0,0,SER_hh_tesh_in!S15/SER_summary!S$27)</f>
        <v>0.58280101547773955</v>
      </c>
      <c r="T15" s="134">
        <f>IF(SER_hh_tesh_in!T15=0,0,SER_hh_tesh_in!T15/SER_summary!T$27)</f>
        <v>0.54645298474056114</v>
      </c>
      <c r="U15" s="134">
        <f>IF(SER_hh_tesh_in!U15=0,0,SER_hh_tesh_in!U15/SER_summary!U$27)</f>
        <v>0.60717608506836152</v>
      </c>
      <c r="V15" s="134">
        <f>IF(SER_hh_tesh_in!V15=0,0,SER_hh_tesh_in!V15/SER_summary!V$27)</f>
        <v>0.43027704529352423</v>
      </c>
      <c r="W15" s="134">
        <f>IF(SER_hh_tesh_in!W15=0,0,SER_hh_tesh_in!W15/SER_summary!W$27)</f>
        <v>0.37445661148280435</v>
      </c>
      <c r="X15" s="134">
        <f>IF(SER_hh_tesh_in!X15=0,0,SER_hh_tesh_in!X15/SER_summary!X$27)</f>
        <v>0.14426541723898204</v>
      </c>
      <c r="Y15" s="134">
        <f>IF(SER_hh_tesh_in!Y15=0,0,SER_hh_tesh_in!Y15/SER_summary!Y$27)</f>
        <v>0.27197895787230669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42.97503753677141</v>
      </c>
      <c r="D16" s="130">
        <f>IF(SER_hh_tesh_in!D16=0,0,SER_hh_tesh_in!D16/SER_summary!D$27)</f>
        <v>34.884861686030135</v>
      </c>
      <c r="E16" s="130">
        <f>IF(SER_hh_tesh_in!E16=0,0,SER_hh_tesh_in!E16/SER_summary!E$27)</f>
        <v>46.711840265807758</v>
      </c>
      <c r="F16" s="130">
        <f>IF(SER_hh_tesh_in!F16=0,0,SER_hh_tesh_in!F16/SER_summary!F$27)</f>
        <v>29.103231927441822</v>
      </c>
      <c r="G16" s="130">
        <f>IF(SER_hh_tesh_in!G16=0,0,SER_hh_tesh_in!G16/SER_summary!G$27)</f>
        <v>29.86665310747355</v>
      </c>
      <c r="H16" s="130">
        <f>IF(SER_hh_tesh_in!H16=0,0,SER_hh_tesh_in!H16/SER_summary!H$27)</f>
        <v>35.222471452003894</v>
      </c>
      <c r="I16" s="130">
        <f>IF(SER_hh_tesh_in!I16=0,0,SER_hh_tesh_in!I16/SER_summary!I$27)</f>
        <v>51.560158662001086</v>
      </c>
      <c r="J16" s="130">
        <f>IF(SER_hh_tesh_in!J16=0,0,SER_hh_tesh_in!J16/SER_summary!J$27)</f>
        <v>49.797019900255066</v>
      </c>
      <c r="K16" s="130">
        <f>IF(SER_hh_tesh_in!K16=0,0,SER_hh_tesh_in!K16/SER_summary!K$27)</f>
        <v>33.539136813270822</v>
      </c>
      <c r="L16" s="130">
        <f>IF(SER_hh_tesh_in!L16=0,0,SER_hh_tesh_in!L16/SER_summary!L$27)</f>
        <v>42.629251475841308</v>
      </c>
      <c r="M16" s="130">
        <f>IF(SER_hh_tesh_in!M16=0,0,SER_hh_tesh_in!M16/SER_summary!M$27)</f>
        <v>36.422219478108211</v>
      </c>
      <c r="N16" s="130">
        <f>IF(SER_hh_tesh_in!N16=0,0,SER_hh_tesh_in!N16/SER_summary!N$27)</f>
        <v>58.885353653088139</v>
      </c>
      <c r="O16" s="130">
        <f>IF(SER_hh_tesh_in!O16=0,0,SER_hh_tesh_in!O16/SER_summary!O$27)</f>
        <v>36.45127070247873</v>
      </c>
      <c r="P16" s="130">
        <f>IF(SER_hh_tesh_in!P16=0,0,SER_hh_tesh_in!P16/SER_summary!P$27)</f>
        <v>29.116223079165756</v>
      </c>
      <c r="Q16" s="130">
        <f>IF(SER_hh_tesh_in!Q16=0,0,SER_hh_tesh_in!Q16/SER_summary!Q$27)</f>
        <v>36.178899756084284</v>
      </c>
      <c r="R16" s="130">
        <f>IF(SER_hh_tesh_in!R16=0,0,SER_hh_tesh_in!R16/SER_summary!R$27)</f>
        <v>37.966742133722654</v>
      </c>
      <c r="S16" s="130">
        <f>IF(SER_hh_tesh_in!S16=0,0,SER_hh_tesh_in!S16/SER_summary!S$27)</f>
        <v>36.667193640796519</v>
      </c>
      <c r="T16" s="130">
        <f>IF(SER_hh_tesh_in!T16=0,0,SER_hh_tesh_in!T16/SER_summary!T$27)</f>
        <v>30.07832086402367</v>
      </c>
      <c r="U16" s="130">
        <f>IF(SER_hh_tesh_in!U16=0,0,SER_hh_tesh_in!U16/SER_summary!U$27)</f>
        <v>36.234058164109783</v>
      </c>
      <c r="V16" s="130">
        <f>IF(SER_hh_tesh_in!V16=0,0,SER_hh_tesh_in!V16/SER_summary!V$27)</f>
        <v>29.700385696100209</v>
      </c>
      <c r="W16" s="130">
        <f>IF(SER_hh_tesh_in!W16=0,0,SER_hh_tesh_in!W16/SER_summary!W$27)</f>
        <v>35.433394478043873</v>
      </c>
      <c r="X16" s="130">
        <f>IF(SER_hh_tesh_in!X16=0,0,SER_hh_tesh_in!X16/SER_summary!X$27)</f>
        <v>27.390651311484088</v>
      </c>
      <c r="Y16" s="130">
        <f>IF(SER_hh_tesh_in!Y16=0,0,SER_hh_tesh_in!Y16/SER_summary!Y$27)</f>
        <v>28.764981937732053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42.972988386373508</v>
      </c>
      <c r="D17" s="132">
        <f>IF(SER_hh_tesh_in!D17=0,0,SER_hh_tesh_in!D17/SER_summary!D$27)</f>
        <v>34.965124414278868</v>
      </c>
      <c r="E17" s="132">
        <f>IF(SER_hh_tesh_in!E17=0,0,SER_hh_tesh_in!E17/SER_summary!E$27)</f>
        <v>46.691183948319129</v>
      </c>
      <c r="F17" s="132">
        <f>IF(SER_hh_tesh_in!F17=0,0,SER_hh_tesh_in!F17/SER_summary!F$27)</f>
        <v>29.423303189990673</v>
      </c>
      <c r="G17" s="132">
        <f>IF(SER_hh_tesh_in!G17=0,0,SER_hh_tesh_in!G17/SER_summary!G$27)</f>
        <v>30.23131713739399</v>
      </c>
      <c r="H17" s="132">
        <f>IF(SER_hh_tesh_in!H17=0,0,SER_hh_tesh_in!H17/SER_summary!H$27)</f>
        <v>35.617716994586736</v>
      </c>
      <c r="I17" s="132">
        <f>IF(SER_hh_tesh_in!I17=0,0,SER_hh_tesh_in!I17/SER_summary!I$27)</f>
        <v>51.913598972130558</v>
      </c>
      <c r="J17" s="132">
        <f>IF(SER_hh_tesh_in!J17=0,0,SER_hh_tesh_in!J17/SER_summary!J$27)</f>
        <v>48.821065046298038</v>
      </c>
      <c r="K17" s="132">
        <f>IF(SER_hh_tesh_in!K17=0,0,SER_hh_tesh_in!K17/SER_summary!K$27)</f>
        <v>41.465523990373171</v>
      </c>
      <c r="L17" s="132">
        <f>IF(SER_hh_tesh_in!L17=0,0,SER_hh_tesh_in!L17/SER_summary!L$27)</f>
        <v>42.801331328782432</v>
      </c>
      <c r="M17" s="132">
        <f>IF(SER_hh_tesh_in!M17=0,0,SER_hh_tesh_in!M17/SER_summary!M$27)</f>
        <v>37.138687476294322</v>
      </c>
      <c r="N17" s="132">
        <f>IF(SER_hh_tesh_in!N17=0,0,SER_hh_tesh_in!N17/SER_summary!N$27)</f>
        <v>53.128026276262922</v>
      </c>
      <c r="O17" s="132">
        <f>IF(SER_hh_tesh_in!O17=0,0,SER_hh_tesh_in!O17/SER_summary!O$27)</f>
        <v>36.369283320214329</v>
      </c>
      <c r="P17" s="132">
        <f>IF(SER_hh_tesh_in!P17=0,0,SER_hh_tesh_in!P17/SER_summary!P$27)</f>
        <v>30.360881898078777</v>
      </c>
      <c r="Q17" s="132">
        <f>IF(SER_hh_tesh_in!Q17=0,0,SER_hh_tesh_in!Q17/SER_summary!Q$27)</f>
        <v>36.170317977258094</v>
      </c>
      <c r="R17" s="132">
        <f>IF(SER_hh_tesh_in!R17=0,0,SER_hh_tesh_in!R17/SER_summary!R$27)</f>
        <v>37.965799240892444</v>
      </c>
      <c r="S17" s="132">
        <f>IF(SER_hh_tesh_in!S17=0,0,SER_hh_tesh_in!S17/SER_summary!S$27)</f>
        <v>36.671785201396197</v>
      </c>
      <c r="T17" s="132">
        <f>IF(SER_hh_tesh_in!T17=0,0,SER_hh_tesh_in!T17/SER_summary!T$27)</f>
        <v>30.135583119993967</v>
      </c>
      <c r="U17" s="132">
        <f>IF(SER_hh_tesh_in!U17=0,0,SER_hh_tesh_in!U17/SER_summary!U$27)</f>
        <v>36.272937447298247</v>
      </c>
      <c r="V17" s="132">
        <f>IF(SER_hh_tesh_in!V17=0,0,SER_hh_tesh_in!V17/SER_summary!V$27)</f>
        <v>28.433375621320611</v>
      </c>
      <c r="W17" s="132">
        <f>IF(SER_hh_tesh_in!W17=0,0,SER_hh_tesh_in!W17/SER_summary!W$27)</f>
        <v>33.684221658465276</v>
      </c>
      <c r="X17" s="132">
        <f>IF(SER_hh_tesh_in!X17=0,0,SER_hh_tesh_in!X17/SER_summary!X$27)</f>
        <v>27.370114415508091</v>
      </c>
      <c r="Y17" s="132">
        <f>IF(SER_hh_tesh_in!Y17=0,0,SER_hh_tesh_in!Y17/SER_summary!Y$27)</f>
        <v>28.768073966621756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42.975038904711269</v>
      </c>
      <c r="D18" s="132">
        <f>IF(SER_hh_tesh_in!D18=0,0,SER_hh_tesh_in!D18/SER_summary!D$27)</f>
        <v>34.884694194967111</v>
      </c>
      <c r="E18" s="132">
        <f>IF(SER_hh_tesh_in!E18=0,0,SER_hh_tesh_in!E18/SER_summary!E$27)</f>
        <v>46.711843204282921</v>
      </c>
      <c r="F18" s="132">
        <f>IF(SER_hh_tesh_in!F18=0,0,SER_hh_tesh_in!F18/SER_summary!F$27)</f>
        <v>29.101255902753731</v>
      </c>
      <c r="G18" s="132">
        <f>IF(SER_hh_tesh_in!G18=0,0,SER_hh_tesh_in!G18/SER_summary!G$27)</f>
        <v>29.864258341355185</v>
      </c>
      <c r="H18" s="132">
        <f>IF(SER_hh_tesh_in!H18=0,0,SER_hh_tesh_in!H18/SER_summary!H$27)</f>
        <v>35.220391770682184</v>
      </c>
      <c r="I18" s="132">
        <f>IF(SER_hh_tesh_in!I18=0,0,SER_hh_tesh_in!I18/SER_summary!I$27)</f>
        <v>51.560152302869092</v>
      </c>
      <c r="J18" s="132">
        <f>IF(SER_hh_tesh_in!J18=0,0,SER_hh_tesh_in!J18/SER_summary!J$27)</f>
        <v>49.803887035491599</v>
      </c>
      <c r="K18" s="132">
        <f>IF(SER_hh_tesh_in!K18=0,0,SER_hh_tesh_in!K18/SER_summary!K$27)</f>
        <v>33.427853491332847</v>
      </c>
      <c r="L18" s="132">
        <f>IF(SER_hh_tesh_in!L18=0,0,SER_hh_tesh_in!L18/SER_summary!L$27)</f>
        <v>42.626115129258807</v>
      </c>
      <c r="M18" s="132">
        <f>IF(SER_hh_tesh_in!M18=0,0,SER_hh_tesh_in!M18/SER_summary!M$27)</f>
        <v>36.407910383135757</v>
      </c>
      <c r="N18" s="132">
        <f>IF(SER_hh_tesh_in!N18=0,0,SER_hh_tesh_in!N18/SER_summary!N$27)</f>
        <v>59.000264429546661</v>
      </c>
      <c r="O18" s="132">
        <f>IF(SER_hh_tesh_in!O18=0,0,SER_hh_tesh_in!O18/SER_summary!O$27)</f>
        <v>36.454071745402977</v>
      </c>
      <c r="P18" s="132">
        <f>IF(SER_hh_tesh_in!P18=0,0,SER_hh_tesh_in!P18/SER_summary!P$27)</f>
        <v>29.06795086082499</v>
      </c>
      <c r="Q18" s="132">
        <f>IF(SER_hh_tesh_in!Q18=0,0,SER_hh_tesh_in!Q18/SER_summary!Q$27)</f>
        <v>36.179130807035385</v>
      </c>
      <c r="R18" s="132">
        <f>IF(SER_hh_tesh_in!R18=0,0,SER_hh_tesh_in!R18/SER_summary!R$27)</f>
        <v>37.966762231484424</v>
      </c>
      <c r="S18" s="132">
        <f>IF(SER_hh_tesh_in!S18=0,0,SER_hh_tesh_in!S18/SER_summary!S$27)</f>
        <v>36.667071285688678</v>
      </c>
      <c r="T18" s="132">
        <f>IF(SER_hh_tesh_in!T18=0,0,SER_hh_tesh_in!T18/SER_summary!T$27)</f>
        <v>30.075697148200465</v>
      </c>
      <c r="U18" s="132">
        <f>IF(SER_hh_tesh_in!U18=0,0,SER_hh_tesh_in!U18/SER_summary!U$27)</f>
        <v>36.233002163712953</v>
      </c>
      <c r="V18" s="132">
        <f>IF(SER_hh_tesh_in!V18=0,0,SER_hh_tesh_in!V18/SER_summary!V$27)</f>
        <v>29.736788842805097</v>
      </c>
      <c r="W18" s="132">
        <f>IF(SER_hh_tesh_in!W18=0,0,SER_hh_tesh_in!W18/SER_summary!W$27)</f>
        <v>35.480987866591647</v>
      </c>
      <c r="X18" s="132">
        <f>IF(SER_hh_tesh_in!X18=0,0,SER_hh_tesh_in!X18/SER_summary!X$27)</f>
        <v>27.391257142999084</v>
      </c>
      <c r="Y18" s="132">
        <f>IF(SER_hh_tesh_in!Y18=0,0,SER_hh_tesh_in!Y18/SER_summary!Y$27)</f>
        <v>28.764873959091986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21.440355121016406</v>
      </c>
      <c r="D19" s="130">
        <f>IF(SER_hh_tesh_in!D19=0,0,SER_hh_tesh_in!D19/SER_summary!D$27)</f>
        <v>22.41382961847971</v>
      </c>
      <c r="E19" s="130">
        <f>IF(SER_hh_tesh_in!E19=0,0,SER_hh_tesh_in!E19/SER_summary!E$27)</f>
        <v>22.568842978964653</v>
      </c>
      <c r="F19" s="130">
        <f>IF(SER_hh_tesh_in!F19=0,0,SER_hh_tesh_in!F19/SER_summary!F$27)</f>
        <v>22.782635039574938</v>
      </c>
      <c r="G19" s="130">
        <f>IF(SER_hh_tesh_in!G19=0,0,SER_hh_tesh_in!G19/SER_summary!G$27)</f>
        <v>24.20445167655841</v>
      </c>
      <c r="H19" s="130">
        <f>IF(SER_hh_tesh_in!H19=0,0,SER_hh_tesh_in!H19/SER_summary!H$27)</f>
        <v>23.787269172561736</v>
      </c>
      <c r="I19" s="130">
        <f>IF(SER_hh_tesh_in!I19=0,0,SER_hh_tesh_in!I19/SER_summary!I$27)</f>
        <v>23.376847413181107</v>
      </c>
      <c r="J19" s="130">
        <f>IF(SER_hh_tesh_in!J19=0,0,SER_hh_tesh_in!J19/SER_summary!J$27)</f>
        <v>23.554216083641187</v>
      </c>
      <c r="K19" s="130">
        <f>IF(SER_hh_tesh_in!K19=0,0,SER_hh_tesh_in!K19/SER_summary!K$27)</f>
        <v>24.06792975965168</v>
      </c>
      <c r="L19" s="130">
        <f>IF(SER_hh_tesh_in!L19=0,0,SER_hh_tesh_in!L19/SER_summary!L$27)</f>
        <v>25.225885441180044</v>
      </c>
      <c r="M19" s="130">
        <f>IF(SER_hh_tesh_in!M19=0,0,SER_hh_tesh_in!M19/SER_summary!M$27)</f>
        <v>25.860773972004914</v>
      </c>
      <c r="N19" s="130">
        <f>IF(SER_hh_tesh_in!N19=0,0,SER_hh_tesh_in!N19/SER_summary!N$27)</f>
        <v>25.708468355935423</v>
      </c>
      <c r="O19" s="130">
        <f>IF(SER_hh_tesh_in!O19=0,0,SER_hh_tesh_in!O19/SER_summary!O$27)</f>
        <v>26.138720239102959</v>
      </c>
      <c r="P19" s="130">
        <f>IF(SER_hh_tesh_in!P19=0,0,SER_hh_tesh_in!P19/SER_summary!P$27)</f>
        <v>26.596513703002554</v>
      </c>
      <c r="Q19" s="130">
        <f>IF(SER_hh_tesh_in!Q19=0,0,SER_hh_tesh_in!Q19/SER_summary!Q$27)</f>
        <v>26.713981264995244</v>
      </c>
      <c r="R19" s="130">
        <f>IF(SER_hh_tesh_in!R19=0,0,SER_hh_tesh_in!R19/SER_summary!R$27)</f>
        <v>26.956154233719715</v>
      </c>
      <c r="S19" s="130">
        <f>IF(SER_hh_tesh_in!S19=0,0,SER_hh_tesh_in!S19/SER_summary!S$27)</f>
        <v>26.668373344346477</v>
      </c>
      <c r="T19" s="130">
        <f>IF(SER_hh_tesh_in!T19=0,0,SER_hh_tesh_in!T19/SER_summary!T$27)</f>
        <v>26.487103512591908</v>
      </c>
      <c r="U19" s="130">
        <f>IF(SER_hh_tesh_in!U19=0,0,SER_hh_tesh_in!U19/SER_summary!U$27)</f>
        <v>25.916910491351182</v>
      </c>
      <c r="V19" s="130">
        <f>IF(SER_hh_tesh_in!V19=0,0,SER_hh_tesh_in!V19/SER_summary!V$27)</f>
        <v>23.483209091882561</v>
      </c>
      <c r="W19" s="130">
        <f>IF(SER_hh_tesh_in!W19=0,0,SER_hh_tesh_in!W19/SER_summary!W$27)</f>
        <v>23.008866768239155</v>
      </c>
      <c r="X19" s="130">
        <f>IF(SER_hh_tesh_in!X19=0,0,SER_hh_tesh_in!X19/SER_summary!X$27)</f>
        <v>24.388712764614777</v>
      </c>
      <c r="Y19" s="130">
        <f>IF(SER_hh_tesh_in!Y19=0,0,SER_hh_tesh_in!Y19/SER_summary!Y$27)</f>
        <v>24.752508523638443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0</v>
      </c>
      <c r="D20" s="132">
        <f>IF(SER_hh_tesh_in!D20=0,0,SER_hh_tesh_in!D20/SER_summary!D$27)</f>
        <v>0</v>
      </c>
      <c r="E20" s="132">
        <f>IF(SER_hh_tesh_in!E20=0,0,SER_hh_tesh_in!E20/SER_summary!E$27)</f>
        <v>0</v>
      </c>
      <c r="F20" s="132">
        <f>IF(SER_hh_tesh_in!F20=0,0,SER_hh_tesh_in!F20/SER_summary!F$27)</f>
        <v>0</v>
      </c>
      <c r="G20" s="132">
        <f>IF(SER_hh_tesh_in!G20=0,0,SER_hh_tesh_in!G20/SER_summary!G$27)</f>
        <v>0</v>
      </c>
      <c r="H20" s="132">
        <f>IF(SER_hh_tesh_in!H20=0,0,SER_hh_tesh_in!H20/SER_summary!H$27)</f>
        <v>0</v>
      </c>
      <c r="I20" s="132">
        <f>IF(SER_hh_tesh_in!I20=0,0,SER_hh_tesh_in!I20/SER_summary!I$27)</f>
        <v>0</v>
      </c>
      <c r="J20" s="132">
        <f>IF(SER_hh_tesh_in!J20=0,0,SER_hh_tesh_in!J20/SER_summary!J$27)</f>
        <v>0</v>
      </c>
      <c r="K20" s="132">
        <f>IF(SER_hh_tesh_in!K20=0,0,SER_hh_tesh_in!K20/SER_summary!K$27)</f>
        <v>0</v>
      </c>
      <c r="L20" s="132">
        <f>IF(SER_hh_tesh_in!L20=0,0,SER_hh_tesh_in!L20/SER_summary!L$27)</f>
        <v>0</v>
      </c>
      <c r="M20" s="132">
        <f>IF(SER_hh_tesh_in!M20=0,0,SER_hh_tesh_in!M20/SER_summary!M$27)</f>
        <v>0</v>
      </c>
      <c r="N20" s="132">
        <f>IF(SER_hh_tesh_in!N20=0,0,SER_hh_tesh_in!N20/SER_summary!N$27)</f>
        <v>0</v>
      </c>
      <c r="O20" s="132">
        <f>IF(SER_hh_tesh_in!O20=0,0,SER_hh_tesh_in!O20/SER_summary!O$27)</f>
        <v>0</v>
      </c>
      <c r="P20" s="132">
        <f>IF(SER_hh_tesh_in!P20=0,0,SER_hh_tesh_in!P20/SER_summary!P$27)</f>
        <v>0</v>
      </c>
      <c r="Q20" s="132">
        <f>IF(SER_hh_tesh_in!Q20=0,0,SER_hh_tesh_in!Q20/SER_summary!Q$27)</f>
        <v>0</v>
      </c>
      <c r="R20" s="132">
        <f>IF(SER_hh_tesh_in!R20=0,0,SER_hh_tesh_in!R20/SER_summary!R$27)</f>
        <v>0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0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21.589671942929495</v>
      </c>
      <c r="D21" s="132">
        <f>IF(SER_hh_tesh_in!D21=0,0,SER_hh_tesh_in!D21/SER_summary!D$27)</f>
        <v>22.334870435883008</v>
      </c>
      <c r="E21" s="132">
        <f>IF(SER_hh_tesh_in!E21=0,0,SER_hh_tesh_in!E21/SER_summary!E$27)</f>
        <v>21.705150751676822</v>
      </c>
      <c r="F21" s="132">
        <f>IF(SER_hh_tesh_in!F21=0,0,SER_hh_tesh_in!F21/SER_summary!F$27)</f>
        <v>22.081626061734724</v>
      </c>
      <c r="G21" s="132">
        <f>IF(SER_hh_tesh_in!G21=0,0,SER_hh_tesh_in!G21/SER_summary!G$27)</f>
        <v>23.507353916253823</v>
      </c>
      <c r="H21" s="132">
        <f>IF(SER_hh_tesh_in!H21=0,0,SER_hh_tesh_in!H21/SER_summary!H$27)</f>
        <v>22.814209350986637</v>
      </c>
      <c r="I21" s="132">
        <f>IF(SER_hh_tesh_in!I21=0,0,SER_hh_tesh_in!I21/SER_summary!I$27)</f>
        <v>24.085404276745283</v>
      </c>
      <c r="J21" s="132">
        <f>IF(SER_hh_tesh_in!J21=0,0,SER_hh_tesh_in!J21/SER_summary!J$27)</f>
        <v>23.520111480811021</v>
      </c>
      <c r="K21" s="132">
        <f>IF(SER_hh_tesh_in!K21=0,0,SER_hh_tesh_in!K21/SER_summary!K$27)</f>
        <v>20.929872186825616</v>
      </c>
      <c r="L21" s="132">
        <f>IF(SER_hh_tesh_in!L21=0,0,SER_hh_tesh_in!L21/SER_summary!L$27)</f>
        <v>24.947641214301321</v>
      </c>
      <c r="M21" s="132">
        <f>IF(SER_hh_tesh_in!M21=0,0,SER_hh_tesh_in!M21/SER_summary!M$27)</f>
        <v>24.903796461780388</v>
      </c>
      <c r="N21" s="132">
        <f>IF(SER_hh_tesh_in!N21=0,0,SER_hh_tesh_in!N21/SER_summary!N$27)</f>
        <v>26.237165277532494</v>
      </c>
      <c r="O21" s="132">
        <f>IF(SER_hh_tesh_in!O21=0,0,SER_hh_tesh_in!O21/SER_summary!O$27)</f>
        <v>26.146749402217289</v>
      </c>
      <c r="P21" s="132">
        <f>IF(SER_hh_tesh_in!P21=0,0,SER_hh_tesh_in!P21/SER_summary!P$27)</f>
        <v>25.597920041860437</v>
      </c>
      <c r="Q21" s="132">
        <f>IF(SER_hh_tesh_in!Q21=0,0,SER_hh_tesh_in!Q21/SER_summary!Q$27)</f>
        <v>24.774023489340809</v>
      </c>
      <c r="R21" s="132">
        <f>IF(SER_hh_tesh_in!R21=0,0,SER_hh_tesh_in!R21/SER_summary!R$27)</f>
        <v>24.50700498566917</v>
      </c>
      <c r="S21" s="132">
        <f>IF(SER_hh_tesh_in!S21=0,0,SER_hh_tesh_in!S21/SER_summary!S$27)</f>
        <v>26.119922837347715</v>
      </c>
      <c r="T21" s="132">
        <f>IF(SER_hh_tesh_in!T21=0,0,SER_hh_tesh_in!T21/SER_summary!T$27)</f>
        <v>26.261224450430621</v>
      </c>
      <c r="U21" s="132">
        <f>IF(SER_hh_tesh_in!U21=0,0,SER_hh_tesh_in!U21/SER_summary!U$27)</f>
        <v>26.342316128008328</v>
      </c>
      <c r="V21" s="132">
        <f>IF(SER_hh_tesh_in!V21=0,0,SER_hh_tesh_in!V21/SER_summary!V$27)</f>
        <v>15.813417923579699</v>
      </c>
      <c r="W21" s="132">
        <f>IF(SER_hh_tesh_in!W21=0,0,SER_hh_tesh_in!W21/SER_summary!W$27)</f>
        <v>18.851198587034787</v>
      </c>
      <c r="X21" s="132">
        <f>IF(SER_hh_tesh_in!X21=0,0,SER_hh_tesh_in!X21/SER_summary!X$27)</f>
        <v>22.48594121245306</v>
      </c>
      <c r="Y21" s="132">
        <f>IF(SER_hh_tesh_in!Y21=0,0,SER_hh_tesh_in!Y21/SER_summary!Y$27)</f>
        <v>23.552602220388849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21.538666954982705</v>
      </c>
      <c r="D22" s="132">
        <f>IF(SER_hh_tesh_in!D22=0,0,SER_hh_tesh_in!D22/SER_summary!D$27)</f>
        <v>22.358378689440666</v>
      </c>
      <c r="E22" s="132">
        <f>IF(SER_hh_tesh_in!E22=0,0,SER_hh_tesh_in!E22/SER_summary!E$27)</f>
        <v>22.339423577263535</v>
      </c>
      <c r="F22" s="132">
        <f>IF(SER_hh_tesh_in!F22=0,0,SER_hh_tesh_in!F22/SER_summary!F$27)</f>
        <v>22.696353522035366</v>
      </c>
      <c r="G22" s="132">
        <f>IF(SER_hh_tesh_in!G22=0,0,SER_hh_tesh_in!G22/SER_summary!G$27)</f>
        <v>23.961121683697566</v>
      </c>
      <c r="H22" s="132">
        <f>IF(SER_hh_tesh_in!H22=0,0,SER_hh_tesh_in!H22/SER_summary!H$27)</f>
        <v>23.551348677213465</v>
      </c>
      <c r="I22" s="132">
        <f>IF(SER_hh_tesh_in!I22=0,0,SER_hh_tesh_in!I22/SER_summary!I$27)</f>
        <v>23.254475555970476</v>
      </c>
      <c r="J22" s="132">
        <f>IF(SER_hh_tesh_in!J22=0,0,SER_hh_tesh_in!J22/SER_summary!J$27)</f>
        <v>22.953862934690942</v>
      </c>
      <c r="K22" s="132">
        <f>IF(SER_hh_tesh_in!K22=0,0,SER_hh_tesh_in!K22/SER_summary!K$27)</f>
        <v>20.203337034689703</v>
      </c>
      <c r="L22" s="132">
        <f>IF(SER_hh_tesh_in!L22=0,0,SER_hh_tesh_in!L22/SER_summary!L$27)</f>
        <v>24.768454440597765</v>
      </c>
      <c r="M22" s="132">
        <f>IF(SER_hh_tesh_in!M22=0,0,SER_hh_tesh_in!M22/SER_summary!M$27)</f>
        <v>25.376983083353807</v>
      </c>
      <c r="N22" s="132">
        <f>IF(SER_hh_tesh_in!N22=0,0,SER_hh_tesh_in!N22/SER_summary!N$27)</f>
        <v>25.417928330609726</v>
      </c>
      <c r="O22" s="132">
        <f>IF(SER_hh_tesh_in!O22=0,0,SER_hh_tesh_in!O22/SER_summary!O$27)</f>
        <v>25.923496409074332</v>
      </c>
      <c r="P22" s="132">
        <f>IF(SER_hh_tesh_in!P22=0,0,SER_hh_tesh_in!P22/SER_summary!P$27)</f>
        <v>25.867060096665451</v>
      </c>
      <c r="Q22" s="132">
        <f>IF(SER_hh_tesh_in!Q22=0,0,SER_hh_tesh_in!Q22/SER_summary!Q$27)</f>
        <v>25.740037579188684</v>
      </c>
      <c r="R22" s="132">
        <f>IF(SER_hh_tesh_in!R22=0,0,SER_hh_tesh_in!R22/SER_summary!R$27)</f>
        <v>24.491447963678777</v>
      </c>
      <c r="S22" s="132">
        <f>IF(SER_hh_tesh_in!S22=0,0,SER_hh_tesh_in!S22/SER_summary!S$27)</f>
        <v>25.97185242369078</v>
      </c>
      <c r="T22" s="132">
        <f>IF(SER_hh_tesh_in!T22=0,0,SER_hh_tesh_in!T22/SER_summary!T$27)</f>
        <v>0</v>
      </c>
      <c r="U22" s="132">
        <f>IF(SER_hh_tesh_in!U22=0,0,SER_hh_tesh_in!U22/SER_summary!U$27)</f>
        <v>0</v>
      </c>
      <c r="V22" s="132">
        <f>IF(SER_hh_tesh_in!V22=0,0,SER_hh_tesh_in!V22/SER_summary!V$27)</f>
        <v>0</v>
      </c>
      <c r="W22" s="132">
        <f>IF(SER_hh_tesh_in!W22=0,0,SER_hh_tesh_in!W22/SER_summary!W$27)</f>
        <v>0</v>
      </c>
      <c r="X22" s="132">
        <f>IF(SER_hh_tesh_in!X22=0,0,SER_hh_tesh_in!X22/SER_summary!X$27)</f>
        <v>20.869292903648091</v>
      </c>
      <c r="Y22" s="132">
        <f>IF(SER_hh_tesh_in!Y22=0,0,SER_hh_tesh_in!Y22/SER_summary!Y$27)</f>
        <v>20.622662940969679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21.616691816365492</v>
      </c>
      <c r="D23" s="132">
        <f>IF(SER_hh_tesh_in!D23=0,0,SER_hh_tesh_in!D23/SER_summary!D$27)</f>
        <v>21.999794715421196</v>
      </c>
      <c r="E23" s="132">
        <f>IF(SER_hh_tesh_in!E23=0,0,SER_hh_tesh_in!E23/SER_summary!E$27)</f>
        <v>21.757080004449474</v>
      </c>
      <c r="F23" s="132">
        <f>IF(SER_hh_tesh_in!F23=0,0,SER_hh_tesh_in!F23/SER_summary!F$27)</f>
        <v>19.112006583755303</v>
      </c>
      <c r="G23" s="132">
        <f>IF(SER_hh_tesh_in!G23=0,0,SER_hh_tesh_in!G23/SER_summary!G$27)</f>
        <v>24.783603453369118</v>
      </c>
      <c r="H23" s="132">
        <f>IF(SER_hh_tesh_in!H23=0,0,SER_hh_tesh_in!H23/SER_summary!H$27)</f>
        <v>23.53033107083672</v>
      </c>
      <c r="I23" s="132">
        <f>IF(SER_hh_tesh_in!I23=0,0,SER_hh_tesh_in!I23/SER_summary!I$27)</f>
        <v>23.822076483105722</v>
      </c>
      <c r="J23" s="132">
        <f>IF(SER_hh_tesh_in!J23=0,0,SER_hh_tesh_in!J23/SER_summary!J$27)</f>
        <v>22.951192740788535</v>
      </c>
      <c r="K23" s="132">
        <f>IF(SER_hh_tesh_in!K23=0,0,SER_hh_tesh_in!K23/SER_summary!K$27)</f>
        <v>20.904658760720398</v>
      </c>
      <c r="L23" s="132">
        <f>IF(SER_hh_tesh_in!L23=0,0,SER_hh_tesh_in!L23/SER_summary!L$27)</f>
        <v>25.930157454142432</v>
      </c>
      <c r="M23" s="132">
        <f>IF(SER_hh_tesh_in!M23=0,0,SER_hh_tesh_in!M23/SER_summary!M$27)</f>
        <v>25.675084440110993</v>
      </c>
      <c r="N23" s="132">
        <f>IF(SER_hh_tesh_in!N23=0,0,SER_hh_tesh_in!N23/SER_summary!N$27)</f>
        <v>26.342188962748818</v>
      </c>
      <c r="O23" s="132">
        <f>IF(SER_hh_tesh_in!O23=0,0,SER_hh_tesh_in!O23/SER_summary!O$27)</f>
        <v>26.908449621185884</v>
      </c>
      <c r="P23" s="132">
        <f>IF(SER_hh_tesh_in!P23=0,0,SER_hh_tesh_in!P23/SER_summary!P$27)</f>
        <v>25.588339614894636</v>
      </c>
      <c r="Q23" s="132">
        <f>IF(SER_hh_tesh_in!Q23=0,0,SER_hh_tesh_in!Q23/SER_summary!Q$27)</f>
        <v>27.170521798586872</v>
      </c>
      <c r="R23" s="132">
        <f>IF(SER_hh_tesh_in!R23=0,0,SER_hh_tesh_in!R23/SER_summary!R$27)</f>
        <v>25.707096989868521</v>
      </c>
      <c r="S23" s="132">
        <f>IF(SER_hh_tesh_in!S23=0,0,SER_hh_tesh_in!S23/SER_summary!S$27)</f>
        <v>25.880235895540373</v>
      </c>
      <c r="T23" s="132">
        <f>IF(SER_hh_tesh_in!T23=0,0,SER_hh_tesh_in!T23/SER_summary!T$27)</f>
        <v>25.384602338039993</v>
      </c>
      <c r="U23" s="132">
        <f>IF(SER_hh_tesh_in!U23=0,0,SER_hh_tesh_in!U23/SER_summary!U$27)</f>
        <v>24.602922115863414</v>
      </c>
      <c r="V23" s="132">
        <f>IF(SER_hh_tesh_in!V23=0,0,SER_hh_tesh_in!V23/SER_summary!V$27)</f>
        <v>20.968092083557778</v>
      </c>
      <c r="W23" s="132">
        <f>IF(SER_hh_tesh_in!W23=0,0,SER_hh_tesh_in!W23/SER_summary!W$27)</f>
        <v>0</v>
      </c>
      <c r="X23" s="132">
        <f>IF(SER_hh_tesh_in!X23=0,0,SER_hh_tesh_in!X23/SER_summary!X$27)</f>
        <v>0</v>
      </c>
      <c r="Y23" s="132">
        <f>IF(SER_hh_tesh_in!Y23=0,0,SER_hh_tesh_in!Y23/SER_summary!Y$27)</f>
        <v>0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0</v>
      </c>
      <c r="D24" s="132">
        <f>IF(SER_hh_tesh_in!D24=0,0,SER_hh_tesh_in!D24/SER_summary!D$27)</f>
        <v>0</v>
      </c>
      <c r="E24" s="132">
        <f>IF(SER_hh_tesh_in!E24=0,0,SER_hh_tesh_in!E24/SER_summary!E$27)</f>
        <v>0</v>
      </c>
      <c r="F24" s="132">
        <f>IF(SER_hh_tesh_in!F24=0,0,SER_hh_tesh_in!F24/SER_summary!F$27)</f>
        <v>0</v>
      </c>
      <c r="G24" s="132">
        <f>IF(SER_hh_tesh_in!G24=0,0,SER_hh_tesh_in!G24/SER_summary!G$27)</f>
        <v>0</v>
      </c>
      <c r="H24" s="132">
        <f>IF(SER_hh_tesh_in!H24=0,0,SER_hh_tesh_in!H24/SER_summary!H$27)</f>
        <v>0</v>
      </c>
      <c r="I24" s="132">
        <f>IF(SER_hh_tesh_in!I24=0,0,SER_hh_tesh_in!I24/SER_summary!I$27)</f>
        <v>0</v>
      </c>
      <c r="J24" s="132">
        <f>IF(SER_hh_tesh_in!J24=0,0,SER_hh_tesh_in!J24/SER_summary!J$27)</f>
        <v>0</v>
      </c>
      <c r="K24" s="132">
        <f>IF(SER_hh_tesh_in!K24=0,0,SER_hh_tesh_in!K24/SER_summary!K$27)</f>
        <v>0</v>
      </c>
      <c r="L24" s="132">
        <f>IF(SER_hh_tesh_in!L24=0,0,SER_hh_tesh_in!L24/SER_summary!L$27)</f>
        <v>0</v>
      </c>
      <c r="M24" s="132">
        <f>IF(SER_hh_tesh_in!M24=0,0,SER_hh_tesh_in!M24/SER_summary!M$27)</f>
        <v>0</v>
      </c>
      <c r="N24" s="132">
        <f>IF(SER_hh_tesh_in!N24=0,0,SER_hh_tesh_in!N24/SER_summary!N$27)</f>
        <v>0</v>
      </c>
      <c r="O24" s="132">
        <f>IF(SER_hh_tesh_in!O24=0,0,SER_hh_tesh_in!O24/SER_summary!O$27)</f>
        <v>0</v>
      </c>
      <c r="P24" s="132">
        <f>IF(SER_hh_tesh_in!P24=0,0,SER_hh_tesh_in!P24/SER_summary!P$27)</f>
        <v>0</v>
      </c>
      <c r="Q24" s="132">
        <f>IF(SER_hh_tesh_in!Q24=0,0,SER_hh_tesh_in!Q24/SER_summary!Q$27)</f>
        <v>0</v>
      </c>
      <c r="R24" s="132">
        <f>IF(SER_hh_tesh_in!R24=0,0,SER_hh_tesh_in!R24/SER_summary!R$27)</f>
        <v>0</v>
      </c>
      <c r="S24" s="132">
        <f>IF(SER_hh_tesh_in!S24=0,0,SER_hh_tesh_in!S24/SER_summary!S$27)</f>
        <v>0</v>
      </c>
      <c r="T24" s="132">
        <f>IF(SER_hh_tesh_in!T24=0,0,SER_hh_tesh_in!T24/SER_summary!T$27)</f>
        <v>0</v>
      </c>
      <c r="U24" s="132">
        <f>IF(SER_hh_tesh_in!U24=0,0,SER_hh_tesh_in!U24/SER_summary!U$27)</f>
        <v>0</v>
      </c>
      <c r="V24" s="132">
        <f>IF(SER_hh_tesh_in!V24=0,0,SER_hh_tesh_in!V24/SER_summary!V$27)</f>
        <v>0</v>
      </c>
      <c r="W24" s="132">
        <f>IF(SER_hh_tesh_in!W24=0,0,SER_hh_tesh_in!W24/SER_summary!W$27)</f>
        <v>0</v>
      </c>
      <c r="X24" s="132">
        <f>IF(SER_hh_tesh_in!X24=0,0,SER_hh_tesh_in!X24/SER_summary!X$27)</f>
        <v>0</v>
      </c>
      <c r="Y24" s="132">
        <f>IF(SER_hh_tesh_in!Y24=0,0,SER_hh_tesh_in!Y24/SER_summary!Y$27)</f>
        <v>0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0</v>
      </c>
      <c r="D25" s="132">
        <f>IF(SER_hh_tesh_in!D25=0,0,SER_hh_tesh_in!D25/SER_summary!D$27)</f>
        <v>0</v>
      </c>
      <c r="E25" s="132">
        <f>IF(SER_hh_tesh_in!E25=0,0,SER_hh_tesh_in!E25/SER_summary!E$27)</f>
        <v>0</v>
      </c>
      <c r="F25" s="132">
        <f>IF(SER_hh_tesh_in!F25=0,0,SER_hh_tesh_in!F25/SER_summary!F$27)</f>
        <v>0</v>
      </c>
      <c r="G25" s="132">
        <f>IF(SER_hh_tesh_in!G25=0,0,SER_hh_tesh_in!G25/SER_summary!G$27)</f>
        <v>0</v>
      </c>
      <c r="H25" s="132">
        <f>IF(SER_hh_tesh_in!H25=0,0,SER_hh_tesh_in!H25/SER_summary!H$27)</f>
        <v>0</v>
      </c>
      <c r="I25" s="132">
        <f>IF(SER_hh_tesh_in!I25=0,0,SER_hh_tesh_in!I25/SER_summary!I$27)</f>
        <v>0</v>
      </c>
      <c r="J25" s="132">
        <f>IF(SER_hh_tesh_in!J25=0,0,SER_hh_tesh_in!J25/SER_summary!J$27)</f>
        <v>0</v>
      </c>
      <c r="K25" s="132">
        <f>IF(SER_hh_tesh_in!K25=0,0,SER_hh_tesh_in!K25/SER_summary!K$27)</f>
        <v>0</v>
      </c>
      <c r="L25" s="132">
        <f>IF(SER_hh_tesh_in!L25=0,0,SER_hh_tesh_in!L25/SER_summary!L$27)</f>
        <v>0</v>
      </c>
      <c r="M25" s="132">
        <f>IF(SER_hh_tesh_in!M25=0,0,SER_hh_tesh_in!M25/SER_summary!M$27)</f>
        <v>0</v>
      </c>
      <c r="N25" s="132">
        <f>IF(SER_hh_tesh_in!N25=0,0,SER_hh_tesh_in!N25/SER_summary!N$27)</f>
        <v>0</v>
      </c>
      <c r="O25" s="132">
        <f>IF(SER_hh_tesh_in!O25=0,0,SER_hh_tesh_in!O25/SER_summary!O$27)</f>
        <v>0</v>
      </c>
      <c r="P25" s="132">
        <f>IF(SER_hh_tesh_in!P25=0,0,SER_hh_tesh_in!P25/SER_summary!P$27)</f>
        <v>0</v>
      </c>
      <c r="Q25" s="132">
        <f>IF(SER_hh_tesh_in!Q25=0,0,SER_hh_tesh_in!Q25/SER_summary!Q$27)</f>
        <v>0</v>
      </c>
      <c r="R25" s="132">
        <f>IF(SER_hh_tesh_in!R25=0,0,SER_hh_tesh_in!R25/SER_summary!R$27)</f>
        <v>0</v>
      </c>
      <c r="S25" s="132">
        <f>IF(SER_hh_tesh_in!S25=0,0,SER_hh_tesh_in!S25/SER_summary!S$27)</f>
        <v>0</v>
      </c>
      <c r="T25" s="132">
        <f>IF(SER_hh_tesh_in!T25=0,0,SER_hh_tesh_in!T25/SER_summary!T$27)</f>
        <v>0</v>
      </c>
      <c r="U25" s="132">
        <f>IF(SER_hh_tesh_in!U25=0,0,SER_hh_tesh_in!U25/SER_summary!U$27)</f>
        <v>0</v>
      </c>
      <c r="V25" s="132">
        <f>IF(SER_hh_tesh_in!V25=0,0,SER_hh_tesh_in!V25/SER_summary!V$27)</f>
        <v>0</v>
      </c>
      <c r="W25" s="132">
        <f>IF(SER_hh_tesh_in!W25=0,0,SER_hh_tesh_in!W25/SER_summary!W$27)</f>
        <v>0</v>
      </c>
      <c r="X25" s="132">
        <f>IF(SER_hh_tesh_in!X25=0,0,SER_hh_tesh_in!X25/SER_summary!X$27)</f>
        <v>0</v>
      </c>
      <c r="Y25" s="132">
        <f>IF(SER_hh_tesh_in!Y25=0,0,SER_hh_tesh_in!Y25/SER_summary!Y$27)</f>
        <v>0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20.393142361481392</v>
      </c>
      <c r="D26" s="65">
        <f>IF(SER_hh_tesh_in!D26=0,0,SER_hh_tesh_in!D26/SER_summary!D$27)</f>
        <v>20.904058902165612</v>
      </c>
      <c r="E26" s="65">
        <f>IF(SER_hh_tesh_in!E26=0,0,SER_hh_tesh_in!E26/SER_summary!E$27)</f>
        <v>20.814766575835261</v>
      </c>
      <c r="F26" s="65">
        <f>IF(SER_hh_tesh_in!F26=0,0,SER_hh_tesh_in!F26/SER_summary!F$27)</f>
        <v>20.899248491166791</v>
      </c>
      <c r="G26" s="65">
        <f>IF(SER_hh_tesh_in!G26=0,0,SER_hh_tesh_in!G26/SER_summary!G$27)</f>
        <v>24.140922177517862</v>
      </c>
      <c r="H26" s="65">
        <f>IF(SER_hh_tesh_in!H26=0,0,SER_hh_tesh_in!H26/SER_summary!H$27)</f>
        <v>20.905825116618971</v>
      </c>
      <c r="I26" s="65">
        <f>IF(SER_hh_tesh_in!I26=0,0,SER_hh_tesh_in!I26/SER_summary!I$27)</f>
        <v>18.173083515308281</v>
      </c>
      <c r="J26" s="65">
        <f>IF(SER_hh_tesh_in!J26=0,0,SER_hh_tesh_in!J26/SER_summary!J$27)</f>
        <v>14.601242704967792</v>
      </c>
      <c r="K26" s="65">
        <f>IF(SER_hh_tesh_in!K26=0,0,SER_hh_tesh_in!K26/SER_summary!K$27)</f>
        <v>4.8996764028118935</v>
      </c>
      <c r="L26" s="65">
        <f>IF(SER_hh_tesh_in!L26=0,0,SER_hh_tesh_in!L26/SER_summary!L$27)</f>
        <v>17.978424346750867</v>
      </c>
      <c r="M26" s="65">
        <f>IF(SER_hh_tesh_in!M26=0,0,SER_hh_tesh_in!M26/SER_summary!M$27)</f>
        <v>15.349962309350095</v>
      </c>
      <c r="N26" s="65">
        <f>IF(SER_hh_tesh_in!N26=0,0,SER_hh_tesh_in!N26/SER_summary!N$27)</f>
        <v>16.123232457343022</v>
      </c>
      <c r="O26" s="65">
        <f>IF(SER_hh_tesh_in!O26=0,0,SER_hh_tesh_in!O26/SER_summary!O$27)</f>
        <v>4.6618338365528871</v>
      </c>
      <c r="P26" s="65">
        <f>IF(SER_hh_tesh_in!P26=0,0,SER_hh_tesh_in!P26/SER_summary!P$27)</f>
        <v>20.194629860874009</v>
      </c>
      <c r="Q26" s="65">
        <f>IF(SER_hh_tesh_in!Q26=0,0,SER_hh_tesh_in!Q26/SER_summary!Q$27)</f>
        <v>19.023284294048594</v>
      </c>
      <c r="R26" s="65">
        <f>IF(SER_hh_tesh_in!R26=0,0,SER_hh_tesh_in!R26/SER_summary!R$27)</f>
        <v>7.6801560120222625</v>
      </c>
      <c r="S26" s="65">
        <f>IF(SER_hh_tesh_in!S26=0,0,SER_hh_tesh_in!S26/SER_summary!S$27)</f>
        <v>17.081502402593891</v>
      </c>
      <c r="T26" s="65">
        <f>IF(SER_hh_tesh_in!T26=0,0,SER_hh_tesh_in!T26/SER_summary!T$27)</f>
        <v>18.922638227461153</v>
      </c>
      <c r="U26" s="65">
        <f>IF(SER_hh_tesh_in!U26=0,0,SER_hh_tesh_in!U26/SER_summary!U$27)</f>
        <v>17.077778174167058</v>
      </c>
      <c r="V26" s="65">
        <f>IF(SER_hh_tesh_in!V26=0,0,SER_hh_tesh_in!V26/SER_summary!V$27)</f>
        <v>5.556632510998468</v>
      </c>
      <c r="W26" s="65">
        <f>IF(SER_hh_tesh_in!W26=0,0,SER_hh_tesh_in!W26/SER_summary!W$27)</f>
        <v>10.382189950389428</v>
      </c>
      <c r="X26" s="65">
        <f>IF(SER_hh_tesh_in!X26=0,0,SER_hh_tesh_in!X26/SER_summary!X$27)</f>
        <v>15.821163265855191</v>
      </c>
      <c r="Y26" s="65">
        <f>IF(SER_hh_tesh_in!Y26=0,0,SER_hh_tesh_in!Y26/SER_summary!Y$27)</f>
        <v>13.427698267769427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0.94716833042303061</v>
      </c>
      <c r="D27" s="145">
        <f>IF(SER_hh_tesh_in!D27=0,0,SER_hh_tesh_in!D27/SER_summary!D$27)</f>
        <v>1.3822228451092595</v>
      </c>
      <c r="E27" s="145">
        <f>IF(SER_hh_tesh_in!E27=0,0,SER_hh_tesh_in!E27/SER_summary!E$27)</f>
        <v>1.6350509844396297</v>
      </c>
      <c r="F27" s="145">
        <f>IF(SER_hh_tesh_in!F27=0,0,SER_hh_tesh_in!F27/SER_summary!F$27)</f>
        <v>1.9104385515456688</v>
      </c>
      <c r="G27" s="145">
        <f>IF(SER_hh_tesh_in!G27=0,0,SER_hh_tesh_in!G27/SER_summary!G$27)</f>
        <v>1.4777243705439536E-2</v>
      </c>
      <c r="H27" s="145">
        <f>IF(SER_hh_tesh_in!H27=0,0,SER_hh_tesh_in!H27/SER_summary!H$27)</f>
        <v>2.4685735609549129</v>
      </c>
      <c r="I27" s="145">
        <f>IF(SER_hh_tesh_in!I27=0,0,SER_hh_tesh_in!I27/SER_summary!I$27)</f>
        <v>4.2142308975560647</v>
      </c>
      <c r="J27" s="145">
        <f>IF(SER_hh_tesh_in!J27=0,0,SER_hh_tesh_in!J27/SER_summary!J$27)</f>
        <v>7.6905217593204176</v>
      </c>
      <c r="K27" s="145">
        <f>IF(SER_hh_tesh_in!K27=0,0,SER_hh_tesh_in!K27/SER_summary!K$27)</f>
        <v>16.739623155493405</v>
      </c>
      <c r="L27" s="145">
        <f>IF(SER_hh_tesh_in!L27=0,0,SER_hh_tesh_in!L27/SER_summary!L$27)</f>
        <v>5.3661173677226524</v>
      </c>
      <c r="M27" s="145">
        <f>IF(SER_hh_tesh_in!M27=0,0,SER_hh_tesh_in!M27/SER_summary!M$27)</f>
        <v>8.7957077119670526</v>
      </c>
      <c r="N27" s="145">
        <f>IF(SER_hh_tesh_in!N27=0,0,SER_hh_tesh_in!N27/SER_summary!N$27)</f>
        <v>8.3923639735781048</v>
      </c>
      <c r="O27" s="145">
        <f>IF(SER_hh_tesh_in!O27=0,0,SER_hh_tesh_in!O27/SER_summary!O$27)</f>
        <v>19.069791849104078</v>
      </c>
      <c r="P27" s="145">
        <f>IF(SER_hh_tesh_in!P27=0,0,SER_hh_tesh_in!P27/SER_summary!P$27)</f>
        <v>5.8155063511857188</v>
      </c>
      <c r="Q27" s="145">
        <f>IF(SER_hh_tesh_in!Q27=0,0,SER_hh_tesh_in!Q27/SER_summary!Q$27)</f>
        <v>6.7235262665310014</v>
      </c>
      <c r="R27" s="145">
        <f>IF(SER_hh_tesh_in!R27=0,0,SER_hh_tesh_in!R27/SER_summary!R$27)</f>
        <v>16.777961899089249</v>
      </c>
      <c r="S27" s="145">
        <f>IF(SER_hh_tesh_in!S27=0,0,SER_hh_tesh_in!S27/SER_summary!S$27)</f>
        <v>8.2681842335708264</v>
      </c>
      <c r="T27" s="145">
        <f>IF(SER_hh_tesh_in!T27=0,0,SER_hh_tesh_in!T27/SER_summary!T$27)</f>
        <v>6.7452124199227415</v>
      </c>
      <c r="U27" s="145">
        <f>IF(SER_hh_tesh_in!U27=0,0,SER_hh_tesh_in!U27/SER_summary!U$27)</f>
        <v>7.8413443916639878</v>
      </c>
      <c r="V27" s="145">
        <f>IF(SER_hh_tesh_in!V27=0,0,SER_hh_tesh_in!V27/SER_summary!V$27)</f>
        <v>16.530951794688178</v>
      </c>
      <c r="W27" s="145">
        <f>IF(SER_hh_tesh_in!W27=0,0,SER_hh_tesh_in!W27/SER_summary!W$27)</f>
        <v>12.071702298748082</v>
      </c>
      <c r="X27" s="145">
        <f>IF(SER_hh_tesh_in!X27=0,0,SER_hh_tesh_in!X27/SER_summary!X$27)</f>
        <v>8.167298288064881</v>
      </c>
      <c r="Y27" s="145">
        <f>IF(SER_hh_tesh_in!Y27=0,0,SER_hh_tesh_in!Y27/SER_summary!Y$27)</f>
        <v>10.527877016756241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17.175232339360669</v>
      </c>
      <c r="D28" s="146">
        <f>IF(SER_hh_tesh_in!D28=0,0,SER_hh_tesh_in!D28/SER_summary!D$27)</f>
        <v>17.852525799851293</v>
      </c>
      <c r="E28" s="146">
        <f>IF(SER_hh_tesh_in!E28=0,0,SER_hh_tesh_in!E28/SER_summary!E$27)</f>
        <v>18.149628533408976</v>
      </c>
      <c r="F28" s="146">
        <f>IF(SER_hh_tesh_in!F28=0,0,SER_hh_tesh_in!F28/SER_summary!F$27)</f>
        <v>18.333359934159958</v>
      </c>
      <c r="G28" s="146">
        <f>IF(SER_hh_tesh_in!G28=0,0,SER_hh_tesh_in!G28/SER_summary!G$27)</f>
        <v>19.361192729992194</v>
      </c>
      <c r="H28" s="146">
        <f>IF(SER_hh_tesh_in!H28=0,0,SER_hh_tesh_in!H28/SER_summary!H$27)</f>
        <v>18.959956326789666</v>
      </c>
      <c r="I28" s="146">
        <f>IF(SER_hh_tesh_in!I28=0,0,SER_hh_tesh_in!I28/SER_summary!I$27)</f>
        <v>18.55434564030104</v>
      </c>
      <c r="J28" s="146">
        <f>IF(SER_hh_tesh_in!J28=0,0,SER_hh_tesh_in!J28/SER_summary!J$27)</f>
        <v>18.861008085526443</v>
      </c>
      <c r="K28" s="146">
        <f>IF(SER_hh_tesh_in!K28=0,0,SER_hh_tesh_in!K28/SER_summary!K$27)</f>
        <v>19.183627057647538</v>
      </c>
      <c r="L28" s="146">
        <f>IF(SER_hh_tesh_in!L28=0,0,SER_hh_tesh_in!L28/SER_summary!L$27)</f>
        <v>20.099263861342035</v>
      </c>
      <c r="M28" s="146">
        <f>IF(SER_hh_tesh_in!M28=0,0,SER_hh_tesh_in!M28/SER_summary!M$27)</f>
        <v>20.809159945763255</v>
      </c>
      <c r="N28" s="146">
        <f>IF(SER_hh_tesh_in!N28=0,0,SER_hh_tesh_in!N28/SER_summary!N$27)</f>
        <v>21.582208318035896</v>
      </c>
      <c r="O28" s="146">
        <f>IF(SER_hh_tesh_in!O28=0,0,SER_hh_tesh_in!O28/SER_summary!O$27)</f>
        <v>21.448608798964063</v>
      </c>
      <c r="P28" s="146">
        <f>IF(SER_hh_tesh_in!P28=0,0,SER_hh_tesh_in!P28/SER_summary!P$27)</f>
        <v>22.064260420290083</v>
      </c>
      <c r="Q28" s="146">
        <f>IF(SER_hh_tesh_in!Q28=0,0,SER_hh_tesh_in!Q28/SER_summary!Q$27)</f>
        <v>22.457781671107725</v>
      </c>
      <c r="R28" s="146">
        <f>IF(SER_hh_tesh_in!R28=0,0,SER_hh_tesh_in!R28/SER_summary!R$27)</f>
        <v>21.890165461873078</v>
      </c>
      <c r="S28" s="146">
        <f>IF(SER_hh_tesh_in!S28=0,0,SER_hh_tesh_in!S28/SER_summary!S$27)</f>
        <v>21.875776349879864</v>
      </c>
      <c r="T28" s="146">
        <f>IF(SER_hh_tesh_in!T28=0,0,SER_hh_tesh_in!T28/SER_summary!T$27)</f>
        <v>22.25373989808892</v>
      </c>
      <c r="U28" s="146">
        <f>IF(SER_hh_tesh_in!U28=0,0,SER_hh_tesh_in!U28/SER_summary!U$27)</f>
        <v>22.312298516455698</v>
      </c>
      <c r="V28" s="146">
        <f>IF(SER_hh_tesh_in!V28=0,0,SER_hh_tesh_in!V28/SER_summary!V$27)</f>
        <v>20.270419959401206</v>
      </c>
      <c r="W28" s="146">
        <f>IF(SER_hh_tesh_in!W28=0,0,SER_hh_tesh_in!W28/SER_summary!W$27)</f>
        <v>19.489575324541811</v>
      </c>
      <c r="X28" s="146">
        <f>IF(SER_hh_tesh_in!X28=0,0,SER_hh_tesh_in!X28/SER_summary!X$27)</f>
        <v>20.470474032917235</v>
      </c>
      <c r="Y28" s="146">
        <f>IF(SER_hh_tesh_in!Y28=0,0,SER_hh_tesh_in!Y28/SER_summary!Y$27)</f>
        <v>21.72886052972687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27.966167233534634</v>
      </c>
      <c r="D29" s="130">
        <f>IF(SER_hh_tesh_in!D29=0,0,SER_hh_tesh_in!D29/SER_summary!D$27)</f>
        <v>29.275213999319302</v>
      </c>
      <c r="E29" s="130">
        <f>IF(SER_hh_tesh_in!E29=0,0,SER_hh_tesh_in!E29/SER_summary!E$27)</f>
        <v>28.017078899625428</v>
      </c>
      <c r="F29" s="130">
        <f>IF(SER_hh_tesh_in!F29=0,0,SER_hh_tesh_in!F29/SER_summary!F$27)</f>
        <v>30.883659676529398</v>
      </c>
      <c r="G29" s="130">
        <f>IF(SER_hh_tesh_in!G29=0,0,SER_hh_tesh_in!G29/SER_summary!G$27)</f>
        <v>29.874429915031747</v>
      </c>
      <c r="H29" s="130">
        <f>IF(SER_hh_tesh_in!H29=0,0,SER_hh_tesh_in!H29/SER_summary!H$27)</f>
        <v>29.128559899866037</v>
      </c>
      <c r="I29" s="130">
        <f>IF(SER_hh_tesh_in!I29=0,0,SER_hh_tesh_in!I29/SER_summary!I$27)</f>
        <v>28.368918493116222</v>
      </c>
      <c r="J29" s="130">
        <f>IF(SER_hh_tesh_in!J29=0,0,SER_hh_tesh_in!J29/SER_summary!J$27)</f>
        <v>28.135940372889397</v>
      </c>
      <c r="K29" s="130">
        <f>IF(SER_hh_tesh_in!K29=0,0,SER_hh_tesh_in!K29/SER_summary!K$27)</f>
        <v>28.981102032405886</v>
      </c>
      <c r="L29" s="130">
        <f>IF(SER_hh_tesh_in!L29=0,0,SER_hh_tesh_in!L29/SER_summary!L$27)</f>
        <v>30.175256707323868</v>
      </c>
      <c r="M29" s="130">
        <f>IF(SER_hh_tesh_in!M29=0,0,SER_hh_tesh_in!M29/SER_summary!M$27)</f>
        <v>26.745188336774913</v>
      </c>
      <c r="N29" s="130">
        <f>IF(SER_hh_tesh_in!N29=0,0,SER_hh_tesh_in!N29/SER_summary!N$27)</f>
        <v>34.560712442227441</v>
      </c>
      <c r="O29" s="130">
        <f>IF(SER_hh_tesh_in!O29=0,0,SER_hh_tesh_in!O29/SER_summary!O$27)</f>
        <v>31.434273742732731</v>
      </c>
      <c r="P29" s="130">
        <f>IF(SER_hh_tesh_in!P29=0,0,SER_hh_tesh_in!P29/SER_summary!P$27)</f>
        <v>33.044234746027705</v>
      </c>
      <c r="Q29" s="130">
        <f>IF(SER_hh_tesh_in!Q29=0,0,SER_hh_tesh_in!Q29/SER_summary!Q$27)</f>
        <v>31.534653693224296</v>
      </c>
      <c r="R29" s="130">
        <f>IF(SER_hh_tesh_in!R29=0,0,SER_hh_tesh_in!R29/SER_summary!R$27)</f>
        <v>31.580705661619525</v>
      </c>
      <c r="S29" s="130">
        <f>IF(SER_hh_tesh_in!S29=0,0,SER_hh_tesh_in!S29/SER_summary!S$27)</f>
        <v>31.721452254821017</v>
      </c>
      <c r="T29" s="130">
        <f>IF(SER_hh_tesh_in!T29=0,0,SER_hh_tesh_in!T29/SER_summary!T$27)</f>
        <v>31.642741823500003</v>
      </c>
      <c r="U29" s="130">
        <f>IF(SER_hh_tesh_in!U29=0,0,SER_hh_tesh_in!U29/SER_summary!U$27)</f>
        <v>31.038980054018939</v>
      </c>
      <c r="V29" s="130">
        <f>IF(SER_hh_tesh_in!V29=0,0,SER_hh_tesh_in!V29/SER_summary!V$27)</f>
        <v>26.591177509511883</v>
      </c>
      <c r="W29" s="130">
        <f>IF(SER_hh_tesh_in!W29=0,0,SER_hh_tesh_in!W29/SER_summary!W$27)</f>
        <v>29.402195092727371</v>
      </c>
      <c r="X29" s="130">
        <f>IF(SER_hh_tesh_in!X29=0,0,SER_hh_tesh_in!X29/SER_summary!X$27)</f>
        <v>29.73164308503446</v>
      </c>
      <c r="Y29" s="130">
        <f>IF(SER_hh_tesh_in!Y29=0,0,SER_hh_tesh_in!Y29/SER_summary!Y$27)</f>
        <v>30.579219368609426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31.509165016329906</v>
      </c>
      <c r="D30" s="132">
        <f>IF(SER_hh_tesh_in!D30=0,0,SER_hh_tesh_in!D30/SER_summary!D$27)</f>
        <v>19.320466224391971</v>
      </c>
      <c r="E30" s="132">
        <f>IF(SER_hh_tesh_in!E30=0,0,SER_hh_tesh_in!E30/SER_summary!E$27)</f>
        <v>19.491372094742651</v>
      </c>
      <c r="F30" s="132">
        <f>IF(SER_hh_tesh_in!F30=0,0,SER_hh_tesh_in!F30/SER_summary!F$27)</f>
        <v>38.876452476563031</v>
      </c>
      <c r="G30" s="132">
        <f>IF(SER_hh_tesh_in!G30=0,0,SER_hh_tesh_in!G30/SER_summary!G$27)</f>
        <v>30.896110130728676</v>
      </c>
      <c r="H30" s="132">
        <f>IF(SER_hh_tesh_in!H30=0,0,SER_hh_tesh_in!H30/SER_summary!H$27)</f>
        <v>29.111179447232786</v>
      </c>
      <c r="I30" s="132">
        <f>IF(SER_hh_tesh_in!I30=0,0,SER_hh_tesh_in!I30/SER_summary!I$27)</f>
        <v>28.225194678857118</v>
      </c>
      <c r="J30" s="132">
        <f>IF(SER_hh_tesh_in!J30=0,0,SER_hh_tesh_in!J30/SER_summary!J$27)</f>
        <v>26.751740727017545</v>
      </c>
      <c r="K30" s="132">
        <f>IF(SER_hh_tesh_in!K30=0,0,SER_hh_tesh_in!K30/SER_summary!K$27)</f>
        <v>25.005625500285571</v>
      </c>
      <c r="L30" s="132">
        <f>IF(SER_hh_tesh_in!L30=0,0,SER_hh_tesh_in!L30/SER_summary!L$27)</f>
        <v>26.695697109307748</v>
      </c>
      <c r="M30" s="132">
        <f>IF(SER_hh_tesh_in!M30=0,0,SER_hh_tesh_in!M30/SER_summary!M$27)</f>
        <v>19.197931617511102</v>
      </c>
      <c r="N30" s="132">
        <f>IF(SER_hh_tesh_in!N30=0,0,SER_hh_tesh_in!N30/SER_summary!N$27)</f>
        <v>52.877775849646568</v>
      </c>
      <c r="O30" s="132">
        <f>IF(SER_hh_tesh_in!O30=0,0,SER_hh_tesh_in!O30/SER_summary!O$27)</f>
        <v>36.322212251791292</v>
      </c>
      <c r="P30" s="132">
        <f>IF(SER_hh_tesh_in!P30=0,0,SER_hh_tesh_in!P30/SER_summary!P$27)</f>
        <v>0</v>
      </c>
      <c r="Q30" s="132">
        <f>IF(SER_hh_tesh_in!Q30=0,0,SER_hh_tesh_in!Q30/SER_summary!Q$27)</f>
        <v>25.496796119778828</v>
      </c>
      <c r="R30" s="132">
        <f>IF(SER_hh_tesh_in!R30=0,0,SER_hh_tesh_in!R30/SER_summary!R$27)</f>
        <v>28.856458038076667</v>
      </c>
      <c r="S30" s="132">
        <f>IF(SER_hh_tesh_in!S30=0,0,SER_hh_tesh_in!S30/SER_summary!S$27)</f>
        <v>31.612231910799736</v>
      </c>
      <c r="T30" s="132">
        <f>IF(SER_hh_tesh_in!T30=0,0,SER_hh_tesh_in!T30/SER_summary!T$27)</f>
        <v>32.139360309847248</v>
      </c>
      <c r="U30" s="132">
        <f>IF(SER_hh_tesh_in!U30=0,0,SER_hh_tesh_in!U30/SER_summary!U$27)</f>
        <v>34.582164072173761</v>
      </c>
      <c r="V30" s="132">
        <f>IF(SER_hh_tesh_in!V30=0,0,SER_hh_tesh_in!V30/SER_summary!V$27)</f>
        <v>21.521703549808716</v>
      </c>
      <c r="W30" s="132">
        <f>IF(SER_hh_tesh_in!W30=0,0,SER_hh_tesh_in!W30/SER_summary!W$27)</f>
        <v>27.868212813342648</v>
      </c>
      <c r="X30" s="132">
        <f>IF(SER_hh_tesh_in!X30=0,0,SER_hh_tesh_in!X30/SER_summary!X$27)</f>
        <v>29.628729902372349</v>
      </c>
      <c r="Y30" s="132">
        <f>IF(SER_hh_tesh_in!Y30=0,0,SER_hh_tesh_in!Y30/SER_summary!Y$27)</f>
        <v>32.091353504469495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26.921783538489485</v>
      </c>
      <c r="D31" s="132">
        <f>IF(SER_hh_tesh_in!D31=0,0,SER_hh_tesh_in!D31/SER_summary!D$27)</f>
        <v>25.886318110637255</v>
      </c>
      <c r="E31" s="132">
        <f>IF(SER_hh_tesh_in!E31=0,0,SER_hh_tesh_in!E31/SER_summary!E$27)</f>
        <v>27.187007261085359</v>
      </c>
      <c r="F31" s="132">
        <f>IF(SER_hh_tesh_in!F31=0,0,SER_hh_tesh_in!F31/SER_summary!F$27)</f>
        <v>27.789526162445593</v>
      </c>
      <c r="G31" s="132">
        <f>IF(SER_hh_tesh_in!G31=0,0,SER_hh_tesh_in!G31/SER_summary!G$27)</f>
        <v>31.087996037821213</v>
      </c>
      <c r="H31" s="132">
        <f>IF(SER_hh_tesh_in!H31=0,0,SER_hh_tesh_in!H31/SER_summary!H$27)</f>
        <v>28.942713751338069</v>
      </c>
      <c r="I31" s="132">
        <f>IF(SER_hh_tesh_in!I31=0,0,SER_hh_tesh_in!I31/SER_summary!I$27)</f>
        <v>27.746132303239389</v>
      </c>
      <c r="J31" s="132">
        <f>IF(SER_hh_tesh_in!J31=0,0,SER_hh_tesh_in!J31/SER_summary!J$27)</f>
        <v>27.556493564757595</v>
      </c>
      <c r="K31" s="132">
        <f>IF(SER_hh_tesh_in!K31=0,0,SER_hh_tesh_in!K31/SER_summary!K$27)</f>
        <v>29.432197784771269</v>
      </c>
      <c r="L31" s="132">
        <f>IF(SER_hh_tesh_in!L31=0,0,SER_hh_tesh_in!L31/SER_summary!L$27)</f>
        <v>30.746609600413571</v>
      </c>
      <c r="M31" s="132">
        <f>IF(SER_hh_tesh_in!M31=0,0,SER_hh_tesh_in!M31/SER_summary!M$27)</f>
        <v>32.029151566058609</v>
      </c>
      <c r="N31" s="132">
        <f>IF(SER_hh_tesh_in!N31=0,0,SER_hh_tesh_in!N31/SER_summary!N$27)</f>
        <v>31.634572338373147</v>
      </c>
      <c r="O31" s="132">
        <f>IF(SER_hh_tesh_in!O31=0,0,SER_hh_tesh_in!O31/SER_summary!O$27)</f>
        <v>31.237014518565456</v>
      </c>
      <c r="P31" s="132">
        <f>IF(SER_hh_tesh_in!P31=0,0,SER_hh_tesh_in!P31/SER_summary!P$27)</f>
        <v>32.339485649420965</v>
      </c>
      <c r="Q31" s="132">
        <f>IF(SER_hh_tesh_in!Q31=0,0,SER_hh_tesh_in!Q31/SER_summary!Q$27)</f>
        <v>32.301091816049876</v>
      </c>
      <c r="R31" s="132">
        <f>IF(SER_hh_tesh_in!R31=0,0,SER_hh_tesh_in!R31/SER_summary!R$27)</f>
        <v>31.690122963567514</v>
      </c>
      <c r="S31" s="132">
        <f>IF(SER_hh_tesh_in!S31=0,0,SER_hh_tesh_in!S31/SER_summary!S$27)</f>
        <v>31.249226353948345</v>
      </c>
      <c r="T31" s="132">
        <f>IF(SER_hh_tesh_in!T31=0,0,SER_hh_tesh_in!T31/SER_summary!T$27)</f>
        <v>30.697221404968811</v>
      </c>
      <c r="U31" s="132">
        <f>IF(SER_hh_tesh_in!U31=0,0,SER_hh_tesh_in!U31/SER_summary!U$27)</f>
        <v>30.511590013930327</v>
      </c>
      <c r="V31" s="132">
        <f>IF(SER_hh_tesh_in!V31=0,0,SER_hh_tesh_in!V31/SER_summary!V$27)</f>
        <v>28.474587516519023</v>
      </c>
      <c r="W31" s="132">
        <f>IF(SER_hh_tesh_in!W31=0,0,SER_hh_tesh_in!W31/SER_summary!W$27)</f>
        <v>32.341949642898889</v>
      </c>
      <c r="X31" s="132">
        <f>IF(SER_hh_tesh_in!X31=0,0,SER_hh_tesh_in!X31/SER_summary!X$27)</f>
        <v>0</v>
      </c>
      <c r="Y31" s="132">
        <f>IF(SER_hh_tesh_in!Y31=0,0,SER_hh_tesh_in!Y31/SER_summary!Y$27)</f>
        <v>0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0</v>
      </c>
      <c r="D32" s="132">
        <f>IF(SER_hh_tesh_in!D32=0,0,SER_hh_tesh_in!D32/SER_summary!D$27)</f>
        <v>0</v>
      </c>
      <c r="E32" s="132">
        <f>IF(SER_hh_tesh_in!E32=0,0,SER_hh_tesh_in!E32/SER_summary!E$27)</f>
        <v>0</v>
      </c>
      <c r="F32" s="132">
        <f>IF(SER_hh_tesh_in!F32=0,0,SER_hh_tesh_in!F32/SER_summary!F$27)</f>
        <v>0</v>
      </c>
      <c r="G32" s="132">
        <f>IF(SER_hh_tesh_in!G32=0,0,SER_hh_tesh_in!G32/SER_summary!G$27)</f>
        <v>0</v>
      </c>
      <c r="H32" s="132">
        <f>IF(SER_hh_tesh_in!H32=0,0,SER_hh_tesh_in!H32/SER_summary!H$27)</f>
        <v>0</v>
      </c>
      <c r="I32" s="132">
        <f>IF(SER_hh_tesh_in!I32=0,0,SER_hh_tesh_in!I32/SER_summary!I$27)</f>
        <v>0</v>
      </c>
      <c r="J32" s="132">
        <f>IF(SER_hh_tesh_in!J32=0,0,SER_hh_tesh_in!J32/SER_summary!J$27)</f>
        <v>0</v>
      </c>
      <c r="K32" s="132">
        <f>IF(SER_hh_tesh_in!K32=0,0,SER_hh_tesh_in!K32/SER_summary!K$27)</f>
        <v>0</v>
      </c>
      <c r="L32" s="132">
        <f>IF(SER_hh_tesh_in!L32=0,0,SER_hh_tesh_in!L32/SER_summary!L$27)</f>
        <v>0</v>
      </c>
      <c r="M32" s="132">
        <f>IF(SER_hh_tesh_in!M32=0,0,SER_hh_tesh_in!M32/SER_summary!M$27)</f>
        <v>0</v>
      </c>
      <c r="N32" s="132">
        <f>IF(SER_hh_tesh_in!N32=0,0,SER_hh_tesh_in!N32/SER_summary!N$27)</f>
        <v>0</v>
      </c>
      <c r="O32" s="132">
        <f>IF(SER_hh_tesh_in!O32=0,0,SER_hh_tesh_in!O32/SER_summary!O$27)</f>
        <v>0</v>
      </c>
      <c r="P32" s="132">
        <f>IF(SER_hh_tesh_in!P32=0,0,SER_hh_tesh_in!P32/SER_summary!P$27)</f>
        <v>0</v>
      </c>
      <c r="Q32" s="132">
        <f>IF(SER_hh_tesh_in!Q32=0,0,SER_hh_tesh_in!Q32/SER_summary!Q$27)</f>
        <v>0</v>
      </c>
      <c r="R32" s="132">
        <f>IF(SER_hh_tesh_in!R32=0,0,SER_hh_tesh_in!R32/SER_summary!R$27)</f>
        <v>0</v>
      </c>
      <c r="S32" s="132">
        <f>IF(SER_hh_tesh_in!S32=0,0,SER_hh_tesh_in!S32/SER_summary!S$27)</f>
        <v>0</v>
      </c>
      <c r="T32" s="132">
        <f>IF(SER_hh_tesh_in!T32=0,0,SER_hh_tesh_in!T32/SER_summary!T$27)</f>
        <v>0</v>
      </c>
      <c r="U32" s="132">
        <f>IF(SER_hh_tesh_in!U32=0,0,SER_hh_tesh_in!U32/SER_summary!U$27)</f>
        <v>0</v>
      </c>
      <c r="V32" s="132">
        <f>IF(SER_hh_tesh_in!V32=0,0,SER_hh_tesh_in!V32/SER_summary!V$27)</f>
        <v>0</v>
      </c>
      <c r="W32" s="132">
        <f>IF(SER_hh_tesh_in!W32=0,0,SER_hh_tesh_in!W32/SER_summary!W$27)</f>
        <v>0</v>
      </c>
      <c r="X32" s="132">
        <f>IF(SER_hh_tesh_in!X32=0,0,SER_hh_tesh_in!X32/SER_summary!X$27)</f>
        <v>0</v>
      </c>
      <c r="Y32" s="132">
        <f>IF(SER_hh_tesh_in!Y32=0,0,SER_hh_tesh_in!Y32/SER_summary!Y$27)</f>
        <v>0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27.979426951386717</v>
      </c>
      <c r="D33" s="68">
        <f>IF(SER_hh_tesh_in!D33=0,0,SER_hh_tesh_in!D33/SER_summary!D$27)</f>
        <v>29.849462093740545</v>
      </c>
      <c r="E33" s="68">
        <f>IF(SER_hh_tesh_in!E33=0,0,SER_hh_tesh_in!E33/SER_summary!E$27)</f>
        <v>29.417996665106568</v>
      </c>
      <c r="F33" s="68">
        <f>IF(SER_hh_tesh_in!F33=0,0,SER_hh_tesh_in!F33/SER_summary!F$27)</f>
        <v>28.540777432537823</v>
      </c>
      <c r="G33" s="68">
        <f>IF(SER_hh_tesh_in!G33=0,0,SER_hh_tesh_in!G33/SER_summary!G$27)</f>
        <v>29.648355020622066</v>
      </c>
      <c r="H33" s="68">
        <f>IF(SER_hh_tesh_in!H33=0,0,SER_hh_tesh_in!H33/SER_summary!H$27)</f>
        <v>29.140193434174485</v>
      </c>
      <c r="I33" s="68">
        <f>IF(SER_hh_tesh_in!I33=0,0,SER_hh_tesh_in!I33/SER_summary!I$27)</f>
        <v>28.408688293314562</v>
      </c>
      <c r="J33" s="68">
        <f>IF(SER_hh_tesh_in!J33=0,0,SER_hh_tesh_in!J33/SER_summary!J$27)</f>
        <v>28.282307706433926</v>
      </c>
      <c r="K33" s="68">
        <f>IF(SER_hh_tesh_in!K33=0,0,SER_hh_tesh_in!K33/SER_summary!K$27)</f>
        <v>29.238804968115929</v>
      </c>
      <c r="L33" s="68">
        <f>IF(SER_hh_tesh_in!L33=0,0,SER_hh_tesh_in!L33/SER_summary!L$27)</f>
        <v>30.536779537003923</v>
      </c>
      <c r="M33" s="68">
        <f>IF(SER_hh_tesh_in!M33=0,0,SER_hh_tesh_in!M33/SER_summary!M$27)</f>
        <v>32.544349868028355</v>
      </c>
      <c r="N33" s="68">
        <f>IF(SER_hh_tesh_in!N33=0,0,SER_hh_tesh_in!N33/SER_summary!N$27)</f>
        <v>28.012732666676992</v>
      </c>
      <c r="O33" s="68">
        <f>IF(SER_hh_tesh_in!O33=0,0,SER_hh_tesh_in!O33/SER_summary!O$27)</f>
        <v>31.145993414967247</v>
      </c>
      <c r="P33" s="68">
        <f>IF(SER_hh_tesh_in!P33=0,0,SER_hh_tesh_in!P33/SER_summary!P$27)</f>
        <v>33.089923430313092</v>
      </c>
      <c r="Q33" s="68">
        <f>IF(SER_hh_tesh_in!Q33=0,0,SER_hh_tesh_in!Q33/SER_summary!Q$27)</f>
        <v>32.08088296067492</v>
      </c>
      <c r="R33" s="68">
        <f>IF(SER_hh_tesh_in!R33=0,0,SER_hh_tesh_in!R33/SER_summary!R$27)</f>
        <v>32.06064031285284</v>
      </c>
      <c r="S33" s="68">
        <f>IF(SER_hh_tesh_in!S33=0,0,SER_hh_tesh_in!S33/SER_summary!S$27)</f>
        <v>31.763232683486244</v>
      </c>
      <c r="T33" s="68">
        <f>IF(SER_hh_tesh_in!T33=0,0,SER_hh_tesh_in!T33/SER_summary!T$27)</f>
        <v>31.642718149394693</v>
      </c>
      <c r="U33" s="68">
        <f>IF(SER_hh_tesh_in!U33=0,0,SER_hh_tesh_in!U33/SER_summary!U$27)</f>
        <v>30.476446603941028</v>
      </c>
      <c r="V33" s="68">
        <f>IF(SER_hh_tesh_in!V33=0,0,SER_hh_tesh_in!V33/SER_summary!V$27)</f>
        <v>27.123397295799382</v>
      </c>
      <c r="W33" s="68">
        <f>IF(SER_hh_tesh_in!W33=0,0,SER_hh_tesh_in!W33/SER_summary!W$27)</f>
        <v>29.958272759976904</v>
      </c>
      <c r="X33" s="68">
        <f>IF(SER_hh_tesh_in!X33=0,0,SER_hh_tesh_in!X33/SER_summary!X$27)</f>
        <v>29.814471729593158</v>
      </c>
      <c r="Y33" s="68">
        <f>IF(SER_hh_tesh_in!Y33=0,0,SER_hh_tesh_in!Y33/SER_summary!Y$27)</f>
        <v>29.567388382311812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15.025724815160642</v>
      </c>
      <c r="D3" s="125">
        <f>IF(SER_hh_emih_in!D3=0,0,SER_hh_emih_in!D3/SER_summary!D$27)</f>
        <v>8.6392866122613459</v>
      </c>
      <c r="E3" s="125">
        <f>IF(SER_hh_emih_in!E3=0,0,SER_hh_emih_in!E3/SER_summary!E$27)</f>
        <v>10.741835862695552</v>
      </c>
      <c r="F3" s="125">
        <f>IF(SER_hh_emih_in!F3=0,0,SER_hh_emih_in!F3/SER_summary!F$27)</f>
        <v>9.6194179755599336</v>
      </c>
      <c r="G3" s="125">
        <f>IF(SER_hh_emih_in!G3=0,0,SER_hh_emih_in!G3/SER_summary!G$27)</f>
        <v>16.434765679945723</v>
      </c>
      <c r="H3" s="125">
        <f>IF(SER_hh_emih_in!H3=0,0,SER_hh_emih_in!H3/SER_summary!H$27)</f>
        <v>7.821008938589264</v>
      </c>
      <c r="I3" s="125">
        <f>IF(SER_hh_emih_in!I3=0,0,SER_hh_emih_in!I3/SER_summary!I$27)</f>
        <v>4.4035114556824588</v>
      </c>
      <c r="J3" s="125">
        <f>IF(SER_hh_emih_in!J3=0,0,SER_hh_emih_in!J3/SER_summary!J$27)</f>
        <v>5.2448787880631187</v>
      </c>
      <c r="K3" s="125">
        <f>IF(SER_hh_emih_in!K3=0,0,SER_hh_emih_in!K3/SER_summary!K$27)</f>
        <v>6.8531553480787668</v>
      </c>
      <c r="L3" s="125">
        <f>IF(SER_hh_emih_in!L3=0,0,SER_hh_emih_in!L3/SER_summary!L$27)</f>
        <v>7.6687989155601137</v>
      </c>
      <c r="M3" s="125">
        <f>IF(SER_hh_emih_in!M3=0,0,SER_hh_emih_in!M3/SER_summary!M$27)</f>
        <v>8.7648293793176997</v>
      </c>
      <c r="N3" s="125">
        <f>IF(SER_hh_emih_in!N3=0,0,SER_hh_emih_in!N3/SER_summary!N$27)</f>
        <v>8.1109654027460607</v>
      </c>
      <c r="O3" s="125">
        <f>IF(SER_hh_emih_in!O3=0,0,SER_hh_emih_in!O3/SER_summary!O$27)</f>
        <v>2.8744787343089038</v>
      </c>
      <c r="P3" s="125">
        <f>IF(SER_hh_emih_in!P3=0,0,SER_hh_emih_in!P3/SER_summary!P$27)</f>
        <v>2.1123380737886355</v>
      </c>
      <c r="Q3" s="125">
        <f>IF(SER_hh_emih_in!Q3=0,0,SER_hh_emih_in!Q3/SER_summary!Q$27)</f>
        <v>4.0908652758342718</v>
      </c>
      <c r="R3" s="125">
        <f>IF(SER_hh_emih_in!R3=0,0,SER_hh_emih_in!R3/SER_summary!R$27)</f>
        <v>6.7081249768849567</v>
      </c>
      <c r="S3" s="125">
        <f>IF(SER_hh_emih_in!S3=0,0,SER_hh_emih_in!S3/SER_summary!S$27)</f>
        <v>5.7099095758224427</v>
      </c>
      <c r="T3" s="125">
        <f>IF(SER_hh_emih_in!T3=0,0,SER_hh_emih_in!T3/SER_summary!T$27)</f>
        <v>5.7610808663930921</v>
      </c>
      <c r="U3" s="125">
        <f>IF(SER_hh_emih_in!U3=0,0,SER_hh_emih_in!U3/SER_summary!U$27)</f>
        <v>6.18983999519756</v>
      </c>
      <c r="V3" s="125">
        <f>IF(SER_hh_emih_in!V3=0,0,SER_hh_emih_in!V3/SER_summary!V$27)</f>
        <v>3.5915366794474104</v>
      </c>
      <c r="W3" s="125">
        <f>IF(SER_hh_emih_in!W3=0,0,SER_hh_emih_in!W3/SER_summary!W$27)</f>
        <v>6.2204597628617595</v>
      </c>
      <c r="X3" s="125">
        <f>IF(SER_hh_emih_in!X3=0,0,SER_hh_emih_in!X3/SER_summary!X$27)</f>
        <v>6.5338056394937984</v>
      </c>
      <c r="Y3" s="125">
        <f>IF(SER_hh_emih_in!Y3=0,0,SER_hh_emih_in!Y3/SER_summary!Y$27)</f>
        <v>7.1042052175772463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13.947259177961227</v>
      </c>
      <c r="D4" s="130">
        <f>IF(SER_hh_emih_in!D4=0,0,SER_hh_emih_in!D4/SER_summary!D$27)</f>
        <v>6.8567263546128627</v>
      </c>
      <c r="E4" s="130">
        <f>IF(SER_hh_emih_in!E4=0,0,SER_hh_emih_in!E4/SER_summary!E$27)</f>
        <v>8.1275432404308301</v>
      </c>
      <c r="F4" s="130">
        <f>IF(SER_hh_emih_in!F4=0,0,SER_hh_emih_in!F4/SER_summary!F$27)</f>
        <v>3.9208765136724577</v>
      </c>
      <c r="G4" s="130">
        <f>IF(SER_hh_emih_in!G4=0,0,SER_hh_emih_in!G4/SER_summary!G$27)</f>
        <v>12.142840855525936</v>
      </c>
      <c r="H4" s="130">
        <f>IF(SER_hh_emih_in!H4=0,0,SER_hh_emih_in!H4/SER_summary!H$27)</f>
        <v>4.8294271060455403</v>
      </c>
      <c r="I4" s="130">
        <f>IF(SER_hh_emih_in!I4=0,0,SER_hh_emih_in!I4/SER_summary!I$27)</f>
        <v>1.8312577489840587</v>
      </c>
      <c r="J4" s="130">
        <f>IF(SER_hh_emih_in!J4=0,0,SER_hh_emih_in!J4/SER_summary!J$27)</f>
        <v>2.1937010392017369</v>
      </c>
      <c r="K4" s="130">
        <f>IF(SER_hh_emih_in!K4=0,0,SER_hh_emih_in!K4/SER_summary!K$27)</f>
        <v>3.7653257675265692</v>
      </c>
      <c r="L4" s="130">
        <f>IF(SER_hh_emih_in!L4=0,0,SER_hh_emih_in!L4/SER_summary!L$27)</f>
        <v>2.0853813035886706</v>
      </c>
      <c r="M4" s="130">
        <f>IF(SER_hh_emih_in!M4=0,0,SER_hh_emih_in!M4/SER_summary!M$27)</f>
        <v>1.2810632233902264</v>
      </c>
      <c r="N4" s="130">
        <f>IF(SER_hh_emih_in!N4=0,0,SER_hh_emih_in!N4/SER_summary!N$27)</f>
        <v>2.1038616773860496E-2</v>
      </c>
      <c r="O4" s="130">
        <f>IF(SER_hh_emih_in!O4=0,0,SER_hh_emih_in!O4/SER_summary!O$27)</f>
        <v>5.6689635364770952E-2</v>
      </c>
      <c r="P4" s="130">
        <f>IF(SER_hh_emih_in!P4=0,0,SER_hh_emih_in!P4/SER_summary!P$27)</f>
        <v>0.13271357411861082</v>
      </c>
      <c r="Q4" s="130">
        <f>IF(SER_hh_emih_in!Q4=0,0,SER_hh_emih_in!Q4/SER_summary!Q$27)</f>
        <v>1.0119947378470049</v>
      </c>
      <c r="R4" s="130">
        <f>IF(SER_hh_emih_in!R4=0,0,SER_hh_emih_in!R4/SER_summary!R$27)</f>
        <v>2.9335680726520654</v>
      </c>
      <c r="S4" s="130">
        <f>IF(SER_hh_emih_in!S4=0,0,SER_hh_emih_in!S4/SER_summary!S$27)</f>
        <v>2.5139553618344754</v>
      </c>
      <c r="T4" s="130">
        <f>IF(SER_hh_emih_in!T4=0,0,SER_hh_emih_in!T4/SER_summary!T$27)</f>
        <v>2.1841778751398651</v>
      </c>
      <c r="U4" s="130">
        <f>IF(SER_hh_emih_in!U4=0,0,SER_hh_emih_in!U4/SER_summary!U$27)</f>
        <v>2.3690457817668809</v>
      </c>
      <c r="V4" s="130">
        <f>IF(SER_hh_emih_in!V4=0,0,SER_hh_emih_in!V4/SER_summary!V$27)</f>
        <v>1.0879355706409355</v>
      </c>
      <c r="W4" s="130">
        <f>IF(SER_hh_emih_in!W4=0,0,SER_hh_emih_in!W4/SER_summary!W$27)</f>
        <v>1.6260729948642809</v>
      </c>
      <c r="X4" s="130">
        <f>IF(SER_hh_emih_in!X4=0,0,SER_hh_emih_in!X4/SER_summary!X$27)</f>
        <v>0.57549962119114073</v>
      </c>
      <c r="Y4" s="130">
        <f>IF(SER_hh_emih_in!Y4=0,0,SER_hh_emih_in!Y4/SER_summary!Y$27)</f>
        <v>1.1111433879531294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0</v>
      </c>
      <c r="D5" s="132">
        <f>IF(SER_hh_emih_in!D5=0,0,SER_hh_emih_in!D5/SER_summary!D$27)</f>
        <v>0</v>
      </c>
      <c r="E5" s="132">
        <f>IF(SER_hh_emih_in!E5=0,0,SER_hh_emih_in!E5/SER_summary!E$27)</f>
        <v>0</v>
      </c>
      <c r="F5" s="132">
        <f>IF(SER_hh_emih_in!F5=0,0,SER_hh_emih_in!F5/SER_summary!F$27)</f>
        <v>0</v>
      </c>
      <c r="G5" s="132">
        <f>IF(SER_hh_emih_in!G5=0,0,SER_hh_emih_in!G5/SER_summary!G$27)</f>
        <v>0</v>
      </c>
      <c r="H5" s="132">
        <f>IF(SER_hh_emih_in!H5=0,0,SER_hh_emih_in!H5/SER_summary!H$27)</f>
        <v>0</v>
      </c>
      <c r="I5" s="132">
        <f>IF(SER_hh_emih_in!I5=0,0,SER_hh_emih_in!I5/SER_summary!I$27)</f>
        <v>0</v>
      </c>
      <c r="J5" s="132">
        <f>IF(SER_hh_emih_in!J5=0,0,SER_hh_emih_in!J5/SER_summary!J$27)</f>
        <v>0</v>
      </c>
      <c r="K5" s="132">
        <f>IF(SER_hh_emih_in!K5=0,0,SER_hh_emih_in!K5/SER_summary!K$27)</f>
        <v>0</v>
      </c>
      <c r="L5" s="132">
        <f>IF(SER_hh_emih_in!L5=0,0,SER_hh_emih_in!L5/SER_summary!L$27)</f>
        <v>0</v>
      </c>
      <c r="M5" s="132">
        <f>IF(SER_hh_emih_in!M5=0,0,SER_hh_emih_in!M5/SER_summary!M$27)</f>
        <v>0</v>
      </c>
      <c r="N5" s="132">
        <f>IF(SER_hh_emih_in!N5=0,0,SER_hh_emih_in!N5/SER_summary!N$27)</f>
        <v>0</v>
      </c>
      <c r="O5" s="132">
        <f>IF(SER_hh_emih_in!O5=0,0,SER_hh_emih_in!O5/SER_summary!O$27)</f>
        <v>0</v>
      </c>
      <c r="P5" s="132">
        <f>IF(SER_hh_emih_in!P5=0,0,SER_hh_emih_in!P5/SER_summary!P$27)</f>
        <v>0</v>
      </c>
      <c r="Q5" s="132">
        <f>IF(SER_hh_emih_in!Q5=0,0,SER_hh_emih_in!Q5/SER_summary!Q$27)</f>
        <v>0</v>
      </c>
      <c r="R5" s="132">
        <f>IF(SER_hh_emih_in!R5=0,0,SER_hh_emih_in!R5/SER_summary!R$27)</f>
        <v>0</v>
      </c>
      <c r="S5" s="132">
        <f>IF(SER_hh_emih_in!S5=0,0,SER_hh_emih_in!S5/SER_summary!S$27)</f>
        <v>0</v>
      </c>
      <c r="T5" s="132">
        <f>IF(SER_hh_emih_in!T5=0,0,SER_hh_emih_in!T5/SER_summary!T$27)</f>
        <v>0</v>
      </c>
      <c r="U5" s="132">
        <f>IF(SER_hh_emih_in!U5=0,0,SER_hh_emih_in!U5/SER_summary!U$27)</f>
        <v>0</v>
      </c>
      <c r="V5" s="132">
        <f>IF(SER_hh_emih_in!V5=0,0,SER_hh_emih_in!V5/SER_summary!V$27)</f>
        <v>0</v>
      </c>
      <c r="W5" s="132">
        <f>IF(SER_hh_emih_in!W5=0,0,SER_hh_emih_in!W5/SER_summary!W$27)</f>
        <v>0</v>
      </c>
      <c r="X5" s="132">
        <f>IF(SER_hh_emih_in!X5=0,0,SER_hh_emih_in!X5/SER_summary!X$27)</f>
        <v>12.112411508425424</v>
      </c>
      <c r="Y5" s="132">
        <f>IF(SER_hh_emih_in!Y5=0,0,SER_hh_emih_in!Y5/SER_summary!Y$27)</f>
        <v>19.488706690674508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0</v>
      </c>
      <c r="D6" s="132">
        <f>IF(SER_hh_emih_in!D6=0,0,SER_hh_emih_in!D6/SER_summary!D$27)</f>
        <v>0</v>
      </c>
      <c r="E6" s="132">
        <f>IF(SER_hh_emih_in!E6=0,0,SER_hh_emih_in!E6/SER_summary!E$27)</f>
        <v>0</v>
      </c>
      <c r="F6" s="132">
        <f>IF(SER_hh_emih_in!F6=0,0,SER_hh_emih_in!F6/SER_summary!F$27)</f>
        <v>0</v>
      </c>
      <c r="G6" s="132">
        <f>IF(SER_hh_emih_in!G6=0,0,SER_hh_emih_in!G6/SER_summary!G$27)</f>
        <v>0</v>
      </c>
      <c r="H6" s="132">
        <f>IF(SER_hh_emih_in!H6=0,0,SER_hh_emih_in!H6/SER_summary!H$27)</f>
        <v>0</v>
      </c>
      <c r="I6" s="132">
        <f>IF(SER_hh_emih_in!I6=0,0,SER_hh_emih_in!I6/SER_summary!I$27)</f>
        <v>0</v>
      </c>
      <c r="J6" s="132">
        <f>IF(SER_hh_emih_in!J6=0,0,SER_hh_emih_in!J6/SER_summary!J$27)</f>
        <v>0</v>
      </c>
      <c r="K6" s="132">
        <f>IF(SER_hh_emih_in!K6=0,0,SER_hh_emih_in!K6/SER_summary!K$27)</f>
        <v>0</v>
      </c>
      <c r="L6" s="132">
        <f>IF(SER_hh_emih_in!L6=0,0,SER_hh_emih_in!L6/SER_summary!L$27)</f>
        <v>0</v>
      </c>
      <c r="M6" s="132">
        <f>IF(SER_hh_emih_in!M6=0,0,SER_hh_emih_in!M6/SER_summary!M$27)</f>
        <v>0</v>
      </c>
      <c r="N6" s="132">
        <f>IF(SER_hh_emih_in!N6=0,0,SER_hh_emih_in!N6/SER_summary!N$27)</f>
        <v>0</v>
      </c>
      <c r="O6" s="132">
        <f>IF(SER_hh_emih_in!O6=0,0,SER_hh_emih_in!O6/SER_summary!O$27)</f>
        <v>0</v>
      </c>
      <c r="P6" s="132">
        <f>IF(SER_hh_emih_in!P6=0,0,SER_hh_emih_in!P6/SER_summary!P$27)</f>
        <v>0</v>
      </c>
      <c r="Q6" s="132">
        <f>IF(SER_hh_emih_in!Q6=0,0,SER_hh_emih_in!Q6/SER_summary!Q$27)</f>
        <v>0</v>
      </c>
      <c r="R6" s="132">
        <f>IF(SER_hh_emih_in!R6=0,0,SER_hh_emih_in!R6/SER_summary!R$27)</f>
        <v>0</v>
      </c>
      <c r="S6" s="132">
        <f>IF(SER_hh_emih_in!S6=0,0,SER_hh_emih_in!S6/SER_summary!S$27)</f>
        <v>0</v>
      </c>
      <c r="T6" s="132">
        <f>IF(SER_hh_emih_in!T6=0,0,SER_hh_emih_in!T6/SER_summary!T$27)</f>
        <v>0</v>
      </c>
      <c r="U6" s="132">
        <f>IF(SER_hh_emih_in!U6=0,0,SER_hh_emih_in!U6/SER_summary!U$27)</f>
        <v>0</v>
      </c>
      <c r="V6" s="132">
        <f>IF(SER_hh_emih_in!V6=0,0,SER_hh_emih_in!V6/SER_summary!V$27)</f>
        <v>0</v>
      </c>
      <c r="W6" s="132">
        <f>IF(SER_hh_emih_in!W6=0,0,SER_hh_emih_in!W6/SER_summary!W$27)</f>
        <v>0</v>
      </c>
      <c r="X6" s="132">
        <f>IF(SER_hh_emih_in!X6=0,0,SER_hh_emih_in!X6/SER_summary!X$27)</f>
        <v>0</v>
      </c>
      <c r="Y6" s="132">
        <f>IF(SER_hh_emih_in!Y6=0,0,SER_hh_emih_in!Y6/SER_summary!Y$27)</f>
        <v>0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21.132411966318301</v>
      </c>
      <c r="D7" s="132">
        <f>IF(SER_hh_emih_in!D7=0,0,SER_hh_emih_in!D7/SER_summary!D$27)</f>
        <v>21.665918989317166</v>
      </c>
      <c r="E7" s="132">
        <f>IF(SER_hh_emih_in!E7=0,0,SER_hh_emih_in!E7/SER_summary!E$27)</f>
        <v>22.966995866491622</v>
      </c>
      <c r="F7" s="132">
        <f>IF(SER_hh_emih_in!F7=0,0,SER_hh_emih_in!F7/SER_summary!F$27)</f>
        <v>23.007143327299485</v>
      </c>
      <c r="G7" s="132">
        <f>IF(SER_hh_emih_in!G7=0,0,SER_hh_emih_in!G7/SER_summary!G$27)</f>
        <v>28.939654593126086</v>
      </c>
      <c r="H7" s="132">
        <f>IF(SER_hh_emih_in!H7=0,0,SER_hh_emih_in!H7/SER_summary!H$27)</f>
        <v>30.778832442837391</v>
      </c>
      <c r="I7" s="132">
        <f>IF(SER_hh_emih_in!I7=0,0,SER_hh_emih_in!I7/SER_summary!I$27)</f>
        <v>0</v>
      </c>
      <c r="J7" s="132">
        <f>IF(SER_hh_emih_in!J7=0,0,SER_hh_emih_in!J7/SER_summary!J$27)</f>
        <v>0</v>
      </c>
      <c r="K7" s="132">
        <f>IF(SER_hh_emih_in!K7=0,0,SER_hh_emih_in!K7/SER_summary!K$27)</f>
        <v>0</v>
      </c>
      <c r="L7" s="132">
        <f>IF(SER_hh_emih_in!L7=0,0,SER_hh_emih_in!L7/SER_summary!L$27)</f>
        <v>0</v>
      </c>
      <c r="M7" s="132">
        <f>IF(SER_hh_emih_in!M7=0,0,SER_hh_emih_in!M7/SER_summary!M$27)</f>
        <v>22.831303040434239</v>
      </c>
      <c r="N7" s="132">
        <f>IF(SER_hh_emih_in!N7=0,0,SER_hh_emih_in!N7/SER_summary!N$27)</f>
        <v>0</v>
      </c>
      <c r="O7" s="132">
        <f>IF(SER_hh_emih_in!O7=0,0,SER_hh_emih_in!O7/SER_summary!O$27)</f>
        <v>0</v>
      </c>
      <c r="P7" s="132">
        <f>IF(SER_hh_emih_in!P7=0,0,SER_hh_emih_in!P7/SER_summary!P$27)</f>
        <v>0</v>
      </c>
      <c r="Q7" s="132">
        <f>IF(SER_hh_emih_in!Q7=0,0,SER_hh_emih_in!Q7/SER_summary!Q$27)</f>
        <v>0</v>
      </c>
      <c r="R7" s="132">
        <f>IF(SER_hh_emih_in!R7=0,0,SER_hh_emih_in!R7/SER_summary!R$27)</f>
        <v>29.14674772546071</v>
      </c>
      <c r="S7" s="132">
        <f>IF(SER_hh_emih_in!S7=0,0,SER_hh_emih_in!S7/SER_summary!S$27)</f>
        <v>15.624153716800224</v>
      </c>
      <c r="T7" s="132">
        <f>IF(SER_hh_emih_in!T7=0,0,SER_hh_emih_in!T7/SER_summary!T$27)</f>
        <v>15.564057674494906</v>
      </c>
      <c r="U7" s="132">
        <f>IF(SER_hh_emih_in!U7=0,0,SER_hh_emih_in!U7/SER_summary!U$27)</f>
        <v>17.808384937111729</v>
      </c>
      <c r="V7" s="132">
        <f>IF(SER_hh_emih_in!V7=0,0,SER_hh_emih_in!V7/SER_summary!V$27)</f>
        <v>17.281055599040485</v>
      </c>
      <c r="W7" s="132">
        <f>IF(SER_hh_emih_in!W7=0,0,SER_hh_emih_in!W7/SER_summary!W$27)</f>
        <v>9.9985252920055849</v>
      </c>
      <c r="X7" s="132">
        <f>IF(SER_hh_emih_in!X7=0,0,SER_hh_emih_in!X7/SER_summary!X$27)</f>
        <v>0</v>
      </c>
      <c r="Y7" s="132">
        <f>IF(SER_hh_emih_in!Y7=0,0,SER_hh_emih_in!Y7/SER_summary!Y$27)</f>
        <v>0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4.1777992255539598</v>
      </c>
      <c r="D8" s="132">
        <f>IF(SER_hh_emih_in!D8=0,0,SER_hh_emih_in!D8/SER_summary!D$27)</f>
        <v>4.2808577327848516</v>
      </c>
      <c r="E8" s="132">
        <f>IF(SER_hh_emih_in!E8=0,0,SER_hh_emih_in!E8/SER_summary!E$27)</f>
        <v>4.3608296498808752</v>
      </c>
      <c r="F8" s="132">
        <f>IF(SER_hh_emih_in!F8=0,0,SER_hh_emih_in!F8/SER_summary!F$27)</f>
        <v>5.0525226462902229</v>
      </c>
      <c r="G8" s="132">
        <f>IF(SER_hh_emih_in!G8=0,0,SER_hh_emih_in!G8/SER_summary!G$27)</f>
        <v>5.9646205713375542</v>
      </c>
      <c r="H8" s="132">
        <f>IF(SER_hh_emih_in!H8=0,0,SER_hh_emih_in!H8/SER_summary!H$27)</f>
        <v>5.7621576588709695</v>
      </c>
      <c r="I8" s="132">
        <f>IF(SER_hh_emih_in!I8=0,0,SER_hh_emih_in!I8/SER_summary!I$27)</f>
        <v>5.6582295585305085</v>
      </c>
      <c r="J8" s="132">
        <f>IF(SER_hh_emih_in!J8=0,0,SER_hh_emih_in!J8/SER_summary!J$27)</f>
        <v>5.4283196599391657</v>
      </c>
      <c r="K8" s="132">
        <f>IF(SER_hh_emih_in!K8=0,0,SER_hh_emih_in!K8/SER_summary!K$27)</f>
        <v>4.705855910204864</v>
      </c>
      <c r="L8" s="132">
        <f>IF(SER_hh_emih_in!L8=0,0,SER_hh_emih_in!L8/SER_summary!L$27)</f>
        <v>3.63889593832765</v>
      </c>
      <c r="M8" s="132">
        <f>IF(SER_hh_emih_in!M8=0,0,SER_hh_emih_in!M8/SER_summary!M$27)</f>
        <v>2.5242775116994354</v>
      </c>
      <c r="N8" s="132">
        <f>IF(SER_hh_emih_in!N8=0,0,SER_hh_emih_in!N8/SER_summary!N$27)</f>
        <v>1.6052285546882454</v>
      </c>
      <c r="O8" s="132">
        <f>IF(SER_hh_emih_in!O8=0,0,SER_hh_emih_in!O8/SER_summary!O$27)</f>
        <v>1.8276588382877264</v>
      </c>
      <c r="P8" s="132">
        <f>IF(SER_hh_emih_in!P8=0,0,SER_hh_emih_in!P8/SER_summary!P$27)</f>
        <v>2.6274614832457366</v>
      </c>
      <c r="Q8" s="132">
        <f>IF(SER_hh_emih_in!Q8=0,0,SER_hh_emih_in!Q8/SER_summary!Q$27)</f>
        <v>4.0644732603362961</v>
      </c>
      <c r="R8" s="132">
        <f>IF(SER_hh_emih_in!R8=0,0,SER_hh_emih_in!R8/SER_summary!R$27)</f>
        <v>3.346383201300609</v>
      </c>
      <c r="S8" s="132">
        <f>IF(SER_hh_emih_in!S8=0,0,SER_hh_emih_in!S8/SER_summary!S$27)</f>
        <v>2.9436419328368073</v>
      </c>
      <c r="T8" s="132">
        <f>IF(SER_hh_emih_in!T8=0,0,SER_hh_emih_in!T8/SER_summary!T$27)</f>
        <v>2.6412262859702</v>
      </c>
      <c r="U8" s="132">
        <f>IF(SER_hh_emih_in!U8=0,0,SER_hh_emih_in!U8/SER_summary!U$27)</f>
        <v>2.2988208171003675</v>
      </c>
      <c r="V8" s="132">
        <f>IF(SER_hh_emih_in!V8=0,0,SER_hh_emih_in!V8/SER_summary!V$27)</f>
        <v>2.2642095067514609</v>
      </c>
      <c r="W8" s="132">
        <f>IF(SER_hh_emih_in!W8=0,0,SER_hh_emih_in!W8/SER_summary!W$27)</f>
        <v>1.966369524916973</v>
      </c>
      <c r="X8" s="132">
        <f>IF(SER_hh_emih_in!X8=0,0,SER_hh_emih_in!X8/SER_summary!X$27)</f>
        <v>1.5272613799249128</v>
      </c>
      <c r="Y8" s="132">
        <f>IF(SER_hh_emih_in!Y8=0,0,SER_hh_emih_in!Y8/SER_summary!Y$27)</f>
        <v>1.7218009506399514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11.664261207683294</v>
      </c>
      <c r="D9" s="132">
        <f>IF(SER_hh_emih_in!D9=0,0,SER_hh_emih_in!D9/SER_summary!D$27)</f>
        <v>11.64275495166109</v>
      </c>
      <c r="E9" s="132">
        <f>IF(SER_hh_emih_in!E9=0,0,SER_hh_emih_in!E9/SER_summary!E$27)</f>
        <v>13.071182707049697</v>
      </c>
      <c r="F9" s="132">
        <f>IF(SER_hh_emih_in!F9=0,0,SER_hh_emih_in!F9/SER_summary!F$27)</f>
        <v>15.98958052585184</v>
      </c>
      <c r="G9" s="132">
        <f>IF(SER_hh_emih_in!G9=0,0,SER_hh_emih_in!G9/SER_summary!G$27)</f>
        <v>20.232498628128788</v>
      </c>
      <c r="H9" s="132">
        <f>IF(SER_hh_emih_in!H9=0,0,SER_hh_emih_in!H9/SER_summary!H$27)</f>
        <v>20.696371267741927</v>
      </c>
      <c r="I9" s="132">
        <f>IF(SER_hh_emih_in!I9=0,0,SER_hh_emih_in!I9/SER_summary!I$27)</f>
        <v>20.432587547929636</v>
      </c>
      <c r="J9" s="132">
        <f>IF(SER_hh_emih_in!J9=0,0,SER_hh_emih_in!J9/SER_summary!J$27)</f>
        <v>22.696517651922697</v>
      </c>
      <c r="K9" s="132">
        <f>IF(SER_hh_emih_in!K9=0,0,SER_hh_emih_in!K9/SER_summary!K$27)</f>
        <v>20.887701061389198</v>
      </c>
      <c r="L9" s="132">
        <f>IF(SER_hh_emih_in!L9=0,0,SER_hh_emih_in!L9/SER_summary!L$27)</f>
        <v>15.413235441808922</v>
      </c>
      <c r="M9" s="132">
        <f>IF(SER_hh_emih_in!M9=0,0,SER_hh_emih_in!M9/SER_summary!M$27)</f>
        <v>19.254985084794843</v>
      </c>
      <c r="N9" s="132">
        <f>IF(SER_hh_emih_in!N9=0,0,SER_hh_emih_in!N9/SER_summary!N$27)</f>
        <v>0</v>
      </c>
      <c r="O9" s="132">
        <f>IF(SER_hh_emih_in!O9=0,0,SER_hh_emih_in!O9/SER_summary!O$27)</f>
        <v>0</v>
      </c>
      <c r="P9" s="132">
        <f>IF(SER_hh_emih_in!P9=0,0,SER_hh_emih_in!P9/SER_summary!P$27)</f>
        <v>0</v>
      </c>
      <c r="Q9" s="132">
        <f>IF(SER_hh_emih_in!Q9=0,0,SER_hh_emih_in!Q9/SER_summary!Q$27)</f>
        <v>16.076578160456783</v>
      </c>
      <c r="R9" s="132">
        <f>IF(SER_hh_emih_in!R9=0,0,SER_hh_emih_in!R9/SER_summary!R$27)</f>
        <v>0</v>
      </c>
      <c r="S9" s="132">
        <f>IF(SER_hh_emih_in!S9=0,0,SER_hh_emih_in!S9/SER_summary!S$27)</f>
        <v>13.174726430089738</v>
      </c>
      <c r="T9" s="132">
        <f>IF(SER_hh_emih_in!T9=0,0,SER_hh_emih_in!T9/SER_summary!T$27)</f>
        <v>11.578215967247255</v>
      </c>
      <c r="U9" s="132">
        <f>IF(SER_hh_emih_in!U9=0,0,SER_hh_emih_in!U9/SER_summary!U$27)</f>
        <v>12.090283047164384</v>
      </c>
      <c r="V9" s="132">
        <f>IF(SER_hh_emih_in!V9=0,0,SER_hh_emih_in!V9/SER_summary!V$27)</f>
        <v>10.007261625125851</v>
      </c>
      <c r="W9" s="132">
        <f>IF(SER_hh_emih_in!W9=0,0,SER_hh_emih_in!W9/SER_summary!W$27)</f>
        <v>9.1931622836291123</v>
      </c>
      <c r="X9" s="132">
        <f>IF(SER_hh_emih_in!X9=0,0,SER_hh_emih_in!X9/SER_summary!X$27)</f>
        <v>0</v>
      </c>
      <c r="Y9" s="132">
        <f>IF(SER_hh_emih_in!Y9=0,0,SER_hh_emih_in!Y9/SER_summary!Y$27)</f>
        <v>7.6080661266909573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0</v>
      </c>
      <c r="D10" s="132">
        <f>IF(SER_hh_emih_in!D10=0,0,SER_hh_emih_in!D10/SER_summary!D$27)</f>
        <v>0</v>
      </c>
      <c r="E10" s="132">
        <f>IF(SER_hh_emih_in!E10=0,0,SER_hh_emih_in!E10/SER_summary!E$27)</f>
        <v>0</v>
      </c>
      <c r="F10" s="132">
        <f>IF(SER_hh_emih_in!F10=0,0,SER_hh_emih_in!F10/SER_summary!F$27)</f>
        <v>0</v>
      </c>
      <c r="G10" s="132">
        <f>IF(SER_hh_emih_in!G10=0,0,SER_hh_emih_in!G10/SER_summary!G$27)</f>
        <v>0</v>
      </c>
      <c r="H10" s="132">
        <f>IF(SER_hh_emih_in!H10=0,0,SER_hh_emih_in!H10/SER_summary!H$27)</f>
        <v>0</v>
      </c>
      <c r="I10" s="132">
        <f>IF(SER_hh_emih_in!I10=0,0,SER_hh_emih_in!I10/SER_summary!I$27)</f>
        <v>0</v>
      </c>
      <c r="J10" s="132">
        <f>IF(SER_hh_emih_in!J10=0,0,SER_hh_emih_in!J10/SER_summary!J$27)</f>
        <v>0</v>
      </c>
      <c r="K10" s="132">
        <f>IF(SER_hh_emih_in!K10=0,0,SER_hh_emih_in!K10/SER_summary!K$27)</f>
        <v>0</v>
      </c>
      <c r="L10" s="132">
        <f>IF(SER_hh_emih_in!L10=0,0,SER_hh_emih_in!L10/SER_summary!L$27)</f>
        <v>0</v>
      </c>
      <c r="M10" s="132">
        <f>IF(SER_hh_emih_in!M10=0,0,SER_hh_emih_in!M10/SER_summary!M$27)</f>
        <v>0</v>
      </c>
      <c r="N10" s="132">
        <f>IF(SER_hh_emih_in!N10=0,0,SER_hh_emih_in!N10/SER_summary!N$27)</f>
        <v>0</v>
      </c>
      <c r="O10" s="132">
        <f>IF(SER_hh_emih_in!O10=0,0,SER_hh_emih_in!O10/SER_summary!O$27)</f>
        <v>0</v>
      </c>
      <c r="P10" s="132">
        <f>IF(SER_hh_emih_in!P10=0,0,SER_hh_emih_in!P10/SER_summary!P$27)</f>
        <v>0</v>
      </c>
      <c r="Q10" s="132">
        <f>IF(SER_hh_emih_in!Q10=0,0,SER_hh_emih_in!Q10/SER_summary!Q$27)</f>
        <v>0</v>
      </c>
      <c r="R10" s="132">
        <f>IF(SER_hh_emih_in!R10=0,0,SER_hh_emih_in!R10/SER_summary!R$27)</f>
        <v>0</v>
      </c>
      <c r="S10" s="132">
        <f>IF(SER_hh_emih_in!S10=0,0,SER_hh_emih_in!S10/SER_summary!S$27)</f>
        <v>0</v>
      </c>
      <c r="T10" s="132">
        <f>IF(SER_hh_emih_in!T10=0,0,SER_hh_emih_in!T10/SER_summary!T$27)</f>
        <v>0</v>
      </c>
      <c r="U10" s="132">
        <f>IF(SER_hh_emih_in!U10=0,0,SER_hh_emih_in!U10/SER_summary!U$27)</f>
        <v>0</v>
      </c>
      <c r="V10" s="132">
        <f>IF(SER_hh_emih_in!V10=0,0,SER_hh_emih_in!V10/SER_summary!V$27)</f>
        <v>0</v>
      </c>
      <c r="W10" s="132">
        <f>IF(SER_hh_emih_in!W10=0,0,SER_hh_emih_in!W10/SER_summary!W$27)</f>
        <v>0</v>
      </c>
      <c r="X10" s="132">
        <f>IF(SER_hh_emih_in!X10=0,0,SER_hh_emih_in!X10/SER_summary!X$27)</f>
        <v>0</v>
      </c>
      <c r="Y10" s="132">
        <f>IF(SER_hh_emih_in!Y10=0,0,SER_hh_emih_in!Y10/SER_summary!Y$27)</f>
        <v>0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4.6564526959702755E-3</v>
      </c>
      <c r="D16" s="130">
        <f>IF(SER_hh_emih_in!D16=0,0,SER_hh_emih_in!D16/SER_summary!D$27)</f>
        <v>1.1813729852882402E-2</v>
      </c>
      <c r="E16" s="130">
        <f>IF(SER_hh_emih_in!E16=0,0,SER_hh_emih_in!E16/SER_summary!E$27)</f>
        <v>1.0129389686171584E-3</v>
      </c>
      <c r="F16" s="130">
        <f>IF(SER_hh_emih_in!F16=0,0,SER_hh_emih_in!F16/SER_summary!F$27)</f>
        <v>2.8029091800389112E-2</v>
      </c>
      <c r="G16" s="130">
        <f>IF(SER_hh_emih_in!G16=0,0,SER_hh_emih_in!G16/SER_summary!G$27)</f>
        <v>3.0720241735310364E-2</v>
      </c>
      <c r="H16" s="130">
        <f>IF(SER_hh_emih_in!H16=0,0,SER_hh_emih_in!H16/SER_summary!H$27)</f>
        <v>2.8775235847932214E-2</v>
      </c>
      <c r="I16" s="130">
        <f>IF(SER_hh_emih_in!I16=0,0,SER_hh_emih_in!I16/SER_summary!I$27)</f>
        <v>1.4825485009006749E-4</v>
      </c>
      <c r="J16" s="130">
        <f>IF(SER_hh_emih_in!J16=0,0,SER_hh_emih_in!J16/SER_summary!J$27)</f>
        <v>5.4382566322260628E-2</v>
      </c>
      <c r="K16" s="130">
        <f>IF(SER_hh_emih_in!K16=0,0,SER_hh_emih_in!K16/SER_summary!K$27)</f>
        <v>9.0031286914692019E-2</v>
      </c>
      <c r="L16" s="130">
        <f>IF(SER_hh_emih_in!L16=0,0,SER_hh_emih_in!L16/SER_summary!L$27)</f>
        <v>0.11837392129096093</v>
      </c>
      <c r="M16" s="130">
        <f>IF(SER_hh_emih_in!M16=0,0,SER_hh_emih_in!M16/SER_summary!M$27)</f>
        <v>0.10311815287933858</v>
      </c>
      <c r="N16" s="130">
        <f>IF(SER_hh_emih_in!N16=0,0,SER_hh_emih_in!N16/SER_summary!N$27)</f>
        <v>0.14324982597387889</v>
      </c>
      <c r="O16" s="130">
        <f>IF(SER_hh_emih_in!O16=0,0,SER_hh_emih_in!O16/SER_summary!O$27)</f>
        <v>0.15982875372176808</v>
      </c>
      <c r="P16" s="130">
        <f>IF(SER_hh_emih_in!P16=0,0,SER_hh_emih_in!P16/SER_summary!P$27)</f>
        <v>0.1497666203204048</v>
      </c>
      <c r="Q16" s="130">
        <f>IF(SER_hh_emih_in!Q16=0,0,SER_hh_emih_in!Q16/SER_summary!Q$27)</f>
        <v>0.1260462223573918</v>
      </c>
      <c r="R16" s="130">
        <f>IF(SER_hh_emih_in!R16=0,0,SER_hh_emih_in!R16/SER_summary!R$27)</f>
        <v>0.10408383156350071</v>
      </c>
      <c r="S16" s="130">
        <f>IF(SER_hh_emih_in!S16=0,0,SER_hh_emih_in!S16/SER_summary!S$27)</f>
        <v>0.12413080444514638</v>
      </c>
      <c r="T16" s="130">
        <f>IF(SER_hh_emih_in!T16=0,0,SER_hh_emih_in!T16/SER_summary!T$27)</f>
        <v>0.16552852991717551</v>
      </c>
      <c r="U16" s="130">
        <f>IF(SER_hh_emih_in!U16=0,0,SER_hh_emih_in!U16/SER_summary!U$27)</f>
        <v>0.11386534348021449</v>
      </c>
      <c r="V16" s="130">
        <f>IF(SER_hh_emih_in!V16=0,0,SER_hh_emih_in!V16/SER_summary!V$27)</f>
        <v>9.476549162637328E-2</v>
      </c>
      <c r="W16" s="130">
        <f>IF(SER_hh_emih_in!W16=0,0,SER_hh_emih_in!W16/SER_summary!W$27)</f>
        <v>0.10653672240669237</v>
      </c>
      <c r="X16" s="130">
        <f>IF(SER_hh_emih_in!X16=0,0,SER_hh_emih_in!X16/SER_summary!X$27)</f>
        <v>9.2081408193361886E-2</v>
      </c>
      <c r="Y16" s="130">
        <f>IF(SER_hh_emih_in!Y16=0,0,SER_hh_emih_in!Y16/SER_summary!Y$27)</f>
        <v>0.11300379114091637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6.9799425696552291</v>
      </c>
      <c r="D17" s="132">
        <f>IF(SER_hh_emih_in!D17=0,0,SER_hh_emih_in!D17/SER_summary!D$27)</f>
        <v>5.6730243739642594</v>
      </c>
      <c r="E17" s="132">
        <f>IF(SER_hh_emih_in!E17=0,0,SER_hh_emih_in!E17/SER_summary!E$27)</f>
        <v>7.1215730102270545</v>
      </c>
      <c r="F17" s="132">
        <f>IF(SER_hh_emih_in!F17=0,0,SER_hh_emih_in!F17/SER_summary!F$27)</f>
        <v>4.5681073887549113</v>
      </c>
      <c r="G17" s="132">
        <f>IF(SER_hh_emih_in!G17=0,0,SER_hh_emih_in!G17/SER_summary!G$27)</f>
        <v>4.7086581269570651</v>
      </c>
      <c r="H17" s="132">
        <f>IF(SER_hh_emih_in!H17=0,0,SER_hh_emih_in!H17/SER_summary!H$27)</f>
        <v>5.4975379674064158</v>
      </c>
      <c r="I17" s="132">
        <f>IF(SER_hh_emih_in!I17=0,0,SER_hh_emih_in!I17/SER_summary!I$27)</f>
        <v>8.2401470851158489</v>
      </c>
      <c r="J17" s="132">
        <f>IF(SER_hh_emih_in!J17=0,0,SER_hh_emih_in!J17/SER_summary!J$27)</f>
        <v>7.7832138394430679</v>
      </c>
      <c r="K17" s="132">
        <f>IF(SER_hh_emih_in!K17=0,0,SER_hh_emih_in!K17/SER_summary!K$27)</f>
        <v>6.5026978546538956</v>
      </c>
      <c r="L17" s="132">
        <f>IF(SER_hh_emih_in!L17=0,0,SER_hh_emih_in!L17/SER_summary!L$27)</f>
        <v>6.6131175448057826</v>
      </c>
      <c r="M17" s="132">
        <f>IF(SER_hh_emih_in!M17=0,0,SER_hh_emih_in!M17/SER_summary!M$27)</f>
        <v>5.2663277557432906</v>
      </c>
      <c r="N17" s="132">
        <f>IF(SER_hh_emih_in!N17=0,0,SER_hh_emih_in!N17/SER_summary!N$27)</f>
        <v>7.3204369464746097</v>
      </c>
      <c r="O17" s="132">
        <f>IF(SER_hh_emih_in!O17=0,0,SER_hh_emih_in!O17/SER_summary!O$27)</f>
        <v>4.8380652115661205</v>
      </c>
      <c r="P17" s="132">
        <f>IF(SER_hh_emih_in!P17=0,0,SER_hh_emih_in!P17/SER_summary!P$27)</f>
        <v>4.0113737966202976</v>
      </c>
      <c r="Q17" s="132">
        <f>IF(SER_hh_emih_in!Q17=0,0,SER_hh_emih_in!Q17/SER_summary!Q$27)</f>
        <v>4.8077010566533449</v>
      </c>
      <c r="R17" s="132">
        <f>IF(SER_hh_emih_in!R17=0,0,SER_hh_emih_in!R17/SER_summary!R$27)</f>
        <v>4.9872096089988061</v>
      </c>
      <c r="S17" s="132">
        <f>IF(SER_hh_emih_in!S17=0,0,SER_hh_emih_in!S17/SER_summary!S$27)</f>
        <v>4.7823271067538267</v>
      </c>
      <c r="T17" s="132">
        <f>IF(SER_hh_emih_in!T17=0,0,SER_hh_emih_in!T17/SER_summary!T$27)</f>
        <v>3.7781671269269812</v>
      </c>
      <c r="U17" s="132">
        <f>IF(SER_hh_emih_in!U17=0,0,SER_hh_emih_in!U17/SER_summary!U$27)</f>
        <v>4.3061013954976017</v>
      </c>
      <c r="V17" s="132">
        <f>IF(SER_hh_emih_in!V17=0,0,SER_hh_emih_in!V17/SER_summary!V$27)</f>
        <v>3.3930746626833082</v>
      </c>
      <c r="W17" s="132">
        <f>IF(SER_hh_emih_in!W17=0,0,SER_hh_emih_in!W17/SER_summary!W$27)</f>
        <v>4.0220204651483291</v>
      </c>
      <c r="X17" s="132">
        <f>IF(SER_hh_emih_in!X17=0,0,SER_hh_emih_in!X17/SER_summary!X$27)</f>
        <v>3.2135207103211592</v>
      </c>
      <c r="Y17" s="132">
        <f>IF(SER_hh_emih_in!Y17=0,0,SER_hh_emih_in!Y17/SER_summary!Y$27)</f>
        <v>3.3489306988467673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0.92578337936682953</v>
      </c>
      <c r="D19" s="130">
        <f>IF(SER_hh_emih_in!D19=0,0,SER_hh_emih_in!D19/SER_summary!D$27)</f>
        <v>1.0888546335281866</v>
      </c>
      <c r="E19" s="130">
        <f>IF(SER_hh_emih_in!E19=0,0,SER_hh_emih_in!E19/SER_summary!E$27)</f>
        <v>1.0779043309762359</v>
      </c>
      <c r="F19" s="130">
        <f>IF(SER_hh_emih_in!F19=0,0,SER_hh_emih_in!F19/SER_summary!F$27)</f>
        <v>1.1884883569504019</v>
      </c>
      <c r="G19" s="130">
        <f>IF(SER_hh_emih_in!G19=0,0,SER_hh_emih_in!G19/SER_summary!G$27)</f>
        <v>2.0478618469770975</v>
      </c>
      <c r="H19" s="130">
        <f>IF(SER_hh_emih_in!H19=0,0,SER_hh_emih_in!H19/SER_summary!H$27)</f>
        <v>1.7171421926245316</v>
      </c>
      <c r="I19" s="130">
        <f>IF(SER_hh_emih_in!I19=0,0,SER_hh_emih_in!I19/SER_summary!I$27)</f>
        <v>1.8793913525972665</v>
      </c>
      <c r="J19" s="130">
        <f>IF(SER_hh_emih_in!J19=0,0,SER_hh_emih_in!J19/SER_summary!J$27)</f>
        <v>1.5255080940331187</v>
      </c>
      <c r="K19" s="130">
        <f>IF(SER_hh_emih_in!K19=0,0,SER_hh_emih_in!K19/SER_summary!K$27)</f>
        <v>1.3536702403619447</v>
      </c>
      <c r="L19" s="130">
        <f>IF(SER_hh_emih_in!L19=0,0,SER_hh_emih_in!L19/SER_summary!L$27)</f>
        <v>2.6212448953501517</v>
      </c>
      <c r="M19" s="130">
        <f>IF(SER_hh_emih_in!M19=0,0,SER_hh_emih_in!M19/SER_summary!M$27)</f>
        <v>1.7624870476676686</v>
      </c>
      <c r="N19" s="130">
        <f>IF(SER_hh_emih_in!N19=0,0,SER_hh_emih_in!N19/SER_summary!N$27)</f>
        <v>1.2304308015705976</v>
      </c>
      <c r="O19" s="130">
        <f>IF(SER_hh_emih_in!O19=0,0,SER_hh_emih_in!O19/SER_summary!O$27)</f>
        <v>1.1647805171038523</v>
      </c>
      <c r="P19" s="130">
        <f>IF(SER_hh_emih_in!P19=0,0,SER_hh_emih_in!P19/SER_summary!P$27)</f>
        <v>1.1402105431501754</v>
      </c>
      <c r="Q19" s="130">
        <f>IF(SER_hh_emih_in!Q19=0,0,SER_hh_emih_in!Q19/SER_summary!Q$27)</f>
        <v>1.313007574151331</v>
      </c>
      <c r="R19" s="130">
        <f>IF(SER_hh_emih_in!R19=0,0,SER_hh_emih_in!R19/SER_summary!R$27)</f>
        <v>1.266883419649514</v>
      </c>
      <c r="S19" s="130">
        <f>IF(SER_hh_emih_in!S19=0,0,SER_hh_emih_in!S19/SER_summary!S$27)</f>
        <v>1.2574665840460815</v>
      </c>
      <c r="T19" s="130">
        <f>IF(SER_hh_emih_in!T19=0,0,SER_hh_emih_in!T19/SER_summary!T$27)</f>
        <v>0.91022905763154538</v>
      </c>
      <c r="U19" s="130">
        <f>IF(SER_hh_emih_in!U19=0,0,SER_hh_emih_in!U19/SER_summary!U$27)</f>
        <v>0.86764876915621447</v>
      </c>
      <c r="V19" s="130">
        <f>IF(SER_hh_emih_in!V19=0,0,SER_hh_emih_in!V19/SER_summary!V$27)</f>
        <v>0.5782614410173037</v>
      </c>
      <c r="W19" s="130">
        <f>IF(SER_hh_emih_in!W19=0,0,SER_hh_emih_in!W19/SER_summary!W$27)</f>
        <v>0.41329044152411737</v>
      </c>
      <c r="X19" s="130">
        <f>IF(SER_hh_emih_in!X19=0,0,SER_hh_emih_in!X19/SER_summary!X$27)</f>
        <v>0.46934206759253966</v>
      </c>
      <c r="Y19" s="130">
        <f>IF(SER_hh_emih_in!Y19=0,0,SER_hh_emih_in!Y19/SER_summary!Y$27)</f>
        <v>0.62541695853155443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0</v>
      </c>
      <c r="D20" s="132">
        <f>IF(SER_hh_emih_in!D20=0,0,SER_hh_emih_in!D20/SER_summary!D$27)</f>
        <v>0</v>
      </c>
      <c r="E20" s="132">
        <f>IF(SER_hh_emih_in!E20=0,0,SER_hh_emih_in!E20/SER_summary!E$27)</f>
        <v>0</v>
      </c>
      <c r="F20" s="132">
        <f>IF(SER_hh_emih_in!F20=0,0,SER_hh_emih_in!F20/SER_summary!F$27)</f>
        <v>0</v>
      </c>
      <c r="G20" s="132">
        <f>IF(SER_hh_emih_in!G20=0,0,SER_hh_emih_in!G20/SER_summary!G$27)</f>
        <v>0</v>
      </c>
      <c r="H20" s="132">
        <f>IF(SER_hh_emih_in!H20=0,0,SER_hh_emih_in!H20/SER_summary!H$27)</f>
        <v>0</v>
      </c>
      <c r="I20" s="132">
        <f>IF(SER_hh_emih_in!I20=0,0,SER_hh_emih_in!I20/SER_summary!I$27)</f>
        <v>0</v>
      </c>
      <c r="J20" s="132">
        <f>IF(SER_hh_emih_in!J20=0,0,SER_hh_emih_in!J20/SER_summary!J$27)</f>
        <v>0</v>
      </c>
      <c r="K20" s="132">
        <f>IF(SER_hh_emih_in!K20=0,0,SER_hh_emih_in!K20/SER_summary!K$27)</f>
        <v>0</v>
      </c>
      <c r="L20" s="132">
        <f>IF(SER_hh_emih_in!L20=0,0,SER_hh_emih_in!L20/SER_summary!L$27)</f>
        <v>0</v>
      </c>
      <c r="M20" s="132">
        <f>IF(SER_hh_emih_in!M20=0,0,SER_hh_emih_in!M20/SER_summary!M$27)</f>
        <v>0</v>
      </c>
      <c r="N20" s="132">
        <f>IF(SER_hh_emih_in!N20=0,0,SER_hh_emih_in!N20/SER_summary!N$27)</f>
        <v>0</v>
      </c>
      <c r="O20" s="132">
        <f>IF(SER_hh_emih_in!O20=0,0,SER_hh_emih_in!O20/SER_summary!O$27)</f>
        <v>0</v>
      </c>
      <c r="P20" s="132">
        <f>IF(SER_hh_emih_in!P20=0,0,SER_hh_emih_in!P20/SER_summary!P$27)</f>
        <v>0</v>
      </c>
      <c r="Q20" s="132">
        <f>IF(SER_hh_emih_in!Q20=0,0,SER_hh_emih_in!Q20/SER_summary!Q$27)</f>
        <v>0</v>
      </c>
      <c r="R20" s="132">
        <f>IF(SER_hh_emih_in!R20=0,0,SER_hh_emih_in!R20/SER_summary!R$27)</f>
        <v>0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0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10.584068435152382</v>
      </c>
      <c r="D21" s="132">
        <f>IF(SER_hh_emih_in!D21=0,0,SER_hh_emih_in!D21/SER_summary!D$27)</f>
        <v>10.90176055362743</v>
      </c>
      <c r="E21" s="132">
        <f>IF(SER_hh_emih_in!E21=0,0,SER_hh_emih_in!E21/SER_summary!E$27)</f>
        <v>10.542155820240978</v>
      </c>
      <c r="F21" s="132">
        <f>IF(SER_hh_emih_in!F21=0,0,SER_hh_emih_in!F21/SER_summary!F$27)</f>
        <v>10.671517915066193</v>
      </c>
      <c r="G21" s="132">
        <f>IF(SER_hh_emih_in!G21=0,0,SER_hh_emih_in!G21/SER_summary!G$27)</f>
        <v>11.297959395561344</v>
      </c>
      <c r="H21" s="132">
        <f>IF(SER_hh_emih_in!H21=0,0,SER_hh_emih_in!H21/SER_summary!H$27)</f>
        <v>10.899432547707944</v>
      </c>
      <c r="I21" s="132">
        <f>IF(SER_hh_emih_in!I21=0,0,SER_hh_emih_in!I21/SER_summary!I$27)</f>
        <v>11.43167716653516</v>
      </c>
      <c r="J21" s="132">
        <f>IF(SER_hh_emih_in!J21=0,0,SER_hh_emih_in!J21/SER_summary!J$27)</f>
        <v>11.07930164136247</v>
      </c>
      <c r="K21" s="132">
        <f>IF(SER_hh_emih_in!K21=0,0,SER_hh_emih_in!K21/SER_summary!K$27)</f>
        <v>9.7714029192319884</v>
      </c>
      <c r="L21" s="132">
        <f>IF(SER_hh_emih_in!L21=0,0,SER_hh_emih_in!L21/SER_summary!L$27)</f>
        <v>11.526803284266432</v>
      </c>
      <c r="M21" s="132">
        <f>IF(SER_hh_emih_in!M21=0,0,SER_hh_emih_in!M21/SER_summary!M$27)</f>
        <v>11.269164005640466</v>
      </c>
      <c r="N21" s="132">
        <f>IF(SER_hh_emih_in!N21=0,0,SER_hh_emih_in!N21/SER_summary!N$27)</f>
        <v>11.482060205022137</v>
      </c>
      <c r="O21" s="132">
        <f>IF(SER_hh_emih_in!O21=0,0,SER_hh_emih_in!O21/SER_summary!O$27)</f>
        <v>10.917571453947239</v>
      </c>
      <c r="P21" s="132">
        <f>IF(SER_hh_emih_in!P21=0,0,SER_hh_emih_in!P21/SER_summary!P$27)</f>
        <v>10.125165387793967</v>
      </c>
      <c r="Q21" s="132">
        <f>IF(SER_hh_emih_in!Q21=0,0,SER_hh_emih_in!Q21/SER_summary!Q$27)</f>
        <v>9.3554000497623164</v>
      </c>
      <c r="R21" s="132">
        <f>IF(SER_hh_emih_in!R21=0,0,SER_hh_emih_in!R21/SER_summary!R$27)</f>
        <v>8.9903610944498293</v>
      </c>
      <c r="S21" s="132">
        <f>IF(SER_hh_emih_in!S21=0,0,SER_hh_emih_in!S21/SER_summary!S$27)</f>
        <v>9.3339477535782969</v>
      </c>
      <c r="T21" s="132">
        <f>IF(SER_hh_emih_in!T21=0,0,SER_hh_emih_in!T21/SER_summary!T$27)</f>
        <v>9.1715382404264485</v>
      </c>
      <c r="U21" s="132">
        <f>IF(SER_hh_emih_in!U21=0,0,SER_hh_emih_in!U21/SER_summary!U$27)</f>
        <v>9.0254703455190661</v>
      </c>
      <c r="V21" s="132">
        <f>IF(SER_hh_emih_in!V21=0,0,SER_hh_emih_in!V21/SER_summary!V$27)</f>
        <v>5.3383720981230853</v>
      </c>
      <c r="W21" s="132">
        <f>IF(SER_hh_emih_in!W21=0,0,SER_hh_emih_in!W21/SER_summary!W$27)</f>
        <v>6.3068847275664943</v>
      </c>
      <c r="X21" s="132">
        <f>IF(SER_hh_emih_in!X21=0,0,SER_hh_emih_in!X21/SER_summary!X$27)</f>
        <v>7.4903450428234706</v>
      </c>
      <c r="Y21" s="132">
        <f>IF(SER_hh_emih_in!Y21=0,0,SER_hh_emih_in!Y21/SER_summary!Y$27)</f>
        <v>7.8284928174095336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13.180462388172025</v>
      </c>
      <c r="D22" s="132">
        <f>IF(SER_hh_emih_in!D22=0,0,SER_hh_emih_in!D22/SER_summary!D$27)</f>
        <v>13.615062726570741</v>
      </c>
      <c r="E22" s="132">
        <f>IF(SER_hh_emih_in!E22=0,0,SER_hh_emih_in!E22/SER_summary!E$27)</f>
        <v>13.524694342848493</v>
      </c>
      <c r="F22" s="132">
        <f>IF(SER_hh_emih_in!F22=0,0,SER_hh_emih_in!F22/SER_summary!F$27)</f>
        <v>13.674720598030412</v>
      </c>
      <c r="G22" s="132">
        <f>IF(SER_hh_emih_in!G22=0,0,SER_hh_emih_in!G22/SER_summary!G$27)</f>
        <v>14.338292221618296</v>
      </c>
      <c r="H22" s="132">
        <f>IF(SER_hh_emih_in!H22=0,0,SER_hh_emih_in!H22/SER_summary!H$27)</f>
        <v>14.003740329441197</v>
      </c>
      <c r="I22" s="132">
        <f>IF(SER_hh_emih_in!I22=0,0,SER_hh_emih_in!I22/SER_summary!I$27)</f>
        <v>13.729121057558702</v>
      </c>
      <c r="J22" s="132">
        <f>IF(SER_hh_emih_in!J22=0,0,SER_hh_emih_in!J22/SER_summary!J$27)</f>
        <v>13.426504541182647</v>
      </c>
      <c r="K22" s="132">
        <f>IF(SER_hh_emih_in!K22=0,0,SER_hh_emih_in!K22/SER_summary!K$27)</f>
        <v>11.696418863291782</v>
      </c>
      <c r="L22" s="132">
        <f>IF(SER_hh_emih_in!L22=0,0,SER_hh_emih_in!L22/SER_summary!L$27)</f>
        <v>14.135484267856913</v>
      </c>
      <c r="M22" s="132">
        <f>IF(SER_hh_emih_in!M22=0,0,SER_hh_emih_in!M22/SER_summary!M$27)</f>
        <v>14.145023935822412</v>
      </c>
      <c r="N22" s="132">
        <f>IF(SER_hh_emih_in!N22=0,0,SER_hh_emih_in!N22/SER_summary!N$27)</f>
        <v>12.110081746778972</v>
      </c>
      <c r="O22" s="132">
        <f>IF(SER_hh_emih_in!O22=0,0,SER_hh_emih_in!O22/SER_summary!O$27)</f>
        <v>12.493307465808883</v>
      </c>
      <c r="P22" s="132">
        <f>IF(SER_hh_emih_in!P22=0,0,SER_hh_emih_in!P22/SER_summary!P$27)</f>
        <v>12.451396535467079</v>
      </c>
      <c r="Q22" s="132">
        <f>IF(SER_hh_emih_in!Q22=0,0,SER_hh_emih_in!Q22/SER_summary!Q$27)</f>
        <v>11.229383914884213</v>
      </c>
      <c r="R22" s="132">
        <f>IF(SER_hh_emih_in!R22=0,0,SER_hh_emih_in!R22/SER_summary!R$27)</f>
        <v>10.525574507114936</v>
      </c>
      <c r="S22" s="132">
        <f>IF(SER_hh_emih_in!S22=0,0,SER_hh_emih_in!S22/SER_summary!S$27)</f>
        <v>11.14263576767679</v>
      </c>
      <c r="T22" s="132">
        <f>IF(SER_hh_emih_in!T22=0,0,SER_hh_emih_in!T22/SER_summary!T$27)</f>
        <v>0</v>
      </c>
      <c r="U22" s="132">
        <f>IF(SER_hh_emih_in!U22=0,0,SER_hh_emih_in!U22/SER_summary!U$27)</f>
        <v>0</v>
      </c>
      <c r="V22" s="132">
        <f>IF(SER_hh_emih_in!V22=0,0,SER_hh_emih_in!V22/SER_summary!V$27)</f>
        <v>0</v>
      </c>
      <c r="W22" s="132">
        <f>IF(SER_hh_emih_in!W22=0,0,SER_hh_emih_in!W22/SER_summary!W$27)</f>
        <v>0</v>
      </c>
      <c r="X22" s="132">
        <f>IF(SER_hh_emih_in!X22=0,0,SER_hh_emih_in!X22/SER_summary!X$27)</f>
        <v>8.293612424372931</v>
      </c>
      <c r="Y22" s="132">
        <f>IF(SER_hh_emih_in!Y22=0,0,SER_hh_emih_in!Y22/SER_summary!Y$27)</f>
        <v>8.1975011409150973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8.4721878122573777</v>
      </c>
      <c r="D23" s="132">
        <f>IF(SER_hh_emih_in!D23=0,0,SER_hh_emih_in!D23/SER_summary!D$27)</f>
        <v>8.639548893853803</v>
      </c>
      <c r="E23" s="132">
        <f>IF(SER_hh_emih_in!E23=0,0,SER_hh_emih_in!E23/SER_summary!E$27)</f>
        <v>8.050279384620362</v>
      </c>
      <c r="F23" s="132">
        <f>IF(SER_hh_emih_in!F23=0,0,SER_hh_emih_in!F23/SER_summary!F$27)</f>
        <v>7.2108914318208823</v>
      </c>
      <c r="G23" s="132">
        <f>IF(SER_hh_emih_in!G23=0,0,SER_hh_emih_in!G23/SER_summary!G$27)</f>
        <v>9.390713922817687</v>
      </c>
      <c r="H23" s="132">
        <f>IF(SER_hh_emih_in!H23=0,0,SER_hh_emih_in!H23/SER_summary!H$27)</f>
        <v>8.8390053747847084</v>
      </c>
      <c r="I23" s="132">
        <f>IF(SER_hh_emih_in!I23=0,0,SER_hh_emih_in!I23/SER_summary!I$27)</f>
        <v>9.2001867912355664</v>
      </c>
      <c r="J23" s="132">
        <f>IF(SER_hh_emih_in!J23=0,0,SER_hh_emih_in!J23/SER_summary!J$27)</f>
        <v>8.8923672125465636</v>
      </c>
      <c r="K23" s="132">
        <f>IF(SER_hh_emih_in!K23=0,0,SER_hh_emih_in!K23/SER_summary!K$27)</f>
        <v>7.9493993454551326</v>
      </c>
      <c r="L23" s="132">
        <f>IF(SER_hh_emih_in!L23=0,0,SER_hh_emih_in!L23/SER_summary!L$27)</f>
        <v>9.6825469919942204</v>
      </c>
      <c r="M23" s="132">
        <f>IF(SER_hh_emih_in!M23=0,0,SER_hh_emih_in!M23/SER_summary!M$27)</f>
        <v>8.7145092993426996</v>
      </c>
      <c r="N23" s="132">
        <f>IF(SER_hh_emih_in!N23=0,0,SER_hh_emih_in!N23/SER_summary!N$27)</f>
        <v>8.5362814073408231</v>
      </c>
      <c r="O23" s="132">
        <f>IF(SER_hh_emih_in!O23=0,0,SER_hh_emih_in!O23/SER_summary!O$27)</f>
        <v>8.198330820899189</v>
      </c>
      <c r="P23" s="132">
        <f>IF(SER_hh_emih_in!P23=0,0,SER_hh_emih_in!P23/SER_summary!P$27)</f>
        <v>7.5007264062665513</v>
      </c>
      <c r="Q23" s="132">
        <f>IF(SER_hh_emih_in!Q23=0,0,SER_hh_emih_in!Q23/SER_summary!Q$27)</f>
        <v>7.7894137860036192</v>
      </c>
      <c r="R23" s="132">
        <f>IF(SER_hh_emih_in!R23=0,0,SER_hh_emih_in!R23/SER_summary!R$27)</f>
        <v>7.2241255268136353</v>
      </c>
      <c r="S23" s="132">
        <f>IF(SER_hh_emih_in!S23=0,0,SER_hh_emih_in!S23/SER_summary!S$27)</f>
        <v>7.2168461451934336</v>
      </c>
      <c r="T23" s="132">
        <f>IF(SER_hh_emih_in!T23=0,0,SER_hh_emih_in!T23/SER_summary!T$27)</f>
        <v>6.8322257679374117</v>
      </c>
      <c r="U23" s="132">
        <f>IF(SER_hh_emih_in!U23=0,0,SER_hh_emih_in!U23/SER_summary!U$27)</f>
        <v>6.300858128081245</v>
      </c>
      <c r="V23" s="132">
        <f>IF(SER_hh_emih_in!V23=0,0,SER_hh_emih_in!V23/SER_summary!V$27)</f>
        <v>5.4278416208465146</v>
      </c>
      <c r="W23" s="132">
        <f>IF(SER_hh_emih_in!W23=0,0,SER_hh_emih_in!W23/SER_summary!W$27)</f>
        <v>0</v>
      </c>
      <c r="X23" s="132">
        <f>IF(SER_hh_emih_in!X23=0,0,SER_hh_emih_in!X23/SER_summary!X$27)</f>
        <v>0</v>
      </c>
      <c r="Y23" s="132">
        <f>IF(SER_hh_emih_in!Y23=0,0,SER_hh_emih_in!Y23/SER_summary!Y$27)</f>
        <v>0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0</v>
      </c>
      <c r="D24" s="132">
        <f>IF(SER_hh_emih_in!D24=0,0,SER_hh_emih_in!D24/SER_summary!D$27)</f>
        <v>0</v>
      </c>
      <c r="E24" s="132">
        <f>IF(SER_hh_emih_in!E24=0,0,SER_hh_emih_in!E24/SER_summary!E$27)</f>
        <v>0</v>
      </c>
      <c r="F24" s="132">
        <f>IF(SER_hh_emih_in!F24=0,0,SER_hh_emih_in!F24/SER_summary!F$27)</f>
        <v>0</v>
      </c>
      <c r="G24" s="132">
        <f>IF(SER_hh_emih_in!G24=0,0,SER_hh_emih_in!G24/SER_summary!G$27)</f>
        <v>0</v>
      </c>
      <c r="H24" s="132">
        <f>IF(SER_hh_emih_in!H24=0,0,SER_hh_emih_in!H24/SER_summary!H$27)</f>
        <v>0</v>
      </c>
      <c r="I24" s="132">
        <f>IF(SER_hh_emih_in!I24=0,0,SER_hh_emih_in!I24/SER_summary!I$27)</f>
        <v>0</v>
      </c>
      <c r="J24" s="132">
        <f>IF(SER_hh_emih_in!J24=0,0,SER_hh_emih_in!J24/SER_summary!J$27)</f>
        <v>0</v>
      </c>
      <c r="K24" s="132">
        <f>IF(SER_hh_emih_in!K24=0,0,SER_hh_emih_in!K24/SER_summary!K$27)</f>
        <v>0</v>
      </c>
      <c r="L24" s="132">
        <f>IF(SER_hh_emih_in!L24=0,0,SER_hh_emih_in!L24/SER_summary!L$27)</f>
        <v>0</v>
      </c>
      <c r="M24" s="132">
        <f>IF(SER_hh_emih_in!M24=0,0,SER_hh_emih_in!M24/SER_summary!M$27)</f>
        <v>0</v>
      </c>
      <c r="N24" s="132">
        <f>IF(SER_hh_emih_in!N24=0,0,SER_hh_emih_in!N24/SER_summary!N$27)</f>
        <v>0</v>
      </c>
      <c r="O24" s="132">
        <f>IF(SER_hh_emih_in!O24=0,0,SER_hh_emih_in!O24/SER_summary!O$27)</f>
        <v>0</v>
      </c>
      <c r="P24" s="132">
        <f>IF(SER_hh_emih_in!P24=0,0,SER_hh_emih_in!P24/SER_summary!P$27)</f>
        <v>0</v>
      </c>
      <c r="Q24" s="132">
        <f>IF(SER_hh_emih_in!Q24=0,0,SER_hh_emih_in!Q24/SER_summary!Q$27)</f>
        <v>0</v>
      </c>
      <c r="R24" s="132">
        <f>IF(SER_hh_emih_in!R24=0,0,SER_hh_emih_in!R24/SER_summary!R$27)</f>
        <v>0</v>
      </c>
      <c r="S24" s="132">
        <f>IF(SER_hh_emih_in!S24=0,0,SER_hh_emih_in!S24/SER_summary!S$27)</f>
        <v>0</v>
      </c>
      <c r="T24" s="132">
        <f>IF(SER_hh_emih_in!T24=0,0,SER_hh_emih_in!T24/SER_summary!T$27)</f>
        <v>0</v>
      </c>
      <c r="U24" s="132">
        <f>IF(SER_hh_emih_in!U24=0,0,SER_hh_emih_in!U24/SER_summary!U$27)</f>
        <v>0</v>
      </c>
      <c r="V24" s="132">
        <f>IF(SER_hh_emih_in!V24=0,0,SER_hh_emih_in!V24/SER_summary!V$27)</f>
        <v>0</v>
      </c>
      <c r="W24" s="132">
        <f>IF(SER_hh_emih_in!W24=0,0,SER_hh_emih_in!W24/SER_summary!W$27)</f>
        <v>0</v>
      </c>
      <c r="X24" s="132">
        <f>IF(SER_hh_emih_in!X24=0,0,SER_hh_emih_in!X24/SER_summary!X$27)</f>
        <v>0</v>
      </c>
      <c r="Y24" s="132">
        <f>IF(SER_hh_emih_in!Y24=0,0,SER_hh_emih_in!Y24/SER_summary!Y$27)</f>
        <v>0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0.14802580513661312</v>
      </c>
      <c r="D29" s="130">
        <f>IF(SER_hh_emih_in!D29=0,0,SER_hh_emih_in!D29/SER_summary!D$27)</f>
        <v>0.6818918942674127</v>
      </c>
      <c r="E29" s="130">
        <f>IF(SER_hh_emih_in!E29=0,0,SER_hh_emih_in!E29/SER_summary!E$27)</f>
        <v>1.5353753523198679</v>
      </c>
      <c r="F29" s="130">
        <f>IF(SER_hh_emih_in!F29=0,0,SER_hh_emih_in!F29/SER_summary!F$27)</f>
        <v>4.4820240131366855</v>
      </c>
      <c r="G29" s="130">
        <f>IF(SER_hh_emih_in!G29=0,0,SER_hh_emih_in!G29/SER_summary!G$27)</f>
        <v>2.2133427357073767</v>
      </c>
      <c r="H29" s="130">
        <f>IF(SER_hh_emih_in!H29=0,0,SER_hh_emih_in!H29/SER_summary!H$27)</f>
        <v>1.2456644040712588</v>
      </c>
      <c r="I29" s="130">
        <f>IF(SER_hh_emih_in!I29=0,0,SER_hh_emih_in!I29/SER_summary!I$27)</f>
        <v>0.69271409925104421</v>
      </c>
      <c r="J29" s="130">
        <f>IF(SER_hh_emih_in!J29=0,0,SER_hh_emih_in!J29/SER_summary!J$27)</f>
        <v>1.4712870885060017</v>
      </c>
      <c r="K29" s="130">
        <f>IF(SER_hh_emih_in!K29=0,0,SER_hh_emih_in!K29/SER_summary!K$27)</f>
        <v>1.6441280532755618</v>
      </c>
      <c r="L29" s="130">
        <f>IF(SER_hh_emih_in!L29=0,0,SER_hh_emih_in!L29/SER_summary!L$27)</f>
        <v>2.8437987953303283</v>
      </c>
      <c r="M29" s="130">
        <f>IF(SER_hh_emih_in!M29=0,0,SER_hh_emih_in!M29/SER_summary!M$27)</f>
        <v>5.6181609553804703</v>
      </c>
      <c r="N29" s="130">
        <f>IF(SER_hh_emih_in!N29=0,0,SER_hh_emih_in!N29/SER_summary!N$27)</f>
        <v>6.7162461584277251</v>
      </c>
      <c r="O29" s="130">
        <f>IF(SER_hh_emih_in!O29=0,0,SER_hh_emih_in!O29/SER_summary!O$27)</f>
        <v>1.4931798281185118</v>
      </c>
      <c r="P29" s="130">
        <f>IF(SER_hh_emih_in!P29=0,0,SER_hh_emih_in!P29/SER_summary!P$27)</f>
        <v>0.68964733619944496</v>
      </c>
      <c r="Q29" s="130">
        <f>IF(SER_hh_emih_in!Q29=0,0,SER_hh_emih_in!Q29/SER_summary!Q$27)</f>
        <v>1.6398167414785436</v>
      </c>
      <c r="R29" s="130">
        <f>IF(SER_hh_emih_in!R29=0,0,SER_hh_emih_in!R29/SER_summary!R$27)</f>
        <v>2.4035896530198766</v>
      </c>
      <c r="S29" s="130">
        <f>IF(SER_hh_emih_in!S29=0,0,SER_hh_emih_in!S29/SER_summary!S$27)</f>
        <v>1.8143568254967375</v>
      </c>
      <c r="T29" s="130">
        <f>IF(SER_hh_emih_in!T29=0,0,SER_hh_emih_in!T29/SER_summary!T$27)</f>
        <v>2.5011454037045069</v>
      </c>
      <c r="U29" s="130">
        <f>IF(SER_hh_emih_in!U29=0,0,SER_hh_emih_in!U29/SER_summary!U$27)</f>
        <v>2.8392801007942507</v>
      </c>
      <c r="V29" s="130">
        <f>IF(SER_hh_emih_in!V29=0,0,SER_hh_emih_in!V29/SER_summary!V$27)</f>
        <v>1.8305741761627972</v>
      </c>
      <c r="W29" s="130">
        <f>IF(SER_hh_emih_in!W29=0,0,SER_hh_emih_in!W29/SER_summary!W$27)</f>
        <v>4.0745596040666685</v>
      </c>
      <c r="X29" s="130">
        <f>IF(SER_hh_emih_in!X29=0,0,SER_hh_emih_in!X29/SER_summary!X$27)</f>
        <v>5.3968825425167557</v>
      </c>
      <c r="Y29" s="130">
        <f>IF(SER_hh_emih_in!Y29=0,0,SER_hh_emih_in!Y29/SER_summary!Y$27)</f>
        <v>5.254641079951643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14.111899396135245</v>
      </c>
      <c r="D30" s="132">
        <f>IF(SER_hh_emih_in!D30=0,0,SER_hh_emih_in!D30/SER_summary!D$27)</f>
        <v>8.6404478715926309</v>
      </c>
      <c r="E30" s="132">
        <f>IF(SER_hh_emih_in!E30=0,0,SER_hh_emih_in!E30/SER_summary!E$27)</f>
        <v>8.704262812043206</v>
      </c>
      <c r="F30" s="132">
        <f>IF(SER_hh_emih_in!F30=0,0,SER_hh_emih_in!F30/SER_summary!F$27)</f>
        <v>17.335965909096444</v>
      </c>
      <c r="G30" s="132">
        <f>IF(SER_hh_emih_in!G30=0,0,SER_hh_emih_in!G30/SER_summary!G$27)</f>
        <v>13.757448918313502</v>
      </c>
      <c r="H30" s="132">
        <f>IF(SER_hh_emih_in!H30=0,0,SER_hh_emih_in!H30/SER_summary!H$27)</f>
        <v>12.943968650001272</v>
      </c>
      <c r="I30" s="132">
        <f>IF(SER_hh_emih_in!I30=0,0,SER_hh_emih_in!I30/SER_summary!I$27)</f>
        <v>12.531959676146267</v>
      </c>
      <c r="J30" s="132">
        <f>IF(SER_hh_emih_in!J30=0,0,SER_hh_emih_in!J30/SER_summary!J$27)</f>
        <v>11.860671542759345</v>
      </c>
      <c r="K30" s="132">
        <f>IF(SER_hh_emih_in!K30=0,0,SER_hh_emih_in!K30/SER_summary!K$27)</f>
        <v>11.070593471002109</v>
      </c>
      <c r="L30" s="132">
        <f>IF(SER_hh_emih_in!L30=0,0,SER_hh_emih_in!L30/SER_summary!L$27)</f>
        <v>11.801878539869509</v>
      </c>
      <c r="M30" s="132">
        <f>IF(SER_hh_emih_in!M30=0,0,SER_hh_emih_in!M30/SER_summary!M$27)</f>
        <v>8.4779635823326061</v>
      </c>
      <c r="N30" s="132">
        <f>IF(SER_hh_emih_in!N30=0,0,SER_hh_emih_in!N30/SER_summary!N$27)</f>
        <v>23.337066010240047</v>
      </c>
      <c r="O30" s="132">
        <f>IF(SER_hh_emih_in!O30=0,0,SER_hh_emih_in!O30/SER_summary!O$27)</f>
        <v>16.024616290907062</v>
      </c>
      <c r="P30" s="132">
        <f>IF(SER_hh_emih_in!P30=0,0,SER_hh_emih_in!P30/SER_summary!P$27)</f>
        <v>0</v>
      </c>
      <c r="Q30" s="132">
        <f>IF(SER_hh_emih_in!Q30=0,0,SER_hh_emih_in!Q30/SER_summary!Q$27)</f>
        <v>11.191172653528035</v>
      </c>
      <c r="R30" s="132">
        <f>IF(SER_hh_emih_in!R30=0,0,SER_hh_emih_in!R30/SER_summary!R$27)</f>
        <v>12.530761935375695</v>
      </c>
      <c r="S30" s="132">
        <f>IF(SER_hh_emih_in!S30=0,0,SER_hh_emih_in!S30/SER_summary!S$27)</f>
        <v>13.524031408849037</v>
      </c>
      <c r="T30" s="132">
        <f>IF(SER_hh_emih_in!T30=0,0,SER_hh_emih_in!T30/SER_summary!T$27)</f>
        <v>13.529577895122125</v>
      </c>
      <c r="U30" s="132">
        <f>IF(SER_hh_emih_in!U30=0,0,SER_hh_emih_in!U30/SER_summary!U$27)</f>
        <v>14.348597478146813</v>
      </c>
      <c r="V30" s="132">
        <f>IF(SER_hh_emih_in!V30=0,0,SER_hh_emih_in!V30/SER_summary!V$27)</f>
        <v>8.8394578272979789</v>
      </c>
      <c r="W30" s="132">
        <f>IF(SER_hh_emih_in!W30=0,0,SER_hh_emih_in!W30/SER_summary!W$27)</f>
        <v>11.390826938729276</v>
      </c>
      <c r="X30" s="132">
        <f>IF(SER_hh_emih_in!X30=0,0,SER_hh_emih_in!X30/SER_summary!X$27)</f>
        <v>12.102417347090165</v>
      </c>
      <c r="Y30" s="132">
        <f>IF(SER_hh_emih_in!Y30=0,0,SER_hh_emih_in!Y30/SER_summary!Y$27)</f>
        <v>13.107456674937144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9.7485950946146644</v>
      </c>
      <c r="D31" s="132">
        <f>IF(SER_hh_emih_in!D31=0,0,SER_hh_emih_in!D31/SER_summary!D$27)</f>
        <v>9.4933229238528618</v>
      </c>
      <c r="E31" s="132">
        <f>IF(SER_hh_emih_in!E31=0,0,SER_hh_emih_in!E31/SER_summary!E$27)</f>
        <v>9.4986693972698166</v>
      </c>
      <c r="F31" s="132">
        <f>IF(SER_hh_emih_in!F31=0,0,SER_hh_emih_in!F31/SER_summary!F$27)</f>
        <v>10.01025571247774</v>
      </c>
      <c r="G31" s="132">
        <f>IF(SER_hh_emih_in!G31=0,0,SER_hh_emih_in!G31/SER_summary!G$27)</f>
        <v>11.374738086303305</v>
      </c>
      <c r="H31" s="132">
        <f>IF(SER_hh_emih_in!H31=0,0,SER_hh_emih_in!H31/SER_summary!H$27)</f>
        <v>10.621280821671615</v>
      </c>
      <c r="I31" s="132">
        <f>IF(SER_hh_emih_in!I31=0,0,SER_hh_emih_in!I31/SER_summary!I$27)</f>
        <v>10.594424271751947</v>
      </c>
      <c r="J31" s="132">
        <f>IF(SER_hh_emih_in!J31=0,0,SER_hh_emih_in!J31/SER_summary!J$27)</f>
        <v>10.690306492008814</v>
      </c>
      <c r="K31" s="132">
        <f>IF(SER_hh_emih_in!K31=0,0,SER_hh_emih_in!K31/SER_summary!K$27)</f>
        <v>11.360113147693887</v>
      </c>
      <c r="L31" s="132">
        <f>IF(SER_hh_emih_in!L31=0,0,SER_hh_emih_in!L31/SER_summary!L$27)</f>
        <v>11.824816943316762</v>
      </c>
      <c r="M31" s="132">
        <f>IF(SER_hh_emih_in!M31=0,0,SER_hh_emih_in!M31/SER_summary!M$27)</f>
        <v>11.458880009597811</v>
      </c>
      <c r="N31" s="132">
        <f>IF(SER_hh_emih_in!N31=0,0,SER_hh_emih_in!N31/SER_summary!N$27)</f>
        <v>11.172440417110362</v>
      </c>
      <c r="O31" s="132">
        <f>IF(SER_hh_emih_in!O31=0,0,SER_hh_emih_in!O31/SER_summary!O$27)</f>
        <v>10.837880817009898</v>
      </c>
      <c r="P31" s="132">
        <f>IF(SER_hh_emih_in!P31=0,0,SER_hh_emih_in!P31/SER_summary!P$27)</f>
        <v>11.327474727506088</v>
      </c>
      <c r="Q31" s="132">
        <f>IF(SER_hh_emih_in!Q31=0,0,SER_hh_emih_in!Q31/SER_summary!Q$27)</f>
        <v>11.483278193696522</v>
      </c>
      <c r="R31" s="132">
        <f>IF(SER_hh_emih_in!R31=0,0,SER_hh_emih_in!R31/SER_summary!R$27)</f>
        <v>11.196875091969703</v>
      </c>
      <c r="S31" s="132">
        <f>IF(SER_hh_emih_in!S31=0,0,SER_hh_emih_in!S31/SER_summary!S$27)</f>
        <v>11.017903619975804</v>
      </c>
      <c r="T31" s="132">
        <f>IF(SER_hh_emih_in!T31=0,0,SER_hh_emih_in!T31/SER_summary!T$27)</f>
        <v>10.456069183068477</v>
      </c>
      <c r="U31" s="132">
        <f>IF(SER_hh_emih_in!U31=0,0,SER_hh_emih_in!U31/SER_summary!U$27)</f>
        <v>9.8837151899271198</v>
      </c>
      <c r="V31" s="132">
        <f>IF(SER_hh_emih_in!V31=0,0,SER_hh_emih_in!V31/SER_summary!V$27)</f>
        <v>9.3327319276340752</v>
      </c>
      <c r="W31" s="132">
        <f>IF(SER_hh_emih_in!W31=0,0,SER_hh_emih_in!W31/SER_summary!W$27)</f>
        <v>10.68823009916524</v>
      </c>
      <c r="X31" s="132">
        <f>IF(SER_hh_emih_in!X31=0,0,SER_hh_emih_in!X31/SER_summary!X$27)</f>
        <v>0</v>
      </c>
      <c r="Y31" s="132">
        <f>IF(SER_hh_emih_in!Y31=0,0,SER_hh_emih_in!Y31/SER_summary!Y$27)</f>
        <v>0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</v>
      </c>
      <c r="D32" s="132">
        <f>IF(SER_hh_emih_in!D32=0,0,SER_hh_emih_in!D32/SER_summary!D$27)</f>
        <v>0</v>
      </c>
      <c r="E32" s="132">
        <f>IF(SER_hh_emih_in!E32=0,0,SER_hh_emih_in!E32/SER_summary!E$27)</f>
        <v>0</v>
      </c>
      <c r="F32" s="132">
        <f>IF(SER_hh_emih_in!F32=0,0,SER_hh_emih_in!F32/SER_summary!F$27)</f>
        <v>0</v>
      </c>
      <c r="G32" s="132">
        <f>IF(SER_hh_emih_in!G32=0,0,SER_hh_emih_in!G32/SER_summary!G$27)</f>
        <v>0</v>
      </c>
      <c r="H32" s="132">
        <f>IF(SER_hh_emih_in!H32=0,0,SER_hh_emih_in!H32/SER_summary!H$27)</f>
        <v>0</v>
      </c>
      <c r="I32" s="132">
        <f>IF(SER_hh_emih_in!I32=0,0,SER_hh_emih_in!I32/SER_summary!I$27)</f>
        <v>0</v>
      </c>
      <c r="J32" s="132">
        <f>IF(SER_hh_emih_in!J32=0,0,SER_hh_emih_in!J32/SER_summary!J$27)</f>
        <v>0</v>
      </c>
      <c r="K32" s="132">
        <f>IF(SER_hh_emih_in!K32=0,0,SER_hh_emih_in!K32/SER_summary!K$27)</f>
        <v>0</v>
      </c>
      <c r="L32" s="132">
        <f>IF(SER_hh_emih_in!L32=0,0,SER_hh_emih_in!L32/SER_summary!L$27)</f>
        <v>0</v>
      </c>
      <c r="M32" s="132">
        <f>IF(SER_hh_emih_in!M32=0,0,SER_hh_emih_in!M32/SER_summary!M$27)</f>
        <v>0</v>
      </c>
      <c r="N32" s="132">
        <f>IF(SER_hh_emih_in!N32=0,0,SER_hh_emih_in!N32/SER_summary!N$27)</f>
        <v>0</v>
      </c>
      <c r="O32" s="132">
        <f>IF(SER_hh_emih_in!O32=0,0,SER_hh_emih_in!O32/SER_summary!O$27)</f>
        <v>0</v>
      </c>
      <c r="P32" s="132">
        <f>IF(SER_hh_emih_in!P32=0,0,SER_hh_emih_in!P32/SER_summary!P$27)</f>
        <v>0</v>
      </c>
      <c r="Q32" s="132">
        <f>IF(SER_hh_emih_in!Q32=0,0,SER_hh_emih_in!Q32/SER_summary!Q$27)</f>
        <v>0</v>
      </c>
      <c r="R32" s="132">
        <f>IF(SER_hh_emih_in!R32=0,0,SER_hh_emih_in!R32/SER_summary!R$27)</f>
        <v>0</v>
      </c>
      <c r="S32" s="132">
        <f>IF(SER_hh_emih_in!S32=0,0,SER_hh_emih_in!S32/SER_summary!S$27)</f>
        <v>0</v>
      </c>
      <c r="T32" s="132">
        <f>IF(SER_hh_emih_in!T32=0,0,SER_hh_emih_in!T32/SER_summary!T$27)</f>
        <v>0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0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403.50370583196928</v>
      </c>
      <c r="C3" s="179">
        <f t="shared" ref="C3:W3" si="1">SUM(C4:C9)</f>
        <v>419.50869579810092</v>
      </c>
      <c r="D3" s="179">
        <f t="shared" si="1"/>
        <v>437.88224751837441</v>
      </c>
      <c r="E3" s="179">
        <f t="shared" si="1"/>
        <v>459.90961631454661</v>
      </c>
      <c r="F3" s="179">
        <f t="shared" si="1"/>
        <v>484.12411120922422</v>
      </c>
      <c r="G3" s="179">
        <f t="shared" si="1"/>
        <v>506.11369195551265</v>
      </c>
      <c r="H3" s="179">
        <f t="shared" si="1"/>
        <v>529.99358358376844</v>
      </c>
      <c r="I3" s="179">
        <f t="shared" si="1"/>
        <v>549.36551712008554</v>
      </c>
      <c r="J3" s="179">
        <f t="shared" si="1"/>
        <v>567.56805169195809</v>
      </c>
      <c r="K3" s="179">
        <f t="shared" si="1"/>
        <v>576.71248992524136</v>
      </c>
      <c r="L3" s="179">
        <f t="shared" si="1"/>
        <v>575.49880711860158</v>
      </c>
      <c r="M3" s="179">
        <f t="shared" si="1"/>
        <v>574.83578830976148</v>
      </c>
      <c r="N3" s="179">
        <f t="shared" si="1"/>
        <v>579.5610183517332</v>
      </c>
      <c r="O3" s="179">
        <f t="shared" si="1"/>
        <v>582.30343067988849</v>
      </c>
      <c r="P3" s="179">
        <f t="shared" si="1"/>
        <v>588.89801104632397</v>
      </c>
      <c r="Q3" s="179">
        <f t="shared" si="1"/>
        <v>600.21398396758741</v>
      </c>
      <c r="R3" s="179">
        <f t="shared" si="1"/>
        <v>609.70798850161827</v>
      </c>
      <c r="S3" s="179">
        <f t="shared" si="1"/>
        <v>606.04955506241288</v>
      </c>
      <c r="T3" s="179">
        <f t="shared" si="1"/>
        <v>597.3819722641731</v>
      </c>
      <c r="U3" s="179">
        <f t="shared" si="1"/>
        <v>583.84366855617475</v>
      </c>
      <c r="V3" s="179">
        <f t="shared" si="1"/>
        <v>539.88233597474243</v>
      </c>
      <c r="W3" s="179">
        <f t="shared" si="1"/>
        <v>542.23595998485143</v>
      </c>
      <c r="X3" s="179">
        <f t="shared" ref="X3:Y3" si="2">SUM(X4:X9)</f>
        <v>538.00802079815855</v>
      </c>
      <c r="Y3" s="179">
        <f t="shared" si="2"/>
        <v>531.13139144212971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17.354249976045949</v>
      </c>
      <c r="C4" s="180">
        <f t="shared" ref="C4:R9" si="4">C12*C44/11630</f>
        <v>18.216337186969881</v>
      </c>
      <c r="D4" s="180">
        <f t="shared" si="4"/>
        <v>19.005883779956736</v>
      </c>
      <c r="E4" s="180">
        <f t="shared" si="4"/>
        <v>19.938304774947298</v>
      </c>
      <c r="F4" s="180">
        <f t="shared" si="4"/>
        <v>20.956322376684998</v>
      </c>
      <c r="G4" s="180">
        <f t="shared" si="4"/>
        <v>21.850359431351855</v>
      </c>
      <c r="H4" s="180">
        <f t="shared" si="4"/>
        <v>22.821542795729027</v>
      </c>
      <c r="I4" s="180">
        <f t="shared" si="4"/>
        <v>23.71744020566231</v>
      </c>
      <c r="J4" s="180">
        <f t="shared" si="4"/>
        <v>24.267780872497404</v>
      </c>
      <c r="K4" s="180">
        <f t="shared" si="4"/>
        <v>24.429844824634607</v>
      </c>
      <c r="L4" s="180">
        <f t="shared" si="4"/>
        <v>23.77879372402246</v>
      </c>
      <c r="M4" s="180">
        <f t="shared" si="4"/>
        <v>23.418363320846371</v>
      </c>
      <c r="N4" s="180">
        <f t="shared" si="4"/>
        <v>23.584601800746004</v>
      </c>
      <c r="O4" s="180">
        <f t="shared" si="4"/>
        <v>23.628066290707451</v>
      </c>
      <c r="P4" s="180">
        <f t="shared" si="4"/>
        <v>23.681734638952548</v>
      </c>
      <c r="Q4" s="180">
        <f t="shared" si="4"/>
        <v>23.760009173347935</v>
      </c>
      <c r="R4" s="180">
        <f t="shared" si="4"/>
        <v>23.970548247449486</v>
      </c>
      <c r="S4" s="180">
        <f t="shared" ref="D4:W9" si="5">S12*S44/11630</f>
        <v>24.288463651587694</v>
      </c>
      <c r="T4" s="180">
        <f t="shared" si="5"/>
        <v>24.593381091263087</v>
      </c>
      <c r="U4" s="180">
        <f t="shared" si="5"/>
        <v>24.917643861860526</v>
      </c>
      <c r="V4" s="180">
        <f t="shared" si="5"/>
        <v>25.249486964197494</v>
      </c>
      <c r="W4" s="180">
        <f t="shared" si="5"/>
        <v>25.543392035173273</v>
      </c>
      <c r="X4" s="180">
        <f t="shared" ref="X4:Y4" si="6">X12*X44/11630</f>
        <v>25.540065043689381</v>
      </c>
      <c r="Y4" s="180">
        <f t="shared" si="6"/>
        <v>25.405873471191526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72.678483200776483</v>
      </c>
      <c r="C5" s="180">
        <f t="shared" si="4"/>
        <v>73.329853921745908</v>
      </c>
      <c r="D5" s="180">
        <f t="shared" si="5"/>
        <v>74.937480885423511</v>
      </c>
      <c r="E5" s="180">
        <f t="shared" si="5"/>
        <v>76.740723349143309</v>
      </c>
      <c r="F5" s="180">
        <f t="shared" si="5"/>
        <v>78.809332917005719</v>
      </c>
      <c r="G5" s="180">
        <f t="shared" si="5"/>
        <v>80.45040631360007</v>
      </c>
      <c r="H5" s="180">
        <f t="shared" si="5"/>
        <v>82.060359617783107</v>
      </c>
      <c r="I5" s="180">
        <f t="shared" si="5"/>
        <v>82.885945424193366</v>
      </c>
      <c r="J5" s="180">
        <f t="shared" si="5"/>
        <v>84.582238883239896</v>
      </c>
      <c r="K5" s="180">
        <f t="shared" si="5"/>
        <v>86.170506851911369</v>
      </c>
      <c r="L5" s="180">
        <f t="shared" si="5"/>
        <v>87.393744689491797</v>
      </c>
      <c r="M5" s="180">
        <f t="shared" si="5"/>
        <v>88.396563962780547</v>
      </c>
      <c r="N5" s="180">
        <f t="shared" si="5"/>
        <v>89.4760252871597</v>
      </c>
      <c r="O5" s="180">
        <f t="shared" si="5"/>
        <v>90.371050624159963</v>
      </c>
      <c r="P5" s="180">
        <f t="shared" si="5"/>
        <v>91.769508899441789</v>
      </c>
      <c r="Q5" s="180">
        <f t="shared" si="5"/>
        <v>93.497818719411995</v>
      </c>
      <c r="R5" s="180">
        <f t="shared" si="5"/>
        <v>95.350570129282147</v>
      </c>
      <c r="S5" s="180">
        <f t="shared" si="5"/>
        <v>93.509383085749434</v>
      </c>
      <c r="T5" s="180">
        <f t="shared" si="5"/>
        <v>91.249243315876086</v>
      </c>
      <c r="U5" s="180">
        <f t="shared" si="5"/>
        <v>87.735850246132216</v>
      </c>
      <c r="V5" s="180">
        <f t="shared" si="5"/>
        <v>83.635087520775272</v>
      </c>
      <c r="W5" s="180">
        <f t="shared" si="5"/>
        <v>81.258702012399098</v>
      </c>
      <c r="X5" s="180">
        <f t="shared" ref="X5:Y5" si="7">X13*X45/11630</f>
        <v>77.773583602606323</v>
      </c>
      <c r="Y5" s="180">
        <f t="shared" si="7"/>
        <v>75.655886547765718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127.78834919148746</v>
      </c>
      <c r="C6" s="180">
        <f t="shared" si="4"/>
        <v>134.37994512745163</v>
      </c>
      <c r="D6" s="180">
        <f t="shared" si="5"/>
        <v>139.98565063501692</v>
      </c>
      <c r="E6" s="180">
        <f t="shared" si="5"/>
        <v>147.09926917584113</v>
      </c>
      <c r="F6" s="180">
        <f t="shared" si="5"/>
        <v>153.86117944010081</v>
      </c>
      <c r="G6" s="180">
        <f t="shared" si="5"/>
        <v>158.68589887882547</v>
      </c>
      <c r="H6" s="180">
        <f t="shared" si="5"/>
        <v>164.38258107258736</v>
      </c>
      <c r="I6" s="180">
        <f t="shared" si="5"/>
        <v>169.18850402213386</v>
      </c>
      <c r="J6" s="180">
        <f t="shared" si="5"/>
        <v>173.37134767062881</v>
      </c>
      <c r="K6" s="180">
        <f t="shared" si="5"/>
        <v>174.3144056036584</v>
      </c>
      <c r="L6" s="180">
        <f t="shared" si="5"/>
        <v>169.68618977441625</v>
      </c>
      <c r="M6" s="180">
        <f t="shared" si="5"/>
        <v>167.07436418043258</v>
      </c>
      <c r="N6" s="180">
        <f t="shared" si="5"/>
        <v>167.65071596796761</v>
      </c>
      <c r="O6" s="180">
        <f t="shared" si="5"/>
        <v>166.25641736366455</v>
      </c>
      <c r="P6" s="180">
        <f t="shared" si="5"/>
        <v>164.76797915184272</v>
      </c>
      <c r="Q6" s="180">
        <f t="shared" si="5"/>
        <v>164.18007674578504</v>
      </c>
      <c r="R6" s="180">
        <f t="shared" si="5"/>
        <v>164.40701470784401</v>
      </c>
      <c r="S6" s="180">
        <f t="shared" si="5"/>
        <v>158.83851247075611</v>
      </c>
      <c r="T6" s="180">
        <f t="shared" si="5"/>
        <v>148.88395086462774</v>
      </c>
      <c r="U6" s="180">
        <f t="shared" si="5"/>
        <v>136.98023784345619</v>
      </c>
      <c r="V6" s="180">
        <f t="shared" si="5"/>
        <v>111.17648497782321</v>
      </c>
      <c r="W6" s="180">
        <f t="shared" si="5"/>
        <v>108.73755407403884</v>
      </c>
      <c r="X6" s="180">
        <f t="shared" ref="X6:Y6" si="8">X14*X46/11630</f>
        <v>106.73421576981947</v>
      </c>
      <c r="Y6" s="180">
        <f t="shared" si="8"/>
        <v>101.97431449059741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122.23398189403426</v>
      </c>
      <c r="C7" s="180">
        <f t="shared" si="4"/>
        <v>122.99093191670502</v>
      </c>
      <c r="D7" s="180">
        <f t="shared" si="5"/>
        <v>125.1050883256014</v>
      </c>
      <c r="E7" s="180">
        <f t="shared" si="5"/>
        <v>127.66841810242343</v>
      </c>
      <c r="F7" s="180">
        <f t="shared" si="5"/>
        <v>132.15242064310644</v>
      </c>
      <c r="G7" s="180">
        <f t="shared" si="5"/>
        <v>136.82111680327776</v>
      </c>
      <c r="H7" s="180">
        <f t="shared" si="5"/>
        <v>142.67144868118982</v>
      </c>
      <c r="I7" s="180">
        <f t="shared" si="5"/>
        <v>147.1389333616188</v>
      </c>
      <c r="J7" s="180">
        <f t="shared" si="5"/>
        <v>150.53417400095603</v>
      </c>
      <c r="K7" s="180">
        <f t="shared" si="5"/>
        <v>151.7781295431368</v>
      </c>
      <c r="L7" s="180">
        <f t="shared" si="5"/>
        <v>152.35977162499398</v>
      </c>
      <c r="M7" s="180">
        <f t="shared" si="5"/>
        <v>152.5448779106959</v>
      </c>
      <c r="N7" s="180">
        <f t="shared" si="5"/>
        <v>152.4765277269442</v>
      </c>
      <c r="O7" s="180">
        <f t="shared" si="5"/>
        <v>152.0920591451239</v>
      </c>
      <c r="P7" s="180">
        <f t="shared" si="5"/>
        <v>152.26075697306541</v>
      </c>
      <c r="Q7" s="180">
        <f t="shared" si="5"/>
        <v>153.33253273389425</v>
      </c>
      <c r="R7" s="180">
        <f t="shared" si="5"/>
        <v>151.25626955956767</v>
      </c>
      <c r="S7" s="180">
        <f t="shared" si="5"/>
        <v>149.71672997435695</v>
      </c>
      <c r="T7" s="180">
        <f t="shared" si="5"/>
        <v>148.19041204314345</v>
      </c>
      <c r="U7" s="180">
        <f t="shared" si="5"/>
        <v>146.95082001537904</v>
      </c>
      <c r="V7" s="180">
        <f t="shared" si="5"/>
        <v>145.64084764438937</v>
      </c>
      <c r="W7" s="180">
        <f t="shared" si="5"/>
        <v>144.58490283457817</v>
      </c>
      <c r="X7" s="180">
        <f t="shared" ref="X7:Y7" si="9">X15*X47/11630</f>
        <v>142.76492810262368</v>
      </c>
      <c r="Y7" s="180">
        <f t="shared" si="9"/>
        <v>141.38622879713571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24.964619105795375</v>
      </c>
      <c r="C8" s="55">
        <f t="shared" si="4"/>
        <v>27.587047202327302</v>
      </c>
      <c r="D8" s="55">
        <f t="shared" si="5"/>
        <v>30.15244021273551</v>
      </c>
      <c r="E8" s="55">
        <f t="shared" si="5"/>
        <v>33.413329278290938</v>
      </c>
      <c r="F8" s="55">
        <f t="shared" si="5"/>
        <v>37.047788597345452</v>
      </c>
      <c r="G8" s="55">
        <f t="shared" si="5"/>
        <v>41.107842693141812</v>
      </c>
      <c r="H8" s="55">
        <f t="shared" si="5"/>
        <v>45.677316035590806</v>
      </c>
      <c r="I8" s="55">
        <f t="shared" si="5"/>
        <v>49.953124382835711</v>
      </c>
      <c r="J8" s="55">
        <f t="shared" si="5"/>
        <v>53.354833746656752</v>
      </c>
      <c r="K8" s="55">
        <f t="shared" si="5"/>
        <v>55.303425217668121</v>
      </c>
      <c r="L8" s="55">
        <f t="shared" si="5"/>
        <v>55.270212109850732</v>
      </c>
      <c r="M8" s="55">
        <f t="shared" si="5"/>
        <v>55.352216671530904</v>
      </c>
      <c r="N8" s="55">
        <f t="shared" si="5"/>
        <v>56.267777319026088</v>
      </c>
      <c r="O8" s="55">
        <f t="shared" si="5"/>
        <v>56.473865674683104</v>
      </c>
      <c r="P8" s="55">
        <f t="shared" si="5"/>
        <v>56.71771520328501</v>
      </c>
      <c r="Q8" s="55">
        <f t="shared" si="5"/>
        <v>56.702228483002273</v>
      </c>
      <c r="R8" s="55">
        <f t="shared" si="5"/>
        <v>59.153791796615963</v>
      </c>
      <c r="S8" s="55">
        <f t="shared" si="5"/>
        <v>59.985972562119059</v>
      </c>
      <c r="T8" s="55">
        <f t="shared" si="5"/>
        <v>60.740314332668319</v>
      </c>
      <c r="U8" s="55">
        <f t="shared" si="5"/>
        <v>60.904596444937461</v>
      </c>
      <c r="V8" s="55">
        <f t="shared" si="5"/>
        <v>53.627017479588403</v>
      </c>
      <c r="W8" s="55">
        <f t="shared" si="5"/>
        <v>57.338345334272255</v>
      </c>
      <c r="X8" s="55">
        <f t="shared" ref="X8:Y8" si="10">X16*X48/11630</f>
        <v>59.564289863029408</v>
      </c>
      <c r="Y8" s="55">
        <f t="shared" si="10"/>
        <v>60.711863483026676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38.484022463829845</v>
      </c>
      <c r="C9" s="63">
        <f t="shared" si="4"/>
        <v>43.004580442901187</v>
      </c>
      <c r="D9" s="63">
        <f t="shared" si="5"/>
        <v>48.69570367964036</v>
      </c>
      <c r="E9" s="63">
        <f t="shared" si="5"/>
        <v>55.049571633900513</v>
      </c>
      <c r="F9" s="63">
        <f t="shared" si="5"/>
        <v>61.297067234980808</v>
      </c>
      <c r="G9" s="63">
        <f t="shared" si="5"/>
        <v>67.198067835315683</v>
      </c>
      <c r="H9" s="63">
        <f t="shared" si="5"/>
        <v>72.380335380888354</v>
      </c>
      <c r="I9" s="63">
        <f t="shared" si="5"/>
        <v>76.481569723641528</v>
      </c>
      <c r="J9" s="63">
        <f t="shared" si="5"/>
        <v>81.457676517979166</v>
      </c>
      <c r="K9" s="63">
        <f t="shared" si="5"/>
        <v>84.716177884232039</v>
      </c>
      <c r="L9" s="63">
        <f t="shared" si="5"/>
        <v>87.01009519582631</v>
      </c>
      <c r="M9" s="63">
        <f t="shared" si="5"/>
        <v>88.049402263475116</v>
      </c>
      <c r="N9" s="63">
        <f t="shared" si="5"/>
        <v>90.105370249889589</v>
      </c>
      <c r="O9" s="63">
        <f t="shared" si="5"/>
        <v>93.481971581549445</v>
      </c>
      <c r="P9" s="63">
        <f t="shared" si="5"/>
        <v>99.70031617973639</v>
      </c>
      <c r="Q9" s="63">
        <f t="shared" si="5"/>
        <v>108.74131811214585</v>
      </c>
      <c r="R9" s="63">
        <f t="shared" si="5"/>
        <v>115.56979406085898</v>
      </c>
      <c r="S9" s="63">
        <f t="shared" si="5"/>
        <v>119.71049331784361</v>
      </c>
      <c r="T9" s="63">
        <f t="shared" si="5"/>
        <v>123.72467061659437</v>
      </c>
      <c r="U9" s="63">
        <f t="shared" si="5"/>
        <v>126.35452014440929</v>
      </c>
      <c r="V9" s="63">
        <f t="shared" si="5"/>
        <v>120.55341138796869</v>
      </c>
      <c r="W9" s="63">
        <f t="shared" si="5"/>
        <v>124.77306369438972</v>
      </c>
      <c r="X9" s="63">
        <f t="shared" ref="X9:Y9" si="11">X17*X49/11630</f>
        <v>125.63093841639031</v>
      </c>
      <c r="Y9" s="63">
        <f t="shared" si="11"/>
        <v>125.9972246524127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1600.2295685947824</v>
      </c>
      <c r="C11" s="179">
        <f t="shared" ref="C11:W11" si="13">SUM(C12:C17)</f>
        <v>1681.9643037656347</v>
      </c>
      <c r="D11" s="179">
        <f t="shared" si="13"/>
        <v>1766.947220397544</v>
      </c>
      <c r="E11" s="179">
        <f t="shared" si="13"/>
        <v>1873.6598344882329</v>
      </c>
      <c r="F11" s="179">
        <f t="shared" si="13"/>
        <v>1986.0112619406389</v>
      </c>
      <c r="G11" s="179">
        <f t="shared" si="13"/>
        <v>2092.7972304436676</v>
      </c>
      <c r="H11" s="179">
        <f t="shared" si="13"/>
        <v>2209.4587185380869</v>
      </c>
      <c r="I11" s="179">
        <f t="shared" si="13"/>
        <v>2304.3189888270026</v>
      </c>
      <c r="J11" s="179">
        <f t="shared" si="13"/>
        <v>2394.4629958560763</v>
      </c>
      <c r="K11" s="179">
        <f t="shared" si="13"/>
        <v>2437.3321489009113</v>
      </c>
      <c r="L11" s="179">
        <f t="shared" si="13"/>
        <v>2419.1080026171203</v>
      </c>
      <c r="M11" s="179">
        <f t="shared" si="13"/>
        <v>2407.539423684982</v>
      </c>
      <c r="N11" s="179">
        <f t="shared" si="13"/>
        <v>2427.9336720623946</v>
      </c>
      <c r="O11" s="179">
        <f t="shared" si="13"/>
        <v>2439.6358677779012</v>
      </c>
      <c r="P11" s="179">
        <f t="shared" si="13"/>
        <v>2467.9430341311295</v>
      </c>
      <c r="Q11" s="179">
        <f t="shared" si="13"/>
        <v>2516.3648145332122</v>
      </c>
      <c r="R11" s="179">
        <f t="shared" si="13"/>
        <v>2516.1758472685488</v>
      </c>
      <c r="S11" s="179">
        <f t="shared" si="13"/>
        <v>2519.6410467583778</v>
      </c>
      <c r="T11" s="179">
        <f t="shared" si="13"/>
        <v>2501.5855863099987</v>
      </c>
      <c r="U11" s="179">
        <f t="shared" si="13"/>
        <v>2472.7099481616669</v>
      </c>
      <c r="V11" s="179">
        <f t="shared" si="13"/>
        <v>2432.7412368747446</v>
      </c>
      <c r="W11" s="179">
        <f t="shared" si="13"/>
        <v>2386.9981030457207</v>
      </c>
      <c r="X11" s="179">
        <f t="shared" ref="X11:Y11" si="14">SUM(X12:X17)</f>
        <v>2341.6873287327526</v>
      </c>
      <c r="Y11" s="179">
        <f t="shared" si="14"/>
        <v>2299.6898100685999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23.039946029841829</v>
      </c>
      <c r="C12" s="180">
        <f t="shared" ref="C12:W12" si="15">C20*C52</f>
        <v>24.184475055303615</v>
      </c>
      <c r="D12" s="180">
        <f t="shared" si="15"/>
        <v>25.232697301472239</v>
      </c>
      <c r="E12" s="180">
        <f t="shared" si="15"/>
        <v>26.470603257150358</v>
      </c>
      <c r="F12" s="180">
        <f t="shared" si="15"/>
        <v>27.822149456717629</v>
      </c>
      <c r="G12" s="180">
        <f t="shared" si="15"/>
        <v>29.009095911714844</v>
      </c>
      <c r="H12" s="180">
        <f t="shared" si="15"/>
        <v>30.29846378017449</v>
      </c>
      <c r="I12" s="180">
        <f t="shared" si="15"/>
        <v>31.487880090394146</v>
      </c>
      <c r="J12" s="180">
        <f t="shared" si="15"/>
        <v>32.218526432322463</v>
      </c>
      <c r="K12" s="180">
        <f t="shared" si="15"/>
        <v>32.433686679280882</v>
      </c>
      <c r="L12" s="180">
        <f t="shared" si="15"/>
        <v>31.56933459022617</v>
      </c>
      <c r="M12" s="180">
        <f t="shared" si="15"/>
        <v>31.090817970484398</v>
      </c>
      <c r="N12" s="180">
        <f t="shared" si="15"/>
        <v>31.311520427246116</v>
      </c>
      <c r="O12" s="180">
        <f t="shared" si="15"/>
        <v>31.369224995539689</v>
      </c>
      <c r="P12" s="180">
        <f t="shared" si="15"/>
        <v>31.440476467011202</v>
      </c>
      <c r="Q12" s="180">
        <f t="shared" si="15"/>
        <v>31.544395740415123</v>
      </c>
      <c r="R12" s="180">
        <f t="shared" si="15"/>
        <v>31.823912798839899</v>
      </c>
      <c r="S12" s="180">
        <f t="shared" si="15"/>
        <v>32.245985418717453</v>
      </c>
      <c r="T12" s="180">
        <f t="shared" si="15"/>
        <v>32.650801608606137</v>
      </c>
      <c r="U12" s="180">
        <f t="shared" si="15"/>
        <v>33.081301154502036</v>
      </c>
      <c r="V12" s="180">
        <f t="shared" si="15"/>
        <v>33.521864542650334</v>
      </c>
      <c r="W12" s="180">
        <f t="shared" si="15"/>
        <v>33.912060430258585</v>
      </c>
      <c r="X12" s="180">
        <f t="shared" ref="X12:Y12" si="16">X20*X52</f>
        <v>33.907643431290815</v>
      </c>
      <c r="Y12" s="180">
        <f t="shared" si="16"/>
        <v>33.72948726825998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223.74750378630756</v>
      </c>
      <c r="C13" s="180">
        <f t="shared" ref="C13:W13" si="17">C21*C53/1000</f>
        <v>225.74784115213174</v>
      </c>
      <c r="D13" s="180">
        <f t="shared" si="17"/>
        <v>230.62324126102442</v>
      </c>
      <c r="E13" s="180">
        <f t="shared" si="17"/>
        <v>235.84113476482293</v>
      </c>
      <c r="F13" s="180">
        <f t="shared" si="17"/>
        <v>241.95048692341439</v>
      </c>
      <c r="G13" s="180">
        <f t="shared" si="17"/>
        <v>246.79497278532614</v>
      </c>
      <c r="H13" s="180">
        <f t="shared" si="17"/>
        <v>251.56602426607225</v>
      </c>
      <c r="I13" s="180">
        <f t="shared" si="17"/>
        <v>254.12134161660245</v>
      </c>
      <c r="J13" s="180">
        <f t="shared" si="17"/>
        <v>259.53770150212483</v>
      </c>
      <c r="K13" s="180">
        <f t="shared" si="17"/>
        <v>264.64382154093852</v>
      </c>
      <c r="L13" s="180">
        <f t="shared" si="17"/>
        <v>268.89477246652791</v>
      </c>
      <c r="M13" s="180">
        <f t="shared" si="17"/>
        <v>272.79965766082228</v>
      </c>
      <c r="N13" s="180">
        <f t="shared" si="17"/>
        <v>277.69675903793473</v>
      </c>
      <c r="O13" s="180">
        <f t="shared" si="17"/>
        <v>282.58409297843247</v>
      </c>
      <c r="P13" s="180">
        <f t="shared" si="17"/>
        <v>288.8305258804682</v>
      </c>
      <c r="Q13" s="180">
        <f t="shared" si="17"/>
        <v>295.94480096474331</v>
      </c>
      <c r="R13" s="180">
        <f t="shared" si="17"/>
        <v>293.26892814230536</v>
      </c>
      <c r="S13" s="180">
        <f t="shared" si="17"/>
        <v>289.73096528008477</v>
      </c>
      <c r="T13" s="180">
        <f t="shared" si="17"/>
        <v>284.0598204304041</v>
      </c>
      <c r="U13" s="180">
        <f t="shared" si="17"/>
        <v>276.57267138087155</v>
      </c>
      <c r="V13" s="180">
        <f t="shared" si="17"/>
        <v>266.93795109807553</v>
      </c>
      <c r="W13" s="180">
        <f t="shared" si="17"/>
        <v>256.57466697629678</v>
      </c>
      <c r="X13" s="180">
        <f t="shared" ref="X13:Y13" si="18">X21*X53/1000</f>
        <v>246.12695225686809</v>
      </c>
      <c r="Y13" s="180">
        <f t="shared" si="18"/>
        <v>239.96902627156015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650.07726272597995</v>
      </c>
      <c r="C14" s="180">
        <f t="shared" ref="C14:W14" si="19">C22*C54</f>
        <v>676.8054823105266</v>
      </c>
      <c r="D14" s="180">
        <f t="shared" si="19"/>
        <v>697.21396696806005</v>
      </c>
      <c r="E14" s="180">
        <f t="shared" si="19"/>
        <v>725.16209437747079</v>
      </c>
      <c r="F14" s="180">
        <f t="shared" si="19"/>
        <v>751.90104346913608</v>
      </c>
      <c r="G14" s="180">
        <f t="shared" si="19"/>
        <v>771.44084245532292</v>
      </c>
      <c r="H14" s="180">
        <f t="shared" si="19"/>
        <v>797.08772490806325</v>
      </c>
      <c r="I14" s="180">
        <f t="shared" si="19"/>
        <v>816.40026908290406</v>
      </c>
      <c r="J14" s="180">
        <f t="shared" si="19"/>
        <v>833.37183320610984</v>
      </c>
      <c r="K14" s="180">
        <f t="shared" si="19"/>
        <v>835.19907059386355</v>
      </c>
      <c r="L14" s="180">
        <f t="shared" si="19"/>
        <v>810.52588828343323</v>
      </c>
      <c r="M14" s="180">
        <f t="shared" si="19"/>
        <v>796.84888277327821</v>
      </c>
      <c r="N14" s="180">
        <f t="shared" si="19"/>
        <v>796.44726550319581</v>
      </c>
      <c r="O14" s="180">
        <f t="shared" si="19"/>
        <v>787.06130273859878</v>
      </c>
      <c r="P14" s="180">
        <f t="shared" si="19"/>
        <v>775.4025140300879</v>
      </c>
      <c r="Q14" s="180">
        <f t="shared" si="19"/>
        <v>768.51937205634431</v>
      </c>
      <c r="R14" s="180">
        <f t="shared" si="19"/>
        <v>744.45514866263511</v>
      </c>
      <c r="S14" s="180">
        <f t="shared" si="19"/>
        <v>719.7098377930389</v>
      </c>
      <c r="T14" s="180">
        <f t="shared" si="19"/>
        <v>680.6031408614424</v>
      </c>
      <c r="U14" s="180">
        <f t="shared" si="19"/>
        <v>637.77436768850657</v>
      </c>
      <c r="V14" s="180">
        <f t="shared" si="19"/>
        <v>593.97830868383517</v>
      </c>
      <c r="W14" s="180">
        <f t="shared" si="19"/>
        <v>548.03100547297913</v>
      </c>
      <c r="X14" s="180">
        <f t="shared" ref="X14:Y14" si="20">X22*X54</f>
        <v>520.65037125129618</v>
      </c>
      <c r="Y14" s="180">
        <f t="shared" si="20"/>
        <v>489.56660313031693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162.28095998032177</v>
      </c>
      <c r="C15" s="180">
        <f t="shared" ref="C15:W15" si="21">C23*C55/1000</f>
        <v>163.28590618621911</v>
      </c>
      <c r="D15" s="180">
        <f t="shared" si="21"/>
        <v>166.09271429529042</v>
      </c>
      <c r="E15" s="180">
        <f t="shared" si="21"/>
        <v>169.49585645333161</v>
      </c>
      <c r="F15" s="180">
        <f t="shared" si="21"/>
        <v>175.44893288576804</v>
      </c>
      <c r="G15" s="180">
        <f t="shared" si="21"/>
        <v>181.64721329019633</v>
      </c>
      <c r="H15" s="180">
        <f t="shared" si="21"/>
        <v>189.41426348883985</v>
      </c>
      <c r="I15" s="180">
        <f t="shared" si="21"/>
        <v>195.34541038762865</v>
      </c>
      <c r="J15" s="180">
        <f t="shared" si="21"/>
        <v>199.85301867935149</v>
      </c>
      <c r="K15" s="180">
        <f t="shared" si="21"/>
        <v>201.50452586605948</v>
      </c>
      <c r="L15" s="180">
        <f t="shared" si="21"/>
        <v>202.27672876697258</v>
      </c>
      <c r="M15" s="180">
        <f t="shared" si="21"/>
        <v>202.5224806051819</v>
      </c>
      <c r="N15" s="180">
        <f t="shared" si="21"/>
        <v>202.43173715346589</v>
      </c>
      <c r="O15" s="180">
        <f t="shared" si="21"/>
        <v>201.92130683308119</v>
      </c>
      <c r="P15" s="180">
        <f t="shared" si="21"/>
        <v>202.14527438319067</v>
      </c>
      <c r="Q15" s="180">
        <f t="shared" si="21"/>
        <v>203.56819128940532</v>
      </c>
      <c r="R15" s="180">
        <f t="shared" si="21"/>
        <v>200.81169120750829</v>
      </c>
      <c r="S15" s="180">
        <f t="shared" si="21"/>
        <v>198.76775908696027</v>
      </c>
      <c r="T15" s="180">
        <f t="shared" si="21"/>
        <v>196.7413803723469</v>
      </c>
      <c r="U15" s="180">
        <f t="shared" si="21"/>
        <v>195.09566629895642</v>
      </c>
      <c r="V15" s="180">
        <f t="shared" si="21"/>
        <v>193.35651348222018</v>
      </c>
      <c r="W15" s="180">
        <f t="shared" si="21"/>
        <v>191.95461415138638</v>
      </c>
      <c r="X15" s="180">
        <f t="shared" ref="X15:Y15" si="22">X23*X55/1000</f>
        <v>189.53836915907692</v>
      </c>
      <c r="Y15" s="180">
        <f t="shared" si="22"/>
        <v>187.70797270669965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313.5835908305246</v>
      </c>
      <c r="C16" s="55">
        <f t="shared" ref="C16:W16" si="23">C24*C56</f>
        <v>344.87679060105722</v>
      </c>
      <c r="D16" s="55">
        <f t="shared" si="23"/>
        <v>375.31142689727113</v>
      </c>
      <c r="E16" s="55">
        <f t="shared" si="23"/>
        <v>414.23898369428713</v>
      </c>
      <c r="F16" s="55">
        <f t="shared" si="23"/>
        <v>457.59816334570394</v>
      </c>
      <c r="G16" s="55">
        <f t="shared" si="23"/>
        <v>505.99765906293857</v>
      </c>
      <c r="H16" s="55">
        <f t="shared" si="23"/>
        <v>560.43204859500838</v>
      </c>
      <c r="I16" s="55">
        <f t="shared" si="23"/>
        <v>611.03852895746229</v>
      </c>
      <c r="J16" s="55">
        <f t="shared" si="23"/>
        <v>650.78649261099872</v>
      </c>
      <c r="K16" s="55">
        <f t="shared" si="23"/>
        <v>672.73300437848991</v>
      </c>
      <c r="L16" s="55">
        <f t="shared" si="23"/>
        <v>670.60689764081451</v>
      </c>
      <c r="M16" s="55">
        <f t="shared" si="23"/>
        <v>670.51051439741457</v>
      </c>
      <c r="N16" s="55">
        <f t="shared" si="23"/>
        <v>680.5450645488761</v>
      </c>
      <c r="O16" s="55">
        <f t="shared" si="23"/>
        <v>682.02632820989436</v>
      </c>
      <c r="P16" s="55">
        <f t="shared" si="23"/>
        <v>684.00021391928715</v>
      </c>
      <c r="Q16" s="55">
        <f t="shared" si="23"/>
        <v>682.88359344388596</v>
      </c>
      <c r="R16" s="55">
        <f t="shared" si="23"/>
        <v>692.82641703631282</v>
      </c>
      <c r="S16" s="55">
        <f t="shared" si="23"/>
        <v>705.98132232258126</v>
      </c>
      <c r="T16" s="55">
        <f t="shared" si="23"/>
        <v>716.4643530097801</v>
      </c>
      <c r="U16" s="55">
        <f t="shared" si="23"/>
        <v>725.92884071407298</v>
      </c>
      <c r="V16" s="55">
        <f t="shared" si="23"/>
        <v>733.45948048806247</v>
      </c>
      <c r="W16" s="55">
        <f t="shared" si="23"/>
        <v>739.78506979955932</v>
      </c>
      <c r="X16" s="55">
        <f t="shared" ref="X16:Y16" si="24">X24*X56</f>
        <v>742.61006264287744</v>
      </c>
      <c r="Y16" s="55">
        <f t="shared" si="24"/>
        <v>744.37659246875899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227.5003052418067</v>
      </c>
      <c r="C17" s="63">
        <f t="shared" ref="C17:W17" si="25">C25*C57/1000</f>
        <v>247.06380846039656</v>
      </c>
      <c r="D17" s="63">
        <f t="shared" si="25"/>
        <v>272.4731736744256</v>
      </c>
      <c r="E17" s="63">
        <f t="shared" si="25"/>
        <v>302.45116194117037</v>
      </c>
      <c r="F17" s="63">
        <f t="shared" si="25"/>
        <v>331.29048585989887</v>
      </c>
      <c r="G17" s="63">
        <f t="shared" si="25"/>
        <v>357.90744693816885</v>
      </c>
      <c r="H17" s="63">
        <f t="shared" si="25"/>
        <v>380.66019349992888</v>
      </c>
      <c r="I17" s="63">
        <f t="shared" si="25"/>
        <v>395.92555869201112</v>
      </c>
      <c r="J17" s="63">
        <f t="shared" si="25"/>
        <v>418.69542342516888</v>
      </c>
      <c r="K17" s="63">
        <f t="shared" si="25"/>
        <v>430.81803984227849</v>
      </c>
      <c r="L17" s="63">
        <f t="shared" si="25"/>
        <v>435.23438086914598</v>
      </c>
      <c r="M17" s="63">
        <f t="shared" si="25"/>
        <v>433.7670702778006</v>
      </c>
      <c r="N17" s="63">
        <f t="shared" si="25"/>
        <v>439.50132539167572</v>
      </c>
      <c r="O17" s="63">
        <f t="shared" si="25"/>
        <v>454.67361202235492</v>
      </c>
      <c r="P17" s="63">
        <f t="shared" si="25"/>
        <v>486.12402945108437</v>
      </c>
      <c r="Q17" s="63">
        <f t="shared" si="25"/>
        <v>533.90446103841794</v>
      </c>
      <c r="R17" s="63">
        <f t="shared" si="25"/>
        <v>552.98974942094731</v>
      </c>
      <c r="S17" s="63">
        <f t="shared" si="25"/>
        <v>573.20517685699508</v>
      </c>
      <c r="T17" s="63">
        <f t="shared" si="25"/>
        <v>591.0660900274188</v>
      </c>
      <c r="U17" s="63">
        <f t="shared" si="25"/>
        <v>604.25710092475731</v>
      </c>
      <c r="V17" s="63">
        <f t="shared" si="25"/>
        <v>611.48711857990065</v>
      </c>
      <c r="W17" s="63">
        <f t="shared" si="25"/>
        <v>616.74068621524043</v>
      </c>
      <c r="X17" s="63">
        <f t="shared" ref="X17:Y17" si="26">X25*X57/1000</f>
        <v>608.85392999134308</v>
      </c>
      <c r="Y17" s="63">
        <f t="shared" si="26"/>
        <v>604.3401282230044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29.319407614193906</v>
      </c>
      <c r="C20" s="181">
        <v>31.107433524158772</v>
      </c>
      <c r="D20" s="181">
        <v>32.803626288203006</v>
      </c>
      <c r="E20" s="181">
        <v>34.818585386471533</v>
      </c>
      <c r="F20" s="181">
        <v>37.047707263148993</v>
      </c>
      <c r="G20" s="181">
        <v>39.080050484804374</v>
      </c>
      <c r="H20" s="181">
        <v>41.320852409148294</v>
      </c>
      <c r="I20" s="181">
        <v>43.457883727493439</v>
      </c>
      <c r="J20" s="181">
        <v>44.928234618473546</v>
      </c>
      <c r="K20" s="181">
        <v>45.634205470492823</v>
      </c>
      <c r="L20" s="181">
        <v>44.666255518666617</v>
      </c>
      <c r="M20" s="181">
        <v>44.339372261157081</v>
      </c>
      <c r="N20" s="181">
        <v>45.204262135030191</v>
      </c>
      <c r="O20" s="181">
        <v>45.889246253125904</v>
      </c>
      <c r="P20" s="181">
        <v>46.687776583663158</v>
      </c>
      <c r="Q20" s="181">
        <v>47.645114862494736</v>
      </c>
      <c r="R20" s="181">
        <v>48.961180657740485</v>
      </c>
      <c r="S20" s="181">
        <v>50.595128282370148</v>
      </c>
      <c r="T20" s="181">
        <v>52.260076986097239</v>
      </c>
      <c r="U20" s="181">
        <v>53.994657295975415</v>
      </c>
      <c r="V20" s="181">
        <v>55.721972357403075</v>
      </c>
      <c r="W20" s="181">
        <v>57.440586453574412</v>
      </c>
      <c r="X20" s="181">
        <v>58.46003239979521</v>
      </c>
      <c r="Y20" s="181">
        <v>59.076498185011495</v>
      </c>
      <c r="DA20" s="190" t="s">
        <v>922</v>
      </c>
    </row>
    <row r="21" spans="1:105" ht="12" customHeight="1" x14ac:dyDescent="0.25">
      <c r="A21" s="131" t="s">
        <v>156</v>
      </c>
      <c r="B21" s="181">
        <v>1152.849629608804</v>
      </c>
      <c r="C21" s="181">
        <v>1174.8243392335964</v>
      </c>
      <c r="D21" s="181">
        <v>1215.2784567864007</v>
      </c>
      <c r="E21" s="181">
        <v>1259.6733590760248</v>
      </c>
      <c r="F21" s="181">
        <v>1312.1966090972505</v>
      </c>
      <c r="G21" s="181">
        <v>1361.7472230230376</v>
      </c>
      <c r="H21" s="181">
        <v>1415.6477234516301</v>
      </c>
      <c r="I21" s="181">
        <v>1460.4867998461814</v>
      </c>
      <c r="J21" s="181">
        <v>1507.9544424985263</v>
      </c>
      <c r="K21" s="181">
        <v>1557.1952379352122</v>
      </c>
      <c r="L21" s="181">
        <v>1604.9662846422723</v>
      </c>
      <c r="M21" s="181">
        <v>1655.9772573666132</v>
      </c>
      <c r="N21" s="181">
        <v>1718.6384844070262</v>
      </c>
      <c r="O21" s="181">
        <v>1789.3134635312329</v>
      </c>
      <c r="P21" s="181">
        <v>1880.2164320387083</v>
      </c>
      <c r="Q21" s="181">
        <v>1990.3726391757755</v>
      </c>
      <c r="R21" s="181">
        <v>2045.2769590037237</v>
      </c>
      <c r="S21" s="181">
        <v>2104.6690989880622</v>
      </c>
      <c r="T21" s="181">
        <v>2159.4478771805339</v>
      </c>
      <c r="U21" s="181">
        <v>2209.4077083387915</v>
      </c>
      <c r="V21" s="181">
        <v>2250.900748164544</v>
      </c>
      <c r="W21" s="181">
        <v>2281.2792522298814</v>
      </c>
      <c r="X21" s="181">
        <v>2293.1198721888327</v>
      </c>
      <c r="Y21" s="181">
        <v>2324.1258241248374</v>
      </c>
      <c r="DA21" s="190" t="s">
        <v>923</v>
      </c>
    </row>
    <row r="22" spans="1:105" ht="12" customHeight="1" x14ac:dyDescent="0.25">
      <c r="A22" s="131" t="s">
        <v>160</v>
      </c>
      <c r="B22" s="181">
        <v>13.853646249506056</v>
      </c>
      <c r="C22" s="181">
        <v>14.518173197638911</v>
      </c>
      <c r="D22" s="181">
        <v>15.122484366981595</v>
      </c>
      <c r="E22" s="181">
        <v>15.977897141527956</v>
      </c>
      <c r="F22" s="181">
        <v>16.865302070751287</v>
      </c>
      <c r="G22" s="181">
        <v>17.63032546911499</v>
      </c>
      <c r="H22" s="181">
        <v>18.638040608534311</v>
      </c>
      <c r="I22" s="181">
        <v>19.533151610159052</v>
      </c>
      <c r="J22" s="181">
        <v>20.398248174477175</v>
      </c>
      <c r="K22" s="181">
        <v>20.972892055824872</v>
      </c>
      <c r="L22" s="181">
        <v>20.898798465493229</v>
      </c>
      <c r="M22" s="181">
        <v>21.2205876782497</v>
      </c>
      <c r="N22" s="181">
        <v>22.150523501074879</v>
      </c>
      <c r="O22" s="181">
        <v>23.026182903604081</v>
      </c>
      <c r="P22" s="181">
        <v>23.934123935989653</v>
      </c>
      <c r="Q22" s="181">
        <v>25.146655271835201</v>
      </c>
      <c r="R22" s="181">
        <v>25.781856070674582</v>
      </c>
      <c r="S22" s="181">
        <v>26.593096580695022</v>
      </c>
      <c r="T22" s="181">
        <v>27.39058067424935</v>
      </c>
      <c r="U22" s="181">
        <v>28.170027140832275</v>
      </c>
      <c r="V22" s="181">
        <v>28.845243673792364</v>
      </c>
      <c r="W22" s="181">
        <v>29.328410752390706</v>
      </c>
      <c r="X22" s="181">
        <v>29.644196481154061</v>
      </c>
      <c r="Y22" s="181">
        <v>29.853885228962291</v>
      </c>
      <c r="DA22" s="190" t="s">
        <v>924</v>
      </c>
    </row>
    <row r="23" spans="1:105" ht="12" customHeight="1" x14ac:dyDescent="0.25">
      <c r="A23" s="131" t="s">
        <v>172</v>
      </c>
      <c r="B23" s="181">
        <v>232.30074374755696</v>
      </c>
      <c r="C23" s="181">
        <v>235.94309418469453</v>
      </c>
      <c r="D23" s="181">
        <v>243.02287455014442</v>
      </c>
      <c r="E23" s="181">
        <v>251.61764605323896</v>
      </c>
      <c r="F23" s="181">
        <v>264.84428802598228</v>
      </c>
      <c r="G23" s="181">
        <v>279.05620639286968</v>
      </c>
      <c r="H23" s="181">
        <v>296.61683028922545</v>
      </c>
      <c r="I23" s="181">
        <v>312.03001025414738</v>
      </c>
      <c r="J23" s="181">
        <v>325.9528211418953</v>
      </c>
      <c r="K23" s="181">
        <v>335.77386346668123</v>
      </c>
      <c r="L23" s="181">
        <v>344.9112295875376</v>
      </c>
      <c r="M23" s="181">
        <v>350.97856523013888</v>
      </c>
      <c r="N23" s="181">
        <v>356.80036435482407</v>
      </c>
      <c r="O23" s="181">
        <v>362.15167919597883</v>
      </c>
      <c r="P23" s="181">
        <v>370.60023622892663</v>
      </c>
      <c r="Q23" s="181">
        <v>381.42057394406874</v>
      </c>
      <c r="R23" s="181">
        <v>384.44540852568281</v>
      </c>
      <c r="S23" s="181">
        <v>388.31922031273274</v>
      </c>
      <c r="T23" s="181">
        <v>391.73510853219716</v>
      </c>
      <c r="U23" s="181">
        <v>394.89545013523713</v>
      </c>
      <c r="V23" s="181">
        <v>397.56655781519476</v>
      </c>
      <c r="W23" s="181">
        <v>399.74628823721451</v>
      </c>
      <c r="X23" s="181">
        <v>400.7348389548153</v>
      </c>
      <c r="Y23" s="181">
        <v>403.52385744451652</v>
      </c>
      <c r="DA23" s="190" t="s">
        <v>925</v>
      </c>
    </row>
    <row r="24" spans="1:105" ht="12" customHeight="1" x14ac:dyDescent="0.25">
      <c r="A24" s="60" t="s">
        <v>159</v>
      </c>
      <c r="B24" s="36">
        <v>5.7781337285516781</v>
      </c>
      <c r="C24" s="36">
        <v>6.4077851656628031</v>
      </c>
      <c r="D24" s="36">
        <v>7.032504256722361</v>
      </c>
      <c r="E24" s="36">
        <v>7.8427679143251057</v>
      </c>
      <c r="F24" s="36">
        <v>8.7599273375529432</v>
      </c>
      <c r="G24" s="36">
        <v>9.8011532200416323</v>
      </c>
      <c r="H24" s="36">
        <v>10.994672442872155</v>
      </c>
      <c r="I24" s="36">
        <v>12.139196883332547</v>
      </c>
      <c r="J24" s="36">
        <v>13.084010559267606</v>
      </c>
      <c r="K24" s="36">
        <v>13.668419542231652</v>
      </c>
      <c r="L24" s="36">
        <v>13.732623514554099</v>
      </c>
      <c r="M24" s="36">
        <v>13.877214166173795</v>
      </c>
      <c r="N24" s="36">
        <v>14.314347056127128</v>
      </c>
      <c r="O24" s="36">
        <v>14.588856659195713</v>
      </c>
      <c r="P24" s="36">
        <v>14.93381305659809</v>
      </c>
      <c r="Q24" s="36">
        <v>15.262541369063483</v>
      </c>
      <c r="R24" s="36">
        <v>15.864000259856944</v>
      </c>
      <c r="S24" s="36">
        <v>16.568878461563759</v>
      </c>
      <c r="T24" s="36">
        <v>17.289780105479739</v>
      </c>
      <c r="U24" s="36">
        <v>18.042542636789367</v>
      </c>
      <c r="V24" s="36">
        <v>18.806981196239647</v>
      </c>
      <c r="W24" s="36">
        <v>19.601730069943383</v>
      </c>
      <c r="X24" s="36">
        <v>20.267676741694011</v>
      </c>
      <c r="Y24" s="36">
        <v>20.815012752056511</v>
      </c>
      <c r="DA24" s="89" t="s">
        <v>926</v>
      </c>
    </row>
    <row r="25" spans="1:105" ht="12" customHeight="1" x14ac:dyDescent="0.25">
      <c r="A25" s="62" t="s">
        <v>157</v>
      </c>
      <c r="B25" s="38">
        <v>616.06355473743633</v>
      </c>
      <c r="C25" s="38">
        <v>685.89668790098563</v>
      </c>
      <c r="D25" s="38">
        <v>783.28313852688109</v>
      </c>
      <c r="E25" s="38">
        <v>905.60325620192259</v>
      </c>
      <c r="F25" s="38">
        <v>1036.204964958227</v>
      </c>
      <c r="G25" s="38">
        <v>1168.7180070059667</v>
      </c>
      <c r="H25" s="38">
        <v>1304.3726504652768</v>
      </c>
      <c r="I25" s="38">
        <v>1428.5337514480666</v>
      </c>
      <c r="J25" s="38">
        <v>1601.3468185847569</v>
      </c>
      <c r="K25" s="38">
        <v>1742.6591837017163</v>
      </c>
      <c r="L25" s="38">
        <v>1871.0343033855224</v>
      </c>
      <c r="M25" s="38">
        <v>2002.421857939964</v>
      </c>
      <c r="N25" s="38">
        <v>2168.3456863803126</v>
      </c>
      <c r="O25" s="38">
        <v>2403.5862511952323</v>
      </c>
      <c r="P25" s="38">
        <v>2688.6442822972299</v>
      </c>
      <c r="Q25" s="38">
        <v>3022.370095551265</v>
      </c>
      <c r="R25" s="38">
        <v>3172.3876149711859</v>
      </c>
      <c r="S25" s="38">
        <v>3327.9655489202228</v>
      </c>
      <c r="T25" s="38">
        <v>3475.6423029167709</v>
      </c>
      <c r="U25" s="38">
        <v>3617.0404311082607</v>
      </c>
      <c r="V25" s="38">
        <v>3745.9708174650768</v>
      </c>
      <c r="W25" s="38">
        <v>3861.4312112987454</v>
      </c>
      <c r="X25" s="38">
        <v>3891.2125042479756</v>
      </c>
      <c r="Y25" s="38">
        <v>3952.5395570374321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3.0597061681494182</v>
      </c>
      <c r="D28" s="182">
        <v>3.0038432540884301</v>
      </c>
      <c r="E28" s="182">
        <v>3.3595972595575496</v>
      </c>
      <c r="F28" s="182">
        <v>3.6117939274741673</v>
      </c>
      <c r="G28" s="182">
        <v>3.4541249731279535</v>
      </c>
      <c r="H28" s="182">
        <v>3.702799617618787</v>
      </c>
      <c r="I28" s="182">
        <v>3.6403824852364366</v>
      </c>
      <c r="J28" s="182">
        <v>3.0162252390653421</v>
      </c>
      <c r="K28" s="182">
        <v>2.2955711747499663</v>
      </c>
      <c r="L28" s="182">
        <v>0.66661316072903531</v>
      </c>
      <c r="M28" s="182">
        <v>1.3539144441017399</v>
      </c>
      <c r="N28" s="182">
        <v>2.5932299373689887</v>
      </c>
      <c r="O28" s="182">
        <v>2.4622113074364265</v>
      </c>
      <c r="P28" s="182">
        <v>2.6260274471308378</v>
      </c>
      <c r="Q28" s="182">
        <v>2.8365272374456936</v>
      </c>
      <c r="R28" s="182">
        <v>3.2484087303522955</v>
      </c>
      <c r="S28" s="182">
        <v>3.6209480280430242</v>
      </c>
      <c r="T28" s="182">
        <v>3.7081525944211435</v>
      </c>
      <c r="U28" s="182">
        <v>4.794286478027594</v>
      </c>
      <c r="V28" s="182">
        <v>4.7311583155160903</v>
      </c>
      <c r="W28" s="182">
        <v>5.0782113557288824</v>
      </c>
      <c r="X28" s="182">
        <v>4.631239873694966</v>
      </c>
      <c r="Y28" s="182">
        <v>4.0705907583442382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166.59327377726936</v>
      </c>
      <c r="D29" s="182">
        <v>191.29777066346242</v>
      </c>
      <c r="E29" s="182">
        <v>201.73160257506152</v>
      </c>
      <c r="F29" s="182">
        <v>216.63248992772378</v>
      </c>
      <c r="G29" s="182">
        <v>220.72391661886013</v>
      </c>
      <c r="H29" s="182">
        <v>232.44193765387263</v>
      </c>
      <c r="I29" s="182">
        <v>231.06580862993155</v>
      </c>
      <c r="J29" s="182">
        <v>214.06091642961428</v>
      </c>
      <c r="K29" s="182">
        <v>240.53856610014827</v>
      </c>
      <c r="L29" s="182">
        <v>249.50264928212164</v>
      </c>
      <c r="M29" s="182">
        <v>267.64346265206473</v>
      </c>
      <c r="N29" s="182">
        <v>283.38514365927313</v>
      </c>
      <c r="O29" s="182">
        <v>303.11691677807926</v>
      </c>
      <c r="P29" s="182">
        <v>321.96877713740696</v>
      </c>
      <c r="Q29" s="182">
        <v>324.21712356668149</v>
      </c>
      <c r="R29" s="182">
        <v>295.44288592809653</v>
      </c>
      <c r="S29" s="182">
        <v>308.89478926646007</v>
      </c>
      <c r="T29" s="182">
        <v>322.42224084453642</v>
      </c>
      <c r="U29" s="182">
        <v>333.34497481753078</v>
      </c>
      <c r="V29" s="182">
        <v>344.60995660383173</v>
      </c>
      <c r="W29" s="182">
        <v>352.3472812027444</v>
      </c>
      <c r="X29" s="182">
        <v>336.05774352563276</v>
      </c>
      <c r="Y29" s="182">
        <v>326.44883786410128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2.8279968154767356</v>
      </c>
      <c r="D30" s="182">
        <v>2.823984418626047</v>
      </c>
      <c r="E30" s="182">
        <v>3.1327494770136042</v>
      </c>
      <c r="F30" s="182">
        <v>3.2239030863637126</v>
      </c>
      <c r="G30" s="182">
        <v>3.1622199272765918</v>
      </c>
      <c r="H30" s="182">
        <v>3.4671868837776181</v>
      </c>
      <c r="I30" s="182">
        <v>3.7231078171014769</v>
      </c>
      <c r="J30" s="182">
        <v>3.6890809829441693</v>
      </c>
      <c r="K30" s="182">
        <v>3.7073933583613012</v>
      </c>
      <c r="L30" s="182">
        <v>3.1498094960320699</v>
      </c>
      <c r="M30" s="182">
        <v>3.4840091400330628</v>
      </c>
      <c r="N30" s="182">
        <v>4.3971227066027971</v>
      </c>
      <c r="O30" s="182">
        <v>4.5987672196306804</v>
      </c>
      <c r="P30" s="182">
        <v>4.5970220153297419</v>
      </c>
      <c r="Q30" s="182">
        <v>4.9199246942068484</v>
      </c>
      <c r="R30" s="182">
        <v>3.7850102948714515</v>
      </c>
      <c r="S30" s="182">
        <v>4.2952496500535027</v>
      </c>
      <c r="T30" s="182">
        <v>5.1946068001571248</v>
      </c>
      <c r="U30" s="182">
        <v>5.3782136862136056</v>
      </c>
      <c r="V30" s="182">
        <v>5.2722385482898311</v>
      </c>
      <c r="W30" s="182">
        <v>5.4030917728051904</v>
      </c>
      <c r="X30" s="182">
        <v>4.1007960236348069</v>
      </c>
      <c r="Y30" s="182">
        <v>4.5049383978617321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24.754562714270605</v>
      </c>
      <c r="D31" s="182">
        <v>28.636704191838191</v>
      </c>
      <c r="E31" s="182">
        <v>30.605774365169424</v>
      </c>
      <c r="F31" s="182">
        <v>35.701288675405067</v>
      </c>
      <c r="G31" s="182">
        <v>37.159975189858102</v>
      </c>
      <c r="H31" s="182">
        <v>40.992062838082177</v>
      </c>
      <c r="I31" s="182">
        <v>39.338183075872905</v>
      </c>
      <c r="J31" s="182">
        <v>38.351774694988933</v>
      </c>
      <c r="K31" s="182">
        <v>34.76458234975405</v>
      </c>
      <c r="L31" s="182">
        <v>34.606321492298093</v>
      </c>
      <c r="M31" s="182">
        <v>30.821898356871884</v>
      </c>
      <c r="N31" s="182">
        <v>34.458503316523377</v>
      </c>
      <c r="O31" s="182">
        <v>35.957089206324156</v>
      </c>
      <c r="P31" s="182">
        <v>44.149845708352871</v>
      </c>
      <c r="Q31" s="182">
        <v>47.980312905000176</v>
      </c>
      <c r="R31" s="182">
        <v>44.016897419696249</v>
      </c>
      <c r="S31" s="182">
        <v>43.211994862922836</v>
      </c>
      <c r="T31" s="182">
        <v>41.767662914453354</v>
      </c>
      <c r="U31" s="182">
        <v>37.924923952794018</v>
      </c>
      <c r="V31" s="182">
        <v>37.277429172255722</v>
      </c>
      <c r="W31" s="182">
        <v>33.001628778891643</v>
      </c>
      <c r="X31" s="182">
        <v>35.447054034124164</v>
      </c>
      <c r="Y31" s="182">
        <v>38.746107696025376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0.79422686838957723</v>
      </c>
      <c r="D32" s="41">
        <v>0.80781443854899049</v>
      </c>
      <c r="E32" s="41">
        <v>1.0139629948115623</v>
      </c>
      <c r="F32" s="41">
        <v>1.1437813475326397</v>
      </c>
      <c r="G32" s="41">
        <v>1.2933499064513363</v>
      </c>
      <c r="H32" s="41">
        <v>1.474015135369072</v>
      </c>
      <c r="I32" s="41">
        <v>1.4565849720759374</v>
      </c>
      <c r="J32" s="41">
        <v>1.2919908398047557</v>
      </c>
      <c r="K32" s="41">
        <v>0.97065450555099098</v>
      </c>
      <c r="L32" s="41">
        <v>0.49391427370176011</v>
      </c>
      <c r="M32" s="41">
        <v>0.62265688750708925</v>
      </c>
      <c r="N32" s="41">
        <v>0.96899662503702544</v>
      </c>
      <c r="O32" s="41">
        <v>0.86622474934343785</v>
      </c>
      <c r="P32" s="41">
        <v>1.0032581225161863</v>
      </c>
      <c r="Q32" s="41">
        <v>1.0611097024231224</v>
      </c>
      <c r="R32" s="41">
        <v>1.3956857591830385</v>
      </c>
      <c r="S32" s="41">
        <v>1.512692640255807</v>
      </c>
      <c r="T32" s="41">
        <v>1.7348646387275419</v>
      </c>
      <c r="U32" s="41">
        <v>1.8965438788422695</v>
      </c>
      <c r="V32" s="41">
        <v>2.0577884659016163</v>
      </c>
      <c r="W32" s="41">
        <v>2.2687640090728074</v>
      </c>
      <c r="X32" s="41">
        <v>2.1225316438265658</v>
      </c>
      <c r="Y32" s="41">
        <v>1.8393268501672537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193.04584411103656</v>
      </c>
      <c r="D33" s="42">
        <v>220.59916157338273</v>
      </c>
      <c r="E33" s="42">
        <v>245.53282862252877</v>
      </c>
      <c r="F33" s="42">
        <v>253.81441970379171</v>
      </c>
      <c r="G33" s="42">
        <v>255.72575299522691</v>
      </c>
      <c r="H33" s="42">
        <v>328.7004875703467</v>
      </c>
      <c r="I33" s="42">
        <v>344.76026255617262</v>
      </c>
      <c r="J33" s="42">
        <v>418.34589575921905</v>
      </c>
      <c r="K33" s="42">
        <v>395.12678482075125</v>
      </c>
      <c r="L33" s="42">
        <v>384.10087267903305</v>
      </c>
      <c r="M33" s="42">
        <v>460.08804212478822</v>
      </c>
      <c r="N33" s="42">
        <v>510.68409099652126</v>
      </c>
      <c r="O33" s="42">
        <v>653.58646057413875</v>
      </c>
      <c r="P33" s="42">
        <v>680.18481592274884</v>
      </c>
      <c r="Q33" s="42">
        <v>717.82668593306789</v>
      </c>
      <c r="R33" s="42">
        <v>610.10556154470942</v>
      </c>
      <c r="S33" s="42">
        <v>666.2620249455581</v>
      </c>
      <c r="T33" s="42">
        <v>801.26321457068661</v>
      </c>
      <c r="U33" s="42">
        <v>821.58294411423867</v>
      </c>
      <c r="V33" s="42">
        <v>846.75707228988404</v>
      </c>
      <c r="W33" s="42">
        <v>725.56595537837802</v>
      </c>
      <c r="X33" s="42">
        <v>696.04331789478829</v>
      </c>
      <c r="Y33" s="42">
        <v>862.59026736014312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1.2716802581845528</v>
      </c>
      <c r="D36" s="182">
        <v>1.3076504900441961</v>
      </c>
      <c r="E36" s="182">
        <v>1.3446381612890193</v>
      </c>
      <c r="F36" s="182">
        <v>1.3826720507967067</v>
      </c>
      <c r="G36" s="182">
        <v>1.4217817514725724</v>
      </c>
      <c r="H36" s="182">
        <v>1.4619976932748671</v>
      </c>
      <c r="I36" s="182">
        <v>1.5033511668912922</v>
      </c>
      <c r="J36" s="182">
        <v>1.5458743480852348</v>
      </c>
      <c r="K36" s="182">
        <v>1.5896003227306892</v>
      </c>
      <c r="L36" s="182">
        <v>1.6345631125552416</v>
      </c>
      <c r="M36" s="182">
        <v>1.6807977016112758</v>
      </c>
      <c r="N36" s="182">
        <v>1.7283400634958781</v>
      </c>
      <c r="O36" s="182">
        <v>1.7772271893407137</v>
      </c>
      <c r="P36" s="182">
        <v>1.8274971165935838</v>
      </c>
      <c r="Q36" s="182">
        <v>1.8791889586141153</v>
      </c>
      <c r="R36" s="182">
        <v>1.9323429351065471</v>
      </c>
      <c r="S36" s="182">
        <v>1.9870004034133615</v>
      </c>
      <c r="T36" s="182">
        <v>2.0432038906940519</v>
      </c>
      <c r="U36" s="182">
        <v>3.0597061681494182</v>
      </c>
      <c r="V36" s="182">
        <v>3.0038432540884301</v>
      </c>
      <c r="W36" s="182">
        <v>3.3595972595575461</v>
      </c>
      <c r="X36" s="182">
        <v>3.6117939274741673</v>
      </c>
      <c r="Y36" s="182">
        <v>3.4541249731279535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144.61856415247689</v>
      </c>
      <c r="D37" s="182">
        <v>150.84365311065812</v>
      </c>
      <c r="E37" s="182">
        <v>157.33670028543747</v>
      </c>
      <c r="F37" s="182">
        <v>164.10923990649803</v>
      </c>
      <c r="G37" s="182">
        <v>171.17330269307308</v>
      </c>
      <c r="H37" s="182">
        <v>178.54143722528011</v>
      </c>
      <c r="I37" s="182">
        <v>186.22673223538027</v>
      </c>
      <c r="J37" s="182">
        <v>166.59327377726936</v>
      </c>
      <c r="K37" s="182">
        <v>191.29777066346242</v>
      </c>
      <c r="L37" s="182">
        <v>201.73160257506152</v>
      </c>
      <c r="M37" s="182">
        <v>216.63248992772378</v>
      </c>
      <c r="N37" s="182">
        <v>220.72391661886013</v>
      </c>
      <c r="O37" s="182">
        <v>232.44193765387263</v>
      </c>
      <c r="P37" s="182">
        <v>231.06580862993178</v>
      </c>
      <c r="Q37" s="182">
        <v>214.06091642961428</v>
      </c>
      <c r="R37" s="182">
        <v>240.53856610014827</v>
      </c>
      <c r="S37" s="182">
        <v>249.50264928212164</v>
      </c>
      <c r="T37" s="182">
        <v>267.6434626520645</v>
      </c>
      <c r="U37" s="182">
        <v>283.38514365927313</v>
      </c>
      <c r="V37" s="182">
        <v>303.11691677807903</v>
      </c>
      <c r="W37" s="182">
        <v>321.96877713740696</v>
      </c>
      <c r="X37" s="182">
        <v>324.21712356668149</v>
      </c>
      <c r="Y37" s="182">
        <v>295.44288592809653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2.163469867343883</v>
      </c>
      <c r="D38" s="182">
        <v>2.2196732492833604</v>
      </c>
      <c r="E38" s="182">
        <v>2.2773367024672435</v>
      </c>
      <c r="F38" s="182">
        <v>2.3364981571403796</v>
      </c>
      <c r="G38" s="182">
        <v>2.3971965289128896</v>
      </c>
      <c r="H38" s="182">
        <v>2.4594717443582965</v>
      </c>
      <c r="I38" s="182">
        <v>2.8279968154767374</v>
      </c>
      <c r="J38" s="182">
        <v>2.823984418626047</v>
      </c>
      <c r="K38" s="182">
        <v>3.1327494770136042</v>
      </c>
      <c r="L38" s="182">
        <v>3.2239030863637126</v>
      </c>
      <c r="M38" s="182">
        <v>3.1622199272765918</v>
      </c>
      <c r="N38" s="182">
        <v>3.4671868837776181</v>
      </c>
      <c r="O38" s="182">
        <v>3.7231078171014786</v>
      </c>
      <c r="P38" s="182">
        <v>3.6890809829441693</v>
      </c>
      <c r="Q38" s="182">
        <v>3.7073933583613012</v>
      </c>
      <c r="R38" s="182">
        <v>3.1498094960320699</v>
      </c>
      <c r="S38" s="182">
        <v>3.4840091400330628</v>
      </c>
      <c r="T38" s="182">
        <v>4.3971227066027971</v>
      </c>
      <c r="U38" s="182">
        <v>4.5987672196306804</v>
      </c>
      <c r="V38" s="182">
        <v>4.5970220153297454</v>
      </c>
      <c r="W38" s="182">
        <v>4.9199246942068449</v>
      </c>
      <c r="X38" s="182">
        <v>3.7850102948714479</v>
      </c>
      <c r="Y38" s="182">
        <v>4.2952496500534991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21.11221227713304</v>
      </c>
      <c r="D39" s="182">
        <v>21.556923826388299</v>
      </c>
      <c r="E39" s="182">
        <v>22.011002862074918</v>
      </c>
      <c r="F39" s="182">
        <v>22.474646702661744</v>
      </c>
      <c r="G39" s="182">
        <v>22.948056822970727</v>
      </c>
      <c r="H39" s="182">
        <v>23.431438941726412</v>
      </c>
      <c r="I39" s="182">
        <v>23.925003110950968</v>
      </c>
      <c r="J39" s="182">
        <v>24.428963807241018</v>
      </c>
      <c r="K39" s="182">
        <v>24.943540024968115</v>
      </c>
      <c r="L39" s="182">
        <v>25.468955371441723</v>
      </c>
      <c r="M39" s="182">
        <v>24.754562714270605</v>
      </c>
      <c r="N39" s="182">
        <v>28.636704191838191</v>
      </c>
      <c r="O39" s="182">
        <v>30.605774365169395</v>
      </c>
      <c r="P39" s="182">
        <v>35.701288675405067</v>
      </c>
      <c r="Q39" s="182">
        <v>37.159975189858073</v>
      </c>
      <c r="R39" s="182">
        <v>40.992062838082177</v>
      </c>
      <c r="S39" s="182">
        <v>39.338183075872905</v>
      </c>
      <c r="T39" s="182">
        <v>38.351774694988933</v>
      </c>
      <c r="U39" s="182">
        <v>34.76458234975405</v>
      </c>
      <c r="V39" s="182">
        <v>34.606321492298093</v>
      </c>
      <c r="W39" s="182">
        <v>30.821898356871884</v>
      </c>
      <c r="X39" s="182">
        <v>34.458503316523377</v>
      </c>
      <c r="Y39" s="182">
        <v>35.957089206324156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0.1645754312784522</v>
      </c>
      <c r="D40" s="41">
        <v>0.18309534748943257</v>
      </c>
      <c r="E40" s="41">
        <v>0.20369933720881672</v>
      </c>
      <c r="F40" s="41">
        <v>0.2266219243048031</v>
      </c>
      <c r="G40" s="41">
        <v>0.25212402396264721</v>
      </c>
      <c r="H40" s="41">
        <v>0.28049591253854977</v>
      </c>
      <c r="I40" s="41">
        <v>0.31206053161554514</v>
      </c>
      <c r="J40" s="41">
        <v>0.34717716386969677</v>
      </c>
      <c r="K40" s="41">
        <v>0.386245522586945</v>
      </c>
      <c r="L40" s="41">
        <v>0.42971030137931265</v>
      </c>
      <c r="M40" s="41">
        <v>0.47806623588739328</v>
      </c>
      <c r="N40" s="41">
        <v>0.531863735083693</v>
      </c>
      <c r="O40" s="41">
        <v>0.59171514627485244</v>
      </c>
      <c r="P40" s="41">
        <v>0.6583017251138088</v>
      </c>
      <c r="Q40" s="41">
        <v>0.73238138995773028</v>
      </c>
      <c r="R40" s="41">
        <v>0.79422686838957901</v>
      </c>
      <c r="S40" s="41">
        <v>0.80781443854899138</v>
      </c>
      <c r="T40" s="41">
        <v>1.0139629948115605</v>
      </c>
      <c r="U40" s="41">
        <v>1.1437813475326415</v>
      </c>
      <c r="V40" s="41">
        <v>1.2933499064513363</v>
      </c>
      <c r="W40" s="41">
        <v>1.474015135369072</v>
      </c>
      <c r="X40" s="41">
        <v>1.4565849720759374</v>
      </c>
      <c r="Y40" s="41">
        <v>1.2919908398047539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123.21271094748727</v>
      </c>
      <c r="D41" s="42">
        <v>123.21271094748727</v>
      </c>
      <c r="E41" s="42">
        <v>123.21271094748738</v>
      </c>
      <c r="F41" s="42">
        <v>123.21271094748727</v>
      </c>
      <c r="G41" s="42">
        <v>123.21271094748727</v>
      </c>
      <c r="H41" s="42">
        <v>193.04584411103656</v>
      </c>
      <c r="I41" s="42">
        <v>220.59916157338284</v>
      </c>
      <c r="J41" s="42">
        <v>245.53282862252877</v>
      </c>
      <c r="K41" s="42">
        <v>253.81441970379183</v>
      </c>
      <c r="L41" s="42">
        <v>255.72575299522669</v>
      </c>
      <c r="M41" s="42">
        <v>328.70048757034692</v>
      </c>
      <c r="N41" s="42">
        <v>344.76026255617262</v>
      </c>
      <c r="O41" s="42">
        <v>418.34589575921882</v>
      </c>
      <c r="P41" s="42">
        <v>395.12678482075125</v>
      </c>
      <c r="Q41" s="42">
        <v>384.10087267903282</v>
      </c>
      <c r="R41" s="42">
        <v>460.08804212478844</v>
      </c>
      <c r="S41" s="42">
        <v>510.68409099652126</v>
      </c>
      <c r="T41" s="42">
        <v>653.58646057413898</v>
      </c>
      <c r="U41" s="42">
        <v>680.18481592274884</v>
      </c>
      <c r="V41" s="42">
        <v>717.82668593306789</v>
      </c>
      <c r="W41" s="42">
        <v>610.10556154470942</v>
      </c>
      <c r="X41" s="42">
        <v>666.26202494555855</v>
      </c>
      <c r="Y41" s="42">
        <v>801.26321457068661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8759.9999999999982</v>
      </c>
      <c r="C44" s="184">
        <v>8760.0000000000018</v>
      </c>
      <c r="D44" s="184">
        <v>8760</v>
      </c>
      <c r="E44" s="184">
        <v>8759.9999999999982</v>
      </c>
      <c r="F44" s="184">
        <v>8760.0000000000036</v>
      </c>
      <c r="G44" s="184">
        <v>8760.0000000000018</v>
      </c>
      <c r="H44" s="184">
        <v>8760.0000000000018</v>
      </c>
      <c r="I44" s="184">
        <v>8759.9999999999982</v>
      </c>
      <c r="J44" s="184">
        <v>8760.0000000000018</v>
      </c>
      <c r="K44" s="184">
        <v>8759.9999999999982</v>
      </c>
      <c r="L44" s="184">
        <v>8759.9999999999982</v>
      </c>
      <c r="M44" s="184">
        <v>8760</v>
      </c>
      <c r="N44" s="184">
        <v>8760.0000000000018</v>
      </c>
      <c r="O44" s="184">
        <v>8760</v>
      </c>
      <c r="P44" s="184">
        <v>8760</v>
      </c>
      <c r="Q44" s="184">
        <v>8760</v>
      </c>
      <c r="R44" s="184">
        <v>8760</v>
      </c>
      <c r="S44" s="184">
        <v>8760</v>
      </c>
      <c r="T44" s="184">
        <v>8759.9999999999982</v>
      </c>
      <c r="U44" s="184">
        <v>8760.0000000000018</v>
      </c>
      <c r="V44" s="184">
        <v>8759.9999999999982</v>
      </c>
      <c r="W44" s="184">
        <v>8760</v>
      </c>
      <c r="X44" s="184">
        <v>8760</v>
      </c>
      <c r="Y44" s="184">
        <v>8760</v>
      </c>
      <c r="DA44" s="193" t="s">
        <v>940</v>
      </c>
    </row>
    <row r="45" spans="1:105" ht="12" customHeight="1" x14ac:dyDescent="0.25">
      <c r="A45" s="131" t="s">
        <v>6</v>
      </c>
      <c r="B45" s="184">
        <v>3777.6991712600125</v>
      </c>
      <c r="C45" s="184">
        <v>3777.7823112611045</v>
      </c>
      <c r="D45" s="184">
        <v>3778.9899141650981</v>
      </c>
      <c r="E45" s="184">
        <v>3784.3042666857855</v>
      </c>
      <c r="F45" s="184">
        <v>3788.1822577811004</v>
      </c>
      <c r="G45" s="184">
        <v>3791.1559334761282</v>
      </c>
      <c r="H45" s="184">
        <v>3793.6839250813273</v>
      </c>
      <c r="I45" s="184">
        <v>3793.3199122556125</v>
      </c>
      <c r="J45" s="184">
        <v>3790.1677965042259</v>
      </c>
      <c r="K45" s="184">
        <v>3786.8369223677555</v>
      </c>
      <c r="L45" s="184">
        <v>3779.8773156339807</v>
      </c>
      <c r="M45" s="184">
        <v>3768.5239332863721</v>
      </c>
      <c r="N45" s="184">
        <v>3747.2751849707956</v>
      </c>
      <c r="O45" s="184">
        <v>3719.3010678035457</v>
      </c>
      <c r="P45" s="184">
        <v>3695.1751732162784</v>
      </c>
      <c r="Q45" s="184">
        <v>3674.265025646806</v>
      </c>
      <c r="R45" s="184">
        <v>3781.2636259421838</v>
      </c>
      <c r="S45" s="184">
        <v>3753.5308807464166</v>
      </c>
      <c r="T45" s="184">
        <v>3735.9338541990123</v>
      </c>
      <c r="U45" s="184">
        <v>3689.3303060928852</v>
      </c>
      <c r="V45" s="184">
        <v>3643.8283273900083</v>
      </c>
      <c r="W45" s="184">
        <v>3683.2892176822247</v>
      </c>
      <c r="X45" s="184">
        <v>3674.960295914002</v>
      </c>
      <c r="Y45" s="184">
        <v>3666.6313741457798</v>
      </c>
      <c r="DA45" s="193" t="s">
        <v>941</v>
      </c>
    </row>
    <row r="46" spans="1:105" ht="12" customHeight="1" x14ac:dyDescent="0.25">
      <c r="A46" s="131" t="s">
        <v>5</v>
      </c>
      <c r="B46" s="184">
        <v>2286.1567175338232</v>
      </c>
      <c r="C46" s="184">
        <v>2309.1402222348029</v>
      </c>
      <c r="D46" s="184">
        <v>2335.0552255357047</v>
      </c>
      <c r="E46" s="184">
        <v>2359.14771852998</v>
      </c>
      <c r="F46" s="184">
        <v>2379.8417789558816</v>
      </c>
      <c r="G46" s="184">
        <v>2392.2988029605408</v>
      </c>
      <c r="H46" s="184">
        <v>2398.4429293459461</v>
      </c>
      <c r="I46" s="184">
        <v>2410.1686100468496</v>
      </c>
      <c r="J46" s="184">
        <v>2419.4587494664447</v>
      </c>
      <c r="K46" s="184">
        <v>2427.2974055503482</v>
      </c>
      <c r="L46" s="184">
        <v>2434.77773579314</v>
      </c>
      <c r="M46" s="184">
        <v>2438.448365085153</v>
      </c>
      <c r="N46" s="184">
        <v>2448.0940686959266</v>
      </c>
      <c r="O46" s="184">
        <v>2456.6855557648973</v>
      </c>
      <c r="P46" s="184">
        <v>2471.2991805718784</v>
      </c>
      <c r="Q46" s="184">
        <v>2484.5363200727365</v>
      </c>
      <c r="R46" s="184">
        <v>2568.3932530886582</v>
      </c>
      <c r="S46" s="184">
        <v>2566.7175895490595</v>
      </c>
      <c r="T46" s="184">
        <v>2544.0969114013014</v>
      </c>
      <c r="U46" s="184">
        <v>2497.8742433522616</v>
      </c>
      <c r="V46" s="184">
        <v>2176.8177413029357</v>
      </c>
      <c r="W46" s="184">
        <v>2307.566070627046</v>
      </c>
      <c r="X46" s="184">
        <v>2384.1698728067704</v>
      </c>
      <c r="Y46" s="184">
        <v>2422.4717738966328</v>
      </c>
      <c r="DA46" s="193" t="s">
        <v>942</v>
      </c>
    </row>
    <row r="47" spans="1:105" ht="12" customHeight="1" x14ac:dyDescent="0.25">
      <c r="A47" s="131" t="s">
        <v>171</v>
      </c>
      <c r="B47" s="184">
        <v>8759.9999999999982</v>
      </c>
      <c r="C47" s="184">
        <v>8760</v>
      </c>
      <c r="D47" s="184">
        <v>8760.0000000000018</v>
      </c>
      <c r="E47" s="184">
        <v>8759.9999999999982</v>
      </c>
      <c r="F47" s="184">
        <v>8760</v>
      </c>
      <c r="G47" s="184">
        <v>8760.0000000000018</v>
      </c>
      <c r="H47" s="184">
        <v>8760.0000000000018</v>
      </c>
      <c r="I47" s="184">
        <v>8759.9999999999982</v>
      </c>
      <c r="J47" s="184">
        <v>8759.9999999999982</v>
      </c>
      <c r="K47" s="184">
        <v>8760</v>
      </c>
      <c r="L47" s="184">
        <v>8760.0000000000018</v>
      </c>
      <c r="M47" s="184">
        <v>8760</v>
      </c>
      <c r="N47" s="184">
        <v>8760</v>
      </c>
      <c r="O47" s="184">
        <v>8759.9999999999982</v>
      </c>
      <c r="P47" s="184">
        <v>8760.0000000000018</v>
      </c>
      <c r="Q47" s="184">
        <v>8759.9999999999982</v>
      </c>
      <c r="R47" s="184">
        <v>8759.9999999999964</v>
      </c>
      <c r="S47" s="184">
        <v>8759.9999999999964</v>
      </c>
      <c r="T47" s="184">
        <v>8759.9999999999982</v>
      </c>
      <c r="U47" s="184">
        <v>8760</v>
      </c>
      <c r="V47" s="184">
        <v>8759.9999999999982</v>
      </c>
      <c r="W47" s="184">
        <v>8759.9999999999982</v>
      </c>
      <c r="X47" s="184">
        <v>8759.9999999999982</v>
      </c>
      <c r="Y47" s="184">
        <v>8759.9999999999982</v>
      </c>
      <c r="DA47" s="193" t="s">
        <v>943</v>
      </c>
    </row>
    <row r="48" spans="1:105" ht="12" customHeight="1" x14ac:dyDescent="0.25">
      <c r="A48" s="60" t="s">
        <v>4</v>
      </c>
      <c r="B48" s="44">
        <v>925.87280932474835</v>
      </c>
      <c r="C48" s="44">
        <v>930.29559456264269</v>
      </c>
      <c r="D48" s="44">
        <v>934.35172643997032</v>
      </c>
      <c r="E48" s="44">
        <v>938.09862133427896</v>
      </c>
      <c r="F48" s="44">
        <v>941.58109865842994</v>
      </c>
      <c r="G48" s="44">
        <v>944.83482671956926</v>
      </c>
      <c r="H48" s="44">
        <v>947.888663444028</v>
      </c>
      <c r="I48" s="44">
        <v>950.76629220679274</v>
      </c>
      <c r="J48" s="44">
        <v>953.48739336009226</v>
      </c>
      <c r="K48" s="44">
        <v>956.06850131529734</v>
      </c>
      <c r="L48" s="44">
        <v>958.52364343238798</v>
      </c>
      <c r="M48" s="44">
        <v>960.08379595424674</v>
      </c>
      <c r="N48" s="44">
        <v>961.57372128480915</v>
      </c>
      <c r="O48" s="44">
        <v>962.99956560391956</v>
      </c>
      <c r="P48" s="44">
        <v>964.36669812509956</v>
      </c>
      <c r="Q48" s="44">
        <v>965.67983707387839</v>
      </c>
      <c r="R48" s="44">
        <v>992.97397108139717</v>
      </c>
      <c r="S48" s="44">
        <v>988.18033684278714</v>
      </c>
      <c r="T48" s="44">
        <v>985.96650722592153</v>
      </c>
      <c r="U48" s="44">
        <v>975.7436499669451</v>
      </c>
      <c r="V48" s="44">
        <v>850.32947269643205</v>
      </c>
      <c r="W48" s="44">
        <v>901.40364203114336</v>
      </c>
      <c r="X48" s="44">
        <v>932.83504487087521</v>
      </c>
      <c r="Y48" s="44">
        <v>948.55074629074113</v>
      </c>
      <c r="DA48" s="95" t="s">
        <v>944</v>
      </c>
    </row>
    <row r="49" spans="1:105" ht="12" customHeight="1" x14ac:dyDescent="0.25">
      <c r="A49" s="62" t="s">
        <v>3</v>
      </c>
      <c r="B49" s="185">
        <v>1967.3344208423214</v>
      </c>
      <c r="C49" s="185">
        <v>2024.3485829334327</v>
      </c>
      <c r="D49" s="185">
        <v>2078.4836399010733</v>
      </c>
      <c r="E49" s="185">
        <v>2116.7930517879549</v>
      </c>
      <c r="F49" s="185">
        <v>2151.8423328471386</v>
      </c>
      <c r="G49" s="185">
        <v>2183.5631966041033</v>
      </c>
      <c r="H49" s="185">
        <v>2211.3772725749659</v>
      </c>
      <c r="I49" s="185">
        <v>2246.5855925655819</v>
      </c>
      <c r="J49" s="185">
        <v>2262.6298853572562</v>
      </c>
      <c r="K49" s="185">
        <v>2286.9263997262419</v>
      </c>
      <c r="L49" s="185">
        <v>2325.01716685773</v>
      </c>
      <c r="M49" s="185">
        <v>2360.7475497584419</v>
      </c>
      <c r="N49" s="185">
        <v>2384.3510712335701</v>
      </c>
      <c r="O49" s="185">
        <v>2391.1555470695885</v>
      </c>
      <c r="P49" s="185">
        <v>2385.2239488749833</v>
      </c>
      <c r="Q49" s="185">
        <v>2368.7038073900931</v>
      </c>
      <c r="R49" s="185">
        <v>2430.5635074342958</v>
      </c>
      <c r="S49" s="185">
        <v>2428.8563563232779</v>
      </c>
      <c r="T49" s="185">
        <v>2434.4450536897539</v>
      </c>
      <c r="U49" s="185">
        <v>2431.9169224996231</v>
      </c>
      <c r="V49" s="185">
        <v>2292.8302687685764</v>
      </c>
      <c r="W49" s="185">
        <v>2352.8701173759109</v>
      </c>
      <c r="X49" s="185">
        <v>2399.7345534147962</v>
      </c>
      <c r="Y49" s="185">
        <v>2424.7069725723049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0.78582576882241961</v>
      </c>
      <c r="C52" s="180">
        <v>0.77745002770869465</v>
      </c>
      <c r="D52" s="180">
        <v>0.76920451049482108</v>
      </c>
      <c r="E52" s="180">
        <v>0.76024350108822303</v>
      </c>
      <c r="F52" s="180">
        <v>0.75098168043429936</v>
      </c>
      <c r="G52" s="180">
        <v>0.7422993458771131</v>
      </c>
      <c r="H52" s="180">
        <v>0.7332487597343591</v>
      </c>
      <c r="I52" s="180">
        <v>0.72456082509313446</v>
      </c>
      <c r="J52" s="180">
        <v>0.71711089264733496</v>
      </c>
      <c r="K52" s="180">
        <v>0.71073192454840861</v>
      </c>
      <c r="L52" s="180">
        <v>0.7067826533395648</v>
      </c>
      <c r="M52" s="180">
        <v>0.70120113084508184</v>
      </c>
      <c r="N52" s="180">
        <v>0.69266743772335226</v>
      </c>
      <c r="O52" s="180">
        <v>0.68358553597735039</v>
      </c>
      <c r="P52" s="180">
        <v>0.67341987063082276</v>
      </c>
      <c r="Q52" s="180">
        <v>0.66206988547416068</v>
      </c>
      <c r="R52" s="180">
        <v>0.64998254476955142</v>
      </c>
      <c r="S52" s="180">
        <v>0.6373338009690066</v>
      </c>
      <c r="T52" s="180">
        <v>0.62477522980481326</v>
      </c>
      <c r="U52" s="180">
        <v>0.61267730570387025</v>
      </c>
      <c r="V52" s="180">
        <v>0.60159149298663883</v>
      </c>
      <c r="W52" s="180">
        <v>0.59038499646356424</v>
      </c>
      <c r="X52" s="180">
        <v>0.58001410603750536</v>
      </c>
      <c r="Y52" s="180">
        <v>0.57094594812692545</v>
      </c>
      <c r="DA52" s="189" t="s">
        <v>946</v>
      </c>
    </row>
    <row r="53" spans="1:105" ht="12" customHeight="1" x14ac:dyDescent="0.25">
      <c r="A53" s="131" t="s">
        <v>100</v>
      </c>
      <c r="B53" s="180">
        <v>194.08212314925382</v>
      </c>
      <c r="C53" s="180">
        <v>192.1545490787156</v>
      </c>
      <c r="D53" s="180">
        <v>189.76987535092883</v>
      </c>
      <c r="E53" s="180">
        <v>187.224039522288</v>
      </c>
      <c r="F53" s="180">
        <v>184.38584983836273</v>
      </c>
      <c r="G53" s="180">
        <v>181.2340562277401</v>
      </c>
      <c r="H53" s="180">
        <v>177.70383132655655</v>
      </c>
      <c r="I53" s="180">
        <v>173.99769833138274</v>
      </c>
      <c r="J53" s="180">
        <v>172.11242872304376</v>
      </c>
      <c r="K53" s="180">
        <v>169.94903085617395</v>
      </c>
      <c r="L53" s="180">
        <v>167.53920318423471</v>
      </c>
      <c r="M53" s="180">
        <v>164.73635519284656</v>
      </c>
      <c r="N53" s="180">
        <v>161.57950700943783</v>
      </c>
      <c r="O53" s="180">
        <v>157.92878036068046</v>
      </c>
      <c r="P53" s="180">
        <v>153.61557369610415</v>
      </c>
      <c r="Q53" s="180">
        <v>148.68813765813005</v>
      </c>
      <c r="R53" s="180">
        <v>143.38836940947095</v>
      </c>
      <c r="S53" s="180">
        <v>137.661053426113</v>
      </c>
      <c r="T53" s="180">
        <v>131.54280009818277</v>
      </c>
      <c r="U53" s="180">
        <v>125.17955393068709</v>
      </c>
      <c r="V53" s="180">
        <v>118.59161329780765</v>
      </c>
      <c r="W53" s="180">
        <v>112.4696447072417</v>
      </c>
      <c r="X53" s="180">
        <v>107.3327893765687</v>
      </c>
      <c r="Y53" s="180">
        <v>103.25130583750638</v>
      </c>
      <c r="DA53" s="189" t="s">
        <v>947</v>
      </c>
    </row>
    <row r="54" spans="1:105" ht="12" customHeight="1" x14ac:dyDescent="0.25">
      <c r="A54" s="131" t="s">
        <v>140</v>
      </c>
      <c r="B54" s="180">
        <v>46.924632765843725</v>
      </c>
      <c r="C54" s="180">
        <v>46.617812936726459</v>
      </c>
      <c r="D54" s="180">
        <v>46.104459429322063</v>
      </c>
      <c r="E54" s="180">
        <v>45.385327490481266</v>
      </c>
      <c r="F54" s="180">
        <v>44.582720209507734</v>
      </c>
      <c r="G54" s="180">
        <v>43.756471983840683</v>
      </c>
      <c r="H54" s="180">
        <v>42.766712534314301</v>
      </c>
      <c r="I54" s="180">
        <v>41.795624453060618</v>
      </c>
      <c r="J54" s="180">
        <v>40.855068831295355</v>
      </c>
      <c r="K54" s="180">
        <v>39.8227897407168</v>
      </c>
      <c r="L54" s="180">
        <v>38.783372624111486</v>
      </c>
      <c r="M54" s="180">
        <v>37.550745288266363</v>
      </c>
      <c r="N54" s="180">
        <v>35.956137355604589</v>
      </c>
      <c r="O54" s="180">
        <v>34.181145265523242</v>
      </c>
      <c r="P54" s="180">
        <v>32.397363534335092</v>
      </c>
      <c r="Q54" s="180">
        <v>30.561494709680243</v>
      </c>
      <c r="R54" s="180">
        <v>28.875157266485989</v>
      </c>
      <c r="S54" s="180">
        <v>27.063784603238144</v>
      </c>
      <c r="T54" s="180">
        <v>24.848072735504161</v>
      </c>
      <c r="U54" s="180">
        <v>22.6401758329887</v>
      </c>
      <c r="V54" s="180">
        <v>20.591897763148388</v>
      </c>
      <c r="W54" s="180">
        <v>18.68601098435947</v>
      </c>
      <c r="X54" s="180">
        <v>17.563315355243088</v>
      </c>
      <c r="Y54" s="180">
        <v>16.39875679080361</v>
      </c>
      <c r="DA54" s="189" t="s">
        <v>948</v>
      </c>
    </row>
    <row r="55" spans="1:105" ht="12" customHeight="1" x14ac:dyDescent="0.25">
      <c r="A55" s="131" t="s">
        <v>173</v>
      </c>
      <c r="B55" s="180">
        <v>698.58131903647177</v>
      </c>
      <c r="C55" s="180">
        <v>692.05630599385154</v>
      </c>
      <c r="D55" s="180">
        <v>683.44477696900697</v>
      </c>
      <c r="E55" s="180">
        <v>673.62468058964578</v>
      </c>
      <c r="F55" s="180">
        <v>662.46070169561597</v>
      </c>
      <c r="G55" s="180">
        <v>650.93414562679186</v>
      </c>
      <c r="H55" s="180">
        <v>638.58231950002835</v>
      </c>
      <c r="I55" s="180">
        <v>626.04686718601351</v>
      </c>
      <c r="J55" s="180">
        <v>613.1348026969539</v>
      </c>
      <c r="K55" s="180">
        <v>600.11974662243097</v>
      </c>
      <c r="L55" s="180">
        <v>586.46025822025388</v>
      </c>
      <c r="M55" s="180">
        <v>577.02236167153569</v>
      </c>
      <c r="N55" s="180">
        <v>567.3529440461989</v>
      </c>
      <c r="O55" s="180">
        <v>557.5600457834995</v>
      </c>
      <c r="P55" s="180">
        <v>545.45371163315122</v>
      </c>
      <c r="Q55" s="180">
        <v>533.71056832203396</v>
      </c>
      <c r="R55" s="180">
        <v>522.34123949510797</v>
      </c>
      <c r="S55" s="180">
        <v>511.86690920650983</v>
      </c>
      <c r="T55" s="180">
        <v>502.23065558132504</v>
      </c>
      <c r="U55" s="180">
        <v>494.04384434447991</v>
      </c>
      <c r="V55" s="180">
        <v>486.35004549879727</v>
      </c>
      <c r="W55" s="180">
        <v>480.19111071139719</v>
      </c>
      <c r="X55" s="180">
        <v>472.97701805369672</v>
      </c>
      <c r="Y55" s="180">
        <v>465.17193282062391</v>
      </c>
      <c r="DA55" s="189" t="s">
        <v>949</v>
      </c>
    </row>
    <row r="56" spans="1:105" ht="12" customHeight="1" x14ac:dyDescent="0.25">
      <c r="A56" s="60" t="s">
        <v>99</v>
      </c>
      <c r="B56" s="55">
        <v>54.270739578248929</v>
      </c>
      <c r="C56" s="55">
        <v>53.821528294852584</v>
      </c>
      <c r="D56" s="55">
        <v>53.368105186500451</v>
      </c>
      <c r="E56" s="55">
        <v>52.817957667428139</v>
      </c>
      <c r="F56" s="55">
        <v>52.237666559632956</v>
      </c>
      <c r="G56" s="55">
        <v>51.626339034090648</v>
      </c>
      <c r="H56" s="55">
        <v>50.973055496376929</v>
      </c>
      <c r="I56" s="55">
        <v>50.33599296807148</v>
      </c>
      <c r="J56" s="55">
        <v>49.739068129231725</v>
      </c>
      <c r="K56" s="55">
        <v>49.218053506473829</v>
      </c>
      <c r="L56" s="55">
        <v>48.833123323456178</v>
      </c>
      <c r="M56" s="55">
        <v>48.317371654593892</v>
      </c>
      <c r="N56" s="55">
        <v>47.542864643453989</v>
      </c>
      <c r="O56" s="55">
        <v>46.749813514686672</v>
      </c>
      <c r="P56" s="55">
        <v>45.802114391480259</v>
      </c>
      <c r="Q56" s="55">
        <v>44.742456510425043</v>
      </c>
      <c r="R56" s="55">
        <v>43.672869748336758</v>
      </c>
      <c r="S56" s="55">
        <v>42.608878081899526</v>
      </c>
      <c r="T56" s="55">
        <v>41.438604114040025</v>
      </c>
      <c r="U56" s="55">
        <v>40.234287113939196</v>
      </c>
      <c r="V56" s="55">
        <v>38.999320137285707</v>
      </c>
      <c r="W56" s="55">
        <v>37.740804875887981</v>
      </c>
      <c r="X56" s="55">
        <v>36.640117765210057</v>
      </c>
      <c r="Y56" s="55">
        <v>35.761524690644976</v>
      </c>
      <c r="DA56" s="101" t="s">
        <v>950</v>
      </c>
    </row>
    <row r="57" spans="1:105" ht="12" customHeight="1" x14ac:dyDescent="0.25">
      <c r="A57" s="62" t="s">
        <v>98</v>
      </c>
      <c r="B57" s="63">
        <v>369.28057745400366</v>
      </c>
      <c r="C57" s="63">
        <v>360.20557150738438</v>
      </c>
      <c r="D57" s="63">
        <v>347.86038441586436</v>
      </c>
      <c r="E57" s="63">
        <v>333.97755570098428</v>
      </c>
      <c r="F57" s="63">
        <v>319.71520795912642</v>
      </c>
      <c r="G57" s="63">
        <v>306.2393535418006</v>
      </c>
      <c r="H57" s="63">
        <v>291.833927493148</v>
      </c>
      <c r="I57" s="63">
        <v>277.15520077189069</v>
      </c>
      <c r="J57" s="63">
        <v>261.46454881972716</v>
      </c>
      <c r="K57" s="63">
        <v>247.21875847642499</v>
      </c>
      <c r="L57" s="63">
        <v>232.61699696345272</v>
      </c>
      <c r="M57" s="63">
        <v>216.62122222539466</v>
      </c>
      <c r="N57" s="63">
        <v>202.68969479924073</v>
      </c>
      <c r="O57" s="63">
        <v>189.16467499190395</v>
      </c>
      <c r="P57" s="63">
        <v>180.80637615465091</v>
      </c>
      <c r="Q57" s="63">
        <v>176.65092101867043</v>
      </c>
      <c r="R57" s="63">
        <v>174.31342463047977</v>
      </c>
      <c r="S57" s="63">
        <v>172.23891546683072</v>
      </c>
      <c r="T57" s="63">
        <v>170.05952814286849</v>
      </c>
      <c r="U57" s="63">
        <v>167.05843145347785</v>
      </c>
      <c r="V57" s="63">
        <v>163.23862314381245</v>
      </c>
      <c r="W57" s="63">
        <v>159.71815952868087</v>
      </c>
      <c r="X57" s="63">
        <v>156.46894877282256</v>
      </c>
      <c r="Y57" s="63">
        <v>152.89919797184234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0.70067124888093624</v>
      </c>
      <c r="D60" s="180">
        <v>0.69105060493196602</v>
      </c>
      <c r="E60" s="180">
        <v>0.68298581505070599</v>
      </c>
      <c r="F60" s="180">
        <v>0.67503450525453734</v>
      </c>
      <c r="G60" s="180">
        <v>0.667092016320186</v>
      </c>
      <c r="H60" s="180">
        <v>0.65848643771924342</v>
      </c>
      <c r="I60" s="180">
        <v>0.65124706163893786</v>
      </c>
      <c r="J60" s="180">
        <v>0.6449897092625948</v>
      </c>
      <c r="K60" s="180">
        <v>0.63788444409619482</v>
      </c>
      <c r="L60" s="180">
        <v>0.63024517112490031</v>
      </c>
      <c r="M60" s="180">
        <v>0.62212020119239664</v>
      </c>
      <c r="N60" s="180">
        <v>0.60884559182084708</v>
      </c>
      <c r="O60" s="180">
        <v>0.59064609375200872</v>
      </c>
      <c r="P60" s="180">
        <v>0.5740023013797223</v>
      </c>
      <c r="Q60" s="180">
        <v>0.5572428005284471</v>
      </c>
      <c r="R60" s="180">
        <v>0.55350237001685776</v>
      </c>
      <c r="S60" s="180">
        <v>0.54778713314267602</v>
      </c>
      <c r="T60" s="180">
        <v>0.54216173875340068</v>
      </c>
      <c r="U60" s="180">
        <v>0.53696158953792095</v>
      </c>
      <c r="V60" s="180">
        <v>0.5318720952022129</v>
      </c>
      <c r="W60" s="180">
        <v>0.52868086263099967</v>
      </c>
      <c r="X60" s="180">
        <v>0.52548963005978633</v>
      </c>
      <c r="Y60" s="180">
        <v>0.5222983974885731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180.48877161471637</v>
      </c>
      <c r="D61" s="180">
        <v>178.52511532023641</v>
      </c>
      <c r="E61" s="180">
        <v>177.23615877780182</v>
      </c>
      <c r="F61" s="180">
        <v>175.22774114224356</v>
      </c>
      <c r="G61" s="180">
        <v>172.46053104786463</v>
      </c>
      <c r="H61" s="180">
        <v>169.60258155415926</v>
      </c>
      <c r="I61" s="180">
        <v>167.47868133055951</v>
      </c>
      <c r="J61" s="180">
        <v>165.76858503978039</v>
      </c>
      <c r="K61" s="180">
        <v>163.20699521700652</v>
      </c>
      <c r="L61" s="180">
        <v>160.33932058512235</v>
      </c>
      <c r="M61" s="180">
        <v>156.42043578241027</v>
      </c>
      <c r="N61" s="180">
        <v>151.6073309185974</v>
      </c>
      <c r="O61" s="180">
        <v>146.18150349056967</v>
      </c>
      <c r="P61" s="180">
        <v>139.59437381338006</v>
      </c>
      <c r="Q61" s="180">
        <v>131.38988417547202</v>
      </c>
      <c r="R61" s="180">
        <v>123.81988373034508</v>
      </c>
      <c r="S61" s="180">
        <v>118.05677426434502</v>
      </c>
      <c r="T61" s="180">
        <v>112.25578644284749</v>
      </c>
      <c r="U61" s="180">
        <v>106.42463178589188</v>
      </c>
      <c r="V61" s="180">
        <v>100.6220675890475</v>
      </c>
      <c r="W61" s="180">
        <v>98.146764726356935</v>
      </c>
      <c r="X61" s="180">
        <v>95.67146186366638</v>
      </c>
      <c r="Y61" s="180">
        <v>93.196159000975811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45.349502484502317</v>
      </c>
      <c r="D62" s="180">
        <v>44.10995893558345</v>
      </c>
      <c r="E62" s="180">
        <v>43.032906667460942</v>
      </c>
      <c r="F62" s="180">
        <v>42.302222932939159</v>
      </c>
      <c r="G62" s="180">
        <v>41.751481177555476</v>
      </c>
      <c r="H62" s="180">
        <v>40.683325007574027</v>
      </c>
      <c r="I62" s="180">
        <v>39.633768355208986</v>
      </c>
      <c r="J62" s="180">
        <v>38.366574634143852</v>
      </c>
      <c r="K62" s="180">
        <v>36.85569348514251</v>
      </c>
      <c r="L62" s="180">
        <v>35.46407644774618</v>
      </c>
      <c r="M62" s="180">
        <v>33.969589488993456</v>
      </c>
      <c r="N62" s="180">
        <v>31.98798008830417</v>
      </c>
      <c r="O62" s="180">
        <v>30.04605874157884</v>
      </c>
      <c r="P62" s="180">
        <v>28.252771407643799</v>
      </c>
      <c r="Q62" s="180">
        <v>26.373454744878327</v>
      </c>
      <c r="R62" s="180">
        <v>23.154722059318864</v>
      </c>
      <c r="S62" s="180">
        <v>21.792691233223685</v>
      </c>
      <c r="T62" s="180">
        <v>19.548809093687787</v>
      </c>
      <c r="U62" s="180">
        <v>17.728201668770211</v>
      </c>
      <c r="V62" s="180">
        <v>16.32751484248918</v>
      </c>
      <c r="W62" s="180">
        <v>15.511139100364719</v>
      </c>
      <c r="X62" s="180">
        <v>14.694763358240261</v>
      </c>
      <c r="Y62" s="180">
        <v>13.8783876161158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636.38948052001956</v>
      </c>
      <c r="D63" s="180">
        <v>623.88717187540158</v>
      </c>
      <c r="E63" s="180">
        <v>613.59720380468389</v>
      </c>
      <c r="F63" s="180">
        <v>606.51717554884283</v>
      </c>
      <c r="G63" s="180">
        <v>598.20718651098582</v>
      </c>
      <c r="H63" s="180">
        <v>588.79241615171486</v>
      </c>
      <c r="I63" s="180">
        <v>575.64191732782785</v>
      </c>
      <c r="J63" s="180">
        <v>562.50919866032405</v>
      </c>
      <c r="K63" s="180">
        <v>548.73658733668788</v>
      </c>
      <c r="L63" s="180">
        <v>536.44359002176918</v>
      </c>
      <c r="M63" s="180">
        <v>519.08857005483878</v>
      </c>
      <c r="N63" s="180">
        <v>515.8473882363561</v>
      </c>
      <c r="O63" s="180">
        <v>508.0830415813279</v>
      </c>
      <c r="P63" s="180">
        <v>495.52635960471815</v>
      </c>
      <c r="Q63" s="180">
        <v>492.95804223262553</v>
      </c>
      <c r="R63" s="180">
        <v>485.70701009957463</v>
      </c>
      <c r="S63" s="180">
        <v>476.73742151433538</v>
      </c>
      <c r="T63" s="180">
        <v>467.98997052578983</v>
      </c>
      <c r="U63" s="180">
        <v>459.61553481545263</v>
      </c>
      <c r="V63" s="180">
        <v>451.35050607411614</v>
      </c>
      <c r="W63" s="180">
        <v>442.32349595263383</v>
      </c>
      <c r="X63" s="180">
        <v>433.29648583115147</v>
      </c>
      <c r="Y63" s="180">
        <v>424.26947570966917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50.646523988776437</v>
      </c>
      <c r="D64" s="55">
        <v>49.976027032046659</v>
      </c>
      <c r="E64" s="55">
        <v>49.294176153072009</v>
      </c>
      <c r="F64" s="55">
        <v>48.66150266233133</v>
      </c>
      <c r="G64" s="55">
        <v>48.001281519764454</v>
      </c>
      <c r="H64" s="55">
        <v>47.256712962293847</v>
      </c>
      <c r="I64" s="55">
        <v>46.370268471292263</v>
      </c>
      <c r="J64" s="55">
        <v>45.348251161190689</v>
      </c>
      <c r="K64" s="55">
        <v>44.205576434959291</v>
      </c>
      <c r="L64" s="55">
        <v>42.911473207129923</v>
      </c>
      <c r="M64" s="55">
        <v>41.513432942318772</v>
      </c>
      <c r="N64" s="55">
        <v>40.143781107407875</v>
      </c>
      <c r="O64" s="55">
        <v>38.782177829101698</v>
      </c>
      <c r="P64" s="55">
        <v>37.577973555203393</v>
      </c>
      <c r="Q64" s="55">
        <v>36.405528215165432</v>
      </c>
      <c r="R64" s="55">
        <v>35.944805916924814</v>
      </c>
      <c r="S64" s="55">
        <v>35.384757008547815</v>
      </c>
      <c r="T64" s="55">
        <v>34.853152122857054</v>
      </c>
      <c r="U64" s="55">
        <v>34.33751653145557</v>
      </c>
      <c r="V64" s="55">
        <v>33.829081021027314</v>
      </c>
      <c r="W64" s="55">
        <v>33.490790210817039</v>
      </c>
      <c r="X64" s="55">
        <v>33.152499400606764</v>
      </c>
      <c r="Y64" s="55">
        <v>32.814208590396497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337.03685550219785</v>
      </c>
      <c r="D65" s="63">
        <v>321.44014399983206</v>
      </c>
      <c r="E65" s="63">
        <v>307.40512272247969</v>
      </c>
      <c r="F65" s="63">
        <v>292.8887375817572</v>
      </c>
      <c r="G65" s="63">
        <v>282.00922778386467</v>
      </c>
      <c r="H65" s="63">
        <v>267.16209482323154</v>
      </c>
      <c r="I65" s="63">
        <v>249.95569621493709</v>
      </c>
      <c r="J65" s="63">
        <v>234.84851899876389</v>
      </c>
      <c r="K65" s="63">
        <v>218.82090687277199</v>
      </c>
      <c r="L65" s="63">
        <v>199.25329151087965</v>
      </c>
      <c r="M65" s="63">
        <v>187.67929685498294</v>
      </c>
      <c r="N65" s="63">
        <v>179.97240992763545</v>
      </c>
      <c r="O65" s="63">
        <v>173.53511359355551</v>
      </c>
      <c r="P65" s="63">
        <v>173.35350047908253</v>
      </c>
      <c r="Q65" s="63">
        <v>173.18079304789674</v>
      </c>
      <c r="R65" s="63">
        <v>172.81319047961026</v>
      </c>
      <c r="S65" s="63">
        <v>168.28885604512365</v>
      </c>
      <c r="T65" s="63">
        <v>163.84268173312645</v>
      </c>
      <c r="U65" s="63">
        <v>159.5741862090529</v>
      </c>
      <c r="V65" s="63">
        <v>155.35011953338847</v>
      </c>
      <c r="W65" s="63">
        <v>152.55381738178747</v>
      </c>
      <c r="X65" s="63">
        <v>149.75751523018647</v>
      </c>
      <c r="Y65" s="63">
        <v>146.96121307858547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356.15825014495118</v>
      </c>
      <c r="C68" s="187">
        <f>1000000*C20/SER_summary!C$8</f>
        <v>361.64903428075559</v>
      </c>
      <c r="D68" s="187">
        <f>1000000*D20/SER_summary!D$8</f>
        <v>368.77644882290065</v>
      </c>
      <c r="E68" s="187">
        <f>1000000*E20/SER_summary!E$8</f>
        <v>374.99214774562643</v>
      </c>
      <c r="F68" s="187">
        <f>1000000*F20/SER_summary!F$8</f>
        <v>383.03247389987348</v>
      </c>
      <c r="G68" s="187">
        <f>1000000*G20/SER_summary!G$8</f>
        <v>392.72582104154316</v>
      </c>
      <c r="H68" s="187">
        <f>1000000*H20/SER_summary!H$8</f>
        <v>398.34628424332993</v>
      </c>
      <c r="I68" s="187">
        <f>1000000*I20/SER_summary!I$8</f>
        <v>406.59331433099578</v>
      </c>
      <c r="J68" s="187">
        <f>1000000*J20/SER_summary!J$8</f>
        <v>412.70047805887549</v>
      </c>
      <c r="K68" s="187">
        <f>1000000*K20/SER_summary!K$8</f>
        <v>419.57986383482302</v>
      </c>
      <c r="L68" s="187">
        <f>1000000*L20/SER_summary!L$8</f>
        <v>424.8631459063684</v>
      </c>
      <c r="M68" s="187">
        <f>1000000*M20/SER_summary!M$8</f>
        <v>431.83197158564445</v>
      </c>
      <c r="N68" s="187">
        <f>1000000*N20/SER_summary!N$8</f>
        <v>439.55769501226581</v>
      </c>
      <c r="O68" s="187">
        <f>1000000*O20/SER_summary!O$8</f>
        <v>446.97250563713737</v>
      </c>
      <c r="P68" s="187">
        <f>1000000*P20/SER_summary!P$8</f>
        <v>454.20057093718282</v>
      </c>
      <c r="Q68" s="187">
        <f>1000000*Q20/SER_summary!Q$8</f>
        <v>462.07374494052448</v>
      </c>
      <c r="R68" s="187">
        <f>1000000*R20/SER_summary!R$8</f>
        <v>474.64927891372719</v>
      </c>
      <c r="S68" s="187">
        <f>1000000*S20/SER_summary!S$8</f>
        <v>487.23300204171142</v>
      </c>
      <c r="T68" s="187">
        <f>1000000*T20/SER_summary!T$8</f>
        <v>499.78160412503712</v>
      </c>
      <c r="U68" s="187">
        <f>1000000*U20/SER_summary!U$8</f>
        <v>512.26881692826976</v>
      </c>
      <c r="V68" s="187">
        <f>1000000*V20/SER_summary!V$8</f>
        <v>524.6457458520581</v>
      </c>
      <c r="W68" s="187">
        <f>1000000*W20/SER_summary!W$8</f>
        <v>537.04367359939909</v>
      </c>
      <c r="X68" s="187">
        <f>1000000*X20/SER_summary!X$8</f>
        <v>543.35207455507805</v>
      </c>
      <c r="Y68" s="187">
        <f>1000000*Y20/SER_summary!Y$8</f>
        <v>546.53400905745627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0.1069867794800993</v>
      </c>
      <c r="C69" s="187">
        <f>1000*C21/SER_summary!C$3</f>
        <v>0.10841874601696221</v>
      </c>
      <c r="D69" s="187">
        <f>1000*D21/SER_summary!D$3</f>
        <v>0.11161350796153739</v>
      </c>
      <c r="E69" s="187">
        <f>1000*E21/SER_summary!E$3</f>
        <v>0.11539940462981767</v>
      </c>
      <c r="F69" s="187">
        <f>1000*F21/SER_summary!F$3</f>
        <v>0.11994079990329855</v>
      </c>
      <c r="G69" s="187">
        <f>1000*G21/SER_summary!G$3</f>
        <v>0.12413474447407032</v>
      </c>
      <c r="H69" s="187">
        <f>1000*H21/SER_summary!H$3</f>
        <v>0.12864009606896082</v>
      </c>
      <c r="I69" s="187">
        <f>1000*I21/SER_summary!I$3</f>
        <v>0.1323383237712569</v>
      </c>
      <c r="J69" s="187">
        <f>1000*J21/SER_summary!J$3</f>
        <v>0.13633152801598331</v>
      </c>
      <c r="K69" s="187">
        <f>1000*K21/SER_summary!K$3</f>
        <v>0.1403543062896184</v>
      </c>
      <c r="L69" s="187">
        <f>1000*L21/SER_summary!L$3</f>
        <v>0.14434072939756062</v>
      </c>
      <c r="M69" s="187">
        <f>1000*M21/SER_summary!M$3</f>
        <v>0.14887340636440874</v>
      </c>
      <c r="N69" s="187">
        <f>1000*N21/SER_summary!N$3</f>
        <v>0.1550221491443689</v>
      </c>
      <c r="O69" s="187">
        <f>1000*O21/SER_summary!O$3</f>
        <v>0.16261142029516962</v>
      </c>
      <c r="P69" s="187">
        <f>1000*P21/SER_summary!P$3</f>
        <v>0.17207372950201358</v>
      </c>
      <c r="Q69" s="187">
        <f>1000*Q21/SER_summary!Q$3</f>
        <v>0.18330902004175859</v>
      </c>
      <c r="R69" s="187">
        <f>1000*R21/SER_summary!R$3</f>
        <v>0.18966290375143444</v>
      </c>
      <c r="S69" s="187">
        <f>1000*S21/SER_summary!S$3</f>
        <v>0.19545239382207044</v>
      </c>
      <c r="T69" s="187">
        <f>1000*T21/SER_summary!T$3</f>
        <v>0.20104410249544941</v>
      </c>
      <c r="U69" s="187">
        <f>1000*U21/SER_summary!U$3</f>
        <v>0.20601308341121113</v>
      </c>
      <c r="V69" s="187">
        <f>1000*V21/SER_summary!V$3</f>
        <v>0.21000019575050802</v>
      </c>
      <c r="W69" s="187">
        <f>1000*W21/SER_summary!W$3</f>
        <v>0.21363029011861084</v>
      </c>
      <c r="X69" s="187">
        <f>1000*X21/SER_summary!X$3</f>
        <v>0.21919342681485707</v>
      </c>
      <c r="Y69" s="187">
        <f>1000*Y21/SER_summary!Y$3</f>
        <v>0.22317359720084376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168.28752037822844</v>
      </c>
      <c r="C70" s="187">
        <f>1000000*C22/SER_summary!C$8</f>
        <v>168.78548699201465</v>
      </c>
      <c r="D70" s="187">
        <f>1000000*D22/SER_summary!D$8</f>
        <v>170.00608509678287</v>
      </c>
      <c r="E70" s="187">
        <f>1000000*E22/SER_summary!E$8</f>
        <v>172.08010891471352</v>
      </c>
      <c r="F70" s="187">
        <f>1000000*F22/SER_summary!F$8</f>
        <v>174.36864120480095</v>
      </c>
      <c r="G70" s="187">
        <f>1000000*G22/SER_summary!G$8</f>
        <v>177.17182959576905</v>
      </c>
      <c r="H70" s="187">
        <f>1000000*H22/SER_summary!H$8</f>
        <v>179.67669564198536</v>
      </c>
      <c r="I70" s="187">
        <f>1000000*I22/SER_summary!I$8</f>
        <v>182.75277513064665</v>
      </c>
      <c r="J70" s="187">
        <f>1000000*J22/SER_summary!J$8</f>
        <v>187.37363808434304</v>
      </c>
      <c r="K70" s="187">
        <f>1000000*K22/SER_summary!K$8</f>
        <v>192.8334919448836</v>
      </c>
      <c r="L70" s="187">
        <f>1000000*L22/SER_summary!L$8</f>
        <v>198.78830581627628</v>
      </c>
      <c r="M70" s="187">
        <f>1000000*M22/SER_summary!M$8</f>
        <v>206.6724842501292</v>
      </c>
      <c r="N70" s="187">
        <f>1000000*N22/SER_summary!N$8</f>
        <v>215.38750094766911</v>
      </c>
      <c r="O70" s="187">
        <f>1000000*O22/SER_summary!O$8</f>
        <v>224.28066503667731</v>
      </c>
      <c r="P70" s="187">
        <f>1000000*P22/SER_summary!P$8</f>
        <v>232.84237443022084</v>
      </c>
      <c r="Q70" s="187">
        <f>1000000*Q22/SER_summary!Q$8</f>
        <v>243.87829072759763</v>
      </c>
      <c r="R70" s="187">
        <f>1000000*R22/SER_summary!R$8</f>
        <v>249.93963030727156</v>
      </c>
      <c r="S70" s="187">
        <f>1000000*S22/SER_summary!S$8</f>
        <v>256.09252749166524</v>
      </c>
      <c r="T70" s="187">
        <f>1000000*T22/SER_summary!T$8</f>
        <v>261.94581287996095</v>
      </c>
      <c r="U70" s="187">
        <f>1000000*U22/SER_summary!U$8</f>
        <v>267.26026608834519</v>
      </c>
      <c r="V70" s="187">
        <f>1000000*V22/SER_summary!V$8</f>
        <v>271.59007015139434</v>
      </c>
      <c r="W70" s="187">
        <f>1000000*W22/SER_summary!W$8</f>
        <v>274.20746241903822</v>
      </c>
      <c r="X70" s="187">
        <f>1000000*X22/SER_summary!X$8</f>
        <v>275.52560262710062</v>
      </c>
      <c r="Y70" s="187">
        <f>1000000*Y22/SER_summary!Y$8</f>
        <v>276.18704698826525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2.1557979294156801E-2</v>
      </c>
      <c r="C71" s="187">
        <f>1000*C23/SER_summary!C$3</f>
        <v>2.1774024889162819E-2</v>
      </c>
      <c r="D71" s="187">
        <f>1000*D23/SER_summary!D$3</f>
        <v>2.2319687633700659E-2</v>
      </c>
      <c r="E71" s="187">
        <f>1000*E23/SER_summary!E$3</f>
        <v>2.305083801264033E-2</v>
      </c>
      <c r="F71" s="187">
        <f>1000*F23/SER_summary!F$3</f>
        <v>2.4207984943285028E-2</v>
      </c>
      <c r="G71" s="187">
        <f>1000*G23/SER_summary!G$3</f>
        <v>2.5438326797231344E-2</v>
      </c>
      <c r="H71" s="187">
        <f>1000*H23/SER_summary!H$3</f>
        <v>2.695361064194891E-2</v>
      </c>
      <c r="I71" s="187">
        <f>1000*I23/SER_summary!I$3</f>
        <v>2.8273811531683141E-2</v>
      </c>
      <c r="J71" s="187">
        <f>1000*J23/SER_summary!J$3</f>
        <v>2.9468825393535403E-2</v>
      </c>
      <c r="K71" s="187">
        <f>1000*K23/SER_summary!K$3</f>
        <v>3.0264225402808376E-2</v>
      </c>
      <c r="L71" s="187">
        <f>1000*L23/SER_summary!L$3</f>
        <v>3.101918023603286E-2</v>
      </c>
      <c r="M71" s="187">
        <f>1000*M23/SER_summary!M$3</f>
        <v>3.1553195754508954E-2</v>
      </c>
      <c r="N71" s="187">
        <f>1000*N23/SER_summary!N$3</f>
        <v>3.2183591720781654E-2</v>
      </c>
      <c r="O71" s="187">
        <f>1000*O23/SER_summary!O$3</f>
        <v>3.2912063825931648E-2</v>
      </c>
      <c r="P71" s="187">
        <f>1000*P23/SER_summary!P$3</f>
        <v>3.3916608596539374E-2</v>
      </c>
      <c r="Q71" s="187">
        <f>1000*Q23/SER_summary!Q$3</f>
        <v>3.5128010834396178E-2</v>
      </c>
      <c r="R71" s="187">
        <f>1000*R23/SER_summary!R$3</f>
        <v>3.5650444402603142E-2</v>
      </c>
      <c r="S71" s="187">
        <f>1000*S23/SER_summary!S$3</f>
        <v>3.6061688373595524E-2</v>
      </c>
      <c r="T71" s="187">
        <f>1000*T23/SER_summary!T$3</f>
        <v>3.647044883233775E-2</v>
      </c>
      <c r="U71" s="187">
        <f>1000*U23/SER_summary!U$3</f>
        <v>3.6821465318678782E-2</v>
      </c>
      <c r="V71" s="187">
        <f>1000*V23/SER_summary!V$3</f>
        <v>3.7091397758486772E-2</v>
      </c>
      <c r="W71" s="187">
        <f>1000*W23/SER_summary!W$3</f>
        <v>3.7434222682944267E-2</v>
      </c>
      <c r="X71" s="187">
        <f>1000*X23/SER_summary!X$3</f>
        <v>3.8305211890542007E-2</v>
      </c>
      <c r="Y71" s="187">
        <f>1000*Y23/SER_summary!Y$3</f>
        <v>3.8748276830564574E-2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70.190026515686412</v>
      </c>
      <c r="C72" s="187">
        <f>1000000*C24/SER_summary!C$8</f>
        <v>74.495676901174761</v>
      </c>
      <c r="D72" s="187">
        <f>1000000*D24/SER_summary!D$8</f>
        <v>79.05900168904995</v>
      </c>
      <c r="E72" s="187">
        <f>1000000*E24/SER_summary!E$8</f>
        <v>84.465705651727887</v>
      </c>
      <c r="F72" s="187">
        <f>1000000*F24/SER_summary!F$8</f>
        <v>90.567996973555168</v>
      </c>
      <c r="G72" s="187">
        <f>1000000*G24/SER_summary!G$8</f>
        <v>98.494395420279673</v>
      </c>
      <c r="H72" s="187">
        <f>1000000*H24/SER_summary!H$8</f>
        <v>105.99217244417278</v>
      </c>
      <c r="I72" s="187">
        <f>1000000*I24/SER_summary!I$8</f>
        <v>113.57470430590978</v>
      </c>
      <c r="J72" s="187">
        <f>1000000*J24/SER_summary!J$8</f>
        <v>120.18672575478497</v>
      </c>
      <c r="K72" s="187">
        <f>1000000*K24/SER_summary!K$8</f>
        <v>125.67313380913467</v>
      </c>
      <c r="L72" s="187">
        <f>1000000*L24/SER_summary!L$8</f>
        <v>130.62401493456093</v>
      </c>
      <c r="M72" s="187">
        <f>1000000*M24/SER_summary!M$8</f>
        <v>135.15357678495653</v>
      </c>
      <c r="N72" s="187">
        <f>1000000*N24/SER_summary!N$8</f>
        <v>139.19000334087966</v>
      </c>
      <c r="O72" s="187">
        <f>1000000*O24/SER_summary!O$8</f>
        <v>142.09903948678513</v>
      </c>
      <c r="P72" s="187">
        <f>1000000*P24/SER_summary!P$8</f>
        <v>145.28313217960084</v>
      </c>
      <c r="Q72" s="187">
        <f>1000000*Q24/SER_summary!Q$8</f>
        <v>148.01978477890844</v>
      </c>
      <c r="R72" s="187">
        <f>1000000*R24/SER_summary!R$8</f>
        <v>153.79196708235128</v>
      </c>
      <c r="S72" s="187">
        <f>1000000*S24/SER_summary!S$8</f>
        <v>159.5589272595038</v>
      </c>
      <c r="T72" s="187">
        <f>1000000*T24/SER_summary!T$8</f>
        <v>165.34828370774531</v>
      </c>
      <c r="U72" s="187">
        <f>1000000*U24/SER_summary!U$8</f>
        <v>171.17678736734695</v>
      </c>
      <c r="V72" s="187">
        <f>1000000*V24/SER_summary!V$8</f>
        <v>177.07561774086909</v>
      </c>
      <c r="W72" s="187">
        <f>1000000*W24/SER_summary!W$8</f>
        <v>183.26736852128931</v>
      </c>
      <c r="X72" s="187">
        <f>1000000*X24/SER_summary!X$8</f>
        <v>188.37629320317862</v>
      </c>
      <c r="Y72" s="187">
        <f>1000000*Y24/SER_summary!Y$8</f>
        <v>192.56578702983776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5.717194505131222E-2</v>
      </c>
      <c r="C73" s="52">
        <f>1000*C25/SER_summary!C$3</f>
        <v>6.3298023641495532E-2</v>
      </c>
      <c r="D73" s="52">
        <f>1000*D25/SER_summary!D$3</f>
        <v>7.1938228090777392E-2</v>
      </c>
      <c r="E73" s="52">
        <f>1000*E25/SER_summary!E$3</f>
        <v>8.2962837821053625E-2</v>
      </c>
      <c r="F73" s="52">
        <f>1000*F25/SER_summary!F$3</f>
        <v>9.4713895386730279E-2</v>
      </c>
      <c r="G73" s="52">
        <f>1000*G25/SER_summary!G$3</f>
        <v>0.10653850340877545</v>
      </c>
      <c r="H73" s="52">
        <f>1000*H25/SER_summary!H$3</f>
        <v>0.118528515453309</v>
      </c>
      <c r="I73" s="52">
        <f>1000*I25/SER_summary!I$3</f>
        <v>0.12944297896921303</v>
      </c>
      <c r="J73" s="52">
        <f>1000*J25/SER_summary!J$3</f>
        <v>0.1447749696598721</v>
      </c>
      <c r="K73" s="52">
        <f>1000*K25/SER_summary!K$3</f>
        <v>0.15707068379685304</v>
      </c>
      <c r="L73" s="52">
        <f>1000*L25/SER_summary!L$3</f>
        <v>0.16826923946176078</v>
      </c>
      <c r="M73" s="52">
        <f>1000*M25/SER_summary!M$3</f>
        <v>0.18001899581889805</v>
      </c>
      <c r="N73" s="52">
        <f>1000*N25/SER_summary!N$3</f>
        <v>0.1955859893982155</v>
      </c>
      <c r="O73" s="52">
        <f>1000*O25/SER_summary!O$3</f>
        <v>0.2184360549869504</v>
      </c>
      <c r="P73" s="52">
        <f>1000*P25/SER_summary!P$3</f>
        <v>0.24605946479124505</v>
      </c>
      <c r="Q73" s="52">
        <f>1000*Q25/SER_summary!Q$3</f>
        <v>0.27835375623352854</v>
      </c>
      <c r="R73" s="52">
        <f>1000*R25/SER_summary!R$3</f>
        <v>0.29418228383778866</v>
      </c>
      <c r="S73" s="52">
        <f>1000*S25/SER_summary!S$3</f>
        <v>0.30905515427892338</v>
      </c>
      <c r="T73" s="52">
        <f>1000*T25/SER_summary!T$3</f>
        <v>0.32358150190568441</v>
      </c>
      <c r="U73" s="52">
        <f>1000*U25/SER_summary!U$3</f>
        <v>0.33726579717416572</v>
      </c>
      <c r="V73" s="52">
        <f>1000*V25/SER_summary!V$3</f>
        <v>0.34948435891045831</v>
      </c>
      <c r="W73" s="52">
        <f>1000*W25/SER_summary!W$3</f>
        <v>0.36160354728009597</v>
      </c>
      <c r="X73" s="52">
        <f>1000*X25/SER_summary!X$3</f>
        <v>0.37195098852673447</v>
      </c>
      <c r="Y73" s="52">
        <f>1000*Y25/SER_summary!Y$3</f>
        <v>0.37954161597719605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17.354249976045949</v>
      </c>
      <c r="C3" s="198">
        <f>'SER_se-appl'!C4</f>
        <v>18.216337186969881</v>
      </c>
      <c r="D3" s="198">
        <f>'SER_se-appl'!D4</f>
        <v>19.005883779956736</v>
      </c>
      <c r="E3" s="198">
        <f>'SER_se-appl'!E4</f>
        <v>19.938304774947298</v>
      </c>
      <c r="F3" s="198">
        <f>'SER_se-appl'!F4</f>
        <v>20.956322376684998</v>
      </c>
      <c r="G3" s="198">
        <f>'SER_se-appl'!G4</f>
        <v>21.850359431351855</v>
      </c>
      <c r="H3" s="198">
        <f>'SER_se-appl'!H4</f>
        <v>22.821542795729027</v>
      </c>
      <c r="I3" s="198">
        <f>'SER_se-appl'!I4</f>
        <v>23.71744020566231</v>
      </c>
      <c r="J3" s="198">
        <f>'SER_se-appl'!J4</f>
        <v>24.267780872497404</v>
      </c>
      <c r="K3" s="198">
        <f>'SER_se-appl'!K4</f>
        <v>24.429844824634607</v>
      </c>
      <c r="L3" s="198">
        <f>'SER_se-appl'!L4</f>
        <v>23.77879372402246</v>
      </c>
      <c r="M3" s="198">
        <f>'SER_se-appl'!M4</f>
        <v>23.418363320846371</v>
      </c>
      <c r="N3" s="198">
        <f>'SER_se-appl'!N4</f>
        <v>23.584601800746004</v>
      </c>
      <c r="O3" s="198">
        <f>'SER_se-appl'!O4</f>
        <v>23.628066290707451</v>
      </c>
      <c r="P3" s="198">
        <f>'SER_se-appl'!P4</f>
        <v>23.681734638952548</v>
      </c>
      <c r="Q3" s="198">
        <f>'SER_se-appl'!Q4</f>
        <v>23.760009173347935</v>
      </c>
      <c r="R3" s="198">
        <f>'SER_se-appl'!R4</f>
        <v>23.970548247449486</v>
      </c>
      <c r="S3" s="198">
        <f>'SER_se-appl'!S4</f>
        <v>24.288463651587694</v>
      </c>
      <c r="T3" s="198">
        <f>'SER_se-appl'!T4</f>
        <v>24.593381091263087</v>
      </c>
      <c r="U3" s="198">
        <f>'SER_se-appl'!U4</f>
        <v>24.917643861860526</v>
      </c>
      <c r="V3" s="198">
        <f>'SER_se-appl'!V4</f>
        <v>25.249486964197494</v>
      </c>
      <c r="W3" s="198">
        <f>'SER_se-appl'!W4</f>
        <v>25.543392035173273</v>
      </c>
      <c r="X3" s="198">
        <f>'SER_se-appl'!X4</f>
        <v>25.540065043689381</v>
      </c>
      <c r="Y3" s="198">
        <f>'SER_se-appl'!Y4</f>
        <v>25.405873471191526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23.039946029841829</v>
      </c>
      <c r="C5" s="59">
        <f>'SER_se-appl'!C12</f>
        <v>24.184475055303615</v>
      </c>
      <c r="D5" s="59">
        <f>'SER_se-appl'!D12</f>
        <v>25.232697301472239</v>
      </c>
      <c r="E5" s="59">
        <f>'SER_se-appl'!E12</f>
        <v>26.470603257150358</v>
      </c>
      <c r="F5" s="59">
        <f>'SER_se-appl'!F12</f>
        <v>27.822149456717629</v>
      </c>
      <c r="G5" s="59">
        <f>'SER_se-appl'!G12</f>
        <v>29.009095911714844</v>
      </c>
      <c r="H5" s="59">
        <f>'SER_se-appl'!H12</f>
        <v>30.29846378017449</v>
      </c>
      <c r="I5" s="59">
        <f>'SER_se-appl'!I12</f>
        <v>31.487880090394146</v>
      </c>
      <c r="J5" s="59">
        <f>'SER_se-appl'!J12</f>
        <v>32.218526432322463</v>
      </c>
      <c r="K5" s="59">
        <f>'SER_se-appl'!K12</f>
        <v>32.433686679280882</v>
      </c>
      <c r="L5" s="59">
        <f>'SER_se-appl'!L12</f>
        <v>31.56933459022617</v>
      </c>
      <c r="M5" s="59">
        <f>'SER_se-appl'!M12</f>
        <v>31.090817970484398</v>
      </c>
      <c r="N5" s="59">
        <f>'SER_se-appl'!N12</f>
        <v>31.311520427246116</v>
      </c>
      <c r="O5" s="59">
        <f>'SER_se-appl'!O12</f>
        <v>31.369224995539689</v>
      </c>
      <c r="P5" s="59">
        <f>'SER_se-appl'!P12</f>
        <v>31.440476467011202</v>
      </c>
      <c r="Q5" s="59">
        <f>'SER_se-appl'!Q12</f>
        <v>31.544395740415123</v>
      </c>
      <c r="R5" s="59">
        <f>'SER_se-appl'!R12</f>
        <v>31.823912798839899</v>
      </c>
      <c r="S5" s="59">
        <f>'SER_se-appl'!S12</f>
        <v>32.245985418717453</v>
      </c>
      <c r="T5" s="59">
        <f>'SER_se-appl'!T12</f>
        <v>32.650801608606137</v>
      </c>
      <c r="U5" s="59">
        <f>'SER_se-appl'!U12</f>
        <v>33.081301154502036</v>
      </c>
      <c r="V5" s="59">
        <f>'SER_se-appl'!V12</f>
        <v>33.521864542650334</v>
      </c>
      <c r="W5" s="59">
        <f>'SER_se-appl'!W12</f>
        <v>33.912060430258585</v>
      </c>
      <c r="X5" s="59">
        <f>'SER_se-appl'!X12</f>
        <v>33.907643431290815</v>
      </c>
      <c r="Y5" s="59">
        <f>'SER_se-appl'!Y12</f>
        <v>33.72948726825998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356.15825014495118</v>
      </c>
      <c r="C6" s="201">
        <f>'SER_se-appl'!C68</f>
        <v>361.64903428075559</v>
      </c>
      <c r="D6" s="201">
        <f>'SER_se-appl'!D68</f>
        <v>368.77644882290065</v>
      </c>
      <c r="E6" s="201">
        <f>'SER_se-appl'!E68</f>
        <v>374.99214774562643</v>
      </c>
      <c r="F6" s="201">
        <f>'SER_se-appl'!F68</f>
        <v>383.03247389987348</v>
      </c>
      <c r="G6" s="201">
        <f>'SER_se-appl'!G68</f>
        <v>392.72582104154316</v>
      </c>
      <c r="H6" s="201">
        <f>'SER_se-appl'!H68</f>
        <v>398.34628424332993</v>
      </c>
      <c r="I6" s="201">
        <f>'SER_se-appl'!I68</f>
        <v>406.59331433099578</v>
      </c>
      <c r="J6" s="201">
        <f>'SER_se-appl'!J68</f>
        <v>412.70047805887549</v>
      </c>
      <c r="K6" s="201">
        <f>'SER_se-appl'!K68</f>
        <v>419.57986383482302</v>
      </c>
      <c r="L6" s="201">
        <f>'SER_se-appl'!L68</f>
        <v>424.8631459063684</v>
      </c>
      <c r="M6" s="201">
        <f>'SER_se-appl'!M68</f>
        <v>431.83197158564445</v>
      </c>
      <c r="N6" s="201">
        <f>'SER_se-appl'!N68</f>
        <v>439.55769501226581</v>
      </c>
      <c r="O6" s="201">
        <f>'SER_se-appl'!O68</f>
        <v>446.97250563713737</v>
      </c>
      <c r="P6" s="201">
        <f>'SER_se-appl'!P68</f>
        <v>454.20057093718282</v>
      </c>
      <c r="Q6" s="201">
        <f>'SER_se-appl'!Q68</f>
        <v>462.07374494052448</v>
      </c>
      <c r="R6" s="201">
        <f>'SER_se-appl'!R68</f>
        <v>474.64927891372719</v>
      </c>
      <c r="S6" s="201">
        <f>'SER_se-appl'!S68</f>
        <v>487.23300204171142</v>
      </c>
      <c r="T6" s="201">
        <f>'SER_se-appl'!T68</f>
        <v>499.78160412503712</v>
      </c>
      <c r="U6" s="201">
        <f>'SER_se-appl'!U68</f>
        <v>512.26881692826976</v>
      </c>
      <c r="V6" s="201">
        <f>'SER_se-appl'!V68</f>
        <v>524.6457458520581</v>
      </c>
      <c r="W6" s="201">
        <f>'SER_se-appl'!W68</f>
        <v>537.04367359939909</v>
      </c>
      <c r="X6" s="201">
        <f>'SER_se-appl'!X68</f>
        <v>543.35207455507805</v>
      </c>
      <c r="Y6" s="201">
        <f>'SER_se-appl'!Y68</f>
        <v>546.53400905745627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29.319407614193906</v>
      </c>
      <c r="C8" s="34">
        <f>'SER_se-appl'!C20</f>
        <v>31.107433524158772</v>
      </c>
      <c r="D8" s="34">
        <f>'SER_se-appl'!D20</f>
        <v>32.803626288203006</v>
      </c>
      <c r="E8" s="34">
        <f>'SER_se-appl'!E20</f>
        <v>34.818585386471533</v>
      </c>
      <c r="F8" s="34">
        <f>'SER_se-appl'!F20</f>
        <v>37.047707263148993</v>
      </c>
      <c r="G8" s="34">
        <f>'SER_se-appl'!G20</f>
        <v>39.080050484804374</v>
      </c>
      <c r="H8" s="34">
        <f>'SER_se-appl'!H20</f>
        <v>41.320852409148294</v>
      </c>
      <c r="I8" s="34">
        <f>'SER_se-appl'!I20</f>
        <v>43.457883727493439</v>
      </c>
      <c r="J8" s="34">
        <f>'SER_se-appl'!J20</f>
        <v>44.928234618473546</v>
      </c>
      <c r="K8" s="34">
        <f>'SER_se-appl'!K20</f>
        <v>45.634205470492823</v>
      </c>
      <c r="L8" s="34">
        <f>'SER_se-appl'!L20</f>
        <v>44.666255518666617</v>
      </c>
      <c r="M8" s="34">
        <f>'SER_se-appl'!M20</f>
        <v>44.339372261157081</v>
      </c>
      <c r="N8" s="34">
        <f>'SER_se-appl'!N20</f>
        <v>45.204262135030191</v>
      </c>
      <c r="O8" s="34">
        <f>'SER_se-appl'!O20</f>
        <v>45.889246253125904</v>
      </c>
      <c r="P8" s="34">
        <f>'SER_se-appl'!P20</f>
        <v>46.687776583663158</v>
      </c>
      <c r="Q8" s="34">
        <f>'SER_se-appl'!Q20</f>
        <v>47.645114862494736</v>
      </c>
      <c r="R8" s="34">
        <f>'SER_se-appl'!R20</f>
        <v>48.961180657740485</v>
      </c>
      <c r="S8" s="34">
        <f>'SER_se-appl'!S20</f>
        <v>50.595128282370148</v>
      </c>
      <c r="T8" s="34">
        <f>'SER_se-appl'!T20</f>
        <v>52.260076986097239</v>
      </c>
      <c r="U8" s="34">
        <f>'SER_se-appl'!U20</f>
        <v>53.994657295975415</v>
      </c>
      <c r="V8" s="34">
        <f>'SER_se-appl'!V20</f>
        <v>55.721972357403075</v>
      </c>
      <c r="W8" s="34">
        <f>'SER_se-appl'!W20</f>
        <v>57.440586453574412</v>
      </c>
      <c r="X8" s="34">
        <f>'SER_se-appl'!X20</f>
        <v>58.46003239979521</v>
      </c>
      <c r="Y8" s="34">
        <f>'SER_se-appl'!Y20</f>
        <v>59.076498185011495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3.0597061681494182</v>
      </c>
      <c r="D9" s="36">
        <f>'SER_se-appl'!D28</f>
        <v>3.0038432540884301</v>
      </c>
      <c r="E9" s="36">
        <f>'SER_se-appl'!E28</f>
        <v>3.3595972595575496</v>
      </c>
      <c r="F9" s="36">
        <f>'SER_se-appl'!F28</f>
        <v>3.6117939274741673</v>
      </c>
      <c r="G9" s="36">
        <f>'SER_se-appl'!G28</f>
        <v>3.4541249731279535</v>
      </c>
      <c r="H9" s="36">
        <f>'SER_se-appl'!H28</f>
        <v>3.702799617618787</v>
      </c>
      <c r="I9" s="36">
        <f>'SER_se-appl'!I28</f>
        <v>3.6403824852364366</v>
      </c>
      <c r="J9" s="36">
        <f>'SER_se-appl'!J28</f>
        <v>3.0162252390653421</v>
      </c>
      <c r="K9" s="36">
        <f>'SER_se-appl'!K28</f>
        <v>2.2955711747499663</v>
      </c>
      <c r="L9" s="36">
        <f>'SER_se-appl'!L28</f>
        <v>0.66661316072903531</v>
      </c>
      <c r="M9" s="36">
        <f>'SER_se-appl'!M28</f>
        <v>1.3539144441017399</v>
      </c>
      <c r="N9" s="36">
        <f>'SER_se-appl'!N28</f>
        <v>2.5932299373689887</v>
      </c>
      <c r="O9" s="36">
        <f>'SER_se-appl'!O28</f>
        <v>2.4622113074364265</v>
      </c>
      <c r="P9" s="36">
        <f>'SER_se-appl'!P28</f>
        <v>2.6260274471308378</v>
      </c>
      <c r="Q9" s="36">
        <f>'SER_se-appl'!Q28</f>
        <v>2.8365272374456936</v>
      </c>
      <c r="R9" s="36">
        <f>'SER_se-appl'!R28</f>
        <v>3.2484087303522955</v>
      </c>
      <c r="S9" s="36">
        <f>'SER_se-appl'!S28</f>
        <v>3.6209480280430242</v>
      </c>
      <c r="T9" s="36">
        <f>'SER_se-appl'!T28</f>
        <v>3.7081525944211435</v>
      </c>
      <c r="U9" s="36">
        <f>'SER_se-appl'!U28</f>
        <v>4.794286478027594</v>
      </c>
      <c r="V9" s="36">
        <f>'SER_se-appl'!V28</f>
        <v>4.7311583155160903</v>
      </c>
      <c r="W9" s="36">
        <f>'SER_se-appl'!W28</f>
        <v>5.0782113557288824</v>
      </c>
      <c r="X9" s="36">
        <f>'SER_se-appl'!X28</f>
        <v>4.631239873694966</v>
      </c>
      <c r="Y9" s="36">
        <f>'SER_se-appl'!Y28</f>
        <v>4.0705907583442382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1.2716802581845528</v>
      </c>
      <c r="D10" s="38">
        <f>'SER_se-appl'!D36</f>
        <v>1.3076504900441961</v>
      </c>
      <c r="E10" s="38">
        <f>'SER_se-appl'!E36</f>
        <v>1.3446381612890193</v>
      </c>
      <c r="F10" s="38">
        <f>'SER_se-appl'!F36</f>
        <v>1.3826720507967067</v>
      </c>
      <c r="G10" s="38">
        <f>'SER_se-appl'!G36</f>
        <v>1.4217817514725724</v>
      </c>
      <c r="H10" s="38">
        <f>'SER_se-appl'!H36</f>
        <v>1.4619976932748671</v>
      </c>
      <c r="I10" s="38">
        <f>'SER_se-appl'!I36</f>
        <v>1.5033511668912922</v>
      </c>
      <c r="J10" s="38">
        <f>'SER_se-appl'!J36</f>
        <v>1.5458743480852348</v>
      </c>
      <c r="K10" s="38">
        <f>'SER_se-appl'!K36</f>
        <v>1.5896003227306892</v>
      </c>
      <c r="L10" s="38">
        <f>'SER_se-appl'!L36</f>
        <v>1.6345631125552416</v>
      </c>
      <c r="M10" s="38">
        <f>'SER_se-appl'!M36</f>
        <v>1.6807977016112758</v>
      </c>
      <c r="N10" s="38">
        <f>'SER_se-appl'!N36</f>
        <v>1.7283400634958781</v>
      </c>
      <c r="O10" s="38">
        <f>'SER_se-appl'!O36</f>
        <v>1.7772271893407137</v>
      </c>
      <c r="P10" s="38">
        <f>'SER_se-appl'!P36</f>
        <v>1.8274971165935838</v>
      </c>
      <c r="Q10" s="38">
        <f>'SER_se-appl'!Q36</f>
        <v>1.8791889586141153</v>
      </c>
      <c r="R10" s="38">
        <f>'SER_se-appl'!R36</f>
        <v>1.9323429351065471</v>
      </c>
      <c r="S10" s="38">
        <f>'SER_se-appl'!S36</f>
        <v>1.9870004034133615</v>
      </c>
      <c r="T10" s="38">
        <f>'SER_se-appl'!T36</f>
        <v>2.0432038906940519</v>
      </c>
      <c r="U10" s="38">
        <f>'SER_se-appl'!U36</f>
        <v>3.0597061681494182</v>
      </c>
      <c r="V10" s="38">
        <f>'SER_se-appl'!V36</f>
        <v>3.0038432540884301</v>
      </c>
      <c r="W10" s="38">
        <f>'SER_se-appl'!W36</f>
        <v>3.3595972595575461</v>
      </c>
      <c r="X10" s="38">
        <f>'SER_se-appl'!X36</f>
        <v>3.6117939274741673</v>
      </c>
      <c r="Y10" s="38">
        <f>'SER_se-appl'!Y36</f>
        <v>3.4541249731279535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8759.9999999999982</v>
      </c>
      <c r="C12" s="204">
        <f>'SER_se-appl'!C44</f>
        <v>8760.0000000000018</v>
      </c>
      <c r="D12" s="204">
        <f>'SER_se-appl'!D44</f>
        <v>8760</v>
      </c>
      <c r="E12" s="204">
        <f>'SER_se-appl'!E44</f>
        <v>8759.9999999999982</v>
      </c>
      <c r="F12" s="204">
        <f>'SER_se-appl'!F44</f>
        <v>8760.0000000000036</v>
      </c>
      <c r="G12" s="204">
        <f>'SER_se-appl'!G44</f>
        <v>8760.0000000000018</v>
      </c>
      <c r="H12" s="204">
        <f>'SER_se-appl'!H44</f>
        <v>8760.0000000000018</v>
      </c>
      <c r="I12" s="204">
        <f>'SER_se-appl'!I44</f>
        <v>8759.9999999999982</v>
      </c>
      <c r="J12" s="204">
        <f>'SER_se-appl'!J44</f>
        <v>8760.0000000000018</v>
      </c>
      <c r="K12" s="204">
        <f>'SER_se-appl'!K44</f>
        <v>8759.9999999999982</v>
      </c>
      <c r="L12" s="204">
        <f>'SER_se-appl'!L44</f>
        <v>8759.9999999999982</v>
      </c>
      <c r="M12" s="204">
        <f>'SER_se-appl'!M44</f>
        <v>8760</v>
      </c>
      <c r="N12" s="204">
        <f>'SER_se-appl'!N44</f>
        <v>8760.0000000000018</v>
      </c>
      <c r="O12" s="204">
        <f>'SER_se-appl'!O44</f>
        <v>8760</v>
      </c>
      <c r="P12" s="204">
        <f>'SER_se-appl'!P44</f>
        <v>8760</v>
      </c>
      <c r="Q12" s="204">
        <f>'SER_se-appl'!Q44</f>
        <v>8760</v>
      </c>
      <c r="R12" s="204">
        <f>'SER_se-appl'!R44</f>
        <v>8760</v>
      </c>
      <c r="S12" s="204">
        <f>'SER_se-appl'!S44</f>
        <v>8760</v>
      </c>
      <c r="T12" s="204">
        <f>'SER_se-appl'!T44</f>
        <v>8759.9999999999982</v>
      </c>
      <c r="U12" s="204">
        <f>'SER_se-appl'!U44</f>
        <v>8760.0000000000018</v>
      </c>
      <c r="V12" s="204">
        <f>'SER_se-appl'!V44</f>
        <v>8759.9999999999982</v>
      </c>
      <c r="W12" s="204">
        <f>'SER_se-appl'!W44</f>
        <v>8760</v>
      </c>
      <c r="X12" s="204">
        <f>'SER_se-appl'!X44</f>
        <v>8760</v>
      </c>
      <c r="Y12" s="204">
        <f>'SER_se-appl'!Y44</f>
        <v>8760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0.78582576882241961</v>
      </c>
      <c r="C14" s="59">
        <f>'SER_se-appl'!C52</f>
        <v>0.77745002770869465</v>
      </c>
      <c r="D14" s="59">
        <f>'SER_se-appl'!D52</f>
        <v>0.76920451049482108</v>
      </c>
      <c r="E14" s="59">
        <f>'SER_se-appl'!E52</f>
        <v>0.76024350108822303</v>
      </c>
      <c r="F14" s="59">
        <f>'SER_se-appl'!F52</f>
        <v>0.75098168043429936</v>
      </c>
      <c r="G14" s="59">
        <f>'SER_se-appl'!G52</f>
        <v>0.7422993458771131</v>
      </c>
      <c r="H14" s="59">
        <f>'SER_se-appl'!H52</f>
        <v>0.7332487597343591</v>
      </c>
      <c r="I14" s="59">
        <f>'SER_se-appl'!I52</f>
        <v>0.72456082509313446</v>
      </c>
      <c r="J14" s="59">
        <f>'SER_se-appl'!J52</f>
        <v>0.71711089264733496</v>
      </c>
      <c r="K14" s="59">
        <f>'SER_se-appl'!K52</f>
        <v>0.71073192454840861</v>
      </c>
      <c r="L14" s="59">
        <f>'SER_se-appl'!L52</f>
        <v>0.7067826533395648</v>
      </c>
      <c r="M14" s="59">
        <f>'SER_se-appl'!M52</f>
        <v>0.70120113084508184</v>
      </c>
      <c r="N14" s="59">
        <f>'SER_se-appl'!N52</f>
        <v>0.69266743772335226</v>
      </c>
      <c r="O14" s="59">
        <f>'SER_se-appl'!O52</f>
        <v>0.68358553597735039</v>
      </c>
      <c r="P14" s="59">
        <f>'SER_se-appl'!P52</f>
        <v>0.67341987063082276</v>
      </c>
      <c r="Q14" s="59">
        <f>'SER_se-appl'!Q52</f>
        <v>0.66206988547416068</v>
      </c>
      <c r="R14" s="59">
        <f>'SER_se-appl'!R52</f>
        <v>0.64998254476955142</v>
      </c>
      <c r="S14" s="59">
        <f>'SER_se-appl'!S52</f>
        <v>0.6373338009690066</v>
      </c>
      <c r="T14" s="59">
        <f>'SER_se-appl'!T52</f>
        <v>0.62477522980481326</v>
      </c>
      <c r="U14" s="59">
        <f>'SER_se-appl'!U52</f>
        <v>0.61267730570387025</v>
      </c>
      <c r="V14" s="59">
        <f>'SER_se-appl'!V52</f>
        <v>0.60159149298663883</v>
      </c>
      <c r="W14" s="59">
        <f>'SER_se-appl'!W52</f>
        <v>0.59038499646356424</v>
      </c>
      <c r="X14" s="59">
        <f>'SER_se-appl'!X52</f>
        <v>0.58001410603750536</v>
      </c>
      <c r="Y14" s="59">
        <f>'SER_se-appl'!Y52</f>
        <v>0.57094594812692545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0.70067124888093624</v>
      </c>
      <c r="D15" s="63">
        <f>'SER_se-appl'!D60</f>
        <v>0.69105060493196602</v>
      </c>
      <c r="E15" s="63">
        <f>'SER_se-appl'!E60</f>
        <v>0.68298581505070599</v>
      </c>
      <c r="F15" s="63">
        <f>'SER_se-appl'!F60</f>
        <v>0.67503450525453734</v>
      </c>
      <c r="G15" s="63">
        <f>'SER_se-appl'!G60</f>
        <v>0.667092016320186</v>
      </c>
      <c r="H15" s="63">
        <f>'SER_se-appl'!H60</f>
        <v>0.65848643771924342</v>
      </c>
      <c r="I15" s="63">
        <f>'SER_se-appl'!I60</f>
        <v>0.65124706163893786</v>
      </c>
      <c r="J15" s="63">
        <f>'SER_se-appl'!J60</f>
        <v>0.6449897092625948</v>
      </c>
      <c r="K15" s="63">
        <f>'SER_se-appl'!K60</f>
        <v>0.63788444409619482</v>
      </c>
      <c r="L15" s="63">
        <f>'SER_se-appl'!L60</f>
        <v>0.63024517112490031</v>
      </c>
      <c r="M15" s="63">
        <f>'SER_se-appl'!M60</f>
        <v>0.62212020119239664</v>
      </c>
      <c r="N15" s="63">
        <f>'SER_se-appl'!N60</f>
        <v>0.60884559182084708</v>
      </c>
      <c r="O15" s="63">
        <f>'SER_se-appl'!O60</f>
        <v>0.59064609375200872</v>
      </c>
      <c r="P15" s="63">
        <f>'SER_se-appl'!P60</f>
        <v>0.5740023013797223</v>
      </c>
      <c r="Q15" s="63">
        <f>'SER_se-appl'!Q60</f>
        <v>0.5572428005284471</v>
      </c>
      <c r="R15" s="63">
        <f>'SER_se-appl'!R60</f>
        <v>0.55350237001685776</v>
      </c>
      <c r="S15" s="63">
        <f>'SER_se-appl'!S60</f>
        <v>0.54778713314267602</v>
      </c>
      <c r="T15" s="63">
        <f>'SER_se-appl'!T60</f>
        <v>0.54216173875340068</v>
      </c>
      <c r="U15" s="63">
        <f>'SER_se-appl'!U60</f>
        <v>0.53696158953792095</v>
      </c>
      <c r="V15" s="63">
        <f>'SER_se-appl'!V60</f>
        <v>0.5318720952022129</v>
      </c>
      <c r="W15" s="63">
        <f>'SER_se-appl'!W60</f>
        <v>0.52868086263099967</v>
      </c>
      <c r="X15" s="63">
        <f>'SER_se-appl'!X60</f>
        <v>0.52548963005978633</v>
      </c>
      <c r="Y15" s="63">
        <f>'SER_se-appl'!Y60</f>
        <v>0.5222983974885731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72.678483200776483</v>
      </c>
      <c r="C3" s="198">
        <f>'SER_se-appl'!C5</f>
        <v>73.329853921745908</v>
      </c>
      <c r="D3" s="198">
        <f>'SER_se-appl'!D5</f>
        <v>74.937480885423511</v>
      </c>
      <c r="E3" s="198">
        <f>'SER_se-appl'!E5</f>
        <v>76.740723349143309</v>
      </c>
      <c r="F3" s="198">
        <f>'SER_se-appl'!F5</f>
        <v>78.809332917005719</v>
      </c>
      <c r="G3" s="198">
        <f>'SER_se-appl'!G5</f>
        <v>80.45040631360007</v>
      </c>
      <c r="H3" s="198">
        <f>'SER_se-appl'!H5</f>
        <v>82.060359617783107</v>
      </c>
      <c r="I3" s="198">
        <f>'SER_se-appl'!I5</f>
        <v>82.885945424193366</v>
      </c>
      <c r="J3" s="198">
        <f>'SER_se-appl'!J5</f>
        <v>84.582238883239896</v>
      </c>
      <c r="K3" s="198">
        <f>'SER_se-appl'!K5</f>
        <v>86.170506851911369</v>
      </c>
      <c r="L3" s="198">
        <f>'SER_se-appl'!L5</f>
        <v>87.393744689491797</v>
      </c>
      <c r="M3" s="198">
        <f>'SER_se-appl'!M5</f>
        <v>88.396563962780547</v>
      </c>
      <c r="N3" s="198">
        <f>'SER_se-appl'!N5</f>
        <v>89.4760252871597</v>
      </c>
      <c r="O3" s="198">
        <f>'SER_se-appl'!O5</f>
        <v>90.371050624159963</v>
      </c>
      <c r="P3" s="198">
        <f>'SER_se-appl'!P5</f>
        <v>91.769508899441789</v>
      </c>
      <c r="Q3" s="198">
        <f>'SER_se-appl'!Q5</f>
        <v>93.497818719411995</v>
      </c>
      <c r="R3" s="198">
        <f>'SER_se-appl'!R5</f>
        <v>95.350570129282147</v>
      </c>
      <c r="S3" s="198">
        <f>'SER_se-appl'!S5</f>
        <v>93.509383085749434</v>
      </c>
      <c r="T3" s="198">
        <f>'SER_se-appl'!T5</f>
        <v>91.249243315876086</v>
      </c>
      <c r="U3" s="198">
        <f>'SER_se-appl'!U5</f>
        <v>87.735850246132216</v>
      </c>
      <c r="V3" s="198">
        <f>'SER_se-appl'!V5</f>
        <v>83.635087520775272</v>
      </c>
      <c r="W3" s="198">
        <f>'SER_se-appl'!W5</f>
        <v>81.258702012399098</v>
      </c>
      <c r="X3" s="198">
        <f>'SER_se-appl'!X5</f>
        <v>77.773583602606323</v>
      </c>
      <c r="Y3" s="198">
        <f>'SER_se-appl'!Y5</f>
        <v>75.655886547765718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223.74750378630756</v>
      </c>
      <c r="C5" s="59">
        <f>'SER_se-appl'!C13</f>
        <v>225.74784115213174</v>
      </c>
      <c r="D5" s="59">
        <f>'SER_se-appl'!D13</f>
        <v>230.62324126102442</v>
      </c>
      <c r="E5" s="59">
        <f>'SER_se-appl'!E13</f>
        <v>235.84113476482293</v>
      </c>
      <c r="F5" s="59">
        <f>'SER_se-appl'!F13</f>
        <v>241.95048692341439</v>
      </c>
      <c r="G5" s="59">
        <f>'SER_se-appl'!G13</f>
        <v>246.79497278532614</v>
      </c>
      <c r="H5" s="59">
        <f>'SER_se-appl'!H13</f>
        <v>251.56602426607225</v>
      </c>
      <c r="I5" s="59">
        <f>'SER_se-appl'!I13</f>
        <v>254.12134161660245</v>
      </c>
      <c r="J5" s="59">
        <f>'SER_se-appl'!J13</f>
        <v>259.53770150212483</v>
      </c>
      <c r="K5" s="59">
        <f>'SER_se-appl'!K13</f>
        <v>264.64382154093852</v>
      </c>
      <c r="L5" s="59">
        <f>'SER_se-appl'!L13</f>
        <v>268.89477246652791</v>
      </c>
      <c r="M5" s="59">
        <f>'SER_se-appl'!M13</f>
        <v>272.79965766082228</v>
      </c>
      <c r="N5" s="59">
        <f>'SER_se-appl'!N13</f>
        <v>277.69675903793473</v>
      </c>
      <c r="O5" s="59">
        <f>'SER_se-appl'!O13</f>
        <v>282.58409297843247</v>
      </c>
      <c r="P5" s="59">
        <f>'SER_se-appl'!P13</f>
        <v>288.8305258804682</v>
      </c>
      <c r="Q5" s="59">
        <f>'SER_se-appl'!Q13</f>
        <v>295.94480096474331</v>
      </c>
      <c r="R5" s="59">
        <f>'SER_se-appl'!R13</f>
        <v>293.26892814230536</v>
      </c>
      <c r="S5" s="59">
        <f>'SER_se-appl'!S13</f>
        <v>289.73096528008477</v>
      </c>
      <c r="T5" s="59">
        <f>'SER_se-appl'!T13</f>
        <v>284.0598204304041</v>
      </c>
      <c r="U5" s="59">
        <f>'SER_se-appl'!U13</f>
        <v>276.57267138087155</v>
      </c>
      <c r="V5" s="59">
        <f>'SER_se-appl'!V13</f>
        <v>266.93795109807553</v>
      </c>
      <c r="W5" s="59">
        <f>'SER_se-appl'!W13</f>
        <v>256.57466697629678</v>
      </c>
      <c r="X5" s="59">
        <f>'SER_se-appl'!X13</f>
        <v>246.12695225686809</v>
      </c>
      <c r="Y5" s="59">
        <f>'SER_se-appl'!Y13</f>
        <v>239.96902627156015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0.1069867794800993</v>
      </c>
      <c r="C6" s="201">
        <f>'SER_se-appl'!C69</f>
        <v>0.10841874601696221</v>
      </c>
      <c r="D6" s="201">
        <f>'SER_se-appl'!D69</f>
        <v>0.11161350796153739</v>
      </c>
      <c r="E6" s="201">
        <f>'SER_se-appl'!E69</f>
        <v>0.11539940462981767</v>
      </c>
      <c r="F6" s="201">
        <f>'SER_se-appl'!F69</f>
        <v>0.11994079990329855</v>
      </c>
      <c r="G6" s="201">
        <f>'SER_se-appl'!G69</f>
        <v>0.12413474447407032</v>
      </c>
      <c r="H6" s="201">
        <f>'SER_se-appl'!H69</f>
        <v>0.12864009606896082</v>
      </c>
      <c r="I6" s="201">
        <f>'SER_se-appl'!I69</f>
        <v>0.1323383237712569</v>
      </c>
      <c r="J6" s="201">
        <f>'SER_se-appl'!J69</f>
        <v>0.13633152801598331</v>
      </c>
      <c r="K6" s="201">
        <f>'SER_se-appl'!K69</f>
        <v>0.1403543062896184</v>
      </c>
      <c r="L6" s="201">
        <f>'SER_se-appl'!L69</f>
        <v>0.14434072939756062</v>
      </c>
      <c r="M6" s="201">
        <f>'SER_se-appl'!M69</f>
        <v>0.14887340636440874</v>
      </c>
      <c r="N6" s="201">
        <f>'SER_se-appl'!N69</f>
        <v>0.1550221491443689</v>
      </c>
      <c r="O6" s="201">
        <f>'SER_se-appl'!O69</f>
        <v>0.16261142029516962</v>
      </c>
      <c r="P6" s="201">
        <f>'SER_se-appl'!P69</f>
        <v>0.17207372950201358</v>
      </c>
      <c r="Q6" s="201">
        <f>'SER_se-appl'!Q69</f>
        <v>0.18330902004175859</v>
      </c>
      <c r="R6" s="201">
        <f>'SER_se-appl'!R69</f>
        <v>0.18966290375143444</v>
      </c>
      <c r="S6" s="201">
        <f>'SER_se-appl'!S69</f>
        <v>0.19545239382207044</v>
      </c>
      <c r="T6" s="201">
        <f>'SER_se-appl'!T69</f>
        <v>0.20104410249544941</v>
      </c>
      <c r="U6" s="201">
        <f>'SER_se-appl'!U69</f>
        <v>0.20601308341121113</v>
      </c>
      <c r="V6" s="201">
        <f>'SER_se-appl'!V69</f>
        <v>0.21000019575050802</v>
      </c>
      <c r="W6" s="201">
        <f>'SER_se-appl'!W69</f>
        <v>0.21363029011861084</v>
      </c>
      <c r="X6" s="201">
        <f>'SER_se-appl'!X69</f>
        <v>0.21919342681485707</v>
      </c>
      <c r="Y6" s="201">
        <f>'SER_se-appl'!Y69</f>
        <v>0.22317359720084376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1152.849629608804</v>
      </c>
      <c r="C8" s="34">
        <f>'SER_se-appl'!C21</f>
        <v>1174.8243392335964</v>
      </c>
      <c r="D8" s="34">
        <f>'SER_se-appl'!D21</f>
        <v>1215.2784567864007</v>
      </c>
      <c r="E8" s="34">
        <f>'SER_se-appl'!E21</f>
        <v>1259.6733590760248</v>
      </c>
      <c r="F8" s="34">
        <f>'SER_se-appl'!F21</f>
        <v>1312.1966090972505</v>
      </c>
      <c r="G8" s="34">
        <f>'SER_se-appl'!G21</f>
        <v>1361.7472230230376</v>
      </c>
      <c r="H8" s="34">
        <f>'SER_se-appl'!H21</f>
        <v>1415.6477234516301</v>
      </c>
      <c r="I8" s="34">
        <f>'SER_se-appl'!I21</f>
        <v>1460.4867998461814</v>
      </c>
      <c r="J8" s="34">
        <f>'SER_se-appl'!J21</f>
        <v>1507.9544424985263</v>
      </c>
      <c r="K8" s="34">
        <f>'SER_se-appl'!K21</f>
        <v>1557.1952379352122</v>
      </c>
      <c r="L8" s="34">
        <f>'SER_se-appl'!L21</f>
        <v>1604.9662846422723</v>
      </c>
      <c r="M8" s="34">
        <f>'SER_se-appl'!M21</f>
        <v>1655.9772573666132</v>
      </c>
      <c r="N8" s="34">
        <f>'SER_se-appl'!N21</f>
        <v>1718.6384844070262</v>
      </c>
      <c r="O8" s="34">
        <f>'SER_se-appl'!O21</f>
        <v>1789.3134635312329</v>
      </c>
      <c r="P8" s="34">
        <f>'SER_se-appl'!P21</f>
        <v>1880.2164320387083</v>
      </c>
      <c r="Q8" s="34">
        <f>'SER_se-appl'!Q21</f>
        <v>1990.3726391757755</v>
      </c>
      <c r="R8" s="34">
        <f>'SER_se-appl'!R21</f>
        <v>2045.2769590037237</v>
      </c>
      <c r="S8" s="34">
        <f>'SER_se-appl'!S21</f>
        <v>2104.6690989880622</v>
      </c>
      <c r="T8" s="34">
        <f>'SER_se-appl'!T21</f>
        <v>2159.4478771805339</v>
      </c>
      <c r="U8" s="34">
        <f>'SER_se-appl'!U21</f>
        <v>2209.4077083387915</v>
      </c>
      <c r="V8" s="34">
        <f>'SER_se-appl'!V21</f>
        <v>2250.900748164544</v>
      </c>
      <c r="W8" s="34">
        <f>'SER_se-appl'!W21</f>
        <v>2281.2792522298814</v>
      </c>
      <c r="X8" s="34">
        <f>'SER_se-appl'!X21</f>
        <v>2293.1198721888327</v>
      </c>
      <c r="Y8" s="34">
        <f>'SER_se-appl'!Y21</f>
        <v>2324.1258241248374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166.59327377726936</v>
      </c>
      <c r="D9" s="36">
        <f>'SER_se-appl'!D29</f>
        <v>191.29777066346242</v>
      </c>
      <c r="E9" s="36">
        <f>'SER_se-appl'!E29</f>
        <v>201.73160257506152</v>
      </c>
      <c r="F9" s="36">
        <f>'SER_se-appl'!F29</f>
        <v>216.63248992772378</v>
      </c>
      <c r="G9" s="36">
        <f>'SER_se-appl'!G29</f>
        <v>220.72391661886013</v>
      </c>
      <c r="H9" s="36">
        <f>'SER_se-appl'!H29</f>
        <v>232.44193765387263</v>
      </c>
      <c r="I9" s="36">
        <f>'SER_se-appl'!I29</f>
        <v>231.06580862993155</v>
      </c>
      <c r="J9" s="36">
        <f>'SER_se-appl'!J29</f>
        <v>214.06091642961428</v>
      </c>
      <c r="K9" s="36">
        <f>'SER_se-appl'!K29</f>
        <v>240.53856610014827</v>
      </c>
      <c r="L9" s="36">
        <f>'SER_se-appl'!L29</f>
        <v>249.50264928212164</v>
      </c>
      <c r="M9" s="36">
        <f>'SER_se-appl'!M29</f>
        <v>267.64346265206473</v>
      </c>
      <c r="N9" s="36">
        <f>'SER_se-appl'!N29</f>
        <v>283.38514365927313</v>
      </c>
      <c r="O9" s="36">
        <f>'SER_se-appl'!O29</f>
        <v>303.11691677807926</v>
      </c>
      <c r="P9" s="36">
        <f>'SER_se-appl'!P29</f>
        <v>321.96877713740696</v>
      </c>
      <c r="Q9" s="36">
        <f>'SER_se-appl'!Q29</f>
        <v>324.21712356668149</v>
      </c>
      <c r="R9" s="36">
        <f>'SER_se-appl'!R29</f>
        <v>295.44288592809653</v>
      </c>
      <c r="S9" s="36">
        <f>'SER_se-appl'!S29</f>
        <v>308.89478926646007</v>
      </c>
      <c r="T9" s="36">
        <f>'SER_se-appl'!T29</f>
        <v>322.42224084453642</v>
      </c>
      <c r="U9" s="36">
        <f>'SER_se-appl'!U29</f>
        <v>333.34497481753078</v>
      </c>
      <c r="V9" s="36">
        <f>'SER_se-appl'!V29</f>
        <v>344.60995660383173</v>
      </c>
      <c r="W9" s="36">
        <f>'SER_se-appl'!W29</f>
        <v>352.3472812027444</v>
      </c>
      <c r="X9" s="36">
        <f>'SER_se-appl'!X29</f>
        <v>336.05774352563276</v>
      </c>
      <c r="Y9" s="36">
        <f>'SER_se-appl'!Y29</f>
        <v>326.44883786410128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144.61856415247689</v>
      </c>
      <c r="D10" s="38">
        <f>'SER_se-appl'!D37</f>
        <v>150.84365311065812</v>
      </c>
      <c r="E10" s="38">
        <f>'SER_se-appl'!E37</f>
        <v>157.33670028543747</v>
      </c>
      <c r="F10" s="38">
        <f>'SER_se-appl'!F37</f>
        <v>164.10923990649803</v>
      </c>
      <c r="G10" s="38">
        <f>'SER_se-appl'!G37</f>
        <v>171.17330269307308</v>
      </c>
      <c r="H10" s="38">
        <f>'SER_se-appl'!H37</f>
        <v>178.54143722528011</v>
      </c>
      <c r="I10" s="38">
        <f>'SER_se-appl'!I37</f>
        <v>186.22673223538027</v>
      </c>
      <c r="J10" s="38">
        <f>'SER_se-appl'!J37</f>
        <v>166.59327377726936</v>
      </c>
      <c r="K10" s="38">
        <f>'SER_se-appl'!K37</f>
        <v>191.29777066346242</v>
      </c>
      <c r="L10" s="38">
        <f>'SER_se-appl'!L37</f>
        <v>201.73160257506152</v>
      </c>
      <c r="M10" s="38">
        <f>'SER_se-appl'!M37</f>
        <v>216.63248992772378</v>
      </c>
      <c r="N10" s="38">
        <f>'SER_se-appl'!N37</f>
        <v>220.72391661886013</v>
      </c>
      <c r="O10" s="38">
        <f>'SER_se-appl'!O37</f>
        <v>232.44193765387263</v>
      </c>
      <c r="P10" s="38">
        <f>'SER_se-appl'!P37</f>
        <v>231.06580862993178</v>
      </c>
      <c r="Q10" s="38">
        <f>'SER_se-appl'!Q37</f>
        <v>214.06091642961428</v>
      </c>
      <c r="R10" s="38">
        <f>'SER_se-appl'!R37</f>
        <v>240.53856610014827</v>
      </c>
      <c r="S10" s="38">
        <f>'SER_se-appl'!S37</f>
        <v>249.50264928212164</v>
      </c>
      <c r="T10" s="38">
        <f>'SER_se-appl'!T37</f>
        <v>267.6434626520645</v>
      </c>
      <c r="U10" s="38">
        <f>'SER_se-appl'!U37</f>
        <v>283.38514365927313</v>
      </c>
      <c r="V10" s="38">
        <f>'SER_se-appl'!V37</f>
        <v>303.11691677807903</v>
      </c>
      <c r="W10" s="38">
        <f>'SER_se-appl'!W37</f>
        <v>321.96877713740696</v>
      </c>
      <c r="X10" s="38">
        <f>'SER_se-appl'!X37</f>
        <v>324.21712356668149</v>
      </c>
      <c r="Y10" s="38">
        <f>'SER_se-appl'!Y37</f>
        <v>295.44288592809653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3777.6991712600125</v>
      </c>
      <c r="C12" s="204">
        <f>'SER_se-appl'!C45</f>
        <v>3777.7823112611045</v>
      </c>
      <c r="D12" s="204">
        <f>'SER_se-appl'!D45</f>
        <v>3778.9899141650981</v>
      </c>
      <c r="E12" s="204">
        <f>'SER_se-appl'!E45</f>
        <v>3784.3042666857855</v>
      </c>
      <c r="F12" s="204">
        <f>'SER_se-appl'!F45</f>
        <v>3788.1822577811004</v>
      </c>
      <c r="G12" s="204">
        <f>'SER_se-appl'!G45</f>
        <v>3791.1559334761282</v>
      </c>
      <c r="H12" s="204">
        <f>'SER_se-appl'!H45</f>
        <v>3793.6839250813273</v>
      </c>
      <c r="I12" s="204">
        <f>'SER_se-appl'!I45</f>
        <v>3793.3199122556125</v>
      </c>
      <c r="J12" s="204">
        <f>'SER_se-appl'!J45</f>
        <v>3790.1677965042259</v>
      </c>
      <c r="K12" s="204">
        <f>'SER_se-appl'!K45</f>
        <v>3786.8369223677555</v>
      </c>
      <c r="L12" s="204">
        <f>'SER_se-appl'!L45</f>
        <v>3779.8773156339807</v>
      </c>
      <c r="M12" s="204">
        <f>'SER_se-appl'!M45</f>
        <v>3768.5239332863721</v>
      </c>
      <c r="N12" s="204">
        <f>'SER_se-appl'!N45</f>
        <v>3747.2751849707956</v>
      </c>
      <c r="O12" s="204">
        <f>'SER_se-appl'!O45</f>
        <v>3719.3010678035457</v>
      </c>
      <c r="P12" s="204">
        <f>'SER_se-appl'!P45</f>
        <v>3695.1751732162784</v>
      </c>
      <c r="Q12" s="204">
        <f>'SER_se-appl'!Q45</f>
        <v>3674.265025646806</v>
      </c>
      <c r="R12" s="204">
        <f>'SER_se-appl'!R45</f>
        <v>3781.2636259421838</v>
      </c>
      <c r="S12" s="204">
        <f>'SER_se-appl'!S45</f>
        <v>3753.5308807464166</v>
      </c>
      <c r="T12" s="204">
        <f>'SER_se-appl'!T45</f>
        <v>3735.9338541990123</v>
      </c>
      <c r="U12" s="204">
        <f>'SER_se-appl'!U45</f>
        <v>3689.3303060928852</v>
      </c>
      <c r="V12" s="204">
        <f>'SER_se-appl'!V45</f>
        <v>3643.8283273900083</v>
      </c>
      <c r="W12" s="204">
        <f>'SER_se-appl'!W45</f>
        <v>3683.2892176822247</v>
      </c>
      <c r="X12" s="204">
        <f>'SER_se-appl'!X45</f>
        <v>3674.960295914002</v>
      </c>
      <c r="Y12" s="204">
        <f>'SER_se-appl'!Y45</f>
        <v>3666.6313741457798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194.08212314925382</v>
      </c>
      <c r="C14" s="59">
        <f>'SER_se-appl'!C53</f>
        <v>192.1545490787156</v>
      </c>
      <c r="D14" s="59">
        <f>'SER_se-appl'!D53</f>
        <v>189.76987535092883</v>
      </c>
      <c r="E14" s="59">
        <f>'SER_se-appl'!E53</f>
        <v>187.224039522288</v>
      </c>
      <c r="F14" s="59">
        <f>'SER_se-appl'!F53</f>
        <v>184.38584983836273</v>
      </c>
      <c r="G14" s="59">
        <f>'SER_se-appl'!G53</f>
        <v>181.2340562277401</v>
      </c>
      <c r="H14" s="59">
        <f>'SER_se-appl'!H53</f>
        <v>177.70383132655655</v>
      </c>
      <c r="I14" s="59">
        <f>'SER_se-appl'!I53</f>
        <v>173.99769833138274</v>
      </c>
      <c r="J14" s="59">
        <f>'SER_se-appl'!J53</f>
        <v>172.11242872304376</v>
      </c>
      <c r="K14" s="59">
        <f>'SER_se-appl'!K53</f>
        <v>169.94903085617395</v>
      </c>
      <c r="L14" s="59">
        <f>'SER_se-appl'!L53</f>
        <v>167.53920318423471</v>
      </c>
      <c r="M14" s="59">
        <f>'SER_se-appl'!M53</f>
        <v>164.73635519284656</v>
      </c>
      <c r="N14" s="59">
        <f>'SER_se-appl'!N53</f>
        <v>161.57950700943783</v>
      </c>
      <c r="O14" s="59">
        <f>'SER_se-appl'!O53</f>
        <v>157.92878036068046</v>
      </c>
      <c r="P14" s="59">
        <f>'SER_se-appl'!P53</f>
        <v>153.61557369610415</v>
      </c>
      <c r="Q14" s="59">
        <f>'SER_se-appl'!Q53</f>
        <v>148.68813765813005</v>
      </c>
      <c r="R14" s="59">
        <f>'SER_se-appl'!R53</f>
        <v>143.38836940947095</v>
      </c>
      <c r="S14" s="59">
        <f>'SER_se-appl'!S53</f>
        <v>137.661053426113</v>
      </c>
      <c r="T14" s="59">
        <f>'SER_se-appl'!T53</f>
        <v>131.54280009818277</v>
      </c>
      <c r="U14" s="59">
        <f>'SER_se-appl'!U53</f>
        <v>125.17955393068709</v>
      </c>
      <c r="V14" s="59">
        <f>'SER_se-appl'!V53</f>
        <v>118.59161329780765</v>
      </c>
      <c r="W14" s="59">
        <f>'SER_se-appl'!W53</f>
        <v>112.4696447072417</v>
      </c>
      <c r="X14" s="59">
        <f>'SER_se-appl'!X53</f>
        <v>107.3327893765687</v>
      </c>
      <c r="Y14" s="59">
        <f>'SER_se-appl'!Y53</f>
        <v>103.25130583750638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180.48877161471637</v>
      </c>
      <c r="D15" s="63">
        <f>'SER_se-appl'!D61</f>
        <v>178.52511532023641</v>
      </c>
      <c r="E15" s="63">
        <f>'SER_se-appl'!E61</f>
        <v>177.23615877780182</v>
      </c>
      <c r="F15" s="63">
        <f>'SER_se-appl'!F61</f>
        <v>175.22774114224356</v>
      </c>
      <c r="G15" s="63">
        <f>'SER_se-appl'!G61</f>
        <v>172.46053104786463</v>
      </c>
      <c r="H15" s="63">
        <f>'SER_se-appl'!H61</f>
        <v>169.60258155415926</v>
      </c>
      <c r="I15" s="63">
        <f>'SER_se-appl'!I61</f>
        <v>167.47868133055951</v>
      </c>
      <c r="J15" s="63">
        <f>'SER_se-appl'!J61</f>
        <v>165.76858503978039</v>
      </c>
      <c r="K15" s="63">
        <f>'SER_se-appl'!K61</f>
        <v>163.20699521700652</v>
      </c>
      <c r="L15" s="63">
        <f>'SER_se-appl'!L61</f>
        <v>160.33932058512235</v>
      </c>
      <c r="M15" s="63">
        <f>'SER_se-appl'!M61</f>
        <v>156.42043578241027</v>
      </c>
      <c r="N15" s="63">
        <f>'SER_se-appl'!N61</f>
        <v>151.6073309185974</v>
      </c>
      <c r="O15" s="63">
        <f>'SER_se-appl'!O61</f>
        <v>146.18150349056967</v>
      </c>
      <c r="P15" s="63">
        <f>'SER_se-appl'!P61</f>
        <v>139.59437381338006</v>
      </c>
      <c r="Q15" s="63">
        <f>'SER_se-appl'!Q61</f>
        <v>131.38988417547202</v>
      </c>
      <c r="R15" s="63">
        <f>'SER_se-appl'!R61</f>
        <v>123.81988373034508</v>
      </c>
      <c r="S15" s="63">
        <f>'SER_se-appl'!S61</f>
        <v>118.05677426434502</v>
      </c>
      <c r="T15" s="63">
        <f>'SER_se-appl'!T61</f>
        <v>112.25578644284749</v>
      </c>
      <c r="U15" s="63">
        <f>'SER_se-appl'!U61</f>
        <v>106.42463178589188</v>
      </c>
      <c r="V15" s="63">
        <f>'SER_se-appl'!V61</f>
        <v>100.6220675890475</v>
      </c>
      <c r="W15" s="63">
        <f>'SER_se-appl'!W61</f>
        <v>98.146764726356935</v>
      </c>
      <c r="X15" s="63">
        <f>'SER_se-appl'!X61</f>
        <v>95.67146186366638</v>
      </c>
      <c r="Y15" s="63">
        <f>'SER_se-appl'!Y61</f>
        <v>93.196159000975811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127.78834919148746</v>
      </c>
      <c r="C3" s="198">
        <f>'SER_se-appl'!C6</f>
        <v>134.37994512745163</v>
      </c>
      <c r="D3" s="198">
        <f>'SER_se-appl'!D6</f>
        <v>139.98565063501692</v>
      </c>
      <c r="E3" s="198">
        <f>'SER_se-appl'!E6</f>
        <v>147.09926917584113</v>
      </c>
      <c r="F3" s="198">
        <f>'SER_se-appl'!F6</f>
        <v>153.86117944010081</v>
      </c>
      <c r="G3" s="198">
        <f>'SER_se-appl'!G6</f>
        <v>158.68589887882547</v>
      </c>
      <c r="H3" s="198">
        <f>'SER_se-appl'!H6</f>
        <v>164.38258107258736</v>
      </c>
      <c r="I3" s="198">
        <f>'SER_se-appl'!I6</f>
        <v>169.18850402213386</v>
      </c>
      <c r="J3" s="198">
        <f>'SER_se-appl'!J6</f>
        <v>173.37134767062881</v>
      </c>
      <c r="K3" s="198">
        <f>'SER_se-appl'!K6</f>
        <v>174.3144056036584</v>
      </c>
      <c r="L3" s="198">
        <f>'SER_se-appl'!L6</f>
        <v>169.68618977441625</v>
      </c>
      <c r="M3" s="198">
        <f>'SER_se-appl'!M6</f>
        <v>167.07436418043258</v>
      </c>
      <c r="N3" s="198">
        <f>'SER_se-appl'!N6</f>
        <v>167.65071596796761</v>
      </c>
      <c r="O3" s="198">
        <f>'SER_se-appl'!O6</f>
        <v>166.25641736366455</v>
      </c>
      <c r="P3" s="198">
        <f>'SER_se-appl'!P6</f>
        <v>164.76797915184272</v>
      </c>
      <c r="Q3" s="198">
        <f>'SER_se-appl'!Q6</f>
        <v>164.18007674578504</v>
      </c>
      <c r="R3" s="198">
        <f>'SER_se-appl'!R6</f>
        <v>164.40701470784401</v>
      </c>
      <c r="S3" s="198">
        <f>'SER_se-appl'!S6</f>
        <v>158.83851247075611</v>
      </c>
      <c r="T3" s="198">
        <f>'SER_se-appl'!T6</f>
        <v>148.88395086462774</v>
      </c>
      <c r="U3" s="198">
        <f>'SER_se-appl'!U6</f>
        <v>136.98023784345619</v>
      </c>
      <c r="V3" s="198">
        <f>'SER_se-appl'!V6</f>
        <v>111.17648497782321</v>
      </c>
      <c r="W3" s="198">
        <f>'SER_se-appl'!W6</f>
        <v>108.73755407403884</v>
      </c>
      <c r="X3" s="198">
        <f>'SER_se-appl'!X6</f>
        <v>106.73421576981947</v>
      </c>
      <c r="Y3" s="198">
        <f>'SER_se-appl'!Y6</f>
        <v>101.97431449059741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650.07726272597995</v>
      </c>
      <c r="C5" s="59">
        <f>'SER_se-appl'!C14</f>
        <v>676.8054823105266</v>
      </c>
      <c r="D5" s="59">
        <f>'SER_se-appl'!D14</f>
        <v>697.21396696806005</v>
      </c>
      <c r="E5" s="59">
        <f>'SER_se-appl'!E14</f>
        <v>725.16209437747079</v>
      </c>
      <c r="F5" s="59">
        <f>'SER_se-appl'!F14</f>
        <v>751.90104346913608</v>
      </c>
      <c r="G5" s="59">
        <f>'SER_se-appl'!G14</f>
        <v>771.44084245532292</v>
      </c>
      <c r="H5" s="59">
        <f>'SER_se-appl'!H14</f>
        <v>797.08772490806325</v>
      </c>
      <c r="I5" s="59">
        <f>'SER_se-appl'!I14</f>
        <v>816.40026908290406</v>
      </c>
      <c r="J5" s="59">
        <f>'SER_se-appl'!J14</f>
        <v>833.37183320610984</v>
      </c>
      <c r="K5" s="59">
        <f>'SER_se-appl'!K14</f>
        <v>835.19907059386355</v>
      </c>
      <c r="L5" s="59">
        <f>'SER_se-appl'!L14</f>
        <v>810.52588828343323</v>
      </c>
      <c r="M5" s="59">
        <f>'SER_se-appl'!M14</f>
        <v>796.84888277327821</v>
      </c>
      <c r="N5" s="59">
        <f>'SER_se-appl'!N14</f>
        <v>796.44726550319581</v>
      </c>
      <c r="O5" s="59">
        <f>'SER_se-appl'!O14</f>
        <v>787.06130273859878</v>
      </c>
      <c r="P5" s="59">
        <f>'SER_se-appl'!P14</f>
        <v>775.4025140300879</v>
      </c>
      <c r="Q5" s="59">
        <f>'SER_se-appl'!Q14</f>
        <v>768.51937205634431</v>
      </c>
      <c r="R5" s="59">
        <f>'SER_se-appl'!R14</f>
        <v>744.45514866263511</v>
      </c>
      <c r="S5" s="59">
        <f>'SER_se-appl'!S14</f>
        <v>719.7098377930389</v>
      </c>
      <c r="T5" s="59">
        <f>'SER_se-appl'!T14</f>
        <v>680.6031408614424</v>
      </c>
      <c r="U5" s="59">
        <f>'SER_se-appl'!U14</f>
        <v>637.77436768850657</v>
      </c>
      <c r="V5" s="59">
        <f>'SER_se-appl'!V14</f>
        <v>593.97830868383517</v>
      </c>
      <c r="W5" s="59">
        <f>'SER_se-appl'!W14</f>
        <v>548.03100547297913</v>
      </c>
      <c r="X5" s="59">
        <f>'SER_se-appl'!X14</f>
        <v>520.65037125129618</v>
      </c>
      <c r="Y5" s="59">
        <f>'SER_se-appl'!Y14</f>
        <v>489.56660313031693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168.28752037822844</v>
      </c>
      <c r="C6" s="201">
        <f>'SER_se-appl'!C70</f>
        <v>168.78548699201465</v>
      </c>
      <c r="D6" s="201">
        <f>'SER_se-appl'!D70</f>
        <v>170.00608509678287</v>
      </c>
      <c r="E6" s="201">
        <f>'SER_se-appl'!E70</f>
        <v>172.08010891471352</v>
      </c>
      <c r="F6" s="201">
        <f>'SER_se-appl'!F70</f>
        <v>174.36864120480095</v>
      </c>
      <c r="G6" s="201">
        <f>'SER_se-appl'!G70</f>
        <v>177.17182959576905</v>
      </c>
      <c r="H6" s="201">
        <f>'SER_se-appl'!H70</f>
        <v>179.67669564198536</v>
      </c>
      <c r="I6" s="201">
        <f>'SER_se-appl'!I70</f>
        <v>182.75277513064665</v>
      </c>
      <c r="J6" s="201">
        <f>'SER_se-appl'!J70</f>
        <v>187.37363808434304</v>
      </c>
      <c r="K6" s="201">
        <f>'SER_se-appl'!K70</f>
        <v>192.8334919448836</v>
      </c>
      <c r="L6" s="201">
        <f>'SER_se-appl'!L70</f>
        <v>198.78830581627628</v>
      </c>
      <c r="M6" s="201">
        <f>'SER_se-appl'!M70</f>
        <v>206.6724842501292</v>
      </c>
      <c r="N6" s="201">
        <f>'SER_se-appl'!N70</f>
        <v>215.38750094766911</v>
      </c>
      <c r="O6" s="201">
        <f>'SER_se-appl'!O70</f>
        <v>224.28066503667731</v>
      </c>
      <c r="P6" s="201">
        <f>'SER_se-appl'!P70</f>
        <v>232.84237443022084</v>
      </c>
      <c r="Q6" s="201">
        <f>'SER_se-appl'!Q70</f>
        <v>243.87829072759763</v>
      </c>
      <c r="R6" s="201">
        <f>'SER_se-appl'!R70</f>
        <v>249.93963030727156</v>
      </c>
      <c r="S6" s="201">
        <f>'SER_se-appl'!S70</f>
        <v>256.09252749166524</v>
      </c>
      <c r="T6" s="201">
        <f>'SER_se-appl'!T70</f>
        <v>261.94581287996095</v>
      </c>
      <c r="U6" s="201">
        <f>'SER_se-appl'!U70</f>
        <v>267.26026608834519</v>
      </c>
      <c r="V6" s="201">
        <f>'SER_se-appl'!V70</f>
        <v>271.59007015139434</v>
      </c>
      <c r="W6" s="201">
        <f>'SER_se-appl'!W70</f>
        <v>274.20746241903822</v>
      </c>
      <c r="X6" s="201">
        <f>'SER_se-appl'!X70</f>
        <v>275.52560262710062</v>
      </c>
      <c r="Y6" s="201">
        <f>'SER_se-appl'!Y70</f>
        <v>276.18704698826525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13.853646249506056</v>
      </c>
      <c r="C8" s="34">
        <f>'SER_se-appl'!C22</f>
        <v>14.518173197638911</v>
      </c>
      <c r="D8" s="34">
        <f>'SER_se-appl'!D22</f>
        <v>15.122484366981595</v>
      </c>
      <c r="E8" s="34">
        <f>'SER_se-appl'!E22</f>
        <v>15.977897141527956</v>
      </c>
      <c r="F8" s="34">
        <f>'SER_se-appl'!F22</f>
        <v>16.865302070751287</v>
      </c>
      <c r="G8" s="34">
        <f>'SER_se-appl'!G22</f>
        <v>17.63032546911499</v>
      </c>
      <c r="H8" s="34">
        <f>'SER_se-appl'!H22</f>
        <v>18.638040608534311</v>
      </c>
      <c r="I8" s="34">
        <f>'SER_se-appl'!I22</f>
        <v>19.533151610159052</v>
      </c>
      <c r="J8" s="34">
        <f>'SER_se-appl'!J22</f>
        <v>20.398248174477175</v>
      </c>
      <c r="K8" s="34">
        <f>'SER_se-appl'!K22</f>
        <v>20.972892055824872</v>
      </c>
      <c r="L8" s="34">
        <f>'SER_se-appl'!L22</f>
        <v>20.898798465493229</v>
      </c>
      <c r="M8" s="34">
        <f>'SER_se-appl'!M22</f>
        <v>21.2205876782497</v>
      </c>
      <c r="N8" s="34">
        <f>'SER_se-appl'!N22</f>
        <v>22.150523501074879</v>
      </c>
      <c r="O8" s="34">
        <f>'SER_se-appl'!O22</f>
        <v>23.026182903604081</v>
      </c>
      <c r="P8" s="34">
        <f>'SER_se-appl'!P22</f>
        <v>23.934123935989653</v>
      </c>
      <c r="Q8" s="34">
        <f>'SER_se-appl'!Q22</f>
        <v>25.146655271835201</v>
      </c>
      <c r="R8" s="34">
        <f>'SER_se-appl'!R22</f>
        <v>25.781856070674582</v>
      </c>
      <c r="S8" s="34">
        <f>'SER_se-appl'!S22</f>
        <v>26.593096580695022</v>
      </c>
      <c r="T8" s="34">
        <f>'SER_se-appl'!T22</f>
        <v>27.39058067424935</v>
      </c>
      <c r="U8" s="34">
        <f>'SER_se-appl'!U22</f>
        <v>28.170027140832275</v>
      </c>
      <c r="V8" s="34">
        <f>'SER_se-appl'!V22</f>
        <v>28.845243673792364</v>
      </c>
      <c r="W8" s="34">
        <f>'SER_se-appl'!W22</f>
        <v>29.328410752390706</v>
      </c>
      <c r="X8" s="34">
        <f>'SER_se-appl'!X22</f>
        <v>29.644196481154061</v>
      </c>
      <c r="Y8" s="34">
        <f>'SER_se-appl'!Y22</f>
        <v>29.853885228962291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2.8279968154767356</v>
      </c>
      <c r="D9" s="36">
        <f>'SER_se-appl'!D30</f>
        <v>2.823984418626047</v>
      </c>
      <c r="E9" s="36">
        <f>'SER_se-appl'!E30</f>
        <v>3.1327494770136042</v>
      </c>
      <c r="F9" s="36">
        <f>'SER_se-appl'!F30</f>
        <v>3.2239030863637126</v>
      </c>
      <c r="G9" s="36">
        <f>'SER_se-appl'!G30</f>
        <v>3.1622199272765918</v>
      </c>
      <c r="H9" s="36">
        <f>'SER_se-appl'!H30</f>
        <v>3.4671868837776181</v>
      </c>
      <c r="I9" s="36">
        <f>'SER_se-appl'!I30</f>
        <v>3.7231078171014769</v>
      </c>
      <c r="J9" s="36">
        <f>'SER_se-appl'!J30</f>
        <v>3.6890809829441693</v>
      </c>
      <c r="K9" s="36">
        <f>'SER_se-appl'!K30</f>
        <v>3.7073933583613012</v>
      </c>
      <c r="L9" s="36">
        <f>'SER_se-appl'!L30</f>
        <v>3.1498094960320699</v>
      </c>
      <c r="M9" s="36">
        <f>'SER_se-appl'!M30</f>
        <v>3.4840091400330628</v>
      </c>
      <c r="N9" s="36">
        <f>'SER_se-appl'!N30</f>
        <v>4.3971227066027971</v>
      </c>
      <c r="O9" s="36">
        <f>'SER_se-appl'!O30</f>
        <v>4.5987672196306804</v>
      </c>
      <c r="P9" s="36">
        <f>'SER_se-appl'!P30</f>
        <v>4.5970220153297419</v>
      </c>
      <c r="Q9" s="36">
        <f>'SER_se-appl'!Q30</f>
        <v>4.9199246942068484</v>
      </c>
      <c r="R9" s="36">
        <f>'SER_se-appl'!R30</f>
        <v>3.7850102948714515</v>
      </c>
      <c r="S9" s="36">
        <f>'SER_se-appl'!S30</f>
        <v>4.2952496500535027</v>
      </c>
      <c r="T9" s="36">
        <f>'SER_se-appl'!T30</f>
        <v>5.1946068001571248</v>
      </c>
      <c r="U9" s="36">
        <f>'SER_se-appl'!U30</f>
        <v>5.3782136862136056</v>
      </c>
      <c r="V9" s="36">
        <f>'SER_se-appl'!V30</f>
        <v>5.2722385482898311</v>
      </c>
      <c r="W9" s="36">
        <f>'SER_se-appl'!W30</f>
        <v>5.4030917728051904</v>
      </c>
      <c r="X9" s="36">
        <f>'SER_se-appl'!X30</f>
        <v>4.1007960236348069</v>
      </c>
      <c r="Y9" s="36">
        <f>'SER_se-appl'!Y30</f>
        <v>4.5049383978617321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2.163469867343883</v>
      </c>
      <c r="D10" s="38">
        <f>'SER_se-appl'!D38</f>
        <v>2.2196732492833604</v>
      </c>
      <c r="E10" s="38">
        <f>'SER_se-appl'!E38</f>
        <v>2.2773367024672435</v>
      </c>
      <c r="F10" s="38">
        <f>'SER_se-appl'!F38</f>
        <v>2.3364981571403796</v>
      </c>
      <c r="G10" s="38">
        <f>'SER_se-appl'!G38</f>
        <v>2.3971965289128896</v>
      </c>
      <c r="H10" s="38">
        <f>'SER_se-appl'!H38</f>
        <v>2.4594717443582965</v>
      </c>
      <c r="I10" s="38">
        <f>'SER_se-appl'!I38</f>
        <v>2.8279968154767374</v>
      </c>
      <c r="J10" s="38">
        <f>'SER_se-appl'!J38</f>
        <v>2.823984418626047</v>
      </c>
      <c r="K10" s="38">
        <f>'SER_se-appl'!K38</f>
        <v>3.1327494770136042</v>
      </c>
      <c r="L10" s="38">
        <f>'SER_se-appl'!L38</f>
        <v>3.2239030863637126</v>
      </c>
      <c r="M10" s="38">
        <f>'SER_se-appl'!M38</f>
        <v>3.1622199272765918</v>
      </c>
      <c r="N10" s="38">
        <f>'SER_se-appl'!N38</f>
        <v>3.4671868837776181</v>
      </c>
      <c r="O10" s="38">
        <f>'SER_se-appl'!O38</f>
        <v>3.7231078171014786</v>
      </c>
      <c r="P10" s="38">
        <f>'SER_se-appl'!P38</f>
        <v>3.6890809829441693</v>
      </c>
      <c r="Q10" s="38">
        <f>'SER_se-appl'!Q38</f>
        <v>3.7073933583613012</v>
      </c>
      <c r="R10" s="38">
        <f>'SER_se-appl'!R38</f>
        <v>3.1498094960320699</v>
      </c>
      <c r="S10" s="38">
        <f>'SER_se-appl'!S38</f>
        <v>3.4840091400330628</v>
      </c>
      <c r="T10" s="38">
        <f>'SER_se-appl'!T38</f>
        <v>4.3971227066027971</v>
      </c>
      <c r="U10" s="38">
        <f>'SER_se-appl'!U38</f>
        <v>4.5987672196306804</v>
      </c>
      <c r="V10" s="38">
        <f>'SER_se-appl'!V38</f>
        <v>4.5970220153297454</v>
      </c>
      <c r="W10" s="38">
        <f>'SER_se-appl'!W38</f>
        <v>4.9199246942068449</v>
      </c>
      <c r="X10" s="38">
        <f>'SER_se-appl'!X38</f>
        <v>3.7850102948714479</v>
      </c>
      <c r="Y10" s="38">
        <f>'SER_se-appl'!Y38</f>
        <v>4.2952496500534991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2286.1567175338232</v>
      </c>
      <c r="C12" s="204">
        <f>'SER_se-appl'!C46</f>
        <v>2309.1402222348029</v>
      </c>
      <c r="D12" s="204">
        <f>'SER_se-appl'!D46</f>
        <v>2335.0552255357047</v>
      </c>
      <c r="E12" s="204">
        <f>'SER_se-appl'!E46</f>
        <v>2359.14771852998</v>
      </c>
      <c r="F12" s="204">
        <f>'SER_se-appl'!F46</f>
        <v>2379.8417789558816</v>
      </c>
      <c r="G12" s="204">
        <f>'SER_se-appl'!G46</f>
        <v>2392.2988029605408</v>
      </c>
      <c r="H12" s="204">
        <f>'SER_se-appl'!H46</f>
        <v>2398.4429293459461</v>
      </c>
      <c r="I12" s="204">
        <f>'SER_se-appl'!I46</f>
        <v>2410.1686100468496</v>
      </c>
      <c r="J12" s="204">
        <f>'SER_se-appl'!J46</f>
        <v>2419.4587494664447</v>
      </c>
      <c r="K12" s="204">
        <f>'SER_se-appl'!K46</f>
        <v>2427.2974055503482</v>
      </c>
      <c r="L12" s="204">
        <f>'SER_se-appl'!L46</f>
        <v>2434.77773579314</v>
      </c>
      <c r="M12" s="204">
        <f>'SER_se-appl'!M46</f>
        <v>2438.448365085153</v>
      </c>
      <c r="N12" s="204">
        <f>'SER_se-appl'!N46</f>
        <v>2448.0940686959266</v>
      </c>
      <c r="O12" s="204">
        <f>'SER_se-appl'!O46</f>
        <v>2456.6855557648973</v>
      </c>
      <c r="P12" s="204">
        <f>'SER_se-appl'!P46</f>
        <v>2471.2991805718784</v>
      </c>
      <c r="Q12" s="204">
        <f>'SER_se-appl'!Q46</f>
        <v>2484.5363200727365</v>
      </c>
      <c r="R12" s="204">
        <f>'SER_se-appl'!R46</f>
        <v>2568.3932530886582</v>
      </c>
      <c r="S12" s="204">
        <f>'SER_se-appl'!S46</f>
        <v>2566.7175895490595</v>
      </c>
      <c r="T12" s="204">
        <f>'SER_se-appl'!T46</f>
        <v>2544.0969114013014</v>
      </c>
      <c r="U12" s="204">
        <f>'SER_se-appl'!U46</f>
        <v>2497.8742433522616</v>
      </c>
      <c r="V12" s="204">
        <f>'SER_se-appl'!V46</f>
        <v>2176.8177413029357</v>
      </c>
      <c r="W12" s="204">
        <f>'SER_se-appl'!W46</f>
        <v>2307.566070627046</v>
      </c>
      <c r="X12" s="204">
        <f>'SER_se-appl'!X46</f>
        <v>2384.1698728067704</v>
      </c>
      <c r="Y12" s="204">
        <f>'SER_se-appl'!Y46</f>
        <v>2422.4717738966328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46.924632765843725</v>
      </c>
      <c r="C14" s="59">
        <f>'SER_se-appl'!C54</f>
        <v>46.617812936726459</v>
      </c>
      <c r="D14" s="59">
        <f>'SER_se-appl'!D54</f>
        <v>46.104459429322063</v>
      </c>
      <c r="E14" s="59">
        <f>'SER_se-appl'!E54</f>
        <v>45.385327490481266</v>
      </c>
      <c r="F14" s="59">
        <f>'SER_se-appl'!F54</f>
        <v>44.582720209507734</v>
      </c>
      <c r="G14" s="59">
        <f>'SER_se-appl'!G54</f>
        <v>43.756471983840683</v>
      </c>
      <c r="H14" s="59">
        <f>'SER_se-appl'!H54</f>
        <v>42.766712534314301</v>
      </c>
      <c r="I14" s="59">
        <f>'SER_se-appl'!I54</f>
        <v>41.795624453060618</v>
      </c>
      <c r="J14" s="59">
        <f>'SER_se-appl'!J54</f>
        <v>40.855068831295355</v>
      </c>
      <c r="K14" s="59">
        <f>'SER_se-appl'!K54</f>
        <v>39.8227897407168</v>
      </c>
      <c r="L14" s="59">
        <f>'SER_se-appl'!L54</f>
        <v>38.783372624111486</v>
      </c>
      <c r="M14" s="59">
        <f>'SER_se-appl'!M54</f>
        <v>37.550745288266363</v>
      </c>
      <c r="N14" s="59">
        <f>'SER_se-appl'!N54</f>
        <v>35.956137355604589</v>
      </c>
      <c r="O14" s="59">
        <f>'SER_se-appl'!O54</f>
        <v>34.181145265523242</v>
      </c>
      <c r="P14" s="59">
        <f>'SER_se-appl'!P54</f>
        <v>32.397363534335092</v>
      </c>
      <c r="Q14" s="59">
        <f>'SER_se-appl'!Q54</f>
        <v>30.561494709680243</v>
      </c>
      <c r="R14" s="59">
        <f>'SER_se-appl'!R54</f>
        <v>28.875157266485989</v>
      </c>
      <c r="S14" s="59">
        <f>'SER_se-appl'!S54</f>
        <v>27.063784603238144</v>
      </c>
      <c r="T14" s="59">
        <f>'SER_se-appl'!T54</f>
        <v>24.848072735504161</v>
      </c>
      <c r="U14" s="59">
        <f>'SER_se-appl'!U54</f>
        <v>22.6401758329887</v>
      </c>
      <c r="V14" s="59">
        <f>'SER_se-appl'!V54</f>
        <v>20.591897763148388</v>
      </c>
      <c r="W14" s="59">
        <f>'SER_se-appl'!W54</f>
        <v>18.68601098435947</v>
      </c>
      <c r="X14" s="59">
        <f>'SER_se-appl'!X54</f>
        <v>17.563315355243088</v>
      </c>
      <c r="Y14" s="59">
        <f>'SER_se-appl'!Y54</f>
        <v>16.39875679080361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45.349502484502317</v>
      </c>
      <c r="D15" s="63">
        <f>'SER_se-appl'!D62</f>
        <v>44.10995893558345</v>
      </c>
      <c r="E15" s="63">
        <f>'SER_se-appl'!E62</f>
        <v>43.032906667460942</v>
      </c>
      <c r="F15" s="63">
        <f>'SER_se-appl'!F62</f>
        <v>42.302222932939159</v>
      </c>
      <c r="G15" s="63">
        <f>'SER_se-appl'!G62</f>
        <v>41.751481177555476</v>
      </c>
      <c r="H15" s="63">
        <f>'SER_se-appl'!H62</f>
        <v>40.683325007574027</v>
      </c>
      <c r="I15" s="63">
        <f>'SER_se-appl'!I62</f>
        <v>39.633768355208986</v>
      </c>
      <c r="J15" s="63">
        <f>'SER_se-appl'!J62</f>
        <v>38.366574634143852</v>
      </c>
      <c r="K15" s="63">
        <f>'SER_se-appl'!K62</f>
        <v>36.85569348514251</v>
      </c>
      <c r="L15" s="63">
        <f>'SER_se-appl'!L62</f>
        <v>35.46407644774618</v>
      </c>
      <c r="M15" s="63">
        <f>'SER_se-appl'!M62</f>
        <v>33.969589488993456</v>
      </c>
      <c r="N15" s="63">
        <f>'SER_se-appl'!N62</f>
        <v>31.98798008830417</v>
      </c>
      <c r="O15" s="63">
        <f>'SER_se-appl'!O62</f>
        <v>30.04605874157884</v>
      </c>
      <c r="P15" s="63">
        <f>'SER_se-appl'!P62</f>
        <v>28.252771407643799</v>
      </c>
      <c r="Q15" s="63">
        <f>'SER_se-appl'!Q62</f>
        <v>26.373454744878327</v>
      </c>
      <c r="R15" s="63">
        <f>'SER_se-appl'!R62</f>
        <v>23.154722059318864</v>
      </c>
      <c r="S15" s="63">
        <f>'SER_se-appl'!S62</f>
        <v>21.792691233223685</v>
      </c>
      <c r="T15" s="63">
        <f>'SER_se-appl'!T62</f>
        <v>19.548809093687787</v>
      </c>
      <c r="U15" s="63">
        <f>'SER_se-appl'!U62</f>
        <v>17.728201668770211</v>
      </c>
      <c r="V15" s="63">
        <f>'SER_se-appl'!V62</f>
        <v>16.32751484248918</v>
      </c>
      <c r="W15" s="63">
        <f>'SER_se-appl'!W62</f>
        <v>15.511139100364719</v>
      </c>
      <c r="X15" s="63">
        <f>'SER_se-appl'!X62</f>
        <v>14.694763358240261</v>
      </c>
      <c r="Y15" s="63">
        <f>'SER_se-appl'!Y62</f>
        <v>13.8783876161158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122.23398189403426</v>
      </c>
      <c r="C3" s="198">
        <f>'SER_se-appl'!C7</f>
        <v>122.99093191670502</v>
      </c>
      <c r="D3" s="198">
        <f>'SER_se-appl'!D7</f>
        <v>125.1050883256014</v>
      </c>
      <c r="E3" s="198">
        <f>'SER_se-appl'!E7</f>
        <v>127.66841810242343</v>
      </c>
      <c r="F3" s="198">
        <f>'SER_se-appl'!F7</f>
        <v>132.15242064310644</v>
      </c>
      <c r="G3" s="198">
        <f>'SER_se-appl'!G7</f>
        <v>136.82111680327776</v>
      </c>
      <c r="H3" s="198">
        <f>'SER_se-appl'!H7</f>
        <v>142.67144868118982</v>
      </c>
      <c r="I3" s="198">
        <f>'SER_se-appl'!I7</f>
        <v>147.1389333616188</v>
      </c>
      <c r="J3" s="198">
        <f>'SER_se-appl'!J7</f>
        <v>150.53417400095603</v>
      </c>
      <c r="K3" s="198">
        <f>'SER_se-appl'!K7</f>
        <v>151.7781295431368</v>
      </c>
      <c r="L3" s="198">
        <f>'SER_se-appl'!L7</f>
        <v>152.35977162499398</v>
      </c>
      <c r="M3" s="198">
        <f>'SER_se-appl'!M7</f>
        <v>152.5448779106959</v>
      </c>
      <c r="N3" s="198">
        <f>'SER_se-appl'!N7</f>
        <v>152.4765277269442</v>
      </c>
      <c r="O3" s="198">
        <f>'SER_se-appl'!O7</f>
        <v>152.0920591451239</v>
      </c>
      <c r="P3" s="198">
        <f>'SER_se-appl'!P7</f>
        <v>152.26075697306541</v>
      </c>
      <c r="Q3" s="198">
        <f>'SER_se-appl'!Q7</f>
        <v>153.33253273389425</v>
      </c>
      <c r="R3" s="198">
        <f>'SER_se-appl'!R7</f>
        <v>151.25626955956767</v>
      </c>
      <c r="S3" s="198">
        <f>'SER_se-appl'!S7</f>
        <v>149.71672997435695</v>
      </c>
      <c r="T3" s="198">
        <f>'SER_se-appl'!T7</f>
        <v>148.19041204314345</v>
      </c>
      <c r="U3" s="198">
        <f>'SER_se-appl'!U7</f>
        <v>146.95082001537904</v>
      </c>
      <c r="V3" s="198">
        <f>'SER_se-appl'!V7</f>
        <v>145.64084764438937</v>
      </c>
      <c r="W3" s="198">
        <f>'SER_se-appl'!W7</f>
        <v>144.58490283457817</v>
      </c>
      <c r="X3" s="198">
        <f>'SER_se-appl'!X7</f>
        <v>142.76492810262368</v>
      </c>
      <c r="Y3" s="198">
        <f>'SER_se-appl'!Y7</f>
        <v>141.38622879713571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162.28095998032177</v>
      </c>
      <c r="C5" s="59">
        <f>'SER_se-appl'!C15</f>
        <v>163.28590618621911</v>
      </c>
      <c r="D5" s="59">
        <f>'SER_se-appl'!D15</f>
        <v>166.09271429529042</v>
      </c>
      <c r="E5" s="59">
        <f>'SER_se-appl'!E15</f>
        <v>169.49585645333161</v>
      </c>
      <c r="F5" s="59">
        <f>'SER_se-appl'!F15</f>
        <v>175.44893288576804</v>
      </c>
      <c r="G5" s="59">
        <f>'SER_se-appl'!G15</f>
        <v>181.64721329019633</v>
      </c>
      <c r="H5" s="59">
        <f>'SER_se-appl'!H15</f>
        <v>189.41426348883985</v>
      </c>
      <c r="I5" s="59">
        <f>'SER_se-appl'!I15</f>
        <v>195.34541038762865</v>
      </c>
      <c r="J5" s="59">
        <f>'SER_se-appl'!J15</f>
        <v>199.85301867935149</v>
      </c>
      <c r="K5" s="59">
        <f>'SER_se-appl'!K15</f>
        <v>201.50452586605948</v>
      </c>
      <c r="L5" s="59">
        <f>'SER_se-appl'!L15</f>
        <v>202.27672876697258</v>
      </c>
      <c r="M5" s="59">
        <f>'SER_se-appl'!M15</f>
        <v>202.5224806051819</v>
      </c>
      <c r="N5" s="59">
        <f>'SER_se-appl'!N15</f>
        <v>202.43173715346589</v>
      </c>
      <c r="O5" s="59">
        <f>'SER_se-appl'!O15</f>
        <v>201.92130683308119</v>
      </c>
      <c r="P5" s="59">
        <f>'SER_se-appl'!P15</f>
        <v>202.14527438319067</v>
      </c>
      <c r="Q5" s="59">
        <f>'SER_se-appl'!Q15</f>
        <v>203.56819128940532</v>
      </c>
      <c r="R5" s="59">
        <f>'SER_se-appl'!R15</f>
        <v>200.81169120750829</v>
      </c>
      <c r="S5" s="59">
        <f>'SER_se-appl'!S15</f>
        <v>198.76775908696027</v>
      </c>
      <c r="T5" s="59">
        <f>'SER_se-appl'!T15</f>
        <v>196.7413803723469</v>
      </c>
      <c r="U5" s="59">
        <f>'SER_se-appl'!U15</f>
        <v>195.09566629895642</v>
      </c>
      <c r="V5" s="59">
        <f>'SER_se-appl'!V15</f>
        <v>193.35651348222018</v>
      </c>
      <c r="W5" s="59">
        <f>'SER_se-appl'!W15</f>
        <v>191.95461415138638</v>
      </c>
      <c r="X5" s="59">
        <f>'SER_se-appl'!X15</f>
        <v>189.53836915907692</v>
      </c>
      <c r="Y5" s="59">
        <f>'SER_se-appl'!Y15</f>
        <v>187.70797270669965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2.1557979294156801E-2</v>
      </c>
      <c r="C6" s="201">
        <f>'SER_se-appl'!C71</f>
        <v>2.1774024889162819E-2</v>
      </c>
      <c r="D6" s="201">
        <f>'SER_se-appl'!D71</f>
        <v>2.2319687633700659E-2</v>
      </c>
      <c r="E6" s="201">
        <f>'SER_se-appl'!E71</f>
        <v>2.305083801264033E-2</v>
      </c>
      <c r="F6" s="201">
        <f>'SER_se-appl'!F71</f>
        <v>2.4207984943285028E-2</v>
      </c>
      <c r="G6" s="201">
        <f>'SER_se-appl'!G71</f>
        <v>2.5438326797231344E-2</v>
      </c>
      <c r="H6" s="201">
        <f>'SER_se-appl'!H71</f>
        <v>2.695361064194891E-2</v>
      </c>
      <c r="I6" s="201">
        <f>'SER_se-appl'!I71</f>
        <v>2.8273811531683141E-2</v>
      </c>
      <c r="J6" s="201">
        <f>'SER_se-appl'!J71</f>
        <v>2.9468825393535403E-2</v>
      </c>
      <c r="K6" s="201">
        <f>'SER_se-appl'!K71</f>
        <v>3.0264225402808376E-2</v>
      </c>
      <c r="L6" s="201">
        <f>'SER_se-appl'!L71</f>
        <v>3.101918023603286E-2</v>
      </c>
      <c r="M6" s="201">
        <f>'SER_se-appl'!M71</f>
        <v>3.1553195754508954E-2</v>
      </c>
      <c r="N6" s="201">
        <f>'SER_se-appl'!N71</f>
        <v>3.2183591720781654E-2</v>
      </c>
      <c r="O6" s="201">
        <f>'SER_se-appl'!O71</f>
        <v>3.2912063825931648E-2</v>
      </c>
      <c r="P6" s="201">
        <f>'SER_se-appl'!P71</f>
        <v>3.3916608596539374E-2</v>
      </c>
      <c r="Q6" s="201">
        <f>'SER_se-appl'!Q71</f>
        <v>3.5128010834396178E-2</v>
      </c>
      <c r="R6" s="201">
        <f>'SER_se-appl'!R71</f>
        <v>3.5650444402603142E-2</v>
      </c>
      <c r="S6" s="201">
        <f>'SER_se-appl'!S71</f>
        <v>3.6061688373595524E-2</v>
      </c>
      <c r="T6" s="201">
        <f>'SER_se-appl'!T71</f>
        <v>3.647044883233775E-2</v>
      </c>
      <c r="U6" s="201">
        <f>'SER_se-appl'!U71</f>
        <v>3.6821465318678782E-2</v>
      </c>
      <c r="V6" s="201">
        <f>'SER_se-appl'!V71</f>
        <v>3.7091397758486772E-2</v>
      </c>
      <c r="W6" s="201">
        <f>'SER_se-appl'!W71</f>
        <v>3.7434222682944267E-2</v>
      </c>
      <c r="X6" s="201">
        <f>'SER_se-appl'!X71</f>
        <v>3.8305211890542007E-2</v>
      </c>
      <c r="Y6" s="201">
        <f>'SER_se-appl'!Y71</f>
        <v>3.8748276830564574E-2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232.30074374755696</v>
      </c>
      <c r="C8" s="34">
        <f>'SER_se-appl'!C23</f>
        <v>235.94309418469453</v>
      </c>
      <c r="D8" s="34">
        <f>'SER_se-appl'!D23</f>
        <v>243.02287455014442</v>
      </c>
      <c r="E8" s="34">
        <f>'SER_se-appl'!E23</f>
        <v>251.61764605323896</v>
      </c>
      <c r="F8" s="34">
        <f>'SER_se-appl'!F23</f>
        <v>264.84428802598228</v>
      </c>
      <c r="G8" s="34">
        <f>'SER_se-appl'!G23</f>
        <v>279.05620639286968</v>
      </c>
      <c r="H8" s="34">
        <f>'SER_se-appl'!H23</f>
        <v>296.61683028922545</v>
      </c>
      <c r="I8" s="34">
        <f>'SER_se-appl'!I23</f>
        <v>312.03001025414738</v>
      </c>
      <c r="J8" s="34">
        <f>'SER_se-appl'!J23</f>
        <v>325.9528211418953</v>
      </c>
      <c r="K8" s="34">
        <f>'SER_se-appl'!K23</f>
        <v>335.77386346668123</v>
      </c>
      <c r="L8" s="34">
        <f>'SER_se-appl'!L23</f>
        <v>344.9112295875376</v>
      </c>
      <c r="M8" s="34">
        <f>'SER_se-appl'!M23</f>
        <v>350.97856523013888</v>
      </c>
      <c r="N8" s="34">
        <f>'SER_se-appl'!N23</f>
        <v>356.80036435482407</v>
      </c>
      <c r="O8" s="34">
        <f>'SER_se-appl'!O23</f>
        <v>362.15167919597883</v>
      </c>
      <c r="P8" s="34">
        <f>'SER_se-appl'!P23</f>
        <v>370.60023622892663</v>
      </c>
      <c r="Q8" s="34">
        <f>'SER_se-appl'!Q23</f>
        <v>381.42057394406874</v>
      </c>
      <c r="R8" s="34">
        <f>'SER_se-appl'!R23</f>
        <v>384.44540852568281</v>
      </c>
      <c r="S8" s="34">
        <f>'SER_se-appl'!S23</f>
        <v>388.31922031273274</v>
      </c>
      <c r="T8" s="34">
        <f>'SER_se-appl'!T23</f>
        <v>391.73510853219716</v>
      </c>
      <c r="U8" s="34">
        <f>'SER_se-appl'!U23</f>
        <v>394.89545013523713</v>
      </c>
      <c r="V8" s="34">
        <f>'SER_se-appl'!V23</f>
        <v>397.56655781519476</v>
      </c>
      <c r="W8" s="34">
        <f>'SER_se-appl'!W23</f>
        <v>399.74628823721451</v>
      </c>
      <c r="X8" s="34">
        <f>'SER_se-appl'!X23</f>
        <v>400.7348389548153</v>
      </c>
      <c r="Y8" s="34">
        <f>'SER_se-appl'!Y23</f>
        <v>403.52385744451652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24.754562714270605</v>
      </c>
      <c r="D9" s="36">
        <f>'SER_se-appl'!D31</f>
        <v>28.636704191838191</v>
      </c>
      <c r="E9" s="36">
        <f>'SER_se-appl'!E31</f>
        <v>30.605774365169424</v>
      </c>
      <c r="F9" s="36">
        <f>'SER_se-appl'!F31</f>
        <v>35.701288675405067</v>
      </c>
      <c r="G9" s="36">
        <f>'SER_se-appl'!G31</f>
        <v>37.159975189858102</v>
      </c>
      <c r="H9" s="36">
        <f>'SER_se-appl'!H31</f>
        <v>40.992062838082177</v>
      </c>
      <c r="I9" s="36">
        <f>'SER_se-appl'!I31</f>
        <v>39.338183075872905</v>
      </c>
      <c r="J9" s="36">
        <f>'SER_se-appl'!J31</f>
        <v>38.351774694988933</v>
      </c>
      <c r="K9" s="36">
        <f>'SER_se-appl'!K31</f>
        <v>34.76458234975405</v>
      </c>
      <c r="L9" s="36">
        <f>'SER_se-appl'!L31</f>
        <v>34.606321492298093</v>
      </c>
      <c r="M9" s="36">
        <f>'SER_se-appl'!M31</f>
        <v>30.821898356871884</v>
      </c>
      <c r="N9" s="36">
        <f>'SER_se-appl'!N31</f>
        <v>34.458503316523377</v>
      </c>
      <c r="O9" s="36">
        <f>'SER_se-appl'!O31</f>
        <v>35.957089206324156</v>
      </c>
      <c r="P9" s="36">
        <f>'SER_se-appl'!P31</f>
        <v>44.149845708352871</v>
      </c>
      <c r="Q9" s="36">
        <f>'SER_se-appl'!Q31</f>
        <v>47.980312905000176</v>
      </c>
      <c r="R9" s="36">
        <f>'SER_se-appl'!R31</f>
        <v>44.016897419696249</v>
      </c>
      <c r="S9" s="36">
        <f>'SER_se-appl'!S31</f>
        <v>43.211994862922836</v>
      </c>
      <c r="T9" s="36">
        <f>'SER_se-appl'!T31</f>
        <v>41.767662914453354</v>
      </c>
      <c r="U9" s="36">
        <f>'SER_se-appl'!U31</f>
        <v>37.924923952794018</v>
      </c>
      <c r="V9" s="36">
        <f>'SER_se-appl'!V31</f>
        <v>37.277429172255722</v>
      </c>
      <c r="W9" s="36">
        <f>'SER_se-appl'!W31</f>
        <v>33.001628778891643</v>
      </c>
      <c r="X9" s="36">
        <f>'SER_se-appl'!X31</f>
        <v>35.447054034124164</v>
      </c>
      <c r="Y9" s="36">
        <f>'SER_se-appl'!Y31</f>
        <v>38.746107696025376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21.11221227713304</v>
      </c>
      <c r="D10" s="38">
        <f>'SER_se-appl'!D39</f>
        <v>21.556923826388299</v>
      </c>
      <c r="E10" s="38">
        <f>'SER_se-appl'!E39</f>
        <v>22.011002862074918</v>
      </c>
      <c r="F10" s="38">
        <f>'SER_se-appl'!F39</f>
        <v>22.474646702661744</v>
      </c>
      <c r="G10" s="38">
        <f>'SER_se-appl'!G39</f>
        <v>22.948056822970727</v>
      </c>
      <c r="H10" s="38">
        <f>'SER_se-appl'!H39</f>
        <v>23.431438941726412</v>
      </c>
      <c r="I10" s="38">
        <f>'SER_se-appl'!I39</f>
        <v>23.925003110950968</v>
      </c>
      <c r="J10" s="38">
        <f>'SER_se-appl'!J39</f>
        <v>24.428963807241018</v>
      </c>
      <c r="K10" s="38">
        <f>'SER_se-appl'!K39</f>
        <v>24.943540024968115</v>
      </c>
      <c r="L10" s="38">
        <f>'SER_se-appl'!L39</f>
        <v>25.468955371441723</v>
      </c>
      <c r="M10" s="38">
        <f>'SER_se-appl'!M39</f>
        <v>24.754562714270605</v>
      </c>
      <c r="N10" s="38">
        <f>'SER_se-appl'!N39</f>
        <v>28.636704191838191</v>
      </c>
      <c r="O10" s="38">
        <f>'SER_se-appl'!O39</f>
        <v>30.605774365169395</v>
      </c>
      <c r="P10" s="38">
        <f>'SER_se-appl'!P39</f>
        <v>35.701288675405067</v>
      </c>
      <c r="Q10" s="38">
        <f>'SER_se-appl'!Q39</f>
        <v>37.159975189858073</v>
      </c>
      <c r="R10" s="38">
        <f>'SER_se-appl'!R39</f>
        <v>40.992062838082177</v>
      </c>
      <c r="S10" s="38">
        <f>'SER_se-appl'!S39</f>
        <v>39.338183075872905</v>
      </c>
      <c r="T10" s="38">
        <f>'SER_se-appl'!T39</f>
        <v>38.351774694988933</v>
      </c>
      <c r="U10" s="38">
        <f>'SER_se-appl'!U39</f>
        <v>34.76458234975405</v>
      </c>
      <c r="V10" s="38">
        <f>'SER_se-appl'!V39</f>
        <v>34.606321492298093</v>
      </c>
      <c r="W10" s="38">
        <f>'SER_se-appl'!W39</f>
        <v>30.821898356871884</v>
      </c>
      <c r="X10" s="38">
        <f>'SER_se-appl'!X39</f>
        <v>34.458503316523377</v>
      </c>
      <c r="Y10" s="38">
        <f>'SER_se-appl'!Y39</f>
        <v>35.957089206324156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8759.9999999999982</v>
      </c>
      <c r="C12" s="204">
        <f>'SER_se-appl'!C47</f>
        <v>8760</v>
      </c>
      <c r="D12" s="204">
        <f>'SER_se-appl'!D47</f>
        <v>8760.0000000000018</v>
      </c>
      <c r="E12" s="204">
        <f>'SER_se-appl'!E47</f>
        <v>8759.9999999999982</v>
      </c>
      <c r="F12" s="204">
        <f>'SER_se-appl'!F47</f>
        <v>8760</v>
      </c>
      <c r="G12" s="204">
        <f>'SER_se-appl'!G47</f>
        <v>8760.0000000000018</v>
      </c>
      <c r="H12" s="204">
        <f>'SER_se-appl'!H47</f>
        <v>8760.0000000000018</v>
      </c>
      <c r="I12" s="204">
        <f>'SER_se-appl'!I47</f>
        <v>8759.9999999999982</v>
      </c>
      <c r="J12" s="204">
        <f>'SER_se-appl'!J47</f>
        <v>8759.9999999999982</v>
      </c>
      <c r="K12" s="204">
        <f>'SER_se-appl'!K47</f>
        <v>8760</v>
      </c>
      <c r="L12" s="204">
        <f>'SER_se-appl'!L47</f>
        <v>8760.0000000000018</v>
      </c>
      <c r="M12" s="204">
        <f>'SER_se-appl'!M47</f>
        <v>8760</v>
      </c>
      <c r="N12" s="204">
        <f>'SER_se-appl'!N47</f>
        <v>8760</v>
      </c>
      <c r="O12" s="204">
        <f>'SER_se-appl'!O47</f>
        <v>8759.9999999999982</v>
      </c>
      <c r="P12" s="204">
        <f>'SER_se-appl'!P47</f>
        <v>8760.0000000000018</v>
      </c>
      <c r="Q12" s="204">
        <f>'SER_se-appl'!Q47</f>
        <v>8759.9999999999982</v>
      </c>
      <c r="R12" s="204">
        <f>'SER_se-appl'!R47</f>
        <v>8759.9999999999964</v>
      </c>
      <c r="S12" s="204">
        <f>'SER_se-appl'!S47</f>
        <v>8759.9999999999964</v>
      </c>
      <c r="T12" s="204">
        <f>'SER_se-appl'!T47</f>
        <v>8759.9999999999982</v>
      </c>
      <c r="U12" s="204">
        <f>'SER_se-appl'!U47</f>
        <v>8760</v>
      </c>
      <c r="V12" s="204">
        <f>'SER_se-appl'!V47</f>
        <v>8759.9999999999982</v>
      </c>
      <c r="W12" s="204">
        <f>'SER_se-appl'!W47</f>
        <v>8759.9999999999982</v>
      </c>
      <c r="X12" s="204">
        <f>'SER_se-appl'!X47</f>
        <v>8759.9999999999982</v>
      </c>
      <c r="Y12" s="204">
        <f>'SER_se-appl'!Y47</f>
        <v>8759.9999999999982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698.58131903647177</v>
      </c>
      <c r="C14" s="59">
        <f>'SER_se-appl'!C55</f>
        <v>692.05630599385154</v>
      </c>
      <c r="D14" s="59">
        <f>'SER_se-appl'!D55</f>
        <v>683.44477696900697</v>
      </c>
      <c r="E14" s="59">
        <f>'SER_se-appl'!E55</f>
        <v>673.62468058964578</v>
      </c>
      <c r="F14" s="59">
        <f>'SER_se-appl'!F55</f>
        <v>662.46070169561597</v>
      </c>
      <c r="G14" s="59">
        <f>'SER_se-appl'!G55</f>
        <v>650.93414562679186</v>
      </c>
      <c r="H14" s="59">
        <f>'SER_se-appl'!H55</f>
        <v>638.58231950002835</v>
      </c>
      <c r="I14" s="59">
        <f>'SER_se-appl'!I55</f>
        <v>626.04686718601351</v>
      </c>
      <c r="J14" s="59">
        <f>'SER_se-appl'!J55</f>
        <v>613.1348026969539</v>
      </c>
      <c r="K14" s="59">
        <f>'SER_se-appl'!K55</f>
        <v>600.11974662243097</v>
      </c>
      <c r="L14" s="59">
        <f>'SER_se-appl'!L55</f>
        <v>586.46025822025388</v>
      </c>
      <c r="M14" s="59">
        <f>'SER_se-appl'!M55</f>
        <v>577.02236167153569</v>
      </c>
      <c r="N14" s="59">
        <f>'SER_se-appl'!N55</f>
        <v>567.3529440461989</v>
      </c>
      <c r="O14" s="59">
        <f>'SER_se-appl'!O55</f>
        <v>557.5600457834995</v>
      </c>
      <c r="P14" s="59">
        <f>'SER_se-appl'!P55</f>
        <v>545.45371163315122</v>
      </c>
      <c r="Q14" s="59">
        <f>'SER_se-appl'!Q55</f>
        <v>533.71056832203396</v>
      </c>
      <c r="R14" s="59">
        <f>'SER_se-appl'!R55</f>
        <v>522.34123949510797</v>
      </c>
      <c r="S14" s="59">
        <f>'SER_se-appl'!S55</f>
        <v>511.86690920650983</v>
      </c>
      <c r="T14" s="59">
        <f>'SER_se-appl'!T55</f>
        <v>502.23065558132504</v>
      </c>
      <c r="U14" s="59">
        <f>'SER_se-appl'!U55</f>
        <v>494.04384434447991</v>
      </c>
      <c r="V14" s="59">
        <f>'SER_se-appl'!V55</f>
        <v>486.35004549879727</v>
      </c>
      <c r="W14" s="59">
        <f>'SER_se-appl'!W55</f>
        <v>480.19111071139719</v>
      </c>
      <c r="X14" s="59">
        <f>'SER_se-appl'!X55</f>
        <v>472.97701805369672</v>
      </c>
      <c r="Y14" s="59">
        <f>'SER_se-appl'!Y55</f>
        <v>465.17193282062391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636.38948052001956</v>
      </c>
      <c r="D15" s="63">
        <f>'SER_se-appl'!D63</f>
        <v>623.88717187540158</v>
      </c>
      <c r="E15" s="63">
        <f>'SER_se-appl'!E63</f>
        <v>613.59720380468389</v>
      </c>
      <c r="F15" s="63">
        <f>'SER_se-appl'!F63</f>
        <v>606.51717554884283</v>
      </c>
      <c r="G15" s="63">
        <f>'SER_se-appl'!G63</f>
        <v>598.20718651098582</v>
      </c>
      <c r="H15" s="63">
        <f>'SER_se-appl'!H63</f>
        <v>588.79241615171486</v>
      </c>
      <c r="I15" s="63">
        <f>'SER_se-appl'!I63</f>
        <v>575.64191732782785</v>
      </c>
      <c r="J15" s="63">
        <f>'SER_se-appl'!J63</f>
        <v>562.50919866032405</v>
      </c>
      <c r="K15" s="63">
        <f>'SER_se-appl'!K63</f>
        <v>548.73658733668788</v>
      </c>
      <c r="L15" s="63">
        <f>'SER_se-appl'!L63</f>
        <v>536.44359002176918</v>
      </c>
      <c r="M15" s="63">
        <f>'SER_se-appl'!M63</f>
        <v>519.08857005483878</v>
      </c>
      <c r="N15" s="63">
        <f>'SER_se-appl'!N63</f>
        <v>515.8473882363561</v>
      </c>
      <c r="O15" s="63">
        <f>'SER_se-appl'!O63</f>
        <v>508.0830415813279</v>
      </c>
      <c r="P15" s="63">
        <f>'SER_se-appl'!P63</f>
        <v>495.52635960471815</v>
      </c>
      <c r="Q15" s="63">
        <f>'SER_se-appl'!Q63</f>
        <v>492.95804223262553</v>
      </c>
      <c r="R15" s="63">
        <f>'SER_se-appl'!R63</f>
        <v>485.70701009957463</v>
      </c>
      <c r="S15" s="63">
        <f>'SER_se-appl'!S63</f>
        <v>476.73742151433538</v>
      </c>
      <c r="T15" s="63">
        <f>'SER_se-appl'!T63</f>
        <v>467.98997052578983</v>
      </c>
      <c r="U15" s="63">
        <f>'SER_se-appl'!U63</f>
        <v>459.61553481545263</v>
      </c>
      <c r="V15" s="63">
        <f>'SER_se-appl'!V63</f>
        <v>451.35050607411614</v>
      </c>
      <c r="W15" s="63">
        <f>'SER_se-appl'!W63</f>
        <v>442.32349595263383</v>
      </c>
      <c r="X15" s="63">
        <f>'SER_se-appl'!X63</f>
        <v>433.29648583115147</v>
      </c>
      <c r="Y15" s="63">
        <f>'SER_se-appl'!Y63</f>
        <v>424.26947570966917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24.964619105795375</v>
      </c>
      <c r="C3" s="198">
        <f>'SER_se-appl'!C8</f>
        <v>27.587047202327302</v>
      </c>
      <c r="D3" s="198">
        <f>'SER_se-appl'!D8</f>
        <v>30.15244021273551</v>
      </c>
      <c r="E3" s="198">
        <f>'SER_se-appl'!E8</f>
        <v>33.413329278290938</v>
      </c>
      <c r="F3" s="198">
        <f>'SER_se-appl'!F8</f>
        <v>37.047788597345452</v>
      </c>
      <c r="G3" s="198">
        <f>'SER_se-appl'!G8</f>
        <v>41.107842693141812</v>
      </c>
      <c r="H3" s="198">
        <f>'SER_se-appl'!H8</f>
        <v>45.677316035590806</v>
      </c>
      <c r="I3" s="198">
        <f>'SER_se-appl'!I8</f>
        <v>49.953124382835711</v>
      </c>
      <c r="J3" s="198">
        <f>'SER_se-appl'!J8</f>
        <v>53.354833746656752</v>
      </c>
      <c r="K3" s="198">
        <f>'SER_se-appl'!K8</f>
        <v>55.303425217668121</v>
      </c>
      <c r="L3" s="198">
        <f>'SER_se-appl'!L8</f>
        <v>55.270212109850732</v>
      </c>
      <c r="M3" s="198">
        <f>'SER_se-appl'!M8</f>
        <v>55.352216671530904</v>
      </c>
      <c r="N3" s="198">
        <f>'SER_se-appl'!N8</f>
        <v>56.267777319026088</v>
      </c>
      <c r="O3" s="198">
        <f>'SER_se-appl'!O8</f>
        <v>56.473865674683104</v>
      </c>
      <c r="P3" s="198">
        <f>'SER_se-appl'!P8</f>
        <v>56.71771520328501</v>
      </c>
      <c r="Q3" s="198">
        <f>'SER_se-appl'!Q8</f>
        <v>56.702228483002273</v>
      </c>
      <c r="R3" s="198">
        <f>'SER_se-appl'!R8</f>
        <v>59.153791796615963</v>
      </c>
      <c r="S3" s="198">
        <f>'SER_se-appl'!S8</f>
        <v>59.985972562119059</v>
      </c>
      <c r="T3" s="198">
        <f>'SER_se-appl'!T8</f>
        <v>60.740314332668319</v>
      </c>
      <c r="U3" s="198">
        <f>'SER_se-appl'!U8</f>
        <v>60.904596444937461</v>
      </c>
      <c r="V3" s="198">
        <f>'SER_se-appl'!V8</f>
        <v>53.627017479588403</v>
      </c>
      <c r="W3" s="198">
        <f>'SER_se-appl'!W8</f>
        <v>57.338345334272255</v>
      </c>
      <c r="X3" s="198">
        <f>'SER_se-appl'!X8</f>
        <v>59.564289863029408</v>
      </c>
      <c r="Y3" s="198">
        <f>'SER_se-appl'!Y8</f>
        <v>60.711863483026676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313.5835908305246</v>
      </c>
      <c r="C5" s="59">
        <f>'SER_se-appl'!C16</f>
        <v>344.87679060105722</v>
      </c>
      <c r="D5" s="59">
        <f>'SER_se-appl'!D16</f>
        <v>375.31142689727113</v>
      </c>
      <c r="E5" s="59">
        <f>'SER_se-appl'!E16</f>
        <v>414.23898369428713</v>
      </c>
      <c r="F5" s="59">
        <f>'SER_se-appl'!F16</f>
        <v>457.59816334570394</v>
      </c>
      <c r="G5" s="59">
        <f>'SER_se-appl'!G16</f>
        <v>505.99765906293857</v>
      </c>
      <c r="H5" s="59">
        <f>'SER_se-appl'!H16</f>
        <v>560.43204859500838</v>
      </c>
      <c r="I5" s="59">
        <f>'SER_se-appl'!I16</f>
        <v>611.03852895746229</v>
      </c>
      <c r="J5" s="59">
        <f>'SER_se-appl'!J16</f>
        <v>650.78649261099872</v>
      </c>
      <c r="K5" s="59">
        <f>'SER_se-appl'!K16</f>
        <v>672.73300437848991</v>
      </c>
      <c r="L5" s="59">
        <f>'SER_se-appl'!L16</f>
        <v>670.60689764081451</v>
      </c>
      <c r="M5" s="59">
        <f>'SER_se-appl'!M16</f>
        <v>670.51051439741457</v>
      </c>
      <c r="N5" s="59">
        <f>'SER_se-appl'!N16</f>
        <v>680.5450645488761</v>
      </c>
      <c r="O5" s="59">
        <f>'SER_se-appl'!O16</f>
        <v>682.02632820989436</v>
      </c>
      <c r="P5" s="59">
        <f>'SER_se-appl'!P16</f>
        <v>684.00021391928715</v>
      </c>
      <c r="Q5" s="59">
        <f>'SER_se-appl'!Q16</f>
        <v>682.88359344388596</v>
      </c>
      <c r="R5" s="59">
        <f>'SER_se-appl'!R16</f>
        <v>692.82641703631282</v>
      </c>
      <c r="S5" s="59">
        <f>'SER_se-appl'!S16</f>
        <v>705.98132232258126</v>
      </c>
      <c r="T5" s="59">
        <f>'SER_se-appl'!T16</f>
        <v>716.4643530097801</v>
      </c>
      <c r="U5" s="59">
        <f>'SER_se-appl'!U16</f>
        <v>725.92884071407298</v>
      </c>
      <c r="V5" s="59">
        <f>'SER_se-appl'!V16</f>
        <v>733.45948048806247</v>
      </c>
      <c r="W5" s="59">
        <f>'SER_se-appl'!W16</f>
        <v>739.78506979955932</v>
      </c>
      <c r="X5" s="59">
        <f>'SER_se-appl'!X16</f>
        <v>742.61006264287744</v>
      </c>
      <c r="Y5" s="59">
        <f>'SER_se-appl'!Y16</f>
        <v>744.37659246875899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70.190026515686412</v>
      </c>
      <c r="C6" s="201">
        <f>'SER_se-appl'!C72</f>
        <v>74.495676901174761</v>
      </c>
      <c r="D6" s="201">
        <f>'SER_se-appl'!D72</f>
        <v>79.05900168904995</v>
      </c>
      <c r="E6" s="201">
        <f>'SER_se-appl'!E72</f>
        <v>84.465705651727887</v>
      </c>
      <c r="F6" s="201">
        <f>'SER_se-appl'!F72</f>
        <v>90.567996973555168</v>
      </c>
      <c r="G6" s="201">
        <f>'SER_se-appl'!G72</f>
        <v>98.494395420279673</v>
      </c>
      <c r="H6" s="201">
        <f>'SER_se-appl'!H72</f>
        <v>105.99217244417278</v>
      </c>
      <c r="I6" s="201">
        <f>'SER_se-appl'!I72</f>
        <v>113.57470430590978</v>
      </c>
      <c r="J6" s="201">
        <f>'SER_se-appl'!J72</f>
        <v>120.18672575478497</v>
      </c>
      <c r="K6" s="201">
        <f>'SER_se-appl'!K72</f>
        <v>125.67313380913467</v>
      </c>
      <c r="L6" s="201">
        <f>'SER_se-appl'!L72</f>
        <v>130.62401493456093</v>
      </c>
      <c r="M6" s="201">
        <f>'SER_se-appl'!M72</f>
        <v>135.15357678495653</v>
      </c>
      <c r="N6" s="201">
        <f>'SER_se-appl'!N72</f>
        <v>139.19000334087966</v>
      </c>
      <c r="O6" s="201">
        <f>'SER_se-appl'!O72</f>
        <v>142.09903948678513</v>
      </c>
      <c r="P6" s="201">
        <f>'SER_se-appl'!P72</f>
        <v>145.28313217960084</v>
      </c>
      <c r="Q6" s="201">
        <f>'SER_se-appl'!Q72</f>
        <v>148.01978477890844</v>
      </c>
      <c r="R6" s="201">
        <f>'SER_se-appl'!R72</f>
        <v>153.79196708235128</v>
      </c>
      <c r="S6" s="201">
        <f>'SER_se-appl'!S72</f>
        <v>159.5589272595038</v>
      </c>
      <c r="T6" s="201">
        <f>'SER_se-appl'!T72</f>
        <v>165.34828370774531</v>
      </c>
      <c r="U6" s="201">
        <f>'SER_se-appl'!U72</f>
        <v>171.17678736734695</v>
      </c>
      <c r="V6" s="201">
        <f>'SER_se-appl'!V72</f>
        <v>177.07561774086909</v>
      </c>
      <c r="W6" s="201">
        <f>'SER_se-appl'!W72</f>
        <v>183.26736852128931</v>
      </c>
      <c r="X6" s="201">
        <f>'SER_se-appl'!X72</f>
        <v>188.37629320317862</v>
      </c>
      <c r="Y6" s="201">
        <f>'SER_se-appl'!Y72</f>
        <v>192.56578702983776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5.7781337285516781</v>
      </c>
      <c r="C8" s="34">
        <f>'SER_se-appl'!C24</f>
        <v>6.4077851656628031</v>
      </c>
      <c r="D8" s="34">
        <f>'SER_se-appl'!D24</f>
        <v>7.032504256722361</v>
      </c>
      <c r="E8" s="34">
        <f>'SER_se-appl'!E24</f>
        <v>7.8427679143251057</v>
      </c>
      <c r="F8" s="34">
        <f>'SER_se-appl'!F24</f>
        <v>8.7599273375529432</v>
      </c>
      <c r="G8" s="34">
        <f>'SER_se-appl'!G24</f>
        <v>9.8011532200416323</v>
      </c>
      <c r="H8" s="34">
        <f>'SER_se-appl'!H24</f>
        <v>10.994672442872155</v>
      </c>
      <c r="I8" s="34">
        <f>'SER_se-appl'!I24</f>
        <v>12.139196883332547</v>
      </c>
      <c r="J8" s="34">
        <f>'SER_se-appl'!J24</f>
        <v>13.084010559267606</v>
      </c>
      <c r="K8" s="34">
        <f>'SER_se-appl'!K24</f>
        <v>13.668419542231652</v>
      </c>
      <c r="L8" s="34">
        <f>'SER_se-appl'!L24</f>
        <v>13.732623514554099</v>
      </c>
      <c r="M8" s="34">
        <f>'SER_se-appl'!M24</f>
        <v>13.877214166173795</v>
      </c>
      <c r="N8" s="34">
        <f>'SER_se-appl'!N24</f>
        <v>14.314347056127128</v>
      </c>
      <c r="O8" s="34">
        <f>'SER_se-appl'!O24</f>
        <v>14.588856659195713</v>
      </c>
      <c r="P8" s="34">
        <f>'SER_se-appl'!P24</f>
        <v>14.93381305659809</v>
      </c>
      <c r="Q8" s="34">
        <f>'SER_se-appl'!Q24</f>
        <v>15.262541369063483</v>
      </c>
      <c r="R8" s="34">
        <f>'SER_se-appl'!R24</f>
        <v>15.864000259856944</v>
      </c>
      <c r="S8" s="34">
        <f>'SER_se-appl'!S24</f>
        <v>16.568878461563759</v>
      </c>
      <c r="T8" s="34">
        <f>'SER_se-appl'!T24</f>
        <v>17.289780105479739</v>
      </c>
      <c r="U8" s="34">
        <f>'SER_se-appl'!U24</f>
        <v>18.042542636789367</v>
      </c>
      <c r="V8" s="34">
        <f>'SER_se-appl'!V24</f>
        <v>18.806981196239647</v>
      </c>
      <c r="W8" s="34">
        <f>'SER_se-appl'!W24</f>
        <v>19.601730069943383</v>
      </c>
      <c r="X8" s="34">
        <f>'SER_se-appl'!X24</f>
        <v>20.267676741694011</v>
      </c>
      <c r="Y8" s="34">
        <f>'SER_se-appl'!Y24</f>
        <v>20.815012752056511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0.79422686838957723</v>
      </c>
      <c r="D9" s="36">
        <f>'SER_se-appl'!D32</f>
        <v>0.80781443854899049</v>
      </c>
      <c r="E9" s="36">
        <f>'SER_se-appl'!E32</f>
        <v>1.0139629948115623</v>
      </c>
      <c r="F9" s="36">
        <f>'SER_se-appl'!F32</f>
        <v>1.1437813475326397</v>
      </c>
      <c r="G9" s="36">
        <f>'SER_se-appl'!G32</f>
        <v>1.2933499064513363</v>
      </c>
      <c r="H9" s="36">
        <f>'SER_se-appl'!H32</f>
        <v>1.474015135369072</v>
      </c>
      <c r="I9" s="36">
        <f>'SER_se-appl'!I32</f>
        <v>1.4565849720759374</v>
      </c>
      <c r="J9" s="36">
        <f>'SER_se-appl'!J32</f>
        <v>1.2919908398047557</v>
      </c>
      <c r="K9" s="36">
        <f>'SER_se-appl'!K32</f>
        <v>0.97065450555099098</v>
      </c>
      <c r="L9" s="36">
        <f>'SER_se-appl'!L32</f>
        <v>0.49391427370176011</v>
      </c>
      <c r="M9" s="36">
        <f>'SER_se-appl'!M32</f>
        <v>0.62265688750708925</v>
      </c>
      <c r="N9" s="36">
        <f>'SER_se-appl'!N32</f>
        <v>0.96899662503702544</v>
      </c>
      <c r="O9" s="36">
        <f>'SER_se-appl'!O32</f>
        <v>0.86622474934343785</v>
      </c>
      <c r="P9" s="36">
        <f>'SER_se-appl'!P32</f>
        <v>1.0032581225161863</v>
      </c>
      <c r="Q9" s="36">
        <f>'SER_se-appl'!Q32</f>
        <v>1.0611097024231224</v>
      </c>
      <c r="R9" s="36">
        <f>'SER_se-appl'!R32</f>
        <v>1.3956857591830385</v>
      </c>
      <c r="S9" s="36">
        <f>'SER_se-appl'!S32</f>
        <v>1.512692640255807</v>
      </c>
      <c r="T9" s="36">
        <f>'SER_se-appl'!T32</f>
        <v>1.7348646387275419</v>
      </c>
      <c r="U9" s="36">
        <f>'SER_se-appl'!U32</f>
        <v>1.8965438788422695</v>
      </c>
      <c r="V9" s="36">
        <f>'SER_se-appl'!V32</f>
        <v>2.0577884659016163</v>
      </c>
      <c r="W9" s="36">
        <f>'SER_se-appl'!W32</f>
        <v>2.2687640090728074</v>
      </c>
      <c r="X9" s="36">
        <f>'SER_se-appl'!X32</f>
        <v>2.1225316438265658</v>
      </c>
      <c r="Y9" s="36">
        <f>'SER_se-appl'!Y32</f>
        <v>1.8393268501672537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0.1645754312784522</v>
      </c>
      <c r="D10" s="38">
        <f>'SER_se-appl'!D40</f>
        <v>0.18309534748943257</v>
      </c>
      <c r="E10" s="38">
        <f>'SER_se-appl'!E40</f>
        <v>0.20369933720881672</v>
      </c>
      <c r="F10" s="38">
        <f>'SER_se-appl'!F40</f>
        <v>0.2266219243048031</v>
      </c>
      <c r="G10" s="38">
        <f>'SER_se-appl'!G40</f>
        <v>0.25212402396264721</v>
      </c>
      <c r="H10" s="38">
        <f>'SER_se-appl'!H40</f>
        <v>0.28049591253854977</v>
      </c>
      <c r="I10" s="38">
        <f>'SER_se-appl'!I40</f>
        <v>0.31206053161554514</v>
      </c>
      <c r="J10" s="38">
        <f>'SER_se-appl'!J40</f>
        <v>0.34717716386969677</v>
      </c>
      <c r="K10" s="38">
        <f>'SER_se-appl'!K40</f>
        <v>0.386245522586945</v>
      </c>
      <c r="L10" s="38">
        <f>'SER_se-appl'!L40</f>
        <v>0.42971030137931265</v>
      </c>
      <c r="M10" s="38">
        <f>'SER_se-appl'!M40</f>
        <v>0.47806623588739328</v>
      </c>
      <c r="N10" s="38">
        <f>'SER_se-appl'!N40</f>
        <v>0.531863735083693</v>
      </c>
      <c r="O10" s="38">
        <f>'SER_se-appl'!O40</f>
        <v>0.59171514627485244</v>
      </c>
      <c r="P10" s="38">
        <f>'SER_se-appl'!P40</f>
        <v>0.6583017251138088</v>
      </c>
      <c r="Q10" s="38">
        <f>'SER_se-appl'!Q40</f>
        <v>0.73238138995773028</v>
      </c>
      <c r="R10" s="38">
        <f>'SER_se-appl'!R40</f>
        <v>0.79422686838957901</v>
      </c>
      <c r="S10" s="38">
        <f>'SER_se-appl'!S40</f>
        <v>0.80781443854899138</v>
      </c>
      <c r="T10" s="38">
        <f>'SER_se-appl'!T40</f>
        <v>1.0139629948115605</v>
      </c>
      <c r="U10" s="38">
        <f>'SER_se-appl'!U40</f>
        <v>1.1437813475326415</v>
      </c>
      <c r="V10" s="38">
        <f>'SER_se-appl'!V40</f>
        <v>1.2933499064513363</v>
      </c>
      <c r="W10" s="38">
        <f>'SER_se-appl'!W40</f>
        <v>1.474015135369072</v>
      </c>
      <c r="X10" s="38">
        <f>'SER_se-appl'!X40</f>
        <v>1.4565849720759374</v>
      </c>
      <c r="Y10" s="38">
        <f>'SER_se-appl'!Y40</f>
        <v>1.2919908398047539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925.87280932474835</v>
      </c>
      <c r="C12" s="204">
        <f>'SER_se-appl'!C48</f>
        <v>930.29559456264269</v>
      </c>
      <c r="D12" s="204">
        <f>'SER_se-appl'!D48</f>
        <v>934.35172643997032</v>
      </c>
      <c r="E12" s="204">
        <f>'SER_se-appl'!E48</f>
        <v>938.09862133427896</v>
      </c>
      <c r="F12" s="204">
        <f>'SER_se-appl'!F48</f>
        <v>941.58109865842994</v>
      </c>
      <c r="G12" s="204">
        <f>'SER_se-appl'!G48</f>
        <v>944.83482671956926</v>
      </c>
      <c r="H12" s="204">
        <f>'SER_se-appl'!H48</f>
        <v>947.888663444028</v>
      </c>
      <c r="I12" s="204">
        <f>'SER_se-appl'!I48</f>
        <v>950.76629220679274</v>
      </c>
      <c r="J12" s="204">
        <f>'SER_se-appl'!J48</f>
        <v>953.48739336009226</v>
      </c>
      <c r="K12" s="204">
        <f>'SER_se-appl'!K48</f>
        <v>956.06850131529734</v>
      </c>
      <c r="L12" s="204">
        <f>'SER_se-appl'!L48</f>
        <v>958.52364343238798</v>
      </c>
      <c r="M12" s="204">
        <f>'SER_se-appl'!M48</f>
        <v>960.08379595424674</v>
      </c>
      <c r="N12" s="204">
        <f>'SER_se-appl'!N48</f>
        <v>961.57372128480915</v>
      </c>
      <c r="O12" s="204">
        <f>'SER_se-appl'!O48</f>
        <v>962.99956560391956</v>
      </c>
      <c r="P12" s="204">
        <f>'SER_se-appl'!P48</f>
        <v>964.36669812509956</v>
      </c>
      <c r="Q12" s="204">
        <f>'SER_se-appl'!Q48</f>
        <v>965.67983707387839</v>
      </c>
      <c r="R12" s="204">
        <f>'SER_se-appl'!R48</f>
        <v>992.97397108139717</v>
      </c>
      <c r="S12" s="204">
        <f>'SER_se-appl'!S48</f>
        <v>988.18033684278714</v>
      </c>
      <c r="T12" s="204">
        <f>'SER_se-appl'!T48</f>
        <v>985.96650722592153</v>
      </c>
      <c r="U12" s="204">
        <f>'SER_se-appl'!U48</f>
        <v>975.7436499669451</v>
      </c>
      <c r="V12" s="204">
        <f>'SER_se-appl'!V48</f>
        <v>850.32947269643205</v>
      </c>
      <c r="W12" s="204">
        <f>'SER_se-appl'!W48</f>
        <v>901.40364203114336</v>
      </c>
      <c r="X12" s="204">
        <f>'SER_se-appl'!X48</f>
        <v>932.83504487087521</v>
      </c>
      <c r="Y12" s="204">
        <f>'SER_se-appl'!Y48</f>
        <v>948.55074629074113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54.270739578248929</v>
      </c>
      <c r="C14" s="59">
        <f>'SER_se-appl'!C56</f>
        <v>53.821528294852584</v>
      </c>
      <c r="D14" s="59">
        <f>'SER_se-appl'!D56</f>
        <v>53.368105186500451</v>
      </c>
      <c r="E14" s="59">
        <f>'SER_se-appl'!E56</f>
        <v>52.817957667428139</v>
      </c>
      <c r="F14" s="59">
        <f>'SER_se-appl'!F56</f>
        <v>52.237666559632956</v>
      </c>
      <c r="G14" s="59">
        <f>'SER_se-appl'!G56</f>
        <v>51.626339034090648</v>
      </c>
      <c r="H14" s="59">
        <f>'SER_se-appl'!H56</f>
        <v>50.973055496376929</v>
      </c>
      <c r="I14" s="59">
        <f>'SER_se-appl'!I56</f>
        <v>50.33599296807148</v>
      </c>
      <c r="J14" s="59">
        <f>'SER_se-appl'!J56</f>
        <v>49.739068129231725</v>
      </c>
      <c r="K14" s="59">
        <f>'SER_se-appl'!K56</f>
        <v>49.218053506473829</v>
      </c>
      <c r="L14" s="59">
        <f>'SER_se-appl'!L56</f>
        <v>48.833123323456178</v>
      </c>
      <c r="M14" s="59">
        <f>'SER_se-appl'!M56</f>
        <v>48.317371654593892</v>
      </c>
      <c r="N14" s="59">
        <f>'SER_se-appl'!N56</f>
        <v>47.542864643453989</v>
      </c>
      <c r="O14" s="59">
        <f>'SER_se-appl'!O56</f>
        <v>46.749813514686672</v>
      </c>
      <c r="P14" s="59">
        <f>'SER_se-appl'!P56</f>
        <v>45.802114391480259</v>
      </c>
      <c r="Q14" s="59">
        <f>'SER_se-appl'!Q56</f>
        <v>44.742456510425043</v>
      </c>
      <c r="R14" s="59">
        <f>'SER_se-appl'!R56</f>
        <v>43.672869748336758</v>
      </c>
      <c r="S14" s="59">
        <f>'SER_se-appl'!S56</f>
        <v>42.608878081899526</v>
      </c>
      <c r="T14" s="59">
        <f>'SER_se-appl'!T56</f>
        <v>41.438604114040025</v>
      </c>
      <c r="U14" s="59">
        <f>'SER_se-appl'!U56</f>
        <v>40.234287113939196</v>
      </c>
      <c r="V14" s="59">
        <f>'SER_se-appl'!V56</f>
        <v>38.999320137285707</v>
      </c>
      <c r="W14" s="59">
        <f>'SER_se-appl'!W56</f>
        <v>37.740804875887981</v>
      </c>
      <c r="X14" s="59">
        <f>'SER_se-appl'!X56</f>
        <v>36.640117765210057</v>
      </c>
      <c r="Y14" s="59">
        <f>'SER_se-appl'!Y56</f>
        <v>35.761524690644976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50.646523988776437</v>
      </c>
      <c r="D15" s="63">
        <f>'SER_se-appl'!D64</f>
        <v>49.976027032046659</v>
      </c>
      <c r="E15" s="63">
        <f>'SER_se-appl'!E64</f>
        <v>49.294176153072009</v>
      </c>
      <c r="F15" s="63">
        <f>'SER_se-appl'!F64</f>
        <v>48.66150266233133</v>
      </c>
      <c r="G15" s="63">
        <f>'SER_se-appl'!G64</f>
        <v>48.001281519764454</v>
      </c>
      <c r="H15" s="63">
        <f>'SER_se-appl'!H64</f>
        <v>47.256712962293847</v>
      </c>
      <c r="I15" s="63">
        <f>'SER_se-appl'!I64</f>
        <v>46.370268471292263</v>
      </c>
      <c r="J15" s="63">
        <f>'SER_se-appl'!J64</f>
        <v>45.348251161190689</v>
      </c>
      <c r="K15" s="63">
        <f>'SER_se-appl'!K64</f>
        <v>44.205576434959291</v>
      </c>
      <c r="L15" s="63">
        <f>'SER_se-appl'!L64</f>
        <v>42.911473207129923</v>
      </c>
      <c r="M15" s="63">
        <f>'SER_se-appl'!M64</f>
        <v>41.513432942318772</v>
      </c>
      <c r="N15" s="63">
        <f>'SER_se-appl'!N64</f>
        <v>40.143781107407875</v>
      </c>
      <c r="O15" s="63">
        <f>'SER_se-appl'!O64</f>
        <v>38.782177829101698</v>
      </c>
      <c r="P15" s="63">
        <f>'SER_se-appl'!P64</f>
        <v>37.577973555203393</v>
      </c>
      <c r="Q15" s="63">
        <f>'SER_se-appl'!Q64</f>
        <v>36.405528215165432</v>
      </c>
      <c r="R15" s="63">
        <f>'SER_se-appl'!R64</f>
        <v>35.944805916924814</v>
      </c>
      <c r="S15" s="63">
        <f>'SER_se-appl'!S64</f>
        <v>35.384757008547815</v>
      </c>
      <c r="T15" s="63">
        <f>'SER_se-appl'!T64</f>
        <v>34.853152122857054</v>
      </c>
      <c r="U15" s="63">
        <f>'SER_se-appl'!U64</f>
        <v>34.33751653145557</v>
      </c>
      <c r="V15" s="63">
        <f>'SER_se-appl'!V64</f>
        <v>33.829081021027314</v>
      </c>
      <c r="W15" s="63">
        <f>'SER_se-appl'!W64</f>
        <v>33.490790210817039</v>
      </c>
      <c r="X15" s="63">
        <f>'SER_se-appl'!X64</f>
        <v>33.152499400606764</v>
      </c>
      <c r="Y15" s="63">
        <f>'SER_se-appl'!Y64</f>
        <v>32.814208590396497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38.484022463829845</v>
      </c>
      <c r="C3" s="198">
        <f>'SER_se-appl'!C9</f>
        <v>43.004580442901187</v>
      </c>
      <c r="D3" s="198">
        <f>'SER_se-appl'!D9</f>
        <v>48.69570367964036</v>
      </c>
      <c r="E3" s="198">
        <f>'SER_se-appl'!E9</f>
        <v>55.049571633900513</v>
      </c>
      <c r="F3" s="198">
        <f>'SER_se-appl'!F9</f>
        <v>61.297067234980808</v>
      </c>
      <c r="G3" s="198">
        <f>'SER_se-appl'!G9</f>
        <v>67.198067835315683</v>
      </c>
      <c r="H3" s="198">
        <f>'SER_se-appl'!H9</f>
        <v>72.380335380888354</v>
      </c>
      <c r="I3" s="198">
        <f>'SER_se-appl'!I9</f>
        <v>76.481569723641528</v>
      </c>
      <c r="J3" s="198">
        <f>'SER_se-appl'!J9</f>
        <v>81.457676517979166</v>
      </c>
      <c r="K3" s="198">
        <f>'SER_se-appl'!K9</f>
        <v>84.716177884232039</v>
      </c>
      <c r="L3" s="198">
        <f>'SER_se-appl'!L9</f>
        <v>87.01009519582631</v>
      </c>
      <c r="M3" s="198">
        <f>'SER_se-appl'!M9</f>
        <v>88.049402263475116</v>
      </c>
      <c r="N3" s="198">
        <f>'SER_se-appl'!N9</f>
        <v>90.105370249889589</v>
      </c>
      <c r="O3" s="198">
        <f>'SER_se-appl'!O9</f>
        <v>93.481971581549445</v>
      </c>
      <c r="P3" s="198">
        <f>'SER_se-appl'!P9</f>
        <v>99.70031617973639</v>
      </c>
      <c r="Q3" s="198">
        <f>'SER_se-appl'!Q9</f>
        <v>108.74131811214585</v>
      </c>
      <c r="R3" s="198">
        <f>'SER_se-appl'!R9</f>
        <v>115.56979406085898</v>
      </c>
      <c r="S3" s="198">
        <f>'SER_se-appl'!S9</f>
        <v>119.71049331784361</v>
      </c>
      <c r="T3" s="198">
        <f>'SER_se-appl'!T9</f>
        <v>123.72467061659437</v>
      </c>
      <c r="U3" s="198">
        <f>'SER_se-appl'!U9</f>
        <v>126.35452014440929</v>
      </c>
      <c r="V3" s="198">
        <f>'SER_se-appl'!V9</f>
        <v>120.55341138796869</v>
      </c>
      <c r="W3" s="198">
        <f>'SER_se-appl'!W9</f>
        <v>124.77306369438972</v>
      </c>
      <c r="X3" s="198">
        <f>'SER_se-appl'!X9</f>
        <v>125.63093841639031</v>
      </c>
      <c r="Y3" s="198">
        <f>'SER_se-appl'!Y9</f>
        <v>125.9972246524127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227.5003052418067</v>
      </c>
      <c r="C5" s="59">
        <f>'SER_se-appl'!C17</f>
        <v>247.06380846039656</v>
      </c>
      <c r="D5" s="59">
        <f>'SER_se-appl'!D17</f>
        <v>272.4731736744256</v>
      </c>
      <c r="E5" s="59">
        <f>'SER_se-appl'!E17</f>
        <v>302.45116194117037</v>
      </c>
      <c r="F5" s="59">
        <f>'SER_se-appl'!F17</f>
        <v>331.29048585989887</v>
      </c>
      <c r="G5" s="59">
        <f>'SER_se-appl'!G17</f>
        <v>357.90744693816885</v>
      </c>
      <c r="H5" s="59">
        <f>'SER_se-appl'!H17</f>
        <v>380.66019349992888</v>
      </c>
      <c r="I5" s="59">
        <f>'SER_se-appl'!I17</f>
        <v>395.92555869201112</v>
      </c>
      <c r="J5" s="59">
        <f>'SER_se-appl'!J17</f>
        <v>418.69542342516888</v>
      </c>
      <c r="K5" s="59">
        <f>'SER_se-appl'!K17</f>
        <v>430.81803984227849</v>
      </c>
      <c r="L5" s="59">
        <f>'SER_se-appl'!L17</f>
        <v>435.23438086914598</v>
      </c>
      <c r="M5" s="59">
        <f>'SER_se-appl'!M17</f>
        <v>433.7670702778006</v>
      </c>
      <c r="N5" s="59">
        <f>'SER_se-appl'!N17</f>
        <v>439.50132539167572</v>
      </c>
      <c r="O5" s="59">
        <f>'SER_se-appl'!O17</f>
        <v>454.67361202235492</v>
      </c>
      <c r="P5" s="59">
        <f>'SER_se-appl'!P17</f>
        <v>486.12402945108437</v>
      </c>
      <c r="Q5" s="59">
        <f>'SER_se-appl'!Q17</f>
        <v>533.90446103841794</v>
      </c>
      <c r="R5" s="59">
        <f>'SER_se-appl'!R17</f>
        <v>552.98974942094731</v>
      </c>
      <c r="S5" s="59">
        <f>'SER_se-appl'!S17</f>
        <v>573.20517685699508</v>
      </c>
      <c r="T5" s="59">
        <f>'SER_se-appl'!T17</f>
        <v>591.0660900274188</v>
      </c>
      <c r="U5" s="59">
        <f>'SER_se-appl'!U17</f>
        <v>604.25710092475731</v>
      </c>
      <c r="V5" s="59">
        <f>'SER_se-appl'!V17</f>
        <v>611.48711857990065</v>
      </c>
      <c r="W5" s="59">
        <f>'SER_se-appl'!W17</f>
        <v>616.74068621524043</v>
      </c>
      <c r="X5" s="59">
        <f>'SER_se-appl'!X17</f>
        <v>608.85392999134308</v>
      </c>
      <c r="Y5" s="59">
        <f>'SER_se-appl'!Y17</f>
        <v>604.3401282230044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5.717194505131222E-2</v>
      </c>
      <c r="C6" s="201">
        <f>'SER_se-appl'!C73</f>
        <v>6.3298023641495532E-2</v>
      </c>
      <c r="D6" s="201">
        <f>'SER_se-appl'!D73</f>
        <v>7.1938228090777392E-2</v>
      </c>
      <c r="E6" s="201">
        <f>'SER_se-appl'!E73</f>
        <v>8.2962837821053625E-2</v>
      </c>
      <c r="F6" s="201">
        <f>'SER_se-appl'!F73</f>
        <v>9.4713895386730279E-2</v>
      </c>
      <c r="G6" s="201">
        <f>'SER_se-appl'!G73</f>
        <v>0.10653850340877545</v>
      </c>
      <c r="H6" s="201">
        <f>'SER_se-appl'!H73</f>
        <v>0.118528515453309</v>
      </c>
      <c r="I6" s="201">
        <f>'SER_se-appl'!I73</f>
        <v>0.12944297896921303</v>
      </c>
      <c r="J6" s="201">
        <f>'SER_se-appl'!J73</f>
        <v>0.1447749696598721</v>
      </c>
      <c r="K6" s="201">
        <f>'SER_se-appl'!K73</f>
        <v>0.15707068379685304</v>
      </c>
      <c r="L6" s="201">
        <f>'SER_se-appl'!L73</f>
        <v>0.16826923946176078</v>
      </c>
      <c r="M6" s="201">
        <f>'SER_se-appl'!M73</f>
        <v>0.18001899581889805</v>
      </c>
      <c r="N6" s="201">
        <f>'SER_se-appl'!N73</f>
        <v>0.1955859893982155</v>
      </c>
      <c r="O6" s="201">
        <f>'SER_se-appl'!O73</f>
        <v>0.2184360549869504</v>
      </c>
      <c r="P6" s="201">
        <f>'SER_se-appl'!P73</f>
        <v>0.24605946479124505</v>
      </c>
      <c r="Q6" s="201">
        <f>'SER_se-appl'!Q73</f>
        <v>0.27835375623352854</v>
      </c>
      <c r="R6" s="201">
        <f>'SER_se-appl'!R73</f>
        <v>0.29418228383778866</v>
      </c>
      <c r="S6" s="201">
        <f>'SER_se-appl'!S73</f>
        <v>0.30905515427892338</v>
      </c>
      <c r="T6" s="201">
        <f>'SER_se-appl'!T73</f>
        <v>0.32358150190568441</v>
      </c>
      <c r="U6" s="201">
        <f>'SER_se-appl'!U73</f>
        <v>0.33726579717416572</v>
      </c>
      <c r="V6" s="201">
        <f>'SER_se-appl'!V73</f>
        <v>0.34948435891045831</v>
      </c>
      <c r="W6" s="201">
        <f>'SER_se-appl'!W73</f>
        <v>0.36160354728009597</v>
      </c>
      <c r="X6" s="201">
        <f>'SER_se-appl'!X73</f>
        <v>0.37195098852673447</v>
      </c>
      <c r="Y6" s="201">
        <f>'SER_se-appl'!Y73</f>
        <v>0.37954161597719605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616.06355473743633</v>
      </c>
      <c r="C8" s="34">
        <f>'SER_se-appl'!C25</f>
        <v>685.89668790098563</v>
      </c>
      <c r="D8" s="34">
        <f>'SER_se-appl'!D25</f>
        <v>783.28313852688109</v>
      </c>
      <c r="E8" s="34">
        <f>'SER_se-appl'!E25</f>
        <v>905.60325620192259</v>
      </c>
      <c r="F8" s="34">
        <f>'SER_se-appl'!F25</f>
        <v>1036.204964958227</v>
      </c>
      <c r="G8" s="34">
        <f>'SER_se-appl'!G25</f>
        <v>1168.7180070059667</v>
      </c>
      <c r="H8" s="34">
        <f>'SER_se-appl'!H25</f>
        <v>1304.3726504652768</v>
      </c>
      <c r="I8" s="34">
        <f>'SER_se-appl'!I25</f>
        <v>1428.5337514480666</v>
      </c>
      <c r="J8" s="34">
        <f>'SER_se-appl'!J25</f>
        <v>1601.3468185847569</v>
      </c>
      <c r="K8" s="34">
        <f>'SER_se-appl'!K25</f>
        <v>1742.6591837017163</v>
      </c>
      <c r="L8" s="34">
        <f>'SER_se-appl'!L25</f>
        <v>1871.0343033855224</v>
      </c>
      <c r="M8" s="34">
        <f>'SER_se-appl'!M25</f>
        <v>2002.421857939964</v>
      </c>
      <c r="N8" s="34">
        <f>'SER_se-appl'!N25</f>
        <v>2168.3456863803126</v>
      </c>
      <c r="O8" s="34">
        <f>'SER_se-appl'!O25</f>
        <v>2403.5862511952323</v>
      </c>
      <c r="P8" s="34">
        <f>'SER_se-appl'!P25</f>
        <v>2688.6442822972299</v>
      </c>
      <c r="Q8" s="34">
        <f>'SER_se-appl'!Q25</f>
        <v>3022.370095551265</v>
      </c>
      <c r="R8" s="34">
        <f>'SER_se-appl'!R25</f>
        <v>3172.3876149711859</v>
      </c>
      <c r="S8" s="34">
        <f>'SER_se-appl'!S25</f>
        <v>3327.9655489202228</v>
      </c>
      <c r="T8" s="34">
        <f>'SER_se-appl'!T25</f>
        <v>3475.6423029167709</v>
      </c>
      <c r="U8" s="34">
        <f>'SER_se-appl'!U25</f>
        <v>3617.0404311082607</v>
      </c>
      <c r="V8" s="34">
        <f>'SER_se-appl'!V25</f>
        <v>3745.9708174650768</v>
      </c>
      <c r="W8" s="34">
        <f>'SER_se-appl'!W25</f>
        <v>3861.4312112987454</v>
      </c>
      <c r="X8" s="34">
        <f>'SER_se-appl'!X25</f>
        <v>3891.2125042479756</v>
      </c>
      <c r="Y8" s="34">
        <f>'SER_se-appl'!Y25</f>
        <v>3952.5395570374321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193.04584411103656</v>
      </c>
      <c r="D9" s="36">
        <f>'SER_se-appl'!D33</f>
        <v>220.59916157338273</v>
      </c>
      <c r="E9" s="36">
        <f>'SER_se-appl'!E33</f>
        <v>245.53282862252877</v>
      </c>
      <c r="F9" s="36">
        <f>'SER_se-appl'!F33</f>
        <v>253.81441970379171</v>
      </c>
      <c r="G9" s="36">
        <f>'SER_se-appl'!G33</f>
        <v>255.72575299522691</v>
      </c>
      <c r="H9" s="36">
        <f>'SER_se-appl'!H33</f>
        <v>328.7004875703467</v>
      </c>
      <c r="I9" s="36">
        <f>'SER_se-appl'!I33</f>
        <v>344.76026255617262</v>
      </c>
      <c r="J9" s="36">
        <f>'SER_se-appl'!J33</f>
        <v>418.34589575921905</v>
      </c>
      <c r="K9" s="36">
        <f>'SER_se-appl'!K33</f>
        <v>395.12678482075125</v>
      </c>
      <c r="L9" s="36">
        <f>'SER_se-appl'!L33</f>
        <v>384.10087267903305</v>
      </c>
      <c r="M9" s="36">
        <f>'SER_se-appl'!M33</f>
        <v>460.08804212478822</v>
      </c>
      <c r="N9" s="36">
        <f>'SER_se-appl'!N33</f>
        <v>510.68409099652126</v>
      </c>
      <c r="O9" s="36">
        <f>'SER_se-appl'!O33</f>
        <v>653.58646057413875</v>
      </c>
      <c r="P9" s="36">
        <f>'SER_se-appl'!P33</f>
        <v>680.18481592274884</v>
      </c>
      <c r="Q9" s="36">
        <f>'SER_se-appl'!Q33</f>
        <v>717.82668593306789</v>
      </c>
      <c r="R9" s="36">
        <f>'SER_se-appl'!R33</f>
        <v>610.10556154470942</v>
      </c>
      <c r="S9" s="36">
        <f>'SER_se-appl'!S33</f>
        <v>666.2620249455581</v>
      </c>
      <c r="T9" s="36">
        <f>'SER_se-appl'!T33</f>
        <v>801.26321457068661</v>
      </c>
      <c r="U9" s="36">
        <f>'SER_se-appl'!U33</f>
        <v>821.58294411423867</v>
      </c>
      <c r="V9" s="36">
        <f>'SER_se-appl'!V33</f>
        <v>846.75707228988404</v>
      </c>
      <c r="W9" s="36">
        <f>'SER_se-appl'!W33</f>
        <v>725.56595537837802</v>
      </c>
      <c r="X9" s="36">
        <f>'SER_se-appl'!X33</f>
        <v>696.04331789478829</v>
      </c>
      <c r="Y9" s="36">
        <f>'SER_se-appl'!Y33</f>
        <v>862.59026736014312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123.21271094748727</v>
      </c>
      <c r="D10" s="38">
        <f>'SER_se-appl'!D41</f>
        <v>123.21271094748727</v>
      </c>
      <c r="E10" s="38">
        <f>'SER_se-appl'!E41</f>
        <v>123.21271094748738</v>
      </c>
      <c r="F10" s="38">
        <f>'SER_se-appl'!F41</f>
        <v>123.21271094748727</v>
      </c>
      <c r="G10" s="38">
        <f>'SER_se-appl'!G41</f>
        <v>123.21271094748727</v>
      </c>
      <c r="H10" s="38">
        <f>'SER_se-appl'!H41</f>
        <v>193.04584411103656</v>
      </c>
      <c r="I10" s="38">
        <f>'SER_se-appl'!I41</f>
        <v>220.59916157338284</v>
      </c>
      <c r="J10" s="38">
        <f>'SER_se-appl'!J41</f>
        <v>245.53282862252877</v>
      </c>
      <c r="K10" s="38">
        <f>'SER_se-appl'!K41</f>
        <v>253.81441970379183</v>
      </c>
      <c r="L10" s="38">
        <f>'SER_se-appl'!L41</f>
        <v>255.72575299522669</v>
      </c>
      <c r="M10" s="38">
        <f>'SER_se-appl'!M41</f>
        <v>328.70048757034692</v>
      </c>
      <c r="N10" s="38">
        <f>'SER_se-appl'!N41</f>
        <v>344.76026255617262</v>
      </c>
      <c r="O10" s="38">
        <f>'SER_se-appl'!O41</f>
        <v>418.34589575921882</v>
      </c>
      <c r="P10" s="38">
        <f>'SER_se-appl'!P41</f>
        <v>395.12678482075125</v>
      </c>
      <c r="Q10" s="38">
        <f>'SER_se-appl'!Q41</f>
        <v>384.10087267903282</v>
      </c>
      <c r="R10" s="38">
        <f>'SER_se-appl'!R41</f>
        <v>460.08804212478844</v>
      </c>
      <c r="S10" s="38">
        <f>'SER_se-appl'!S41</f>
        <v>510.68409099652126</v>
      </c>
      <c r="T10" s="38">
        <f>'SER_se-appl'!T41</f>
        <v>653.58646057413898</v>
      </c>
      <c r="U10" s="38">
        <f>'SER_se-appl'!U41</f>
        <v>680.18481592274884</v>
      </c>
      <c r="V10" s="38">
        <f>'SER_se-appl'!V41</f>
        <v>717.82668593306789</v>
      </c>
      <c r="W10" s="38">
        <f>'SER_se-appl'!W41</f>
        <v>610.10556154470942</v>
      </c>
      <c r="X10" s="38">
        <f>'SER_se-appl'!X41</f>
        <v>666.26202494555855</v>
      </c>
      <c r="Y10" s="38">
        <f>'SER_se-appl'!Y41</f>
        <v>801.26321457068661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1967.3344208423214</v>
      </c>
      <c r="C12" s="204">
        <f>'SER_se-appl'!C49</f>
        <v>2024.3485829334327</v>
      </c>
      <c r="D12" s="204">
        <f>'SER_se-appl'!D49</f>
        <v>2078.4836399010733</v>
      </c>
      <c r="E12" s="204">
        <f>'SER_se-appl'!E49</f>
        <v>2116.7930517879549</v>
      </c>
      <c r="F12" s="204">
        <f>'SER_se-appl'!F49</f>
        <v>2151.8423328471386</v>
      </c>
      <c r="G12" s="204">
        <f>'SER_se-appl'!G49</f>
        <v>2183.5631966041033</v>
      </c>
      <c r="H12" s="204">
        <f>'SER_se-appl'!H49</f>
        <v>2211.3772725749659</v>
      </c>
      <c r="I12" s="204">
        <f>'SER_se-appl'!I49</f>
        <v>2246.5855925655819</v>
      </c>
      <c r="J12" s="204">
        <f>'SER_se-appl'!J49</f>
        <v>2262.6298853572562</v>
      </c>
      <c r="K12" s="204">
        <f>'SER_se-appl'!K49</f>
        <v>2286.9263997262419</v>
      </c>
      <c r="L12" s="204">
        <f>'SER_se-appl'!L49</f>
        <v>2325.01716685773</v>
      </c>
      <c r="M12" s="204">
        <f>'SER_se-appl'!M49</f>
        <v>2360.7475497584419</v>
      </c>
      <c r="N12" s="204">
        <f>'SER_se-appl'!N49</f>
        <v>2384.3510712335701</v>
      </c>
      <c r="O12" s="204">
        <f>'SER_se-appl'!O49</f>
        <v>2391.1555470695885</v>
      </c>
      <c r="P12" s="204">
        <f>'SER_se-appl'!P49</f>
        <v>2385.2239488749833</v>
      </c>
      <c r="Q12" s="204">
        <f>'SER_se-appl'!Q49</f>
        <v>2368.7038073900931</v>
      </c>
      <c r="R12" s="204">
        <f>'SER_se-appl'!R49</f>
        <v>2430.5635074342958</v>
      </c>
      <c r="S12" s="204">
        <f>'SER_se-appl'!S49</f>
        <v>2428.8563563232779</v>
      </c>
      <c r="T12" s="204">
        <f>'SER_se-appl'!T49</f>
        <v>2434.4450536897539</v>
      </c>
      <c r="U12" s="204">
        <f>'SER_se-appl'!U49</f>
        <v>2431.9169224996231</v>
      </c>
      <c r="V12" s="204">
        <f>'SER_se-appl'!V49</f>
        <v>2292.8302687685764</v>
      </c>
      <c r="W12" s="204">
        <f>'SER_se-appl'!W49</f>
        <v>2352.8701173759109</v>
      </c>
      <c r="X12" s="204">
        <f>'SER_se-appl'!X49</f>
        <v>2399.7345534147962</v>
      </c>
      <c r="Y12" s="204">
        <f>'SER_se-appl'!Y49</f>
        <v>2424.7069725723049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369.28057745400366</v>
      </c>
      <c r="C14" s="59">
        <f>'SER_se-appl'!C57</f>
        <v>360.20557150738438</v>
      </c>
      <c r="D14" s="59">
        <f>'SER_se-appl'!D57</f>
        <v>347.86038441586436</v>
      </c>
      <c r="E14" s="59">
        <f>'SER_se-appl'!E57</f>
        <v>333.97755570098428</v>
      </c>
      <c r="F14" s="59">
        <f>'SER_se-appl'!F57</f>
        <v>319.71520795912642</v>
      </c>
      <c r="G14" s="59">
        <f>'SER_se-appl'!G57</f>
        <v>306.2393535418006</v>
      </c>
      <c r="H14" s="59">
        <f>'SER_se-appl'!H57</f>
        <v>291.833927493148</v>
      </c>
      <c r="I14" s="59">
        <f>'SER_se-appl'!I57</f>
        <v>277.15520077189069</v>
      </c>
      <c r="J14" s="59">
        <f>'SER_se-appl'!J57</f>
        <v>261.46454881972716</v>
      </c>
      <c r="K14" s="59">
        <f>'SER_se-appl'!K57</f>
        <v>247.21875847642499</v>
      </c>
      <c r="L14" s="59">
        <f>'SER_se-appl'!L57</f>
        <v>232.61699696345272</v>
      </c>
      <c r="M14" s="59">
        <f>'SER_se-appl'!M57</f>
        <v>216.62122222539466</v>
      </c>
      <c r="N14" s="59">
        <f>'SER_se-appl'!N57</f>
        <v>202.68969479924073</v>
      </c>
      <c r="O14" s="59">
        <f>'SER_se-appl'!O57</f>
        <v>189.16467499190395</v>
      </c>
      <c r="P14" s="59">
        <f>'SER_se-appl'!P57</f>
        <v>180.80637615465091</v>
      </c>
      <c r="Q14" s="59">
        <f>'SER_se-appl'!Q57</f>
        <v>176.65092101867043</v>
      </c>
      <c r="R14" s="59">
        <f>'SER_se-appl'!R57</f>
        <v>174.31342463047977</v>
      </c>
      <c r="S14" s="59">
        <f>'SER_se-appl'!S57</f>
        <v>172.23891546683072</v>
      </c>
      <c r="T14" s="59">
        <f>'SER_se-appl'!T57</f>
        <v>170.05952814286849</v>
      </c>
      <c r="U14" s="59">
        <f>'SER_se-appl'!U57</f>
        <v>167.05843145347785</v>
      </c>
      <c r="V14" s="59">
        <f>'SER_se-appl'!V57</f>
        <v>163.23862314381245</v>
      </c>
      <c r="W14" s="59">
        <f>'SER_se-appl'!W57</f>
        <v>159.71815952868087</v>
      </c>
      <c r="X14" s="59">
        <f>'SER_se-appl'!X57</f>
        <v>156.46894877282256</v>
      </c>
      <c r="Y14" s="59">
        <f>'SER_se-appl'!Y57</f>
        <v>152.89919797184234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337.03685550219785</v>
      </c>
      <c r="D15" s="63">
        <f>'SER_se-appl'!D65</f>
        <v>321.44014399983206</v>
      </c>
      <c r="E15" s="63">
        <f>'SER_se-appl'!E65</f>
        <v>307.40512272247969</v>
      </c>
      <c r="F15" s="63">
        <f>'SER_se-appl'!F65</f>
        <v>292.8887375817572</v>
      </c>
      <c r="G15" s="63">
        <f>'SER_se-appl'!G65</f>
        <v>282.00922778386467</v>
      </c>
      <c r="H15" s="63">
        <f>'SER_se-appl'!H65</f>
        <v>267.16209482323154</v>
      </c>
      <c r="I15" s="63">
        <f>'SER_se-appl'!I65</f>
        <v>249.95569621493709</v>
      </c>
      <c r="J15" s="63">
        <f>'SER_se-appl'!J65</f>
        <v>234.84851899876389</v>
      </c>
      <c r="K15" s="63">
        <f>'SER_se-appl'!K65</f>
        <v>218.82090687277199</v>
      </c>
      <c r="L15" s="63">
        <f>'SER_se-appl'!L65</f>
        <v>199.25329151087965</v>
      </c>
      <c r="M15" s="63">
        <f>'SER_se-appl'!M65</f>
        <v>187.67929685498294</v>
      </c>
      <c r="N15" s="63">
        <f>'SER_se-appl'!N65</f>
        <v>179.97240992763545</v>
      </c>
      <c r="O15" s="63">
        <f>'SER_se-appl'!O65</f>
        <v>173.53511359355551</v>
      </c>
      <c r="P15" s="63">
        <f>'SER_se-appl'!P65</f>
        <v>173.35350047908253</v>
      </c>
      <c r="Q15" s="63">
        <f>'SER_se-appl'!Q65</f>
        <v>173.18079304789674</v>
      </c>
      <c r="R15" s="63">
        <f>'SER_se-appl'!R65</f>
        <v>172.81319047961026</v>
      </c>
      <c r="S15" s="63">
        <f>'SER_se-appl'!S65</f>
        <v>168.28885604512365</v>
      </c>
      <c r="T15" s="63">
        <f>'SER_se-appl'!T65</f>
        <v>163.84268173312645</v>
      </c>
      <c r="U15" s="63">
        <f>'SER_se-appl'!U65</f>
        <v>159.5741862090529</v>
      </c>
      <c r="V15" s="63">
        <f>'SER_se-appl'!V65</f>
        <v>155.35011953338847</v>
      </c>
      <c r="W15" s="63">
        <f>'SER_se-appl'!W65</f>
        <v>152.55381738178747</v>
      </c>
      <c r="X15" s="63">
        <f>'SER_se-appl'!X65</f>
        <v>149.75751523018647</v>
      </c>
      <c r="Y15" s="63">
        <f>'SER_se-appl'!Y65</f>
        <v>146.96121307858547</v>
      </c>
      <c r="DA15" s="105" t="s">
        <v>957</v>
      </c>
    </row>
    <row r="17" spans="1:105" ht="12" customHeight="1" x14ac:dyDescent="0.25">
      <c r="A17" s="197" t="s">
        <v>184</v>
      </c>
      <c r="B17" s="198">
        <v>9.9656196376981132</v>
      </c>
      <c r="C17" s="198">
        <v>12.046695836995248</v>
      </c>
      <c r="D17" s="198">
        <v>14.139553650956978</v>
      </c>
      <c r="E17" s="198">
        <v>16.181883342590623</v>
      </c>
      <c r="F17" s="198">
        <v>18.135893193977427</v>
      </c>
      <c r="G17" s="198">
        <v>19.931239275396216</v>
      </c>
      <c r="H17" s="198">
        <v>21.466044845935663</v>
      </c>
      <c r="I17" s="198">
        <v>22.843400571961688</v>
      </c>
      <c r="J17" s="198">
        <v>24.127997824444449</v>
      </c>
      <c r="K17" s="198">
        <v>25.356058995996584</v>
      </c>
      <c r="L17" s="198">
        <v>26.574985700528298</v>
      </c>
      <c r="M17" s="198">
        <v>27.317749505284834</v>
      </c>
      <c r="N17" s="198">
        <v>28.177379755047113</v>
      </c>
      <c r="O17" s="198">
        <v>28.670367460664021</v>
      </c>
      <c r="P17" s="198">
        <v>29.163355166280908</v>
      </c>
      <c r="Q17" s="198">
        <v>29.65634287189782</v>
      </c>
      <c r="R17" s="198">
        <v>30.149330577514721</v>
      </c>
      <c r="S17" s="198">
        <v>30.64231828313163</v>
      </c>
      <c r="T17" s="198">
        <v>31.135305988748534</v>
      </c>
      <c r="U17" s="198">
        <v>31.628293694365428</v>
      </c>
      <c r="V17" s="198">
        <v>32.121281399982365</v>
      </c>
      <c r="W17" s="198">
        <v>32.61426910559922</v>
      </c>
      <c r="X17" s="198">
        <v>33.107256811216168</v>
      </c>
      <c r="Y17" s="198">
        <v>33.438329379328337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10664.625148279951</v>
      </c>
      <c r="C3" s="219">
        <v>10836.232427614779</v>
      </c>
      <c r="D3" s="219">
        <v>11019.739907325271</v>
      </c>
      <c r="E3" s="219">
        <v>11855.389990334261</v>
      </c>
      <c r="F3" s="219">
        <v>10694.71072451725</v>
      </c>
      <c r="G3" s="219">
        <v>10690.98023592782</v>
      </c>
      <c r="H3" s="219">
        <v>8359.2179959313544</v>
      </c>
      <c r="I3" s="219">
        <v>8299.7920234326157</v>
      </c>
      <c r="J3" s="219">
        <v>7624.8677850592321</v>
      </c>
      <c r="K3" s="219">
        <v>7363.3729959040375</v>
      </c>
      <c r="L3" s="219">
        <v>6990.4872580721176</v>
      </c>
      <c r="M3" s="219">
        <v>6734.3428011018241</v>
      </c>
      <c r="N3" s="219">
        <v>6943.5750448781337</v>
      </c>
      <c r="O3" s="219">
        <v>6655.2730829896254</v>
      </c>
      <c r="P3" s="219">
        <v>7053.3537368746129</v>
      </c>
      <c r="Q3" s="219">
        <v>7626.4878159999998</v>
      </c>
      <c r="R3" s="219">
        <v>6965.8151549896002</v>
      </c>
      <c r="S3" s="219">
        <v>7717.4111335269254</v>
      </c>
      <c r="T3" s="219">
        <v>7422.4631583259934</v>
      </c>
      <c r="U3" s="219">
        <v>7838.1242168136196</v>
      </c>
      <c r="V3" s="219">
        <v>7541.3065400588684</v>
      </c>
      <c r="W3" s="219">
        <v>7393.5036148540912</v>
      </c>
      <c r="X3" s="219">
        <v>8179.387899614896</v>
      </c>
      <c r="Y3" s="219">
        <v>7529.3</v>
      </c>
      <c r="DA3" s="210" t="s">
        <v>974</v>
      </c>
    </row>
    <row r="5" spans="1:105" x14ac:dyDescent="0.25">
      <c r="A5" s="218" t="s">
        <v>120</v>
      </c>
      <c r="B5" s="219">
        <v>9926.2907369451768</v>
      </c>
      <c r="C5" s="219">
        <v>10180.19101699036</v>
      </c>
      <c r="D5" s="219">
        <v>10242.69321908701</v>
      </c>
      <c r="E5" s="219">
        <v>10506.86856844821</v>
      </c>
      <c r="F5" s="219">
        <v>9532.7485203526921</v>
      </c>
      <c r="G5" s="219">
        <v>8602.2315319042737</v>
      </c>
      <c r="H5" s="219">
        <v>9095.6764775997599</v>
      </c>
      <c r="I5" s="219">
        <v>9382.2089819521661</v>
      </c>
      <c r="J5" s="219">
        <v>8896.8297811346965</v>
      </c>
      <c r="K5" s="219">
        <v>6345.0982235023466</v>
      </c>
      <c r="L5" s="219">
        <v>6228.4157048079624</v>
      </c>
      <c r="M5" s="219">
        <v>6557.4426019300536</v>
      </c>
      <c r="N5" s="219">
        <v>6361.9131941307778</v>
      </c>
      <c r="O5" s="219">
        <v>4912.1743715492448</v>
      </c>
      <c r="P5" s="219">
        <v>4526.1213378957154</v>
      </c>
      <c r="Q5" s="219">
        <v>4473.7561108900209</v>
      </c>
      <c r="R5" s="219">
        <v>4376.4298306162354</v>
      </c>
      <c r="S5" s="219">
        <v>4920.8235637719254</v>
      </c>
      <c r="T5" s="219">
        <v>4415.5724159791407</v>
      </c>
      <c r="U5" s="219">
        <v>4492.6826186759608</v>
      </c>
      <c r="V5" s="219">
        <v>5126.963301600832</v>
      </c>
      <c r="W5" s="219">
        <v>4224.8477208604099</v>
      </c>
      <c r="X5" s="219">
        <v>5575.8326416712516</v>
      </c>
      <c r="Y5" s="219">
        <v>5217.4029591099861</v>
      </c>
      <c r="DA5" s="210" t="s">
        <v>975</v>
      </c>
    </row>
    <row r="6" spans="1:105" x14ac:dyDescent="0.25">
      <c r="A6" s="220" t="s">
        <v>119</v>
      </c>
      <c r="B6" s="221">
        <v>12407.86342118147</v>
      </c>
      <c r="C6" s="221">
        <v>11787.4702501224</v>
      </c>
      <c r="D6" s="221">
        <v>11787.4702501224</v>
      </c>
      <c r="E6" s="221">
        <v>11167.07707906332</v>
      </c>
      <c r="F6" s="221">
        <v>10546.68390800425</v>
      </c>
      <c r="G6" s="221">
        <v>9926.2907369451768</v>
      </c>
      <c r="H6" s="221">
        <v>9926.2907369451768</v>
      </c>
      <c r="I6" s="221">
        <v>9926.2907369451768</v>
      </c>
      <c r="J6" s="221">
        <v>9926.2907369451768</v>
      </c>
      <c r="K6" s="221">
        <v>9926.2907369451768</v>
      </c>
      <c r="L6" s="221">
        <v>9305.8975658861036</v>
      </c>
      <c r="M6" s="221">
        <v>9305.8975658861036</v>
      </c>
      <c r="N6" s="221">
        <v>8685.5043948270304</v>
      </c>
      <c r="O6" s="221">
        <v>8065.1112237679572</v>
      </c>
      <c r="P6" s="221">
        <v>8065.1112237679572</v>
      </c>
      <c r="Q6" s="221">
        <v>7444.718052708884</v>
      </c>
      <c r="R6" s="221">
        <v>6824.3248816498108</v>
      </c>
      <c r="S6" s="221">
        <v>6203.9317105907376</v>
      </c>
      <c r="T6" s="221">
        <v>6203.9317105907376</v>
      </c>
      <c r="U6" s="221">
        <v>5583.5385395316644</v>
      </c>
      <c r="V6" s="221">
        <v>5583.5385395316644</v>
      </c>
      <c r="W6" s="221">
        <v>5583.5385395316644</v>
      </c>
      <c r="X6" s="221">
        <v>6203.9317105907376</v>
      </c>
      <c r="Y6" s="221">
        <v>5583.5385395316644</v>
      </c>
      <c r="DA6" s="211" t="s">
        <v>976</v>
      </c>
    </row>
    <row r="7" spans="1:105" x14ac:dyDescent="0.25">
      <c r="A7" s="224" t="s">
        <v>118</v>
      </c>
      <c r="B7" s="225"/>
      <c r="C7" s="225">
        <v>0</v>
      </c>
      <c r="D7" s="225">
        <v>0</v>
      </c>
      <c r="E7" s="225">
        <v>0</v>
      </c>
      <c r="F7" s="225">
        <v>0</v>
      </c>
      <c r="G7" s="225">
        <v>0</v>
      </c>
      <c r="H7" s="225">
        <v>0</v>
      </c>
      <c r="I7" s="225">
        <v>620.39317105907355</v>
      </c>
      <c r="J7" s="225">
        <v>620.39317105907355</v>
      </c>
      <c r="K7" s="225">
        <v>0</v>
      </c>
      <c r="L7" s="225">
        <v>0</v>
      </c>
      <c r="M7" s="225">
        <v>0</v>
      </c>
      <c r="N7" s="225">
        <v>0</v>
      </c>
      <c r="O7" s="225">
        <v>0</v>
      </c>
      <c r="P7" s="225">
        <v>0</v>
      </c>
      <c r="Q7" s="225">
        <v>0</v>
      </c>
      <c r="R7" s="225">
        <v>0</v>
      </c>
      <c r="S7" s="225">
        <v>0</v>
      </c>
      <c r="T7" s="225">
        <v>0</v>
      </c>
      <c r="U7" s="225">
        <v>0</v>
      </c>
      <c r="V7" s="225">
        <v>620.39317105907355</v>
      </c>
      <c r="W7" s="225">
        <v>0</v>
      </c>
      <c r="X7" s="225">
        <v>1240.7863421181471</v>
      </c>
      <c r="Y7" s="225">
        <v>0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620.39317105906957</v>
      </c>
      <c r="D8" s="227">
        <f t="shared" ref="D8" si="1">IF(C6=0,0,C6+D7-D6)</f>
        <v>0</v>
      </c>
      <c r="E8" s="227">
        <f t="shared" ref="E8" si="2">IF(D6=0,0,D6+E7-E6)</f>
        <v>620.39317105908049</v>
      </c>
      <c r="F8" s="227">
        <f t="shared" ref="F8" si="3">IF(E6=0,0,E6+F7-F6)</f>
        <v>620.39317105906957</v>
      </c>
      <c r="G8" s="227">
        <f t="shared" ref="G8" si="4">IF(F6=0,0,F6+G7-G6)</f>
        <v>620.39317105907321</v>
      </c>
      <c r="H8" s="227">
        <f t="shared" ref="H8" si="5">IF(G6=0,0,G6+H7-H6)</f>
        <v>0</v>
      </c>
      <c r="I8" s="227">
        <f t="shared" ref="I8" si="6">IF(H6=0,0,H6+I7-I6)</f>
        <v>620.39317105907321</v>
      </c>
      <c r="J8" s="227">
        <f t="shared" ref="J8" si="7">IF(I6=0,0,I6+J7-J6)</f>
        <v>620.39317105907321</v>
      </c>
      <c r="K8" s="227">
        <f t="shared" ref="K8" si="8">IF(J6=0,0,J6+K7-K6)</f>
        <v>0</v>
      </c>
      <c r="L8" s="227">
        <f t="shared" ref="L8" si="9">IF(K6=0,0,K6+L7-L6)</f>
        <v>620.39317105907321</v>
      </c>
      <c r="M8" s="227">
        <f t="shared" ref="M8" si="10">IF(L6=0,0,L6+M7-M6)</f>
        <v>0</v>
      </c>
      <c r="N8" s="227">
        <f t="shared" ref="N8" si="11">IF(M6=0,0,M6+N7-N6)</f>
        <v>620.39317105907321</v>
      </c>
      <c r="O8" s="227">
        <f t="shared" ref="O8" si="12">IF(N6=0,0,N6+O7-O6)</f>
        <v>620.39317105907321</v>
      </c>
      <c r="P8" s="227">
        <f t="shared" ref="P8" si="13">IF(O6=0,0,O6+P7-P6)</f>
        <v>0</v>
      </c>
      <c r="Q8" s="227">
        <f t="shared" ref="Q8" si="14">IF(P6=0,0,P6+Q7-Q6)</f>
        <v>620.39317105907321</v>
      </c>
      <c r="R8" s="227">
        <f t="shared" ref="R8" si="15">IF(Q6=0,0,Q6+R7-R6)</f>
        <v>620.39317105907321</v>
      </c>
      <c r="S8" s="227">
        <f t="shared" ref="S8" si="16">IF(R6=0,0,R6+S7-S6)</f>
        <v>620.39317105907321</v>
      </c>
      <c r="T8" s="227">
        <f t="shared" ref="T8" si="17">IF(S6=0,0,S6+T7-T6)</f>
        <v>0</v>
      </c>
      <c r="U8" s="227">
        <f t="shared" ref="U8" si="18">IF(T6=0,0,T6+U7-U6)</f>
        <v>620.39317105907321</v>
      </c>
      <c r="V8" s="227">
        <f t="shared" ref="V8" si="19">IF(U6=0,0,U6+V7-V6)</f>
        <v>620.39317105907321</v>
      </c>
      <c r="W8" s="227">
        <f t="shared" ref="W8" si="20">IF(V6=0,0,V6+W7-W6)</f>
        <v>0</v>
      </c>
      <c r="X8" s="227">
        <f t="shared" ref="X8" si="21">IF(W6=0,0,W6+X7-X6)</f>
        <v>620.39317105907412</v>
      </c>
      <c r="Y8" s="227">
        <f t="shared" ref="Y8" si="22">IF(X6=0,0,X6+Y7-Y6)</f>
        <v>620.39317105907321</v>
      </c>
      <c r="DA8" s="213" t="s">
        <v>978</v>
      </c>
    </row>
    <row r="9" spans="1:105" x14ac:dyDescent="0.25">
      <c r="A9" s="222" t="s">
        <v>116</v>
      </c>
      <c r="B9" s="223">
        <f>B6-B5</f>
        <v>2481.5726842362928</v>
      </c>
      <c r="C9" s="223">
        <f t="shared" ref="C9:W9" si="23">C6-C5</f>
        <v>1607.2792331320397</v>
      </c>
      <c r="D9" s="223">
        <f t="shared" si="23"/>
        <v>1544.7770310353899</v>
      </c>
      <c r="E9" s="223">
        <f t="shared" si="23"/>
        <v>660.20851061510984</v>
      </c>
      <c r="F9" s="223">
        <f t="shared" si="23"/>
        <v>1013.9353876515579</v>
      </c>
      <c r="G9" s="223">
        <f t="shared" si="23"/>
        <v>1324.0592050409032</v>
      </c>
      <c r="H9" s="223">
        <f t="shared" si="23"/>
        <v>830.61425934541694</v>
      </c>
      <c r="I9" s="223">
        <f t="shared" si="23"/>
        <v>544.08175499301069</v>
      </c>
      <c r="J9" s="223">
        <f t="shared" si="23"/>
        <v>1029.4609558104803</v>
      </c>
      <c r="K9" s="223">
        <f t="shared" si="23"/>
        <v>3581.1925134428302</v>
      </c>
      <c r="L9" s="223">
        <f t="shared" si="23"/>
        <v>3077.4818610781413</v>
      </c>
      <c r="M9" s="223">
        <f t="shared" si="23"/>
        <v>2748.4549639560501</v>
      </c>
      <c r="N9" s="223">
        <f t="shared" si="23"/>
        <v>2323.5912006962526</v>
      </c>
      <c r="O9" s="223">
        <f t="shared" si="23"/>
        <v>3152.9368522187124</v>
      </c>
      <c r="P9" s="223">
        <f t="shared" si="23"/>
        <v>3538.9898858722418</v>
      </c>
      <c r="Q9" s="223">
        <f t="shared" si="23"/>
        <v>2970.9619418188631</v>
      </c>
      <c r="R9" s="223">
        <f t="shared" si="23"/>
        <v>2447.8950510335753</v>
      </c>
      <c r="S9" s="223">
        <f t="shared" si="23"/>
        <v>1283.1081468188122</v>
      </c>
      <c r="T9" s="223">
        <f t="shared" si="23"/>
        <v>1788.3592946115969</v>
      </c>
      <c r="U9" s="223">
        <f t="shared" si="23"/>
        <v>1090.8559208557035</v>
      </c>
      <c r="V9" s="223">
        <f t="shared" si="23"/>
        <v>456.57523793083237</v>
      </c>
      <c r="W9" s="223">
        <f t="shared" si="23"/>
        <v>1358.6908186712544</v>
      </c>
      <c r="X9" s="223">
        <f t="shared" ref="X9:Y9" si="24">X6-X5</f>
        <v>628.09906891948594</v>
      </c>
      <c r="Y9" s="223">
        <f t="shared" si="24"/>
        <v>366.13558042167824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1116.4269131556318</v>
      </c>
      <c r="C12" s="229">
        <f t="shared" ref="C12:W12" si="25">SUM(C13,C14,C18,C19,C26,C27)</f>
        <v>1117.9827171109198</v>
      </c>
      <c r="D12" s="229">
        <f t="shared" si="25"/>
        <v>1165.7113499570078</v>
      </c>
      <c r="E12" s="229">
        <f t="shared" si="25"/>
        <v>1255.9687016337059</v>
      </c>
      <c r="F12" s="229">
        <f t="shared" si="25"/>
        <v>1118.2501289767843</v>
      </c>
      <c r="G12" s="229">
        <f t="shared" si="25"/>
        <v>1155.2283748925192</v>
      </c>
      <c r="H12" s="229">
        <f t="shared" si="25"/>
        <v>1182.9584694754944</v>
      </c>
      <c r="I12" s="229">
        <f t="shared" si="25"/>
        <v>1105.3620808254514</v>
      </c>
      <c r="J12" s="229">
        <f t="shared" si="25"/>
        <v>1098.7245915735168</v>
      </c>
      <c r="K12" s="229">
        <f t="shared" si="25"/>
        <v>874.56775580395527</v>
      </c>
      <c r="L12" s="229">
        <f t="shared" si="25"/>
        <v>800.2030094582974</v>
      </c>
      <c r="M12" s="229">
        <f t="shared" si="25"/>
        <v>760.80309544282022</v>
      </c>
      <c r="N12" s="229">
        <f t="shared" si="25"/>
        <v>752.69174548581259</v>
      </c>
      <c r="O12" s="229">
        <f t="shared" si="25"/>
        <v>579.11994840928617</v>
      </c>
      <c r="P12" s="229">
        <f t="shared" si="25"/>
        <v>516.94032674118648</v>
      </c>
      <c r="Q12" s="229">
        <f t="shared" si="25"/>
        <v>521.9857265692176</v>
      </c>
      <c r="R12" s="229">
        <f t="shared" si="25"/>
        <v>518.22398968185723</v>
      </c>
      <c r="S12" s="229">
        <f t="shared" si="25"/>
        <v>537.64849527085107</v>
      </c>
      <c r="T12" s="229">
        <f t="shared" si="25"/>
        <v>507.96534823731724</v>
      </c>
      <c r="U12" s="229">
        <f t="shared" si="25"/>
        <v>513.56096302665526</v>
      </c>
      <c r="V12" s="229">
        <f t="shared" si="25"/>
        <v>620.47936371453136</v>
      </c>
      <c r="W12" s="229">
        <f t="shared" si="25"/>
        <v>488.4470335339638</v>
      </c>
      <c r="X12" s="229">
        <f t="shared" ref="X12:Y12" si="26">SUM(X13,X14,X18,X19,X26,X27)</f>
        <v>551.59767841788482</v>
      </c>
      <c r="Y12" s="229">
        <f t="shared" si="26"/>
        <v>528.93465176268273</v>
      </c>
      <c r="DA12" s="210" t="s">
        <v>980</v>
      </c>
    </row>
    <row r="13" spans="1:105" x14ac:dyDescent="0.25">
      <c r="A13" s="58" t="s">
        <v>29</v>
      </c>
      <c r="B13" s="59">
        <v>6.820550300945829</v>
      </c>
      <c r="C13" s="59">
        <v>6.3246775580395527</v>
      </c>
      <c r="D13" s="59">
        <v>0</v>
      </c>
      <c r="E13" s="59">
        <v>0</v>
      </c>
      <c r="F13" s="59">
        <v>0.3869303525365434</v>
      </c>
      <c r="G13" s="59">
        <v>2.4840068787618228</v>
      </c>
      <c r="H13" s="59">
        <v>3.7833190025795349</v>
      </c>
      <c r="I13" s="59">
        <v>0</v>
      </c>
      <c r="J13" s="59">
        <v>0</v>
      </c>
      <c r="K13" s="59">
        <v>0</v>
      </c>
      <c r="L13" s="59">
        <v>0</v>
      </c>
      <c r="M13" s="59">
        <v>1.1513327601031811</v>
      </c>
      <c r="N13" s="59">
        <v>0</v>
      </c>
      <c r="O13" s="59">
        <v>0.99819432502149608</v>
      </c>
      <c r="P13" s="59">
        <v>2.762338779019776</v>
      </c>
      <c r="Q13" s="59">
        <v>1.5953568357695616</v>
      </c>
      <c r="R13" s="59">
        <v>2.9211521926053301</v>
      </c>
      <c r="S13" s="59">
        <v>0.8306104901117799</v>
      </c>
      <c r="T13" s="59">
        <v>0.59630266552020628</v>
      </c>
      <c r="U13" s="59">
        <v>0.62476354256233879</v>
      </c>
      <c r="V13" s="59">
        <v>1.4227858985382631</v>
      </c>
      <c r="W13" s="59">
        <v>1.3957867583834909</v>
      </c>
      <c r="X13" s="59">
        <v>1.0952708512467755</v>
      </c>
      <c r="Y13" s="59">
        <v>0.67644024075666376</v>
      </c>
      <c r="DA13" s="9" t="s">
        <v>981</v>
      </c>
    </row>
    <row r="14" spans="1:105" x14ac:dyDescent="0.25">
      <c r="A14" s="60" t="s">
        <v>28</v>
      </c>
      <c r="B14" s="55">
        <f>SUM(B15:B17)</f>
        <v>847.92682717110915</v>
      </c>
      <c r="C14" s="55">
        <f t="shared" ref="C14:W14" si="27">SUM(C15:C17)</f>
        <v>860.03387790197758</v>
      </c>
      <c r="D14" s="55">
        <f t="shared" si="27"/>
        <v>943.25503009458293</v>
      </c>
      <c r="E14" s="55">
        <f t="shared" si="27"/>
        <v>1009.4845227858984</v>
      </c>
      <c r="F14" s="55">
        <f t="shared" si="27"/>
        <v>862.43190025795354</v>
      </c>
      <c r="G14" s="55">
        <f t="shared" si="27"/>
        <v>881.72828890799644</v>
      </c>
      <c r="H14" s="55">
        <f t="shared" si="27"/>
        <v>927.38615649183146</v>
      </c>
      <c r="I14" s="55">
        <f t="shared" si="27"/>
        <v>837.09991401547711</v>
      </c>
      <c r="J14" s="55">
        <f t="shared" si="27"/>
        <v>809.33895098882192</v>
      </c>
      <c r="K14" s="55">
        <f t="shared" si="27"/>
        <v>633.58650042992258</v>
      </c>
      <c r="L14" s="55">
        <f t="shared" si="27"/>
        <v>546.20713671539113</v>
      </c>
      <c r="M14" s="55">
        <f t="shared" si="27"/>
        <v>507.00773860705067</v>
      </c>
      <c r="N14" s="55">
        <f t="shared" si="27"/>
        <v>486.60550300945829</v>
      </c>
      <c r="O14" s="55">
        <f t="shared" si="27"/>
        <v>314.34032674118652</v>
      </c>
      <c r="P14" s="55">
        <f t="shared" si="27"/>
        <v>287.84282029234737</v>
      </c>
      <c r="Q14" s="55">
        <f t="shared" si="27"/>
        <v>293.99552880481508</v>
      </c>
      <c r="R14" s="55">
        <f t="shared" si="27"/>
        <v>277.08030954428193</v>
      </c>
      <c r="S14" s="55">
        <f t="shared" si="27"/>
        <v>280.53052450558891</v>
      </c>
      <c r="T14" s="55">
        <f t="shared" si="27"/>
        <v>278.59733447979363</v>
      </c>
      <c r="U14" s="55">
        <f t="shared" si="27"/>
        <v>272.05288048151334</v>
      </c>
      <c r="V14" s="55">
        <f t="shared" si="27"/>
        <v>381.66070507308677</v>
      </c>
      <c r="W14" s="55">
        <f t="shared" si="27"/>
        <v>231.33955288048148</v>
      </c>
      <c r="X14" s="55">
        <f t="shared" ref="X14:Y14" si="28">SUM(X15:X17)</f>
        <v>319.61461736887361</v>
      </c>
      <c r="Y14" s="55">
        <f t="shared" si="28"/>
        <v>298.94419604471193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96.684866723989671</v>
      </c>
      <c r="O15" s="55">
        <v>30.763370593293203</v>
      </c>
      <c r="P15" s="55">
        <v>24.171281169389513</v>
      </c>
      <c r="Q15" s="55">
        <v>26.368615649183141</v>
      </c>
      <c r="R15" s="55">
        <v>28.566036113499564</v>
      </c>
      <c r="S15" s="55">
        <v>31.390627687016337</v>
      </c>
      <c r="T15" s="55">
        <v>35.065864144453997</v>
      </c>
      <c r="U15" s="55">
        <v>35.022957867583834</v>
      </c>
      <c r="V15" s="55">
        <v>37.010490111779873</v>
      </c>
      <c r="W15" s="55">
        <v>38.144282029234731</v>
      </c>
      <c r="X15" s="55">
        <v>38.461908856405849</v>
      </c>
      <c r="Y15" s="55">
        <v>43.63886500429922</v>
      </c>
      <c r="DA15" s="10" t="s">
        <v>982</v>
      </c>
    </row>
    <row r="16" spans="1:105" x14ac:dyDescent="0.25">
      <c r="A16" s="61" t="s">
        <v>165</v>
      </c>
      <c r="B16" s="55">
        <v>780.54840928632848</v>
      </c>
      <c r="C16" s="55">
        <v>790.81874462596727</v>
      </c>
      <c r="D16" s="55">
        <v>872.98177128116936</v>
      </c>
      <c r="E16" s="55">
        <v>954.11771281169376</v>
      </c>
      <c r="F16" s="55">
        <v>807.2513327601032</v>
      </c>
      <c r="G16" s="55">
        <v>827.79208942390358</v>
      </c>
      <c r="H16" s="55">
        <v>867.84660361134991</v>
      </c>
      <c r="I16" s="55">
        <v>777.46723989681846</v>
      </c>
      <c r="J16" s="55">
        <v>750.76431642304374</v>
      </c>
      <c r="K16" s="55">
        <v>585.05305245055888</v>
      </c>
      <c r="L16" s="55">
        <v>519.93404987102315</v>
      </c>
      <c r="M16" s="55">
        <v>497.54944110060183</v>
      </c>
      <c r="N16" s="55">
        <v>200.4442820292347</v>
      </c>
      <c r="O16" s="55">
        <v>94.625967325881334</v>
      </c>
      <c r="P16" s="55">
        <v>115.99312123817711</v>
      </c>
      <c r="Q16" s="55">
        <v>117.01066208082545</v>
      </c>
      <c r="R16" s="55">
        <v>104.80077386070506</v>
      </c>
      <c r="S16" s="55">
        <v>101.82261392949269</v>
      </c>
      <c r="T16" s="55">
        <v>109.90748065348235</v>
      </c>
      <c r="U16" s="55">
        <v>100.8712811693895</v>
      </c>
      <c r="V16" s="55">
        <v>177.04419604471195</v>
      </c>
      <c r="W16" s="55">
        <v>93.866036113499561</v>
      </c>
      <c r="X16" s="55">
        <v>134.04325021496132</v>
      </c>
      <c r="Y16" s="55">
        <v>110.61573516766981</v>
      </c>
      <c r="DA16" s="10" t="s">
        <v>983</v>
      </c>
    </row>
    <row r="17" spans="1:105" x14ac:dyDescent="0.25">
      <c r="A17" s="61" t="s">
        <v>113</v>
      </c>
      <c r="B17" s="55">
        <v>67.378417884780731</v>
      </c>
      <c r="C17" s="55">
        <v>69.215133276010306</v>
      </c>
      <c r="D17" s="55">
        <v>70.273258813413577</v>
      </c>
      <c r="E17" s="55">
        <v>55.366809974204642</v>
      </c>
      <c r="F17" s="55">
        <v>55.18056749785039</v>
      </c>
      <c r="G17" s="55">
        <v>53.93619948409286</v>
      </c>
      <c r="H17" s="55">
        <v>59.539552880481509</v>
      </c>
      <c r="I17" s="55">
        <v>59.632674118658642</v>
      </c>
      <c r="J17" s="55">
        <v>58.574634565778155</v>
      </c>
      <c r="K17" s="55">
        <v>48.533447979363714</v>
      </c>
      <c r="L17" s="55">
        <v>26.273086844368009</v>
      </c>
      <c r="M17" s="55">
        <v>9.4582975064488384</v>
      </c>
      <c r="N17" s="55">
        <v>189.47635425623389</v>
      </c>
      <c r="O17" s="55">
        <v>188.95098882201199</v>
      </c>
      <c r="P17" s="55">
        <v>147.67841788478074</v>
      </c>
      <c r="Q17" s="55">
        <v>150.61625107480651</v>
      </c>
      <c r="R17" s="55">
        <v>143.71349957007735</v>
      </c>
      <c r="S17" s="55">
        <v>147.31728288907991</v>
      </c>
      <c r="T17" s="55">
        <v>133.62398968185727</v>
      </c>
      <c r="U17" s="55">
        <v>136.15864144454</v>
      </c>
      <c r="V17" s="55">
        <v>167.60601891659499</v>
      </c>
      <c r="W17" s="55">
        <v>99.329234737747186</v>
      </c>
      <c r="X17" s="55">
        <v>147.10945829750645</v>
      </c>
      <c r="Y17" s="55">
        <v>144.68959587274293</v>
      </c>
      <c r="DA17" s="10" t="s">
        <v>984</v>
      </c>
    </row>
    <row r="18" spans="1:105" x14ac:dyDescent="0.25">
      <c r="A18" s="60" t="s">
        <v>149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0.1934651762682717</v>
      </c>
      <c r="Q18" s="55">
        <v>0.1719690455717971</v>
      </c>
      <c r="R18" s="55">
        <v>0.25795356835769562</v>
      </c>
      <c r="S18" s="55">
        <v>0.37747205503009451</v>
      </c>
      <c r="T18" s="55">
        <v>0.53938091143594147</v>
      </c>
      <c r="U18" s="55">
        <v>2.3848667239896821</v>
      </c>
      <c r="V18" s="55">
        <v>2.806964746345658</v>
      </c>
      <c r="W18" s="55">
        <v>4.3651762682717106</v>
      </c>
      <c r="X18" s="55">
        <v>10.21771281169389</v>
      </c>
      <c r="Y18" s="55">
        <v>16.701031814273431</v>
      </c>
      <c r="DA18" s="10" t="s">
        <v>985</v>
      </c>
    </row>
    <row r="19" spans="1:105" x14ac:dyDescent="0.25">
      <c r="A19" s="60" t="s">
        <v>51</v>
      </c>
      <c r="B19" s="55">
        <f>SUM(B20:B25)</f>
        <v>11.464574376612211</v>
      </c>
      <c r="C19" s="55">
        <f t="shared" ref="C19:W19" si="29">SUM(C20:C25)</f>
        <v>12.587188306104895</v>
      </c>
      <c r="D19" s="55">
        <f t="shared" si="29"/>
        <v>8.9567497850386939</v>
      </c>
      <c r="E19" s="55">
        <f t="shared" si="29"/>
        <v>7.1892519346517627</v>
      </c>
      <c r="F19" s="55">
        <f t="shared" si="29"/>
        <v>15.620464316423043</v>
      </c>
      <c r="G19" s="55">
        <f t="shared" si="29"/>
        <v>18.909458297506447</v>
      </c>
      <c r="H19" s="55">
        <f t="shared" si="29"/>
        <v>18.169045571797074</v>
      </c>
      <c r="I19" s="55">
        <f t="shared" si="29"/>
        <v>20.540756663800511</v>
      </c>
      <c r="J19" s="55">
        <f t="shared" si="29"/>
        <v>22.403697334479794</v>
      </c>
      <c r="K19" s="55">
        <f t="shared" si="29"/>
        <v>24.81616509028375</v>
      </c>
      <c r="L19" s="55">
        <f t="shared" si="29"/>
        <v>24.847119518486672</v>
      </c>
      <c r="M19" s="55">
        <f t="shared" si="29"/>
        <v>37.424763542562332</v>
      </c>
      <c r="N19" s="55">
        <f t="shared" si="29"/>
        <v>31.606448839208944</v>
      </c>
      <c r="O19" s="55">
        <f t="shared" si="29"/>
        <v>31.279277730008598</v>
      </c>
      <c r="P19" s="55">
        <f t="shared" si="29"/>
        <v>29.839036973344797</v>
      </c>
      <c r="Q19" s="55">
        <f t="shared" si="29"/>
        <v>31.295958727429056</v>
      </c>
      <c r="R19" s="55">
        <f t="shared" si="29"/>
        <v>31.257781599312114</v>
      </c>
      <c r="S19" s="55">
        <f t="shared" si="29"/>
        <v>30.111263972484956</v>
      </c>
      <c r="T19" s="55">
        <f t="shared" si="29"/>
        <v>31.835941530524497</v>
      </c>
      <c r="U19" s="55">
        <f t="shared" si="29"/>
        <v>32.606792777300093</v>
      </c>
      <c r="V19" s="55">
        <f t="shared" si="29"/>
        <v>28.259587274290631</v>
      </c>
      <c r="W19" s="55">
        <f t="shared" si="29"/>
        <v>27.051590713671544</v>
      </c>
      <c r="X19" s="55">
        <f t="shared" ref="X19:Y19" si="30">SUM(X20:X25)</f>
        <v>29.939208942390369</v>
      </c>
      <c r="Y19" s="55">
        <f t="shared" si="30"/>
        <v>31.502063628546864</v>
      </c>
      <c r="DA19" s="10"/>
    </row>
    <row r="20" spans="1:105" x14ac:dyDescent="0.25">
      <c r="A20" s="61" t="s">
        <v>164</v>
      </c>
      <c r="B20" s="55">
        <v>9.8643164230438529</v>
      </c>
      <c r="C20" s="55">
        <v>10.31814273430782</v>
      </c>
      <c r="D20" s="55">
        <v>7.6191745485812552</v>
      </c>
      <c r="E20" s="55">
        <v>6.0428202923473773</v>
      </c>
      <c r="F20" s="55">
        <v>8.2401547721410147</v>
      </c>
      <c r="G20" s="55">
        <v>11.536285468615651</v>
      </c>
      <c r="H20" s="55">
        <v>10.58091143594153</v>
      </c>
      <c r="I20" s="55">
        <v>12.70662080825451</v>
      </c>
      <c r="J20" s="55">
        <v>14.569561478933791</v>
      </c>
      <c r="K20" s="55">
        <v>14.880137575236461</v>
      </c>
      <c r="L20" s="55">
        <v>14.903955288048151</v>
      </c>
      <c r="M20" s="55">
        <v>27.610576096302658</v>
      </c>
      <c r="N20" s="55">
        <v>24.720550300945831</v>
      </c>
      <c r="O20" s="55">
        <v>25.699828030954428</v>
      </c>
      <c r="P20" s="55">
        <v>24.696646603611349</v>
      </c>
      <c r="Q20" s="55">
        <v>27.610576096302658</v>
      </c>
      <c r="R20" s="55">
        <v>27.276182287188298</v>
      </c>
      <c r="S20" s="55">
        <v>27.25227858985383</v>
      </c>
      <c r="T20" s="55">
        <v>28.733190025795349</v>
      </c>
      <c r="U20" s="55">
        <v>29.951246775580401</v>
      </c>
      <c r="V20" s="55">
        <v>25.1</v>
      </c>
      <c r="W20" s="55">
        <v>25.236371453138439</v>
      </c>
      <c r="X20" s="55">
        <v>28.304815133276009</v>
      </c>
      <c r="Y20" s="55">
        <v>30.252450558899401</v>
      </c>
      <c r="DA20" s="10" t="s">
        <v>986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DA21" s="10" t="s">
        <v>987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0.212725709372313</v>
      </c>
      <c r="U22" s="55">
        <v>0.14763542562338774</v>
      </c>
      <c r="V22" s="55">
        <v>0.17403267411865866</v>
      </c>
      <c r="W22" s="55">
        <v>0</v>
      </c>
      <c r="X22" s="55">
        <v>0</v>
      </c>
      <c r="Y22" s="55">
        <v>0</v>
      </c>
      <c r="DA22" s="10" t="s">
        <v>988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" t="s">
        <v>989</v>
      </c>
    </row>
    <row r="24" spans="1:105" x14ac:dyDescent="0.25">
      <c r="A24" s="61" t="s">
        <v>25</v>
      </c>
      <c r="B24" s="55">
        <v>1.6002579535683581</v>
      </c>
      <c r="C24" s="55">
        <v>2.2690455717970761</v>
      </c>
      <c r="D24" s="55">
        <v>1.337575236457438</v>
      </c>
      <c r="E24" s="55">
        <v>1.146431642304385</v>
      </c>
      <c r="F24" s="55">
        <v>7.3803095442820288</v>
      </c>
      <c r="G24" s="55">
        <v>7.3731728288907981</v>
      </c>
      <c r="H24" s="55">
        <v>7.5881341358555439</v>
      </c>
      <c r="I24" s="55">
        <v>7.8341358555460019</v>
      </c>
      <c r="J24" s="55">
        <v>7.8341358555460019</v>
      </c>
      <c r="K24" s="55">
        <v>9.9360275150472894</v>
      </c>
      <c r="L24" s="55">
        <v>9.9431642304385193</v>
      </c>
      <c r="M24" s="55">
        <v>9.8141874462596714</v>
      </c>
      <c r="N24" s="55">
        <v>6.8858985382631124</v>
      </c>
      <c r="O24" s="55">
        <v>5.5794496990541695</v>
      </c>
      <c r="P24" s="55">
        <v>5.1423903697334481</v>
      </c>
      <c r="Q24" s="55">
        <v>3.6853826311263971</v>
      </c>
      <c r="R24" s="55">
        <v>3.9815993121238171</v>
      </c>
      <c r="S24" s="55">
        <v>2.858985382631126</v>
      </c>
      <c r="T24" s="55">
        <v>2.8900257953568351</v>
      </c>
      <c r="U24" s="55">
        <v>2.507910576096303</v>
      </c>
      <c r="V24" s="55">
        <v>2.9855546001719691</v>
      </c>
      <c r="W24" s="55">
        <v>1.8152192605331039</v>
      </c>
      <c r="X24" s="55">
        <v>1.6343938091143591</v>
      </c>
      <c r="Y24" s="55">
        <v>1.249613069647463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X26" s="55">
        <v>0</v>
      </c>
      <c r="Y26" s="55">
        <v>0</v>
      </c>
      <c r="DA26" s="10" t="s">
        <v>992</v>
      </c>
    </row>
    <row r="27" spans="1:105" x14ac:dyDescent="0.25">
      <c r="A27" s="62" t="s">
        <v>24</v>
      </c>
      <c r="B27" s="63">
        <v>250.21496130696471</v>
      </c>
      <c r="C27" s="63">
        <v>239.0369733447979</v>
      </c>
      <c r="D27" s="63">
        <v>213.4995700773861</v>
      </c>
      <c r="E27" s="63">
        <v>239.29492691315559</v>
      </c>
      <c r="F27" s="63">
        <v>239.810834049871</v>
      </c>
      <c r="G27" s="63">
        <v>252.10662080825449</v>
      </c>
      <c r="H27" s="63">
        <v>233.61994840928631</v>
      </c>
      <c r="I27" s="63">
        <v>247.7214101461737</v>
      </c>
      <c r="J27" s="63">
        <v>266.98194325021501</v>
      </c>
      <c r="K27" s="63">
        <v>216.1650902837489</v>
      </c>
      <c r="L27" s="63">
        <v>229.14875322441961</v>
      </c>
      <c r="M27" s="63">
        <v>215.21926053310401</v>
      </c>
      <c r="N27" s="63">
        <v>234.47979363714529</v>
      </c>
      <c r="O27" s="63">
        <v>232.50214961306961</v>
      </c>
      <c r="P27" s="63">
        <v>196.30266552020629</v>
      </c>
      <c r="Q27" s="63">
        <v>194.92691315563201</v>
      </c>
      <c r="R27" s="63">
        <v>206.70679277730011</v>
      </c>
      <c r="S27" s="63">
        <v>225.79862424763539</v>
      </c>
      <c r="T27" s="63">
        <v>196.39638865004295</v>
      </c>
      <c r="U27" s="63">
        <v>205.89165950128981</v>
      </c>
      <c r="V27" s="63">
        <v>206.32932072226998</v>
      </c>
      <c r="W27" s="63">
        <v>224.29492691315556</v>
      </c>
      <c r="X27" s="63">
        <v>190.73086844368012</v>
      </c>
      <c r="Y27" s="63">
        <v>181.11092003439376</v>
      </c>
      <c r="DA27" s="11" t="s">
        <v>993</v>
      </c>
    </row>
    <row r="29" spans="1:105" x14ac:dyDescent="0.25">
      <c r="A29" s="218" t="s">
        <v>84</v>
      </c>
      <c r="B29" s="219">
        <v>2656.1320378148885</v>
      </c>
      <c r="C29" s="219">
        <v>2691.8237110407358</v>
      </c>
      <c r="D29" s="219">
        <v>2918.1398947200005</v>
      </c>
      <c r="E29" s="219">
        <v>3126.9344468399995</v>
      </c>
      <c r="F29" s="219">
        <v>2673.3443222520004</v>
      </c>
      <c r="G29" s="219">
        <v>2744.6112152481833</v>
      </c>
      <c r="H29" s="219">
        <v>2894.2575444000013</v>
      </c>
      <c r="I29" s="219">
        <v>2594.8675565999997</v>
      </c>
      <c r="J29" s="219">
        <v>2508.9540533999998</v>
      </c>
      <c r="K29" s="219">
        <v>1962.3770715600001</v>
      </c>
      <c r="L29" s="219">
        <v>1689.2832819599998</v>
      </c>
      <c r="M29" s="219">
        <v>1577.0072289314892</v>
      </c>
      <c r="N29" s="219">
        <v>1444.4086352400002</v>
      </c>
      <c r="O29" s="219">
        <v>961.81425198377087</v>
      </c>
      <c r="P29" s="219">
        <v>883.64007843117054</v>
      </c>
      <c r="Q29" s="219">
        <v>895.36518380720133</v>
      </c>
      <c r="R29" s="219">
        <v>848.54314601709802</v>
      </c>
      <c r="S29" s="219">
        <v>846.80166744551923</v>
      </c>
      <c r="T29" s="219">
        <v>841.40948977306766</v>
      </c>
      <c r="U29" s="219">
        <v>824.29475053006581</v>
      </c>
      <c r="V29" s="219">
        <v>1165.7611254592241</v>
      </c>
      <c r="W29" s="219">
        <v>709.33854352166577</v>
      </c>
      <c r="X29" s="219">
        <v>990.38459965192169</v>
      </c>
      <c r="Y29" s="219">
        <v>937.01835505699967</v>
      </c>
      <c r="DA29" s="8"/>
    </row>
    <row r="31" spans="1:105" x14ac:dyDescent="0.25">
      <c r="A31" s="33" t="s">
        <v>183</v>
      </c>
      <c r="B31" s="59">
        <f t="shared" ref="B31:Y31" si="31">IF(B$12=0,"",B$12/B$3*1000)</f>
        <v>104.68505902766731</v>
      </c>
      <c r="C31" s="59">
        <f t="shared" si="31"/>
        <v>103.17079525369731</v>
      </c>
      <c r="D31" s="59">
        <f t="shared" si="31"/>
        <v>105.78392591481328</v>
      </c>
      <c r="E31" s="59">
        <f t="shared" si="31"/>
        <v>105.94073266739444</v>
      </c>
      <c r="F31" s="59">
        <f t="shared" si="31"/>
        <v>104.56104496713827</v>
      </c>
      <c r="G31" s="59">
        <f t="shared" si="31"/>
        <v>108.05635679788182</v>
      </c>
      <c r="H31" s="59">
        <f t="shared" si="31"/>
        <v>141.51544678596377</v>
      </c>
      <c r="I31" s="59">
        <f t="shared" si="31"/>
        <v>133.17949145047339</v>
      </c>
      <c r="J31" s="59">
        <f t="shared" si="31"/>
        <v>144.097527005838</v>
      </c>
      <c r="K31" s="59">
        <f t="shared" si="31"/>
        <v>118.77270868804879</v>
      </c>
      <c r="L31" s="59">
        <f t="shared" si="31"/>
        <v>114.470276522467</v>
      </c>
      <c r="M31" s="59">
        <f t="shared" si="31"/>
        <v>112.97362161580833</v>
      </c>
      <c r="N31" s="59">
        <f t="shared" si="31"/>
        <v>108.40118247746582</v>
      </c>
      <c r="O31" s="59">
        <f t="shared" si="31"/>
        <v>87.016707081407816</v>
      </c>
      <c r="P31" s="59">
        <f t="shared" si="31"/>
        <v>73.290004446912391</v>
      </c>
      <c r="Q31" s="59">
        <f t="shared" si="31"/>
        <v>68.443789482508194</v>
      </c>
      <c r="R31" s="59">
        <f t="shared" si="31"/>
        <v>74.395311697390412</v>
      </c>
      <c r="S31" s="59">
        <f t="shared" si="31"/>
        <v>69.666949961384375</v>
      </c>
      <c r="T31" s="59">
        <f t="shared" si="31"/>
        <v>68.436223582668475</v>
      </c>
      <c r="U31" s="59">
        <f t="shared" si="31"/>
        <v>65.520901279544887</v>
      </c>
      <c r="V31" s="59">
        <f t="shared" si="31"/>
        <v>82.277435669613808</v>
      </c>
      <c r="W31" s="59">
        <f t="shared" si="31"/>
        <v>66.064353110295087</v>
      </c>
      <c r="X31" s="59">
        <f t="shared" si="31"/>
        <v>67.437525299888918</v>
      </c>
      <c r="Y31" s="59">
        <f t="shared" si="31"/>
        <v>70.250176213284476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112.47171201628667</v>
      </c>
      <c r="C32" s="55">
        <f t="shared" si="32"/>
        <v>109.8194243354617</v>
      </c>
      <c r="D32" s="55">
        <f t="shared" si="32"/>
        <v>113.80906613357637</v>
      </c>
      <c r="E32" s="55">
        <f t="shared" si="32"/>
        <v>119.53787119840253</v>
      </c>
      <c r="F32" s="55">
        <f t="shared" si="32"/>
        <v>117.30616060932354</v>
      </c>
      <c r="G32" s="55">
        <f t="shared" si="32"/>
        <v>134.29403412451359</v>
      </c>
      <c r="H32" s="55">
        <f t="shared" si="32"/>
        <v>130.05722800154641</v>
      </c>
      <c r="I32" s="55">
        <f t="shared" si="32"/>
        <v>117.81469406104164</v>
      </c>
      <c r="J32" s="55">
        <f t="shared" si="32"/>
        <v>123.49619118298857</v>
      </c>
      <c r="K32" s="55">
        <f t="shared" si="32"/>
        <v>137.83360398812144</v>
      </c>
      <c r="L32" s="55">
        <f t="shared" si="32"/>
        <v>128.47617233393538</v>
      </c>
      <c r="M32" s="55">
        <f t="shared" si="32"/>
        <v>116.02131221383362</v>
      </c>
      <c r="N32" s="55">
        <f t="shared" si="32"/>
        <v>118.31216844961246</v>
      </c>
      <c r="O32" s="55">
        <f t="shared" si="32"/>
        <v>117.89482713876832</v>
      </c>
      <c r="P32" s="55">
        <f t="shared" si="32"/>
        <v>114.21265320772916</v>
      </c>
      <c r="Q32" s="55">
        <f t="shared" si="32"/>
        <v>116.67728719019784</v>
      </c>
      <c r="R32" s="55">
        <f t="shared" si="32"/>
        <v>118.4124982552016</v>
      </c>
      <c r="S32" s="55">
        <f t="shared" si="32"/>
        <v>109.25986032686184</v>
      </c>
      <c r="T32" s="55">
        <f t="shared" si="32"/>
        <v>115.03952384499108</v>
      </c>
      <c r="U32" s="55">
        <f t="shared" si="32"/>
        <v>114.31053707016741</v>
      </c>
      <c r="V32" s="55">
        <f t="shared" si="32"/>
        <v>121.02278233994657</v>
      </c>
      <c r="W32" s="55">
        <f t="shared" si="32"/>
        <v>115.6129323010225</v>
      </c>
      <c r="X32" s="55">
        <f t="shared" si="32"/>
        <v>98.926512660278433</v>
      </c>
      <c r="Y32" s="55">
        <f t="shared" si="32"/>
        <v>101.37891512464496</v>
      </c>
      <c r="DA32" s="216"/>
    </row>
    <row r="33" spans="1:105" x14ac:dyDescent="0.25">
      <c r="A33" s="35" t="s">
        <v>111</v>
      </c>
      <c r="B33" s="55">
        <f>IF(AGR_ued!B$5=0,"",AGR_ued!B$5/B$5*1000)</f>
        <v>40.029600061550667</v>
      </c>
      <c r="C33" s="55">
        <f>IF(AGR_ued!C$5=0,"",AGR_ued!C$5/C$5*1000)</f>
        <v>38.830040405026658</v>
      </c>
      <c r="D33" s="55">
        <f>IF(AGR_ued!D$5=0,"",AGR_ued!D$5/D$5*1000)</f>
        <v>39.56467601392653</v>
      </c>
      <c r="E33" s="55">
        <f>IF(AGR_ued!E$5=0,"",AGR_ued!E$5/E$5*1000)</f>
        <v>41.823085889974649</v>
      </c>
      <c r="F33" s="55">
        <f>IF(AGR_ued!F$5=0,"",AGR_ued!F$5/F$5*1000)</f>
        <v>41.590141114699705</v>
      </c>
      <c r="G33" s="55">
        <f>IF(AGR_ued!G$5=0,"",AGR_ued!G$5/G$5*1000)</f>
        <v>47.707416087537815</v>
      </c>
      <c r="H33" s="55">
        <f>IF(AGR_ued!H$5=0,"",AGR_ued!H$5/H$5*1000)</f>
        <v>45.610689646931789</v>
      </c>
      <c r="I33" s="55">
        <f>IF(AGR_ued!I$5=0,"",AGR_ued!I$5/I$5*1000)</f>
        <v>41.975070191221072</v>
      </c>
      <c r="J33" s="55">
        <f>IF(AGR_ued!J$5=0,"",AGR_ued!J$5/J$5*1000)</f>
        <v>44.516367285038406</v>
      </c>
      <c r="K33" s="55">
        <f>IF(AGR_ued!K$5=0,"",AGR_ued!K$5/K$5*1000)</f>
        <v>49.777528024902395</v>
      </c>
      <c r="L33" s="55">
        <f>IF(AGR_ued!L$5=0,"",AGR_ued!L$5/L$5*1000)</f>
        <v>47.688207632160747</v>
      </c>
      <c r="M33" s="55">
        <f>IF(AGR_ued!M$5=0,"",AGR_ued!M$5/M$5*1000)</f>
        <v>42.939241579999837</v>
      </c>
      <c r="N33" s="55">
        <f>IF(AGR_ued!N$5=0,"",AGR_ued!N$5/N$5*1000)</f>
        <v>43.1742240918541</v>
      </c>
      <c r="O33" s="55">
        <f>IF(AGR_ued!O$5=0,"",AGR_ued!O$5/O$5*1000)</f>
        <v>45.944175937156373</v>
      </c>
      <c r="P33" s="55">
        <f>IF(AGR_ued!P$5=0,"",AGR_ued!P$5/P$5*1000)</f>
        <v>43.898901634416809</v>
      </c>
      <c r="Q33" s="55">
        <f>IF(AGR_ued!Q$5=0,"",AGR_ued!Q$5/Q$5*1000)</f>
        <v>44.557809001362131</v>
      </c>
      <c r="R33" s="55">
        <f>IF(AGR_ued!R$5=0,"",AGR_ued!R$5/R$5*1000)</f>
        <v>46.213413141803706</v>
      </c>
      <c r="S33" s="55">
        <f>IF(AGR_ued!S$5=0,"",AGR_ued!S$5/S$5*1000)</f>
        <v>43.429840336600989</v>
      </c>
      <c r="T33" s="55">
        <f>IF(AGR_ued!T$5=0,"",AGR_ued!T$5/T$5*1000)</f>
        <v>44.491686791181259</v>
      </c>
      <c r="U33" s="55">
        <f>IF(AGR_ued!U$5=0,"",AGR_ued!U$5/U$5*1000)</f>
        <v>44.729698435379767</v>
      </c>
      <c r="V33" s="55">
        <f>IF(AGR_ued!V$5=0,"",AGR_ued!V$5/V$5*1000)</f>
        <v>44.939311445352608</v>
      </c>
      <c r="W33" s="55">
        <f>IF(AGR_ued!W$5=0,"",AGR_ued!W$5/W$5*1000)</f>
        <v>47.780531908228703</v>
      </c>
      <c r="X33" s="55">
        <f>IF(AGR_ued!X$5=0,"",AGR_ued!X$5/X$5*1000)</f>
        <v>37.115639586927287</v>
      </c>
      <c r="Y33" s="55">
        <f>IF(AGR_ued!Y$5=0,"",AGR_ued!Y$5/Y$5*1000)</f>
        <v>37.913914515928873</v>
      </c>
      <c r="DA33" s="216"/>
    </row>
    <row r="34" spans="1:105" x14ac:dyDescent="0.25">
      <c r="A34" s="37" t="s">
        <v>110</v>
      </c>
      <c r="B34" s="217">
        <f t="shared" ref="B34:Y34" si="33">IF(B$12=0,"",B$29/B$12)</f>
        <v>2.3791365171475576</v>
      </c>
      <c r="C34" s="217">
        <f t="shared" si="33"/>
        <v>2.4077507369674915</v>
      </c>
      <c r="D34" s="217">
        <f t="shared" si="33"/>
        <v>2.5033125866258601</v>
      </c>
      <c r="E34" s="217">
        <f t="shared" si="33"/>
        <v>2.4896595295508783</v>
      </c>
      <c r="F34" s="217">
        <f t="shared" si="33"/>
        <v>2.3906496882751544</v>
      </c>
      <c r="G34" s="217">
        <f t="shared" si="33"/>
        <v>2.3758170028532564</v>
      </c>
      <c r="H34" s="217">
        <f t="shared" si="33"/>
        <v>2.4466265038731838</v>
      </c>
      <c r="I34" s="217">
        <f t="shared" si="33"/>
        <v>2.3475272054404384</v>
      </c>
      <c r="J34" s="217">
        <f t="shared" si="33"/>
        <v>2.2835149705777047</v>
      </c>
      <c r="K34" s="217">
        <f t="shared" si="33"/>
        <v>2.2438250879213641</v>
      </c>
      <c r="L34" s="217">
        <f t="shared" si="33"/>
        <v>2.1110683938861605</v>
      </c>
      <c r="M34" s="217">
        <f t="shared" si="33"/>
        <v>2.0728191543616195</v>
      </c>
      <c r="N34" s="217">
        <f t="shared" si="33"/>
        <v>1.9189909334102373</v>
      </c>
      <c r="O34" s="217">
        <f t="shared" si="33"/>
        <v>1.660820447690778</v>
      </c>
      <c r="P34" s="217">
        <f t="shared" si="33"/>
        <v>1.709365728925957</v>
      </c>
      <c r="Q34" s="217">
        <f t="shared" si="33"/>
        <v>1.7153058756836945</v>
      </c>
      <c r="R34" s="217">
        <f t="shared" si="33"/>
        <v>1.6374061465931498</v>
      </c>
      <c r="S34" s="217">
        <f t="shared" si="33"/>
        <v>1.5750098342950372</v>
      </c>
      <c r="T34" s="217">
        <f t="shared" si="33"/>
        <v>1.6564308819348206</v>
      </c>
      <c r="U34" s="217">
        <f t="shared" si="33"/>
        <v>1.6050572568290837</v>
      </c>
      <c r="V34" s="217">
        <f t="shared" si="33"/>
        <v>1.8788072474809407</v>
      </c>
      <c r="W34" s="217">
        <f t="shared" si="33"/>
        <v>1.4522322684396904</v>
      </c>
      <c r="X34" s="217">
        <f t="shared" si="33"/>
        <v>1.7954836258422688</v>
      </c>
      <c r="Y34" s="217">
        <f t="shared" si="33"/>
        <v>1.7715200770726058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1116.4269131556314</v>
      </c>
      <c r="C5" s="80">
        <f t="shared" ref="C5:W5" si="1">SUM(C6:C9,C16:C17,C25:C27)</f>
        <v>1117.9827171109196</v>
      </c>
      <c r="D5" s="80">
        <f t="shared" si="1"/>
        <v>1165.7113499570078</v>
      </c>
      <c r="E5" s="80">
        <f t="shared" si="1"/>
        <v>1255.9687016337059</v>
      </c>
      <c r="F5" s="80">
        <f t="shared" si="1"/>
        <v>1118.2501289767838</v>
      </c>
      <c r="G5" s="80">
        <f t="shared" si="1"/>
        <v>1155.2283748925192</v>
      </c>
      <c r="H5" s="80">
        <f t="shared" si="1"/>
        <v>1182.9584694754942</v>
      </c>
      <c r="I5" s="80">
        <f t="shared" si="1"/>
        <v>1105.3620808254509</v>
      </c>
      <c r="J5" s="80">
        <f t="shared" si="1"/>
        <v>1098.7245915735168</v>
      </c>
      <c r="K5" s="80">
        <f t="shared" si="1"/>
        <v>874.56775580395492</v>
      </c>
      <c r="L5" s="80">
        <f t="shared" si="1"/>
        <v>800.20300945829717</v>
      </c>
      <c r="M5" s="80">
        <f t="shared" si="1"/>
        <v>760.80309544281988</v>
      </c>
      <c r="N5" s="80">
        <f t="shared" si="1"/>
        <v>752.69174548581248</v>
      </c>
      <c r="O5" s="80">
        <f t="shared" si="1"/>
        <v>579.11994840928628</v>
      </c>
      <c r="P5" s="80">
        <f t="shared" si="1"/>
        <v>516.94032674118648</v>
      </c>
      <c r="Q5" s="80">
        <f t="shared" si="1"/>
        <v>521.9857265692176</v>
      </c>
      <c r="R5" s="80">
        <f t="shared" si="1"/>
        <v>518.22398968185723</v>
      </c>
      <c r="S5" s="80">
        <f t="shared" si="1"/>
        <v>537.64849527085119</v>
      </c>
      <c r="T5" s="80">
        <f t="shared" si="1"/>
        <v>507.9653482373173</v>
      </c>
      <c r="U5" s="80">
        <f t="shared" si="1"/>
        <v>513.56096302665503</v>
      </c>
      <c r="V5" s="80">
        <f t="shared" si="1"/>
        <v>620.47936371453136</v>
      </c>
      <c r="W5" s="80">
        <f t="shared" si="1"/>
        <v>488.4470335339638</v>
      </c>
      <c r="X5" s="80">
        <f t="shared" ref="X5:Y5" si="2">SUM(X6:X9,X16:X17,X25:X27)</f>
        <v>551.59767841788471</v>
      </c>
      <c r="Y5" s="80">
        <f t="shared" si="2"/>
        <v>528.93465176268285</v>
      </c>
      <c r="DA5" s="103"/>
    </row>
    <row r="6" spans="1:105" x14ac:dyDescent="0.25">
      <c r="A6" s="238" t="s">
        <v>125</v>
      </c>
      <c r="B6" s="239">
        <v>36.586041699590091</v>
      </c>
      <c r="C6" s="239">
        <v>35.595648872238982</v>
      </c>
      <c r="D6" s="239">
        <v>33.746374717504061</v>
      </c>
      <c r="E6" s="239">
        <v>37.470947168715512</v>
      </c>
      <c r="F6" s="239">
        <v>35.871479134653988</v>
      </c>
      <c r="G6" s="239">
        <v>37.436296175905682</v>
      </c>
      <c r="H6" s="239">
        <v>35.995381168263847</v>
      </c>
      <c r="I6" s="239">
        <v>36.332410227026088</v>
      </c>
      <c r="J6" s="239">
        <v>37.869327993492952</v>
      </c>
      <c r="K6" s="239">
        <v>30.391514724344471</v>
      </c>
      <c r="L6" s="239">
        <v>30.43303006802784</v>
      </c>
      <c r="M6" s="239">
        <v>28.748573395406108</v>
      </c>
      <c r="N6" s="239">
        <v>25.183027703988369</v>
      </c>
      <c r="O6" s="239">
        <v>22.31013774431436</v>
      </c>
      <c r="P6" s="239">
        <v>19.72169955082153</v>
      </c>
      <c r="Q6" s="239">
        <v>19.589919895714988</v>
      </c>
      <c r="R6" s="239">
        <v>20.295424602800349</v>
      </c>
      <c r="S6" s="239">
        <v>21.80924892587155</v>
      </c>
      <c r="T6" s="239">
        <v>19.52380718688228</v>
      </c>
      <c r="U6" s="239">
        <v>20.156409246806</v>
      </c>
      <c r="V6" s="239">
        <v>22.105878439643551</v>
      </c>
      <c r="W6" s="239">
        <v>21.550851622500939</v>
      </c>
      <c r="X6" s="239">
        <v>19.922729110468399</v>
      </c>
      <c r="Y6" s="239">
        <v>18.76423776925775</v>
      </c>
      <c r="DA6" s="267" t="s">
        <v>995</v>
      </c>
    </row>
    <row r="7" spans="1:105" x14ac:dyDescent="0.25">
      <c r="A7" s="240" t="s">
        <v>124</v>
      </c>
      <c r="B7" s="241">
        <v>23.78092710473355</v>
      </c>
      <c r="C7" s="241">
        <v>23.13717176695533</v>
      </c>
      <c r="D7" s="241">
        <v>21.935143566377629</v>
      </c>
      <c r="E7" s="241">
        <v>24.356115659665079</v>
      </c>
      <c r="F7" s="241">
        <v>23.316461437525081</v>
      </c>
      <c r="G7" s="241">
        <v>24.333592514338701</v>
      </c>
      <c r="H7" s="241">
        <v>23.396997759371491</v>
      </c>
      <c r="I7" s="241">
        <v>23.616066647566949</v>
      </c>
      <c r="J7" s="241">
        <v>24.615063195770411</v>
      </c>
      <c r="K7" s="241">
        <v>19.754484570823902</v>
      </c>
      <c r="L7" s="241">
        <v>19.781469544218091</v>
      </c>
      <c r="M7" s="241">
        <v>18.686572707013958</v>
      </c>
      <c r="N7" s="241">
        <v>16.368968007592429</v>
      </c>
      <c r="O7" s="241">
        <v>14.50158953380433</v>
      </c>
      <c r="P7" s="241">
        <v>12.81910470803399</v>
      </c>
      <c r="Q7" s="241">
        <v>12.73344793221473</v>
      </c>
      <c r="R7" s="241">
        <v>13.192025991820231</v>
      </c>
      <c r="S7" s="241">
        <v>14.1760118018165</v>
      </c>
      <c r="T7" s="241">
        <v>12.69047467147348</v>
      </c>
      <c r="U7" s="241">
        <v>13.1016660104239</v>
      </c>
      <c r="V7" s="241">
        <v>14.368820985768309</v>
      </c>
      <c r="W7" s="241">
        <v>14.00805355462561</v>
      </c>
      <c r="X7" s="241">
        <v>12.949773921804461</v>
      </c>
      <c r="Y7" s="241">
        <v>12.196754550017531</v>
      </c>
      <c r="DA7" s="268" t="s">
        <v>996</v>
      </c>
    </row>
    <row r="8" spans="1:105" x14ac:dyDescent="0.25">
      <c r="A8" s="240" t="s">
        <v>123</v>
      </c>
      <c r="B8" s="241">
        <v>32.927437529631078</v>
      </c>
      <c r="C8" s="241">
        <v>32.036083985015082</v>
      </c>
      <c r="D8" s="241">
        <v>30.37173724575365</v>
      </c>
      <c r="E8" s="241">
        <v>33.723852451843968</v>
      </c>
      <c r="F8" s="241">
        <v>32.284331221188573</v>
      </c>
      <c r="G8" s="241">
        <v>33.692666558315111</v>
      </c>
      <c r="H8" s="241">
        <v>32.395843051437453</v>
      </c>
      <c r="I8" s="241">
        <v>32.699169204323468</v>
      </c>
      <c r="J8" s="241">
        <v>34.08239519414365</v>
      </c>
      <c r="K8" s="241">
        <v>27.35236325191002</v>
      </c>
      <c r="L8" s="241">
        <v>27.389727061225059</v>
      </c>
      <c r="M8" s="241">
        <v>25.87371605586549</v>
      </c>
      <c r="N8" s="241">
        <v>22.664724933589518</v>
      </c>
      <c r="O8" s="241">
        <v>20.079123969882929</v>
      </c>
      <c r="P8" s="241">
        <v>17.749529595739379</v>
      </c>
      <c r="Q8" s="241">
        <v>17.630927906143491</v>
      </c>
      <c r="R8" s="241">
        <v>18.265882142520312</v>
      </c>
      <c r="S8" s="241">
        <v>19.62832403328439</v>
      </c>
      <c r="T8" s="241">
        <v>17.571426468194051</v>
      </c>
      <c r="U8" s="241">
        <v>18.1407683221254</v>
      </c>
      <c r="V8" s="241">
        <v>19.895290595679199</v>
      </c>
      <c r="W8" s="241">
        <v>19.39576646025084</v>
      </c>
      <c r="X8" s="241">
        <v>17.93045619942156</v>
      </c>
      <c r="Y8" s="241">
        <v>16.887813992331971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216.06419061477308</v>
      </c>
      <c r="C9" s="243">
        <f t="shared" ref="C9:W9" si="4">SUM(C10:C15)</f>
        <v>215.36096025788294</v>
      </c>
      <c r="D9" s="243">
        <f t="shared" si="4"/>
        <v>223.7267563804414</v>
      </c>
      <c r="E9" s="243">
        <f t="shared" si="4"/>
        <v>242.66083495640024</v>
      </c>
      <c r="F9" s="243">
        <f t="shared" si="4"/>
        <v>216.92594459520436</v>
      </c>
      <c r="G9" s="243">
        <f t="shared" si="4"/>
        <v>224.28848430922847</v>
      </c>
      <c r="H9" s="243">
        <f t="shared" si="4"/>
        <v>227.9949045012408</v>
      </c>
      <c r="I9" s="243">
        <f t="shared" si="4"/>
        <v>214.73148761884531</v>
      </c>
      <c r="J9" s="243">
        <f t="shared" si="4"/>
        <v>215.48455619419684</v>
      </c>
      <c r="K9" s="243">
        <f t="shared" si="4"/>
        <v>171.7864874243304</v>
      </c>
      <c r="L9" s="243">
        <f t="shared" si="4"/>
        <v>162.75751475809312</v>
      </c>
      <c r="M9" s="243">
        <f t="shared" si="4"/>
        <v>154.33039024830106</v>
      </c>
      <c r="N9" s="243">
        <f t="shared" si="4"/>
        <v>138.9265861341305</v>
      </c>
      <c r="O9" s="243">
        <f t="shared" si="4"/>
        <v>128.86818354618632</v>
      </c>
      <c r="P9" s="243">
        <f t="shared" si="4"/>
        <v>110.25809966780335</v>
      </c>
      <c r="Q9" s="243">
        <f t="shared" si="4"/>
        <v>109.4585912265707</v>
      </c>
      <c r="R9" s="243">
        <f t="shared" si="4"/>
        <v>114.83161017520632</v>
      </c>
      <c r="S9" s="243">
        <f t="shared" si="4"/>
        <v>124.59016362721117</v>
      </c>
      <c r="T9" s="243">
        <f t="shared" si="4"/>
        <v>109.57390114650052</v>
      </c>
      <c r="U9" s="243">
        <f t="shared" si="4"/>
        <v>114.37468121827314</v>
      </c>
      <c r="V9" s="243">
        <f t="shared" si="4"/>
        <v>121.13516758240213</v>
      </c>
      <c r="W9" s="243">
        <f t="shared" si="4"/>
        <v>123.49703027576723</v>
      </c>
      <c r="X9" s="243">
        <f t="shared" ref="X9:Y9" si="5">SUM(X10:X15)</f>
        <v>110.60079572125986</v>
      </c>
      <c r="Y9" s="243">
        <f t="shared" si="5"/>
        <v>105.71144053183963</v>
      </c>
      <c r="DA9" s="269"/>
    </row>
    <row r="10" spans="1:105" x14ac:dyDescent="0.25">
      <c r="A10" s="253" t="s">
        <v>166</v>
      </c>
      <c r="B10" s="254">
        <v>148.25769677617151</v>
      </c>
      <c r="C10" s="254">
        <v>153.54805572879121</v>
      </c>
      <c r="D10" s="254">
        <v>178.4997954489375</v>
      </c>
      <c r="E10" s="254">
        <v>190.34012904487449</v>
      </c>
      <c r="F10" s="254">
        <v>154.08591946080841</v>
      </c>
      <c r="G10" s="254">
        <v>156.988388815999</v>
      </c>
      <c r="H10" s="254">
        <v>171.8138103116593</v>
      </c>
      <c r="I10" s="254">
        <v>146.15143255976551</v>
      </c>
      <c r="J10" s="254">
        <v>135.40911984034989</v>
      </c>
      <c r="K10" s="254">
        <v>104.4832077887414</v>
      </c>
      <c r="L10" s="254">
        <v>83.001120419130174</v>
      </c>
      <c r="M10" s="254">
        <v>80.100088371002229</v>
      </c>
      <c r="N10" s="254">
        <v>27.056395951580701</v>
      </c>
      <c r="O10" s="254">
        <v>5.6896582282907682</v>
      </c>
      <c r="P10" s="254">
        <v>10.4859705264677</v>
      </c>
      <c r="Q10" s="254">
        <v>10.92524816906805</v>
      </c>
      <c r="R10" s="254">
        <v>8.0165723087710212</v>
      </c>
      <c r="S10" s="254">
        <v>6.7124845265946718</v>
      </c>
      <c r="T10" s="254">
        <v>9.4736065697386582</v>
      </c>
      <c r="U10" s="254">
        <v>7.4373117505884698</v>
      </c>
      <c r="V10" s="254">
        <v>22.869584757532621</v>
      </c>
      <c r="W10" s="254">
        <v>5.2466877946936394</v>
      </c>
      <c r="X10" s="254">
        <v>14.42900077547754</v>
      </c>
      <c r="Y10" s="254">
        <v>10.34908433244934</v>
      </c>
      <c r="DA10" s="270" t="s">
        <v>998</v>
      </c>
    </row>
    <row r="11" spans="1:105" x14ac:dyDescent="0.25">
      <c r="A11" s="253" t="s">
        <v>169</v>
      </c>
      <c r="B11" s="255">
        <v>0</v>
      </c>
      <c r="C11" s="255">
        <v>0</v>
      </c>
      <c r="D11" s="255">
        <v>0</v>
      </c>
      <c r="E11" s="255">
        <v>0</v>
      </c>
      <c r="F11" s="255">
        <v>0</v>
      </c>
      <c r="G11" s="255">
        <v>0</v>
      </c>
      <c r="H11" s="255">
        <v>0</v>
      </c>
      <c r="I11" s="255">
        <v>0</v>
      </c>
      <c r="J11" s="255">
        <v>0</v>
      </c>
      <c r="K11" s="255">
        <v>0</v>
      </c>
      <c r="L11" s="255">
        <v>0</v>
      </c>
      <c r="M11" s="255">
        <v>0</v>
      </c>
      <c r="N11" s="255">
        <v>0</v>
      </c>
      <c r="O11" s="255">
        <v>0</v>
      </c>
      <c r="P11" s="255">
        <v>7.5341837951294566E-2</v>
      </c>
      <c r="Q11" s="255">
        <v>6.9371141127336583E-2</v>
      </c>
      <c r="R11" s="255">
        <v>9.6460964429254573E-2</v>
      </c>
      <c r="S11" s="255">
        <v>0.13124507783532341</v>
      </c>
      <c r="T11" s="255">
        <v>0.2080737713848993</v>
      </c>
      <c r="U11" s="255">
        <v>0.89089584031841129</v>
      </c>
      <c r="V11" s="255">
        <v>1.1948177094715871</v>
      </c>
      <c r="W11" s="255">
        <v>1.2075322599859819</v>
      </c>
      <c r="X11" s="255">
        <v>4.3575515545071219</v>
      </c>
      <c r="Y11" s="255">
        <v>7.510658697772798</v>
      </c>
      <c r="DA11" s="271" t="s">
        <v>999</v>
      </c>
    </row>
    <row r="12" spans="1:105" x14ac:dyDescent="0.25">
      <c r="A12" s="253" t="s">
        <v>152</v>
      </c>
      <c r="B12" s="255">
        <v>0.52174103038601927</v>
      </c>
      <c r="C12" s="255">
        <v>0.75417554616243121</v>
      </c>
      <c r="D12" s="255">
        <v>0.45926444089930751</v>
      </c>
      <c r="E12" s="255">
        <v>0.38051484263538271</v>
      </c>
      <c r="F12" s="255">
        <v>2.3865867585791269</v>
      </c>
      <c r="G12" s="255">
        <v>2.374955565348372</v>
      </c>
      <c r="H12" s="255">
        <v>2.538051622065526</v>
      </c>
      <c r="I12" s="255">
        <v>2.5206960488732069</v>
      </c>
      <c r="J12" s="255">
        <v>2.4401330720885168</v>
      </c>
      <c r="K12" s="255">
        <v>3.0957629743736179</v>
      </c>
      <c r="L12" s="255">
        <v>2.7727914551428792</v>
      </c>
      <c r="M12" s="255">
        <v>2.7539083216406119</v>
      </c>
      <c r="N12" s="255">
        <v>3.3055350648893</v>
      </c>
      <c r="O12" s="255">
        <v>2.2270644273589451</v>
      </c>
      <c r="P12" s="255">
        <v>2.0026195380067211</v>
      </c>
      <c r="Q12" s="255">
        <v>1.4866582399293871</v>
      </c>
      <c r="R12" s="255">
        <v>1.4889071396203539</v>
      </c>
      <c r="S12" s="255">
        <v>0.99405440501697107</v>
      </c>
      <c r="T12" s="255">
        <v>1.114868090230807</v>
      </c>
      <c r="U12" s="255">
        <v>0.93686036106746107</v>
      </c>
      <c r="V12" s="255">
        <v>1.270836590849209</v>
      </c>
      <c r="W12" s="255">
        <v>0.50214142140689955</v>
      </c>
      <c r="X12" s="255">
        <v>0.69702049909175456</v>
      </c>
      <c r="Y12" s="255">
        <v>0.56196631290631349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1002</v>
      </c>
    </row>
    <row r="15" spans="1:105" x14ac:dyDescent="0.25">
      <c r="A15" s="253" t="s">
        <v>24</v>
      </c>
      <c r="B15" s="255">
        <v>67.284752808215558</v>
      </c>
      <c r="C15" s="255">
        <v>61.05872898292931</v>
      </c>
      <c r="D15" s="255">
        <v>44.767696490604571</v>
      </c>
      <c r="E15" s="255">
        <v>51.94019106889035</v>
      </c>
      <c r="F15" s="255">
        <v>60.45343837581683</v>
      </c>
      <c r="G15" s="255">
        <v>64.925139927881091</v>
      </c>
      <c r="H15" s="255">
        <v>53.643042567515963</v>
      </c>
      <c r="I15" s="255">
        <v>66.059359010206578</v>
      </c>
      <c r="J15" s="255">
        <v>77.635303281758453</v>
      </c>
      <c r="K15" s="255">
        <v>64.207516661215394</v>
      </c>
      <c r="L15" s="255">
        <v>76.983602883820069</v>
      </c>
      <c r="M15" s="255">
        <v>71.476393555658234</v>
      </c>
      <c r="N15" s="255">
        <v>108.56465511766049</v>
      </c>
      <c r="O15" s="255">
        <v>120.95146089053659</v>
      </c>
      <c r="P15" s="255">
        <v>97.694167765377628</v>
      </c>
      <c r="Q15" s="255">
        <v>96.977313676445931</v>
      </c>
      <c r="R15" s="255">
        <v>105.2296697623857</v>
      </c>
      <c r="S15" s="255">
        <v>116.75237961776421</v>
      </c>
      <c r="T15" s="255">
        <v>98.777352715146151</v>
      </c>
      <c r="U15" s="255">
        <v>105.10961326629879</v>
      </c>
      <c r="V15" s="255">
        <v>95.799928524548719</v>
      </c>
      <c r="W15" s="255">
        <v>116.5406687996807</v>
      </c>
      <c r="X15" s="255">
        <v>91.117222892183449</v>
      </c>
      <c r="Y15" s="255">
        <v>87.289731188711173</v>
      </c>
      <c r="DA15" s="271" t="s">
        <v>1003</v>
      </c>
    </row>
    <row r="16" spans="1:105" x14ac:dyDescent="0.25">
      <c r="A16" s="256" t="s">
        <v>168</v>
      </c>
      <c r="B16" s="257">
        <v>273.30247919229021</v>
      </c>
      <c r="C16" s="257">
        <v>275.84200130265168</v>
      </c>
      <c r="D16" s="257">
        <v>296.1970052983184</v>
      </c>
      <c r="E16" s="257">
        <v>319.29710631490639</v>
      </c>
      <c r="F16" s="257">
        <v>277.44149094297728</v>
      </c>
      <c r="G16" s="257">
        <v>285.54385600904362</v>
      </c>
      <c r="H16" s="257">
        <v>297.08021171167962</v>
      </c>
      <c r="I16" s="257">
        <v>271.13802558783482</v>
      </c>
      <c r="J16" s="257">
        <v>265.08930069705542</v>
      </c>
      <c r="K16" s="257">
        <v>209.45896322943119</v>
      </c>
      <c r="L16" s="257">
        <v>186.46349167613039</v>
      </c>
      <c r="M16" s="257">
        <v>177.9078302507157</v>
      </c>
      <c r="N16" s="257">
        <v>120.8580826495797</v>
      </c>
      <c r="O16" s="257">
        <v>67.416971497411978</v>
      </c>
      <c r="P16" s="257">
        <v>74.710639440504181</v>
      </c>
      <c r="Q16" s="257">
        <v>75.432336793983382</v>
      </c>
      <c r="R16" s="257">
        <v>69.926157063662558</v>
      </c>
      <c r="S16" s="257">
        <v>69.216422605115284</v>
      </c>
      <c r="T16" s="257">
        <v>71.770813433492563</v>
      </c>
      <c r="U16" s="257">
        <v>68.03605163654052</v>
      </c>
      <c r="V16" s="257">
        <v>103.5861614261494</v>
      </c>
      <c r="W16" s="257">
        <v>62.826796789815702</v>
      </c>
      <c r="X16" s="257">
        <v>84.057385152040212</v>
      </c>
      <c r="Y16" s="257">
        <v>73.482735046084116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391.6126858460587</v>
      </c>
      <c r="C17" s="257">
        <f t="shared" ref="C17:W17" si="7">SUM(C18:C24)</f>
        <v>395.79617184744581</v>
      </c>
      <c r="D17" s="257">
        <f t="shared" si="7"/>
        <v>420.13899169820615</v>
      </c>
      <c r="E17" s="257">
        <f t="shared" si="7"/>
        <v>445.30042460606847</v>
      </c>
      <c r="F17" s="257">
        <f t="shared" si="7"/>
        <v>391.21260315949223</v>
      </c>
      <c r="G17" s="257">
        <f t="shared" si="7"/>
        <v>403.34492211855007</v>
      </c>
      <c r="H17" s="257">
        <f t="shared" si="7"/>
        <v>420.82000895600623</v>
      </c>
      <c r="I17" s="257">
        <f t="shared" si="7"/>
        <v>385.72908527713946</v>
      </c>
      <c r="J17" s="257">
        <f t="shared" si="7"/>
        <v>377.864976404473</v>
      </c>
      <c r="K17" s="257">
        <f t="shared" si="7"/>
        <v>301.1154461704939</v>
      </c>
      <c r="L17" s="257">
        <f t="shared" si="7"/>
        <v>262.98633882286498</v>
      </c>
      <c r="M17" s="257">
        <f t="shared" si="7"/>
        <v>250.63553574912797</v>
      </c>
      <c r="N17" s="257">
        <f t="shared" si="7"/>
        <v>343.76805040299371</v>
      </c>
      <c r="O17" s="257">
        <f t="shared" si="7"/>
        <v>258.32937173637362</v>
      </c>
      <c r="P17" s="257">
        <f t="shared" si="7"/>
        <v>219.0068178923392</v>
      </c>
      <c r="Q17" s="257">
        <f t="shared" si="7"/>
        <v>224.65024692275801</v>
      </c>
      <c r="R17" s="257">
        <f t="shared" si="7"/>
        <v>218.55220560382594</v>
      </c>
      <c r="S17" s="257">
        <f t="shared" si="7"/>
        <v>221.49515197494819</v>
      </c>
      <c r="T17" s="257">
        <f t="shared" si="7"/>
        <v>215.21023780343012</v>
      </c>
      <c r="U17" s="257">
        <f t="shared" si="7"/>
        <v>217.2944896220915</v>
      </c>
      <c r="V17" s="257">
        <f t="shared" si="7"/>
        <v>265.32369833112273</v>
      </c>
      <c r="W17" s="257">
        <f t="shared" si="7"/>
        <v>182.29625577145288</v>
      </c>
      <c r="X17" s="257">
        <f t="shared" ref="X17:Y17" si="8">SUM(X18:X24)</f>
        <v>241.17352492412857</v>
      </c>
      <c r="Y17" s="257">
        <f t="shared" si="8"/>
        <v>241.79896741444387</v>
      </c>
      <c r="DA17" s="272"/>
    </row>
    <row r="18" spans="1:105" x14ac:dyDescent="0.25">
      <c r="A18" s="61" t="s">
        <v>29</v>
      </c>
      <c r="B18" s="55">
        <v>6.8205503009544586</v>
      </c>
      <c r="C18" s="55">
        <v>6.3246775580461509</v>
      </c>
      <c r="D18" s="55">
        <v>0</v>
      </c>
      <c r="E18" s="55">
        <v>0</v>
      </c>
      <c r="F18" s="55">
        <v>0.38693035253700631</v>
      </c>
      <c r="G18" s="55">
        <v>2.4840068787649541</v>
      </c>
      <c r="H18" s="55">
        <v>3.7833190025819068</v>
      </c>
      <c r="I18" s="55">
        <v>0</v>
      </c>
      <c r="J18" s="55">
        <v>0</v>
      </c>
      <c r="K18" s="55">
        <v>0</v>
      </c>
      <c r="L18" s="55">
        <v>0</v>
      </c>
      <c r="M18" s="55">
        <v>1.1513327601043779</v>
      </c>
      <c r="N18" s="55">
        <v>0</v>
      </c>
      <c r="O18" s="55">
        <v>0.99819432502431449</v>
      </c>
      <c r="P18" s="55">
        <v>2.762338779028418</v>
      </c>
      <c r="Q18" s="55">
        <v>1.5953568357737209</v>
      </c>
      <c r="R18" s="55">
        <v>2.921152192616669</v>
      </c>
      <c r="S18" s="55">
        <v>0.83061049011351873</v>
      </c>
      <c r="T18" s="55">
        <v>0.59630266552147793</v>
      </c>
      <c r="U18" s="55">
        <v>0.62476354256490207</v>
      </c>
      <c r="V18" s="55">
        <v>1.4227858985355391</v>
      </c>
      <c r="W18" s="55">
        <v>1.395786758389628</v>
      </c>
      <c r="X18" s="55">
        <v>1.095270851242806</v>
      </c>
      <c r="Y18" s="55">
        <v>0.67644024075482334</v>
      </c>
      <c r="DA18" s="101" t="s">
        <v>1005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96.684866723844351</v>
      </c>
      <c r="O19" s="55">
        <v>30.763370593380071</v>
      </c>
      <c r="P19" s="55">
        <v>24.171281169465139</v>
      </c>
      <c r="Q19" s="55">
        <v>26.368615649251879</v>
      </c>
      <c r="R19" s="55">
        <v>28.566036113610451</v>
      </c>
      <c r="S19" s="55">
        <v>31.390627687082048</v>
      </c>
      <c r="T19" s="55">
        <v>35.065864144528767</v>
      </c>
      <c r="U19" s="55">
        <v>35.022957867727527</v>
      </c>
      <c r="V19" s="55">
        <v>37.010490111709032</v>
      </c>
      <c r="W19" s="55">
        <v>38.144282029402433</v>
      </c>
      <c r="X19" s="55">
        <v>38.46190885626644</v>
      </c>
      <c r="Y19" s="55">
        <v>43.638865004180502</v>
      </c>
      <c r="DA19" s="101" t="s">
        <v>1006</v>
      </c>
    </row>
    <row r="20" spans="1:105" x14ac:dyDescent="0.25">
      <c r="A20" s="61" t="s">
        <v>166</v>
      </c>
      <c r="B20" s="55">
        <v>306.47088431399851</v>
      </c>
      <c r="C20" s="55">
        <v>308.42334825336258</v>
      </c>
      <c r="D20" s="55">
        <v>341.36824754073251</v>
      </c>
      <c r="E20" s="55">
        <v>383.12487753979292</v>
      </c>
      <c r="F20" s="55">
        <v>322.41122775117998</v>
      </c>
      <c r="G20" s="55">
        <v>330.39021302344639</v>
      </c>
      <c r="H20" s="55">
        <v>341.86614312316448</v>
      </c>
      <c r="I20" s="55">
        <v>308.07635054345172</v>
      </c>
      <c r="J20" s="55">
        <v>299.32677757617648</v>
      </c>
      <c r="K20" s="55">
        <v>230.86159607510291</v>
      </c>
      <c r="L20" s="55">
        <v>214.63892391510191</v>
      </c>
      <c r="M20" s="55">
        <v>205.35505026160899</v>
      </c>
      <c r="N20" s="55">
        <v>29.30591564891763</v>
      </c>
      <c r="O20" s="55">
        <v>8.5646046927008221</v>
      </c>
      <c r="P20" s="55">
        <v>16.440239284867371</v>
      </c>
      <c r="Q20" s="55">
        <v>16.15812497051563</v>
      </c>
      <c r="R20" s="55">
        <v>13.421150663233821</v>
      </c>
      <c r="S20" s="55">
        <v>12.593194363642541</v>
      </c>
      <c r="T20" s="55">
        <v>15.084426440202421</v>
      </c>
      <c r="U20" s="55">
        <v>12.471858892292611</v>
      </c>
      <c r="V20" s="55">
        <v>30.857538358456441</v>
      </c>
      <c r="W20" s="55">
        <v>13.719858944803009</v>
      </c>
      <c r="X20" s="55">
        <v>19.40453721926799</v>
      </c>
      <c r="Y20" s="55">
        <v>12.66359586510298</v>
      </c>
      <c r="DA20" s="101" t="s">
        <v>1007</v>
      </c>
    </row>
    <row r="21" spans="1:105" x14ac:dyDescent="0.25">
      <c r="A21" s="61" t="s">
        <v>129</v>
      </c>
      <c r="B21" s="55">
        <v>67.37841788486601</v>
      </c>
      <c r="C21" s="55">
        <v>69.215133276082526</v>
      </c>
      <c r="D21" s="55">
        <v>70.273258813342736</v>
      </c>
      <c r="E21" s="55">
        <v>55.366809974253187</v>
      </c>
      <c r="F21" s="55">
        <v>55.180567497916407</v>
      </c>
      <c r="G21" s="55">
        <v>53.936199484160873</v>
      </c>
      <c r="H21" s="55">
        <v>59.539552880518848</v>
      </c>
      <c r="I21" s="55">
        <v>59.632674118737782</v>
      </c>
      <c r="J21" s="55">
        <v>58.574634565874412</v>
      </c>
      <c r="K21" s="55">
        <v>48.533447979446507</v>
      </c>
      <c r="L21" s="55">
        <v>26.27308684439695</v>
      </c>
      <c r="M21" s="55">
        <v>9.4582975064586705</v>
      </c>
      <c r="N21" s="55">
        <v>189.47635425594899</v>
      </c>
      <c r="O21" s="55">
        <v>188.9509888225455</v>
      </c>
      <c r="P21" s="55">
        <v>147.67841788524279</v>
      </c>
      <c r="Q21" s="55">
        <v>150.61625107519919</v>
      </c>
      <c r="R21" s="55">
        <v>143.71349957063521</v>
      </c>
      <c r="S21" s="55">
        <v>147.31728288938831</v>
      </c>
      <c r="T21" s="55">
        <v>133.62398968214231</v>
      </c>
      <c r="U21" s="55">
        <v>136.1586414450986</v>
      </c>
      <c r="V21" s="55">
        <v>167.60601891627419</v>
      </c>
      <c r="W21" s="55">
        <v>99.329234738183885</v>
      </c>
      <c r="X21" s="55">
        <v>147.10945829697329</v>
      </c>
      <c r="Y21" s="55">
        <v>144.68959587234929</v>
      </c>
      <c r="DA21" s="101" t="s">
        <v>1008</v>
      </c>
    </row>
    <row r="22" spans="1:105" x14ac:dyDescent="0.25">
      <c r="A22" s="61" t="s">
        <v>169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0.1181233383170906</v>
      </c>
      <c r="Q22" s="55">
        <v>0.1025979044445265</v>
      </c>
      <c r="R22" s="55">
        <v>0.1614926039286653</v>
      </c>
      <c r="S22" s="55">
        <v>0.2462269771950007</v>
      </c>
      <c r="T22" s="55">
        <v>0.33130714005126699</v>
      </c>
      <c r="U22" s="55">
        <v>1.4939708836734611</v>
      </c>
      <c r="V22" s="55">
        <v>1.6121470368734561</v>
      </c>
      <c r="W22" s="55">
        <v>3.1576440082946191</v>
      </c>
      <c r="X22" s="55">
        <v>5.8601612571826944</v>
      </c>
      <c r="Y22" s="55">
        <v>9.1903731164982201</v>
      </c>
      <c r="DA22" s="101" t="s">
        <v>1009</v>
      </c>
    </row>
    <row r="23" spans="1:105" x14ac:dyDescent="0.25">
      <c r="A23" s="61" t="s">
        <v>164</v>
      </c>
      <c r="B23" s="55">
        <v>9.8643164230563336</v>
      </c>
      <c r="C23" s="55">
        <v>10.318142734318579</v>
      </c>
      <c r="D23" s="55">
        <v>7.6191745485735751</v>
      </c>
      <c r="E23" s="55">
        <v>6.0428202923526753</v>
      </c>
      <c r="F23" s="55">
        <v>8.2401547721508734</v>
      </c>
      <c r="G23" s="55">
        <v>11.53628546863019</v>
      </c>
      <c r="H23" s="55">
        <v>10.58091143594817</v>
      </c>
      <c r="I23" s="55">
        <v>12.706620808271371</v>
      </c>
      <c r="J23" s="55">
        <v>14.569561478957731</v>
      </c>
      <c r="K23" s="55">
        <v>14.88013757526185</v>
      </c>
      <c r="L23" s="55">
        <v>14.90395528806456</v>
      </c>
      <c r="M23" s="55">
        <v>27.610576096331361</v>
      </c>
      <c r="N23" s="55">
        <v>24.72055030090867</v>
      </c>
      <c r="O23" s="55">
        <v>25.699828031027</v>
      </c>
      <c r="P23" s="55">
        <v>24.69664660368861</v>
      </c>
      <c r="Q23" s="55">
        <v>27.61057609637465</v>
      </c>
      <c r="R23" s="55">
        <v>27.27618228729418</v>
      </c>
      <c r="S23" s="55">
        <v>27.252278589910869</v>
      </c>
      <c r="T23" s="55">
        <v>28.733190025856619</v>
      </c>
      <c r="U23" s="55">
        <v>29.951246775703279</v>
      </c>
      <c r="V23" s="55">
        <v>25.099999999951962</v>
      </c>
      <c r="W23" s="55">
        <v>25.23637145324939</v>
      </c>
      <c r="X23" s="55">
        <v>28.30481513317342</v>
      </c>
      <c r="Y23" s="55">
        <v>30.252450558817099</v>
      </c>
      <c r="DA23" s="101" t="s">
        <v>1010</v>
      </c>
    </row>
    <row r="24" spans="1:105" x14ac:dyDescent="0.25">
      <c r="A24" s="61" t="s">
        <v>152</v>
      </c>
      <c r="B24" s="55">
        <v>1.0785169231834411</v>
      </c>
      <c r="C24" s="55">
        <v>1.5148700256359591</v>
      </c>
      <c r="D24" s="55">
        <v>0.8783107955572963</v>
      </c>
      <c r="E24" s="55">
        <v>0.765916799669629</v>
      </c>
      <c r="F24" s="55">
        <v>4.9937227857079902</v>
      </c>
      <c r="G24" s="55">
        <v>4.9982172635477209</v>
      </c>
      <c r="H24" s="55">
        <v>5.0500825137928578</v>
      </c>
      <c r="I24" s="55">
        <v>5.3134398066785691</v>
      </c>
      <c r="J24" s="55">
        <v>5.3940027834643978</v>
      </c>
      <c r="K24" s="55">
        <v>6.8402645406826137</v>
      </c>
      <c r="L24" s="55">
        <v>7.1703727753015558</v>
      </c>
      <c r="M24" s="55">
        <v>7.0602791246245804</v>
      </c>
      <c r="N24" s="55">
        <v>3.580363473374057</v>
      </c>
      <c r="O24" s="55">
        <v>3.352385271695923</v>
      </c>
      <c r="P24" s="55">
        <v>3.139770831729741</v>
      </c>
      <c r="Q24" s="55">
        <v>2.1987243911984229</v>
      </c>
      <c r="R24" s="55">
        <v>2.4926921725069251</v>
      </c>
      <c r="S24" s="55">
        <v>1.864930977615894</v>
      </c>
      <c r="T24" s="55">
        <v>1.775157705127234</v>
      </c>
      <c r="U24" s="55">
        <v>1.5710502150311449</v>
      </c>
      <c r="V24" s="55">
        <v>1.7147180093221051</v>
      </c>
      <c r="W24" s="55">
        <v>1.3130778391299009</v>
      </c>
      <c r="X24" s="55">
        <v>0.93737331002195257</v>
      </c>
      <c r="Y24" s="55">
        <v>0.68764675674096853</v>
      </c>
      <c r="DA24" s="101" t="s">
        <v>1011</v>
      </c>
    </row>
    <row r="25" spans="1:105" x14ac:dyDescent="0.25">
      <c r="A25" s="256" t="s">
        <v>167</v>
      </c>
      <c r="B25" s="257">
        <v>52.517349004558859</v>
      </c>
      <c r="C25" s="257">
        <v>53.005339341744261</v>
      </c>
      <c r="D25" s="257">
        <v>56.916722992521528</v>
      </c>
      <c r="E25" s="257">
        <v>61.355599912753078</v>
      </c>
      <c r="F25" s="257">
        <v>53.312694605839972</v>
      </c>
      <c r="G25" s="257">
        <v>54.869631576168572</v>
      </c>
      <c r="H25" s="257">
        <v>57.086438465248413</v>
      </c>
      <c r="I25" s="257">
        <v>52.101431206501204</v>
      </c>
      <c r="J25" s="257">
        <v>50.939118310326833</v>
      </c>
      <c r="K25" s="257">
        <v>40.249285357977129</v>
      </c>
      <c r="L25" s="257">
        <v>35.830513861069448</v>
      </c>
      <c r="M25" s="257">
        <v>34.186472217644713</v>
      </c>
      <c r="N25" s="257">
        <v>23.223887779166731</v>
      </c>
      <c r="O25" s="257">
        <v>12.954732907742541</v>
      </c>
      <c r="P25" s="257">
        <v>14.3562719864321</v>
      </c>
      <c r="Q25" s="257">
        <v>14.49495214733056</v>
      </c>
      <c r="R25" s="257">
        <v>13.436893825160601</v>
      </c>
      <c r="S25" s="257">
        <v>13.30051243421879</v>
      </c>
      <c r="T25" s="257">
        <v>13.79135991948271</v>
      </c>
      <c r="U25" s="257">
        <v>13.07369431571985</v>
      </c>
      <c r="V25" s="257">
        <v>19.904944176639312</v>
      </c>
      <c r="W25" s="257">
        <v>12.07269258442324</v>
      </c>
      <c r="X25" s="257">
        <v>16.152327068114111</v>
      </c>
      <c r="Y25" s="257">
        <v>14.120319924026481</v>
      </c>
      <c r="DA25" s="272" t="s">
        <v>1012</v>
      </c>
    </row>
    <row r="26" spans="1:105" x14ac:dyDescent="0.25">
      <c r="A26" s="256" t="s">
        <v>170</v>
      </c>
      <c r="B26" s="257">
        <v>36.586041699590091</v>
      </c>
      <c r="C26" s="257">
        <v>35.595648872238982</v>
      </c>
      <c r="D26" s="257">
        <v>33.746374717504061</v>
      </c>
      <c r="E26" s="257">
        <v>37.470947168715512</v>
      </c>
      <c r="F26" s="257">
        <v>35.871479134653988</v>
      </c>
      <c r="G26" s="257">
        <v>37.436296175905682</v>
      </c>
      <c r="H26" s="257">
        <v>35.995381168263847</v>
      </c>
      <c r="I26" s="257">
        <v>36.332410227026088</v>
      </c>
      <c r="J26" s="257">
        <v>37.869327993492952</v>
      </c>
      <c r="K26" s="257">
        <v>30.391514724344471</v>
      </c>
      <c r="L26" s="257">
        <v>30.43303006802784</v>
      </c>
      <c r="M26" s="257">
        <v>28.748573395406108</v>
      </c>
      <c r="N26" s="257">
        <v>25.183027703988369</v>
      </c>
      <c r="O26" s="257">
        <v>22.31013774431436</v>
      </c>
      <c r="P26" s="257">
        <v>19.72169955082153</v>
      </c>
      <c r="Q26" s="257">
        <v>19.589919895714988</v>
      </c>
      <c r="R26" s="257">
        <v>20.295424602800349</v>
      </c>
      <c r="S26" s="257">
        <v>21.80924892587155</v>
      </c>
      <c r="T26" s="257">
        <v>19.52380718688228</v>
      </c>
      <c r="U26" s="257">
        <v>20.156409246806</v>
      </c>
      <c r="V26" s="257">
        <v>22.105878439643551</v>
      </c>
      <c r="W26" s="257">
        <v>21.550851622500939</v>
      </c>
      <c r="X26" s="257">
        <v>19.922729110468399</v>
      </c>
      <c r="Y26" s="257">
        <v>18.76423776925775</v>
      </c>
      <c r="DA26" s="272" t="s">
        <v>1013</v>
      </c>
    </row>
    <row r="27" spans="1:105" x14ac:dyDescent="0.25">
      <c r="A27" s="128" t="s">
        <v>33</v>
      </c>
      <c r="B27" s="258">
        <v>53.04976046440563</v>
      </c>
      <c r="C27" s="258">
        <v>51.613690864746523</v>
      </c>
      <c r="D27" s="258">
        <v>48.932243340380857</v>
      </c>
      <c r="E27" s="258">
        <v>54.332873394637488</v>
      </c>
      <c r="F27" s="258">
        <v>52.013644745248271</v>
      </c>
      <c r="G27" s="258">
        <v>54.282629455063251</v>
      </c>
      <c r="H27" s="258">
        <v>52.193302693982567</v>
      </c>
      <c r="I27" s="258">
        <v>52.681994829187808</v>
      </c>
      <c r="J27" s="258">
        <v>54.910525590564767</v>
      </c>
      <c r="K27" s="258">
        <v>44.067696350299471</v>
      </c>
      <c r="L27" s="258">
        <v>44.12789359864037</v>
      </c>
      <c r="M27" s="258">
        <v>41.685431423338869</v>
      </c>
      <c r="N27" s="258">
        <v>36.515390170783142</v>
      </c>
      <c r="O27" s="258">
        <v>32.349699729255818</v>
      </c>
      <c r="P27" s="258">
        <v>28.596464348691221</v>
      </c>
      <c r="Q27" s="258">
        <v>28.40538384878673</v>
      </c>
      <c r="R27" s="258">
        <v>29.428365674060512</v>
      </c>
      <c r="S27" s="258">
        <v>31.62341094251375</v>
      </c>
      <c r="T27" s="258">
        <v>28.309520420979311</v>
      </c>
      <c r="U27" s="258">
        <v>29.226793407868701</v>
      </c>
      <c r="V27" s="258">
        <v>32.053523737483147</v>
      </c>
      <c r="W27" s="258">
        <v>31.24873485262637</v>
      </c>
      <c r="X27" s="258">
        <v>28.887957210179191</v>
      </c>
      <c r="Y27" s="258">
        <v>27.208144765423729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0.99999999999999978</v>
      </c>
      <c r="C31" s="235">
        <f t="shared" si="9"/>
        <v>1</v>
      </c>
      <c r="D31" s="235">
        <f t="shared" si="9"/>
        <v>1</v>
      </c>
      <c r="E31" s="235">
        <f t="shared" si="9"/>
        <v>0.99999999999999989</v>
      </c>
      <c r="F31" s="235">
        <f t="shared" si="9"/>
        <v>0.99999999999999989</v>
      </c>
      <c r="G31" s="235">
        <f t="shared" si="9"/>
        <v>1</v>
      </c>
      <c r="H31" s="235">
        <f t="shared" si="9"/>
        <v>0.99999999999999989</v>
      </c>
      <c r="I31" s="235">
        <f t="shared" si="9"/>
        <v>1.0000000000000002</v>
      </c>
      <c r="J31" s="235">
        <f t="shared" si="9"/>
        <v>1</v>
      </c>
      <c r="K31" s="235">
        <f t="shared" si="9"/>
        <v>0.99999999999999989</v>
      </c>
      <c r="L31" s="235">
        <f t="shared" si="9"/>
        <v>0.99999999999999978</v>
      </c>
      <c r="M31" s="235">
        <f t="shared" si="9"/>
        <v>1</v>
      </c>
      <c r="N31" s="235">
        <f t="shared" si="9"/>
        <v>1</v>
      </c>
      <c r="O31" s="235">
        <f t="shared" si="9"/>
        <v>1</v>
      </c>
      <c r="P31" s="235">
        <f t="shared" si="9"/>
        <v>1.0000000000000002</v>
      </c>
      <c r="Q31" s="235">
        <f t="shared" si="9"/>
        <v>1.0000000000000002</v>
      </c>
      <c r="R31" s="235">
        <f t="shared" ref="R31:W31" si="10">SUM(R32:R40)</f>
        <v>0.99999999999999978</v>
      </c>
      <c r="S31" s="235">
        <f t="shared" si="10"/>
        <v>1.0000000000000002</v>
      </c>
      <c r="T31" s="235">
        <f t="shared" si="10"/>
        <v>1.0000000000000002</v>
      </c>
      <c r="U31" s="235">
        <f t="shared" si="10"/>
        <v>1</v>
      </c>
      <c r="V31" s="235">
        <f t="shared" si="10"/>
        <v>1</v>
      </c>
      <c r="W31" s="235">
        <f t="shared" si="10"/>
        <v>0.99999999999999978</v>
      </c>
      <c r="X31" s="235">
        <f t="shared" ref="X31:Y31" si="11">SUM(X32:X40)</f>
        <v>1.0000000000000002</v>
      </c>
      <c r="Y31" s="235">
        <f t="shared" si="11"/>
        <v>1</v>
      </c>
      <c r="DA31" s="274"/>
    </row>
    <row r="32" spans="1:105" x14ac:dyDescent="0.25">
      <c r="A32" s="238" t="s">
        <v>125</v>
      </c>
      <c r="B32" s="244">
        <f t="shared" ref="B32:Y32" si="12">IF(B$6=0,0,B$6/B$5)</f>
        <v>3.2770655444141865E-2</v>
      </c>
      <c r="C32" s="244">
        <f t="shared" si="12"/>
        <v>3.1839176337381064E-2</v>
      </c>
      <c r="D32" s="244">
        <f t="shared" si="12"/>
        <v>2.8949168864786854E-2</v>
      </c>
      <c r="E32" s="244">
        <f t="shared" si="12"/>
        <v>2.9834300106344244E-2</v>
      </c>
      <c r="F32" s="244">
        <f t="shared" si="12"/>
        <v>3.2078224902577876E-2</v>
      </c>
      <c r="G32" s="244">
        <f t="shared" si="12"/>
        <v>3.2405970100404344E-2</v>
      </c>
      <c r="H32" s="244">
        <f t="shared" si="12"/>
        <v>3.0428271234427741E-2</v>
      </c>
      <c r="I32" s="244">
        <f t="shared" si="12"/>
        <v>3.2869238828867865E-2</v>
      </c>
      <c r="J32" s="244">
        <f t="shared" si="12"/>
        <v>3.446662456080931E-2</v>
      </c>
      <c r="K32" s="244">
        <f t="shared" si="12"/>
        <v>3.4750326115564112E-2</v>
      </c>
      <c r="L32" s="244">
        <f t="shared" si="12"/>
        <v>3.8031636607602469E-2</v>
      </c>
      <c r="M32" s="244">
        <f t="shared" si="12"/>
        <v>3.7787140414660393E-2</v>
      </c>
      <c r="N32" s="244">
        <f t="shared" si="12"/>
        <v>3.3457292251470622E-2</v>
      </c>
      <c r="O32" s="244">
        <f t="shared" si="12"/>
        <v>3.8524208681803049E-2</v>
      </c>
      <c r="P32" s="244">
        <f t="shared" si="12"/>
        <v>3.8150824245320444E-2</v>
      </c>
      <c r="Q32" s="244">
        <f t="shared" si="12"/>
        <v>3.7529608375445257E-2</v>
      </c>
      <c r="R32" s="244">
        <f t="shared" si="12"/>
        <v>3.9163421622491673E-2</v>
      </c>
      <c r="S32" s="244">
        <f t="shared" si="12"/>
        <v>4.0564140172818126E-2</v>
      </c>
      <c r="T32" s="244">
        <f t="shared" si="12"/>
        <v>3.8435313067380565E-2</v>
      </c>
      <c r="U32" s="244">
        <f t="shared" si="12"/>
        <v>3.9248328237440108E-2</v>
      </c>
      <c r="V32" s="244">
        <f t="shared" si="12"/>
        <v>3.562709693889831E-2</v>
      </c>
      <c r="W32" s="244">
        <f t="shared" si="12"/>
        <v>4.412116389893566E-2</v>
      </c>
      <c r="X32" s="244">
        <f t="shared" si="12"/>
        <v>3.6118225094078707E-2</v>
      </c>
      <c r="Y32" s="244">
        <f t="shared" si="12"/>
        <v>3.5475531252727802E-2</v>
      </c>
      <c r="DA32" s="275"/>
    </row>
    <row r="33" spans="1:105" x14ac:dyDescent="0.25">
      <c r="A33" s="240" t="s">
        <v>124</v>
      </c>
      <c r="B33" s="245">
        <f t="shared" ref="B33:Y33" si="13">IF(B$7=0,0,B$7/B$5)</f>
        <v>2.1300926038692207E-2</v>
      </c>
      <c r="C33" s="245">
        <f t="shared" si="13"/>
        <v>2.0695464619297686E-2</v>
      </c>
      <c r="D33" s="245">
        <f t="shared" si="13"/>
        <v>1.8816959762111445E-2</v>
      </c>
      <c r="E33" s="245">
        <f t="shared" si="13"/>
        <v>1.9392295069123756E-2</v>
      </c>
      <c r="F33" s="245">
        <f t="shared" si="13"/>
        <v>2.0850846186675608E-2</v>
      </c>
      <c r="G33" s="245">
        <f t="shared" si="13"/>
        <v>2.1063880565262833E-2</v>
      </c>
      <c r="H33" s="245">
        <f t="shared" si="13"/>
        <v>1.9778376302378022E-2</v>
      </c>
      <c r="I33" s="245">
        <f t="shared" si="13"/>
        <v>2.1365005238764105E-2</v>
      </c>
      <c r="J33" s="245">
        <f t="shared" si="13"/>
        <v>2.2403305964526044E-2</v>
      </c>
      <c r="K33" s="245">
        <f t="shared" si="13"/>
        <v>2.2587711975116668E-2</v>
      </c>
      <c r="L33" s="245">
        <f t="shared" si="13"/>
        <v>2.47205637949416E-2</v>
      </c>
      <c r="M33" s="245">
        <f t="shared" si="13"/>
        <v>2.4561641269529241E-2</v>
      </c>
      <c r="N33" s="245">
        <f t="shared" si="13"/>
        <v>2.1747239963455886E-2</v>
      </c>
      <c r="O33" s="245">
        <f t="shared" si="13"/>
        <v>2.5040735643171975E-2</v>
      </c>
      <c r="P33" s="245">
        <f t="shared" si="13"/>
        <v>2.4798035759458281E-2</v>
      </c>
      <c r="Q33" s="245">
        <f t="shared" si="13"/>
        <v>2.4394245444039394E-2</v>
      </c>
      <c r="R33" s="245">
        <f t="shared" si="13"/>
        <v>2.5456224054619593E-2</v>
      </c>
      <c r="S33" s="245">
        <f t="shared" si="13"/>
        <v>2.6366691112331767E-2</v>
      </c>
      <c r="T33" s="245">
        <f t="shared" si="13"/>
        <v>2.4982953493797363E-2</v>
      </c>
      <c r="U33" s="245">
        <f t="shared" si="13"/>
        <v>2.5511413354336071E-2</v>
      </c>
      <c r="V33" s="245">
        <f t="shared" si="13"/>
        <v>2.3157613010283903E-2</v>
      </c>
      <c r="W33" s="245">
        <f t="shared" si="13"/>
        <v>2.8678756534308177E-2</v>
      </c>
      <c r="X33" s="245">
        <f t="shared" si="13"/>
        <v>2.347684631115116E-2</v>
      </c>
      <c r="Y33" s="245">
        <f t="shared" si="13"/>
        <v>2.3059095314273057E-2</v>
      </c>
      <c r="DA33" s="276"/>
    </row>
    <row r="34" spans="1:105" x14ac:dyDescent="0.25">
      <c r="A34" s="240" t="s">
        <v>123</v>
      </c>
      <c r="B34" s="245">
        <f t="shared" ref="B34:Y34" si="14">IF(B$8=0,0,B$8/B$5)</f>
        <v>2.9493589899727678E-2</v>
      </c>
      <c r="C34" s="245">
        <f t="shared" si="14"/>
        <v>2.8655258703642959E-2</v>
      </c>
      <c r="D34" s="245">
        <f t="shared" si="14"/>
        <v>2.6054251978308164E-2</v>
      </c>
      <c r="E34" s="245">
        <f t="shared" si="14"/>
        <v>2.6850870095709824E-2</v>
      </c>
      <c r="F34" s="245">
        <f t="shared" si="14"/>
        <v>2.8870402412320074E-2</v>
      </c>
      <c r="G34" s="245">
        <f t="shared" si="14"/>
        <v>2.9165373090363909E-2</v>
      </c>
      <c r="H34" s="245">
        <f t="shared" si="14"/>
        <v>2.7385444110984959E-2</v>
      </c>
      <c r="I34" s="245">
        <f t="shared" si="14"/>
        <v>2.9582314945981066E-2</v>
      </c>
      <c r="J34" s="245">
        <f t="shared" si="14"/>
        <v>3.1019962104728373E-2</v>
      </c>
      <c r="K34" s="245">
        <f t="shared" si="14"/>
        <v>3.1275293504007699E-2</v>
      </c>
      <c r="L34" s="245">
        <f t="shared" si="14"/>
        <v>3.4228472946842226E-2</v>
      </c>
      <c r="M34" s="245">
        <f t="shared" si="14"/>
        <v>3.4008426373194345E-2</v>
      </c>
      <c r="N34" s="245">
        <f t="shared" si="14"/>
        <v>3.0111563026323538E-2</v>
      </c>
      <c r="O34" s="245">
        <f t="shared" si="14"/>
        <v>3.4671787813622755E-2</v>
      </c>
      <c r="P34" s="245">
        <f t="shared" si="14"/>
        <v>3.4335741820788405E-2</v>
      </c>
      <c r="Q34" s="245">
        <f t="shared" si="14"/>
        <v>3.3776647537900738E-2</v>
      </c>
      <c r="R34" s="245">
        <f t="shared" si="14"/>
        <v>3.5247079460242497E-2</v>
      </c>
      <c r="S34" s="245">
        <f t="shared" si="14"/>
        <v>3.6507726155536303E-2</v>
      </c>
      <c r="T34" s="245">
        <f t="shared" si="14"/>
        <v>3.4591781760642502E-2</v>
      </c>
      <c r="U34" s="245">
        <f t="shared" si="14"/>
        <v>3.5323495413696095E-2</v>
      </c>
      <c r="V34" s="245">
        <f t="shared" si="14"/>
        <v>3.2064387245008485E-2</v>
      </c>
      <c r="W34" s="245">
        <f t="shared" si="14"/>
        <v>3.9709047509042084E-2</v>
      </c>
      <c r="X34" s="245">
        <f t="shared" si="14"/>
        <v>3.2506402584670836E-2</v>
      </c>
      <c r="Y34" s="245">
        <f t="shared" si="14"/>
        <v>3.1927978127455008E-2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0.19353187214383594</v>
      </c>
      <c r="C35" s="246">
        <f t="shared" si="15"/>
        <v>0.19263353266713881</v>
      </c>
      <c r="D35" s="246">
        <f t="shared" si="15"/>
        <v>0.19192294592369938</v>
      </c>
      <c r="E35" s="246">
        <f t="shared" si="15"/>
        <v>0.1932061162358252</v>
      </c>
      <c r="F35" s="246">
        <f t="shared" si="15"/>
        <v>0.19398696139091434</v>
      </c>
      <c r="G35" s="246">
        <f t="shared" si="15"/>
        <v>0.19415077501891861</v>
      </c>
      <c r="H35" s="246">
        <f t="shared" si="15"/>
        <v>0.19273280540637261</v>
      </c>
      <c r="I35" s="246">
        <f t="shared" si="15"/>
        <v>0.19426348283857389</v>
      </c>
      <c r="J35" s="246">
        <f t="shared" si="15"/>
        <v>0.19612244765141268</v>
      </c>
      <c r="K35" s="246">
        <f t="shared" si="15"/>
        <v>0.19642444657294048</v>
      </c>
      <c r="L35" s="246">
        <f t="shared" si="15"/>
        <v>0.20339527949072939</v>
      </c>
      <c r="M35" s="246">
        <f t="shared" si="15"/>
        <v>0.20285194838550727</v>
      </c>
      <c r="N35" s="246">
        <f t="shared" si="15"/>
        <v>0.18457301673271656</v>
      </c>
      <c r="O35" s="246">
        <f t="shared" si="15"/>
        <v>0.22252416602149272</v>
      </c>
      <c r="P35" s="246">
        <f t="shared" si="15"/>
        <v>0.21328980148032761</v>
      </c>
      <c r="Q35" s="246">
        <f t="shared" si="15"/>
        <v>0.20969652167693137</v>
      </c>
      <c r="R35" s="246">
        <f t="shared" si="15"/>
        <v>0.22158682820859485</v>
      </c>
      <c r="S35" s="246">
        <f t="shared" si="15"/>
        <v>0.23173163269888142</v>
      </c>
      <c r="T35" s="246">
        <f t="shared" si="15"/>
        <v>0.21571136993247908</v>
      </c>
      <c r="U35" s="246">
        <f t="shared" si="15"/>
        <v>0.222709063680015</v>
      </c>
      <c r="V35" s="246">
        <f t="shared" si="15"/>
        <v>0.195228358373146</v>
      </c>
      <c r="W35" s="246">
        <f t="shared" si="15"/>
        <v>0.25283607391829915</v>
      </c>
      <c r="X35" s="246">
        <f t="shared" si="15"/>
        <v>0.20050990069155047</v>
      </c>
      <c r="Y35" s="246">
        <f t="shared" si="15"/>
        <v>0.19985727949483859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0.24480104874916384</v>
      </c>
      <c r="C36" s="259">
        <f t="shared" si="16"/>
        <v>0.24673190120101318</v>
      </c>
      <c r="D36" s="259">
        <f t="shared" si="16"/>
        <v>0.25409120817880204</v>
      </c>
      <c r="E36" s="259">
        <f t="shared" si="16"/>
        <v>0.25422377635651233</v>
      </c>
      <c r="F36" s="259">
        <f t="shared" si="16"/>
        <v>0.24810324966994687</v>
      </c>
      <c r="G36" s="259">
        <f t="shared" si="16"/>
        <v>0.24717524449276984</v>
      </c>
      <c r="H36" s="259">
        <f t="shared" si="16"/>
        <v>0.25113325562764727</v>
      </c>
      <c r="I36" s="259">
        <f t="shared" si="16"/>
        <v>0.2452934023079181</v>
      </c>
      <c r="J36" s="259">
        <f t="shared" si="16"/>
        <v>0.24127001682688562</v>
      </c>
      <c r="K36" s="259">
        <f t="shared" si="16"/>
        <v>0.23949998366551256</v>
      </c>
      <c r="L36" s="259">
        <f t="shared" si="16"/>
        <v>0.23302023295608212</v>
      </c>
      <c r="M36" s="259">
        <f t="shared" si="16"/>
        <v>0.2338421482724985</v>
      </c>
      <c r="N36" s="259">
        <f t="shared" si="16"/>
        <v>0.16056783321248441</v>
      </c>
      <c r="O36" s="259">
        <f t="shared" si="16"/>
        <v>0.11641279441779101</v>
      </c>
      <c r="P36" s="259">
        <f t="shared" si="16"/>
        <v>0.14452468800699528</v>
      </c>
      <c r="Q36" s="259">
        <f t="shared" si="16"/>
        <v>0.14451034377849165</v>
      </c>
      <c r="R36" s="259">
        <f t="shared" si="16"/>
        <v>0.13493423395275642</v>
      </c>
      <c r="S36" s="259">
        <f t="shared" si="16"/>
        <v>0.12873917292420975</v>
      </c>
      <c r="T36" s="259">
        <f t="shared" si="16"/>
        <v>0.14129076655040221</v>
      </c>
      <c r="U36" s="259">
        <f t="shared" si="16"/>
        <v>0.1324790171658925</v>
      </c>
      <c r="V36" s="259">
        <f t="shared" si="16"/>
        <v>0.16694537720968763</v>
      </c>
      <c r="W36" s="259">
        <f t="shared" si="16"/>
        <v>0.12862560825737329</v>
      </c>
      <c r="X36" s="259">
        <f t="shared" si="16"/>
        <v>0.15238893933190054</v>
      </c>
      <c r="Y36" s="259">
        <f t="shared" si="16"/>
        <v>0.13892592364898343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0.35077324026446804</v>
      </c>
      <c r="C37" s="259">
        <f t="shared" si="17"/>
        <v>0.3540270934333033</v>
      </c>
      <c r="D37" s="259">
        <f t="shared" si="17"/>
        <v>0.36041425839570074</v>
      </c>
      <c r="E37" s="259">
        <f t="shared" si="17"/>
        <v>0.35454738961794374</v>
      </c>
      <c r="F37" s="259">
        <f t="shared" si="17"/>
        <v>0.34984355737786305</v>
      </c>
      <c r="G37" s="259">
        <f t="shared" si="17"/>
        <v>0.34914734686643817</v>
      </c>
      <c r="H37" s="259">
        <f t="shared" si="17"/>
        <v>0.35573523484944608</v>
      </c>
      <c r="I37" s="259">
        <f t="shared" si="17"/>
        <v>0.34896174924789231</v>
      </c>
      <c r="J37" s="259">
        <f t="shared" si="17"/>
        <v>0.34391236830634792</v>
      </c>
      <c r="K37" s="259">
        <f t="shared" si="17"/>
        <v>0.34430202139534699</v>
      </c>
      <c r="L37" s="259">
        <f t="shared" si="17"/>
        <v>0.32864952482607551</v>
      </c>
      <c r="M37" s="259">
        <f t="shared" si="17"/>
        <v>0.32943548370192605</v>
      </c>
      <c r="N37" s="259">
        <f t="shared" si="17"/>
        <v>0.45671824151746782</v>
      </c>
      <c r="O37" s="259">
        <f t="shared" si="17"/>
        <v>0.44607230755208305</v>
      </c>
      <c r="P37" s="259">
        <f t="shared" si="17"/>
        <v>0.42365976605649508</v>
      </c>
      <c r="Q37" s="259">
        <f t="shared" si="17"/>
        <v>0.43037622580081875</v>
      </c>
      <c r="R37" s="259">
        <f t="shared" si="17"/>
        <v>0.42173309216734112</v>
      </c>
      <c r="S37" s="259">
        <f t="shared" si="17"/>
        <v>0.41197018855854062</v>
      </c>
      <c r="T37" s="259">
        <f t="shared" si="17"/>
        <v>0.42367109990913326</v>
      </c>
      <c r="U37" s="259">
        <f t="shared" si="17"/>
        <v>0.42311333077474078</v>
      </c>
      <c r="V37" s="259">
        <f t="shared" si="17"/>
        <v>0.42761083421493484</v>
      </c>
      <c r="W37" s="259">
        <f t="shared" si="17"/>
        <v>0.37321601577252089</v>
      </c>
      <c r="X37" s="259">
        <f t="shared" si="17"/>
        <v>0.43722722984598567</v>
      </c>
      <c r="Y37" s="259">
        <f t="shared" si="17"/>
        <v>0.45714336659291482</v>
      </c>
      <c r="DA37" s="278"/>
    </row>
    <row r="38" spans="1:105" x14ac:dyDescent="0.25">
      <c r="A38" s="127" t="s">
        <v>167</v>
      </c>
      <c r="B38" s="259">
        <f t="shared" ref="B38:Y38" si="18">IF(B$25=0,0,B$25/B$5)</f>
        <v>4.7040561621822775E-2</v>
      </c>
      <c r="C38" s="259">
        <f t="shared" si="18"/>
        <v>4.7411591011639394E-2</v>
      </c>
      <c r="D38" s="259">
        <f t="shared" si="18"/>
        <v>4.882574317786359E-2</v>
      </c>
      <c r="E38" s="259">
        <f t="shared" si="18"/>
        <v>4.8851217257997397E-2</v>
      </c>
      <c r="F38" s="259">
        <f t="shared" si="18"/>
        <v>4.7675107048386317E-2</v>
      </c>
      <c r="G38" s="259">
        <f t="shared" si="18"/>
        <v>4.7496783119851574E-2</v>
      </c>
      <c r="H38" s="259">
        <f t="shared" si="18"/>
        <v>4.8257347944395436E-2</v>
      </c>
      <c r="I38" s="259">
        <f t="shared" si="18"/>
        <v>4.713517146127668E-2</v>
      </c>
      <c r="J38" s="259">
        <f t="shared" si="18"/>
        <v>4.6362044411307278E-2</v>
      </c>
      <c r="K38" s="259">
        <f t="shared" si="18"/>
        <v>4.6021917788379454E-2</v>
      </c>
      <c r="L38" s="259">
        <f t="shared" si="18"/>
        <v>4.4776779689100592E-2</v>
      </c>
      <c r="M38" s="259">
        <f t="shared" si="18"/>
        <v>4.4934717566766376E-2</v>
      </c>
      <c r="N38" s="259">
        <f t="shared" si="18"/>
        <v>3.0854447279978148E-2</v>
      </c>
      <c r="O38" s="259">
        <f t="shared" si="18"/>
        <v>2.2369688599617941E-2</v>
      </c>
      <c r="P38" s="259">
        <f t="shared" si="18"/>
        <v>2.7771623229579788E-2</v>
      </c>
      <c r="Q38" s="259">
        <f t="shared" si="18"/>
        <v>2.7768866866531964E-2</v>
      </c>
      <c r="R38" s="259">
        <f t="shared" si="18"/>
        <v>2.5928737558849103E-2</v>
      </c>
      <c r="S38" s="259">
        <f t="shared" si="18"/>
        <v>2.473830495427759E-2</v>
      </c>
      <c r="T38" s="259">
        <f t="shared" si="18"/>
        <v>2.7150198271082653E-2</v>
      </c>
      <c r="U38" s="259">
        <f t="shared" si="18"/>
        <v>2.5456947192151157E-2</v>
      </c>
      <c r="V38" s="259">
        <f t="shared" si="18"/>
        <v>3.2079945507739932E-2</v>
      </c>
      <c r="W38" s="259">
        <f t="shared" si="18"/>
        <v>2.4716482557128223E-2</v>
      </c>
      <c r="X38" s="259">
        <f t="shared" si="18"/>
        <v>2.9282804660169862E-2</v>
      </c>
      <c r="Y38" s="259">
        <f t="shared" si="18"/>
        <v>2.6695773999624146E-2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3.2770655444141865E-2</v>
      </c>
      <c r="C39" s="259">
        <f t="shared" si="19"/>
        <v>3.1839176337381064E-2</v>
      </c>
      <c r="D39" s="259">
        <f t="shared" si="19"/>
        <v>2.8949168864786854E-2</v>
      </c>
      <c r="E39" s="259">
        <f t="shared" si="19"/>
        <v>2.9834300106344244E-2</v>
      </c>
      <c r="F39" s="259">
        <f t="shared" si="19"/>
        <v>3.2078224902577876E-2</v>
      </c>
      <c r="G39" s="259">
        <f t="shared" si="19"/>
        <v>3.2405970100404344E-2</v>
      </c>
      <c r="H39" s="259">
        <f t="shared" si="19"/>
        <v>3.0428271234427741E-2</v>
      </c>
      <c r="I39" s="259">
        <f t="shared" si="19"/>
        <v>3.2869238828867865E-2</v>
      </c>
      <c r="J39" s="259">
        <f t="shared" si="19"/>
        <v>3.446662456080931E-2</v>
      </c>
      <c r="K39" s="259">
        <f t="shared" si="19"/>
        <v>3.4750326115564112E-2</v>
      </c>
      <c r="L39" s="259">
        <f t="shared" si="19"/>
        <v>3.8031636607602469E-2</v>
      </c>
      <c r="M39" s="259">
        <f t="shared" si="19"/>
        <v>3.7787140414660393E-2</v>
      </c>
      <c r="N39" s="259">
        <f t="shared" si="19"/>
        <v>3.3457292251470622E-2</v>
      </c>
      <c r="O39" s="259">
        <f t="shared" si="19"/>
        <v>3.8524208681803049E-2</v>
      </c>
      <c r="P39" s="259">
        <f t="shared" si="19"/>
        <v>3.8150824245320444E-2</v>
      </c>
      <c r="Q39" s="259">
        <f t="shared" si="19"/>
        <v>3.7529608375445257E-2</v>
      </c>
      <c r="R39" s="259">
        <f t="shared" si="19"/>
        <v>3.9163421622491673E-2</v>
      </c>
      <c r="S39" s="259">
        <f t="shared" si="19"/>
        <v>4.0564140172818126E-2</v>
      </c>
      <c r="T39" s="259">
        <f t="shared" si="19"/>
        <v>3.8435313067380565E-2</v>
      </c>
      <c r="U39" s="259">
        <f t="shared" si="19"/>
        <v>3.9248328237440108E-2</v>
      </c>
      <c r="V39" s="259">
        <f t="shared" si="19"/>
        <v>3.562709693889831E-2</v>
      </c>
      <c r="W39" s="259">
        <f t="shared" si="19"/>
        <v>4.412116389893566E-2</v>
      </c>
      <c r="X39" s="259">
        <f t="shared" si="19"/>
        <v>3.6118225094078707E-2</v>
      </c>
      <c r="Y39" s="259">
        <f t="shared" si="19"/>
        <v>3.5475531252727802E-2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4.7517450394005706E-2</v>
      </c>
      <c r="C40" s="261">
        <f t="shared" si="20"/>
        <v>4.6166805689202547E-2</v>
      </c>
      <c r="D40" s="261">
        <f t="shared" si="20"/>
        <v>4.1976294853940908E-2</v>
      </c>
      <c r="E40" s="261">
        <f t="shared" si="20"/>
        <v>4.3259735154199147E-2</v>
      </c>
      <c r="F40" s="261">
        <f t="shared" si="20"/>
        <v>4.6513426108737911E-2</v>
      </c>
      <c r="G40" s="261">
        <f t="shared" si="20"/>
        <v>4.698865664558631E-2</v>
      </c>
      <c r="H40" s="261">
        <f t="shared" si="20"/>
        <v>4.4120993289920217E-2</v>
      </c>
      <c r="I40" s="261">
        <f t="shared" si="20"/>
        <v>4.7660396301858386E-2</v>
      </c>
      <c r="J40" s="261">
        <f t="shared" si="20"/>
        <v>4.9976605613173485E-2</v>
      </c>
      <c r="K40" s="261">
        <f t="shared" si="20"/>
        <v>5.0387972867567944E-2</v>
      </c>
      <c r="L40" s="261">
        <f t="shared" si="20"/>
        <v>5.5145873081023582E-2</v>
      </c>
      <c r="M40" s="261">
        <f t="shared" si="20"/>
        <v>5.4791353601257586E-2</v>
      </c>
      <c r="N40" s="261">
        <f t="shared" si="20"/>
        <v>4.851307376463241E-2</v>
      </c>
      <c r="O40" s="261">
        <f t="shared" si="20"/>
        <v>5.5860102588614416E-2</v>
      </c>
      <c r="P40" s="261">
        <f t="shared" si="20"/>
        <v>5.5318695155714651E-2</v>
      </c>
      <c r="Q40" s="261">
        <f t="shared" si="20"/>
        <v>5.4417932144395623E-2</v>
      </c>
      <c r="R40" s="261">
        <f t="shared" si="20"/>
        <v>5.6786961352612936E-2</v>
      </c>
      <c r="S40" s="261">
        <f t="shared" si="20"/>
        <v>5.8818003250586288E-2</v>
      </c>
      <c r="T40" s="261">
        <f t="shared" si="20"/>
        <v>5.5731203947701827E-2</v>
      </c>
      <c r="U40" s="261">
        <f t="shared" si="20"/>
        <v>5.6910075944288159E-2</v>
      </c>
      <c r="V40" s="261">
        <f t="shared" si="20"/>
        <v>5.1659290561402546E-2</v>
      </c>
      <c r="W40" s="261">
        <f t="shared" si="20"/>
        <v>6.3975687653456723E-2</v>
      </c>
      <c r="X40" s="261">
        <f t="shared" si="20"/>
        <v>5.2371426386414142E-2</v>
      </c>
      <c r="Y40" s="261">
        <f t="shared" si="20"/>
        <v>5.1439520316455288E-2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112.4717120162866</v>
      </c>
      <c r="C44" s="236">
        <f t="shared" si="21"/>
        <v>109.81942433546168</v>
      </c>
      <c r="D44" s="236">
        <f t="shared" si="21"/>
        <v>113.80906613357635</v>
      </c>
      <c r="E44" s="236">
        <f t="shared" si="21"/>
        <v>119.53787119840251</v>
      </c>
      <c r="F44" s="236">
        <f t="shared" si="21"/>
        <v>117.30616060932348</v>
      </c>
      <c r="G44" s="236">
        <f t="shared" si="21"/>
        <v>134.29403412451356</v>
      </c>
      <c r="H44" s="236">
        <f t="shared" si="21"/>
        <v>130.05722800154638</v>
      </c>
      <c r="I44" s="236">
        <f t="shared" si="21"/>
        <v>117.81469406104159</v>
      </c>
      <c r="J44" s="236">
        <f t="shared" si="21"/>
        <v>123.49619118298857</v>
      </c>
      <c r="K44" s="236">
        <f t="shared" si="21"/>
        <v>137.83360398812138</v>
      </c>
      <c r="L44" s="236">
        <f t="shared" si="21"/>
        <v>128.47617233393535</v>
      </c>
      <c r="M44" s="236">
        <f t="shared" si="21"/>
        <v>116.02131221383358</v>
      </c>
      <c r="N44" s="236">
        <f t="shared" si="21"/>
        <v>118.31216844961246</v>
      </c>
      <c r="O44" s="236">
        <f t="shared" si="21"/>
        <v>117.89482713876836</v>
      </c>
      <c r="P44" s="236">
        <f t="shared" si="21"/>
        <v>114.21265320772916</v>
      </c>
      <c r="Q44" s="236">
        <f t="shared" si="21"/>
        <v>116.67728719019786</v>
      </c>
      <c r="R44" s="236">
        <f t="shared" si="21"/>
        <v>118.41249825520158</v>
      </c>
      <c r="S44" s="236">
        <f t="shared" si="21"/>
        <v>109.25986032686185</v>
      </c>
      <c r="T44" s="236">
        <f t="shared" si="21"/>
        <v>115.03952384499109</v>
      </c>
      <c r="U44" s="236">
        <f t="shared" si="21"/>
        <v>114.31053707016736</v>
      </c>
      <c r="V44" s="236">
        <f t="shared" si="21"/>
        <v>121.02278233994659</v>
      </c>
      <c r="W44" s="236">
        <f t="shared" si="21"/>
        <v>115.6129323010225</v>
      </c>
      <c r="X44" s="236">
        <f t="shared" si="21"/>
        <v>98.926512660278433</v>
      </c>
      <c r="Y44" s="236">
        <f t="shared" si="21"/>
        <v>101.37891512464496</v>
      </c>
      <c r="DA44" s="280"/>
    </row>
    <row r="45" spans="1:105" x14ac:dyDescent="0.25">
      <c r="A45" s="238" t="s">
        <v>125</v>
      </c>
      <c r="B45" s="247">
        <f>IF(B$6=0,0,B$6/AGR!B$5*1000)</f>
        <v>3.6857717216984791</v>
      </c>
      <c r="C45" s="247">
        <f>IF(C$6=0,0,C$6/AGR!C$5*1000)</f>
        <v>3.4965600166864421</v>
      </c>
      <c r="D45" s="247">
        <f>IF(D$6=0,0,D$6/AGR!D$5*1000)</f>
        <v>3.2946778738445968</v>
      </c>
      <c r="E45" s="247">
        <f>IF(E$6=0,0,E$6/AGR!E$5*1000)</f>
        <v>3.5663287234066647</v>
      </c>
      <c r="F45" s="247">
        <f>IF(F$6=0,0,F$6/AGR!F$5*1000)</f>
        <v>3.7629734024838006</v>
      </c>
      <c r="G45" s="247">
        <f>IF(G$6=0,0,G$6/AGR!G$5*1000)</f>
        <v>4.3519284545016674</v>
      </c>
      <c r="H45" s="247">
        <f>IF(H$6=0,0,H$6/AGR!H$5*1000)</f>
        <v>3.9574166096288641</v>
      </c>
      <c r="I45" s="247">
        <f>IF(I$6=0,0,I$6/AGR!I$5*1000)</f>
        <v>3.8724793166423761</v>
      </c>
      <c r="J45" s="247">
        <f>IF(J$6=0,0,J$6/AGR!J$5*1000)</f>
        <v>4.256496856193996</v>
      </c>
      <c r="K45" s="247">
        <f>IF(K$6=0,0,K$6/AGR!K$5*1000)</f>
        <v>4.789762688270736</v>
      </c>
      <c r="L45" s="247">
        <f>IF(L$6=0,0,L$6/AGR!L$5*1000)</f>
        <v>4.886159098939939</v>
      </c>
      <c r="M45" s="247">
        <f>IF(M$6=0,0,M$6/AGR!M$5*1000)</f>
        <v>4.3841136157172818</v>
      </c>
      <c r="N45" s="247">
        <f>IF(N$6=0,0,N$6/AGR!N$5*1000)</f>
        <v>3.9584047967239044</v>
      </c>
      <c r="O45" s="247">
        <f>IF(O$6=0,0,O$6/AGR!O$5*1000)</f>
        <v>4.5418049231990096</v>
      </c>
      <c r="P45" s="247">
        <f>IF(P$6=0,0,P$6/AGR!P$5*1000)</f>
        <v>4.3573068591198094</v>
      </c>
      <c r="Q45" s="247">
        <f>IF(Q$6=0,0,Q$6/AGR!Q$5*1000)</f>
        <v>4.3788528945574807</v>
      </c>
      <c r="R45" s="247">
        <f>IF(R$6=0,0,R$6/AGR!R$5*1000)</f>
        <v>4.6374385945410195</v>
      </c>
      <c r="S45" s="247">
        <f>IF(S$6=0,0,S$6/AGR!S$5*1000)</f>
        <v>4.4320322895613549</v>
      </c>
      <c r="T45" s="247">
        <f>IF(T$6=0,0,T$6/AGR!T$5*1000)</f>
        <v>4.421580114104624</v>
      </c>
      <c r="U45" s="247">
        <f>IF(U$6=0,0,U$6/AGR!U$5*1000)</f>
        <v>4.4864974799279942</v>
      </c>
      <c r="V45" s="247">
        <f>IF(V$6=0,0,V$6/AGR!V$5*1000)</f>
        <v>4.3116903982404668</v>
      </c>
      <c r="W45" s="247">
        <f>IF(W$6=0,0,W$6/AGR!W$5*1000)</f>
        <v>5.1009771348899671</v>
      </c>
      <c r="X45" s="247">
        <f>IF(X$6=0,0,X$6/AGR!X$5*1000)</f>
        <v>3.5730500520361628</v>
      </c>
      <c r="Y45" s="247">
        <f>IF(Y$6=0,0,Y$6/AGR!Y$5*1000)</f>
        <v>3.5964708718719818</v>
      </c>
      <c r="DA45" s="281"/>
    </row>
    <row r="46" spans="1:105" x14ac:dyDescent="0.25">
      <c r="A46" s="240" t="s">
        <v>124</v>
      </c>
      <c r="B46" s="248">
        <f>IF(B$7=0,0,B$7/AGR!B$5*1000)</f>
        <v>2.3957516191040105</v>
      </c>
      <c r="C46" s="248">
        <f>IF(C$7=0,0,C$7/AGR!C$5*1000)</f>
        <v>2.2727640108461862</v>
      </c>
      <c r="D46" s="248">
        <f>IF(D$7=0,0,D$7/AGR!D$5*1000)</f>
        <v>2.1415406179989871</v>
      </c>
      <c r="E46" s="248">
        <f>IF(E$7=0,0,E$7/AGR!E$5*1000)</f>
        <v>2.3181136702143315</v>
      </c>
      <c r="F46" s="248">
        <f>IF(F$7=0,0,F$7/AGR!F$5*1000)</f>
        <v>2.4459327116144691</v>
      </c>
      <c r="G46" s="248">
        <f>IF(G$7=0,0,G$7/AGR!G$5*1000)</f>
        <v>2.8287534954260849</v>
      </c>
      <c r="H46" s="248">
        <f>IF(H$7=0,0,H$7/AGR!H$5*1000)</f>
        <v>2.5723207962587602</v>
      </c>
      <c r="I46" s="248">
        <f>IF(I$7=0,0,I$7/AGR!I$5*1000)</f>
        <v>2.5171115558175439</v>
      </c>
      <c r="J46" s="248">
        <f>IF(J$7=0,0,J$7/AGR!J$5*1000)</f>
        <v>2.7667229565260962</v>
      </c>
      <c r="K46" s="248">
        <f>IF(K$7=0,0,K$7/AGR!K$5*1000)</f>
        <v>3.1133457473759774</v>
      </c>
      <c r="L46" s="248">
        <f>IF(L$7=0,0,L$7/AGR!L$5*1000)</f>
        <v>3.1760034143109599</v>
      </c>
      <c r="M46" s="248">
        <f>IF(M$7=0,0,M$7/AGR!M$5*1000)</f>
        <v>2.8496738502162313</v>
      </c>
      <c r="N46" s="248">
        <f>IF(N$7=0,0,N$7/AGR!N$5*1000)</f>
        <v>2.5729631178705366</v>
      </c>
      <c r="O46" s="248">
        <f>IF(O$7=0,0,O$7/AGR!O$5*1000)</f>
        <v>2.952173200079355</v>
      </c>
      <c r="P46" s="248">
        <f>IF(P$7=0,0,P$7/AGR!P$5*1000)</f>
        <v>2.8322494584278752</v>
      </c>
      <c r="Q46" s="248">
        <f>IF(Q$7=0,0,Q$7/AGR!Q$5*1000)</f>
        <v>2.8462543814623604</v>
      </c>
      <c r="R46" s="248">
        <f>IF(R$7=0,0,R$7/AGR!R$5*1000)</f>
        <v>3.014335086451664</v>
      </c>
      <c r="S46" s="248">
        <f>IF(S$7=0,0,S$7/AGR!S$5*1000)</f>
        <v>2.8808209882148788</v>
      </c>
      <c r="T46" s="248">
        <f>IF(T$7=0,0,T$7/AGR!T$5*1000)</f>
        <v>2.874027074168005</v>
      </c>
      <c r="U46" s="248">
        <f>IF(U$7=0,0,U$7/AGR!U$5*1000)</f>
        <v>2.9162233619531959</v>
      </c>
      <c r="V46" s="248">
        <f>IF(V$7=0,0,V$7/AGR!V$5*1000)</f>
        <v>2.8025987588563037</v>
      </c>
      <c r="W46" s="248">
        <f>IF(W$7=0,0,W$7/AGR!W$5*1000)</f>
        <v>3.3156351376784778</v>
      </c>
      <c r="X46" s="248">
        <f>IF(X$7=0,0,X$7/AGR!X$5*1000)</f>
        <v>2.3224825338235062</v>
      </c>
      <c r="Y46" s="248">
        <f>IF(Y$7=0,0,Y$7/AGR!Y$5*1000)</f>
        <v>2.3377060667167866</v>
      </c>
      <c r="DA46" s="282"/>
    </row>
    <row r="47" spans="1:105" x14ac:dyDescent="0.25">
      <c r="A47" s="240" t="s">
        <v>123</v>
      </c>
      <c r="B47" s="248">
        <f>IF(B$8=0,0,B$8/AGR!B$5*1000)</f>
        <v>3.3171945495286308</v>
      </c>
      <c r="C47" s="248">
        <f>IF(C$8=0,0,C$8/AGR!C$5*1000)</f>
        <v>3.1469040150177978</v>
      </c>
      <c r="D47" s="248">
        <f>IF(D$8=0,0,D$8/AGR!D$5*1000)</f>
        <v>2.9652100864601367</v>
      </c>
      <c r="E47" s="248">
        <f>IF(E$8=0,0,E$8/AGR!E$5*1000)</f>
        <v>3.2096958510659985</v>
      </c>
      <c r="F47" s="248">
        <f>IF(F$8=0,0,F$8/AGR!F$5*1000)</f>
        <v>3.3866760622354191</v>
      </c>
      <c r="G47" s="248">
        <f>IF(G$8=0,0,G$8/AGR!G$5*1000)</f>
        <v>3.9167356090515013</v>
      </c>
      <c r="H47" s="248">
        <f>IF(H$8=0,0,H$8/AGR!H$5*1000)</f>
        <v>3.5616749486659764</v>
      </c>
      <c r="I47" s="248">
        <f>IF(I$8=0,0,I$8/AGR!I$5*1000)</f>
        <v>3.4852313849781371</v>
      </c>
      <c r="J47" s="248">
        <f>IF(J$8=0,0,J$8/AGR!J$5*1000)</f>
        <v>3.8308471705745957</v>
      </c>
      <c r="K47" s="248">
        <f>IF(K$8=0,0,K$8/AGR!K$5*1000)</f>
        <v>4.3107864194436614</v>
      </c>
      <c r="L47" s="248">
        <f>IF(L$8=0,0,L$8/AGR!L$5*1000)</f>
        <v>4.3975431890459458</v>
      </c>
      <c r="M47" s="248">
        <f>IF(M$8=0,0,M$8/AGR!M$5*1000)</f>
        <v>3.9457022541455524</v>
      </c>
      <c r="N47" s="248">
        <f>IF(N$8=0,0,N$8/AGR!N$5*1000)</f>
        <v>3.5625643170515122</v>
      </c>
      <c r="O47" s="248">
        <f>IF(O$8=0,0,O$8/AGR!O$5*1000)</f>
        <v>4.0876244308791092</v>
      </c>
      <c r="P47" s="248">
        <f>IF(P$8=0,0,P$8/AGR!P$5*1000)</f>
        <v>3.9215761732078285</v>
      </c>
      <c r="Q47" s="248">
        <f>IF(Q$8=0,0,Q$8/AGR!Q$5*1000)</f>
        <v>3.9409676051017337</v>
      </c>
      <c r="R47" s="248">
        <f>IF(R$8=0,0,R$8/AGR!R$5*1000)</f>
        <v>4.1736947350869169</v>
      </c>
      <c r="S47" s="248">
        <f>IF(S$8=0,0,S$8/AGR!S$5*1000)</f>
        <v>3.9888290606052181</v>
      </c>
      <c r="T47" s="248">
        <f>IF(T$8=0,0,T$8/AGR!T$5*1000)</f>
        <v>3.9794221026941621</v>
      </c>
      <c r="U47" s="248">
        <f>IF(U$8=0,0,U$8/AGR!U$5*1000)</f>
        <v>4.0378477319351944</v>
      </c>
      <c r="V47" s="248">
        <f>IF(V$8=0,0,V$8/AGR!V$5*1000)</f>
        <v>3.8805213584164213</v>
      </c>
      <c r="W47" s="248">
        <f>IF(W$8=0,0,W$8/AGR!W$5*1000)</f>
        <v>4.5908794214009685</v>
      </c>
      <c r="X47" s="248">
        <f>IF(X$8=0,0,X$8/AGR!X$5*1000)</f>
        <v>3.2157450468325464</v>
      </c>
      <c r="Y47" s="248">
        <f>IF(Y$8=0,0,Y$8/AGR!Y$5*1000)</f>
        <v>3.2368237846847832</v>
      </c>
      <c r="DA47" s="282"/>
    </row>
    <row r="48" spans="1:105" x14ac:dyDescent="0.25">
      <c r="A48" s="242" t="s">
        <v>122</v>
      </c>
      <c r="B48" s="249">
        <f>IF(B$9=0,0,B$9/AGR!B$5*1000)</f>
        <v>21.766860989734319</v>
      </c>
      <c r="C48" s="249">
        <f>IF(C$9=0,0,C$9/AGR!C$5*1000)</f>
        <v>21.154903665211538</v>
      </c>
      <c r="D48" s="249">
        <f>IF(D$9=0,0,D$9/AGR!D$5*1000)</f>
        <v>21.842571245181102</v>
      </c>
      <c r="E48" s="249">
        <f>IF(E$9=0,0,E$9/AGR!E$5*1000)</f>
        <v>23.095447837341656</v>
      </c>
      <c r="F48" s="249">
        <f>IF(F$9=0,0,F$9/AGR!F$5*1000)</f>
        <v>22.755865649037233</v>
      </c>
      <c r="G48" s="249">
        <f>IF(G$9=0,0,G$9/AGR!G$5*1000)</f>
        <v>26.073290805691414</v>
      </c>
      <c r="H48" s="249">
        <f>IF(H$9=0,0,H$9/AGR!H$5*1000)</f>
        <v>25.066294416114271</v>
      </c>
      <c r="I48" s="249">
        <f>IF(I$9=0,0,I$9/AGR!I$5*1000)</f>
        <v>22.887092797858983</v>
      </c>
      <c r="J48" s="249">
        <f>IF(J$9=0,0,J$9/AGR!J$5*1000)</f>
        <v>24.220375290434529</v>
      </c>
      <c r="K48" s="249">
        <f>IF(K$9=0,0,K$9/AGR!K$5*1000)</f>
        <v>27.073889382520584</v>
      </c>
      <c r="L48" s="249">
        <f>IF(L$9=0,0,L$9/AGR!L$5*1000)</f>
        <v>26.131446979759893</v>
      </c>
      <c r="M48" s="249">
        <f>IF(M$9=0,0,M$9/AGR!M$5*1000)</f>
        <v>23.53514923681939</v>
      </c>
      <c r="N48" s="249">
        <f>IF(N$9=0,0,N$9/AGR!N$5*1000)</f>
        <v>21.837233846934296</v>
      </c>
      <c r="O48" s="249">
        <f>IF(O$9=0,0,O$9/AGR!O$5*1000)</f>
        <v>26.234448087302475</v>
      </c>
      <c r="P48" s="249">
        <f>IF(P$9=0,0,P$9/AGR!P$5*1000)</f>
        <v>24.360394129218054</v>
      </c>
      <c r="Q48" s="249">
        <f>IF(Q$9=0,0,Q$9/AGR!Q$5*1000)</f>
        <v>24.466821282484869</v>
      </c>
      <c r="R48" s="249">
        <f>IF(R$9=0,0,R$9/AGR!R$5*1000)</f>
        <v>26.238649908625892</v>
      </c>
      <c r="S48" s="249">
        <f>IF(S$9=0,0,S$9/AGR!S$5*1000)</f>
        <v>25.318965821995441</v>
      </c>
      <c r="T48" s="249">
        <f>IF(T$9=0,0,T$9/AGR!T$5*1000)</f>
        <v>24.815333284983122</v>
      </c>
      <c r="U48" s="249">
        <f>IF(U$9=0,0,U$9/AGR!U$5*1000)</f>
        <v>25.457992679656616</v>
      </c>
      <c r="V48" s="249">
        <f>IF(V$9=0,0,V$9/AGR!V$5*1000)</f>
        <v>23.627079121978337</v>
      </c>
      <c r="W48" s="249">
        <f>IF(W$9=0,0,W$9/AGR!W$5*1000)</f>
        <v>29.231119897172643</v>
      </c>
      <c r="X48" s="249">
        <f>IF(X$9=0,0,X$9/AGR!X$5*1000)</f>
        <v>19.835745229273833</v>
      </c>
      <c r="Y48" s="249">
        <f>IF(Y$9=0,0,Y$9/AGR!Y$5*1000)</f>
        <v>20.261314174949693</v>
      </c>
      <c r="DA48" s="283"/>
    </row>
    <row r="49" spans="1:105" x14ac:dyDescent="0.25">
      <c r="A49" s="127" t="s">
        <v>168</v>
      </c>
      <c r="B49" s="262">
        <f>IF(B$16=0,0,B$16/AGR!B$5*1000)</f>
        <v>27.533193056200897</v>
      </c>
      <c r="C49" s="262">
        <f>IF(C$16=0,0,C$16/AGR!C$5*1000)</f>
        <v>27.095955355089277</v>
      </c>
      <c r="D49" s="262">
        <f>IF(D$16=0,0,D$16/AGR!D$5*1000)</f>
        <v>28.917883115581603</v>
      </c>
      <c r="E49" s="262">
        <f>IF(E$16=0,0,E$16/AGR!E$5*1000)</f>
        <v>30.389369033676257</v>
      </c>
      <c r="F49" s="262">
        <f>IF(F$16=0,0,F$16/AGR!F$5*1000)</f>
        <v>29.104039653477873</v>
      </c>
      <c r="G49" s="262">
        <f>IF(G$16=0,0,G$16/AGR!G$5*1000)</f>
        <v>33.194160718647019</v>
      </c>
      <c r="H49" s="262">
        <f>IF(H$16=0,0,H$16/AGR!H$5*1000)</f>
        <v>32.661695085935548</v>
      </c>
      <c r="I49" s="262">
        <f>IF(I$16=0,0,I$16/AGR!I$5*1000)</f>
        <v>28.899167148099362</v>
      </c>
      <c r="J49" s="262">
        <f>IF(J$16=0,0,J$16/AGR!J$5*1000)</f>
        <v>29.795928124775937</v>
      </c>
      <c r="K49" s="262">
        <f>IF(K$16=0,0,K$16/AGR!K$5*1000)</f>
        <v>33.011145903713796</v>
      </c>
      <c r="L49" s="262">
        <f>IF(L$16=0,0,L$16/AGR!L$5*1000)</f>
        <v>29.937547606559367</v>
      </c>
      <c r="M49" s="262">
        <f>IF(M$16=0,0,M$16/AGR!M$5*1000)</f>
        <v>27.130672893477112</v>
      </c>
      <c r="N49" s="262">
        <f>IF(N$16=0,0,N$16/AGR!N$5*1000)</f>
        <v>18.997128530624732</v>
      </c>
      <c r="O49" s="262">
        <f>IF(O$16=0,0,O$16/AGR!O$5*1000)</f>
        <v>13.724466274626447</v>
      </c>
      <c r="P49" s="262">
        <f>IF(P$16=0,0,P$16/AGR!P$5*1000)</f>
        <v>16.506548071298205</v>
      </c>
      <c r="Q49" s="262">
        <f>IF(Q$16=0,0,Q$16/AGR!Q$5*1000)</f>
        <v>16.861074882997293</v>
      </c>
      <c r="R49" s="262">
        <f>IF(R$16=0,0,R$16/AGR!R$5*1000)</f>
        <v>15.977899742497737</v>
      </c>
      <c r="S49" s="262">
        <f>IF(S$16=0,0,S$16/AGR!S$5*1000)</f>
        <v>14.066024052294875</v>
      </c>
      <c r="T49" s="262">
        <f>IF(T$16=0,0,T$16/AGR!T$5*1000)</f>
        <v>16.254022507652067</v>
      </c>
      <c r="U49" s="262">
        <f>IF(U$16=0,0,U$16/AGR!U$5*1000)</f>
        <v>15.143747602761096</v>
      </c>
      <c r="V49" s="262">
        <f>IF(V$16=0,0,V$16/AGR!V$5*1000)</f>
        <v>20.204194048708302</v>
      </c>
      <c r="W49" s="262">
        <f>IF(W$16=0,0,W$16/AGR!W$5*1000)</f>
        <v>14.870783739637538</v>
      </c>
      <c r="X49" s="262">
        <f>IF(X$16=0,0,X$16/AGR!X$5*1000)</f>
        <v>15.075306336103656</v>
      </c>
      <c r="Y49" s="262">
        <f>IF(Y$16=0,0,Y$16/AGR!Y$5*1000)</f>
        <v>14.0841594222232</v>
      </c>
      <c r="DA49" s="284"/>
    </row>
    <row r="50" spans="1:105" x14ac:dyDescent="0.25">
      <c r="A50" s="127" t="s">
        <v>121</v>
      </c>
      <c r="B50" s="262">
        <f>IF(B$17=0,0,B$17/AGR!B$5*1000)</f>
        <v>39.452066862044965</v>
      </c>
      <c r="C50" s="262">
        <f>IF(C$17=0,0,C$17/AGR!C$5*1000)</f>
        <v>38.879051600002072</v>
      </c>
      <c r="D50" s="262">
        <f>IF(D$17=0,0,D$17/AGR!D$5*1000)</f>
        <v>41.018410169240191</v>
      </c>
      <c r="E50" s="262">
        <f>IF(E$17=0,0,E$17/AGR!E$5*1000)</f>
        <v>42.38184019387959</v>
      </c>
      <c r="F50" s="262">
        <f>IF(F$17=0,0,F$17/AGR!F$5*1000)</f>
        <v>41.038804529904681</v>
      </c>
      <c r="G50" s="262">
        <f>IF(G$17=0,0,G$17/AGR!G$5*1000)</f>
        <v>46.888405714564826</v>
      </c>
      <c r="H50" s="262">
        <f>IF(H$17=0,0,H$17/AGR!H$5*1000)</f>
        <v>46.265938546998058</v>
      </c>
      <c r="I50" s="262">
        <f>IF(I$17=0,0,I$17/AGR!I$5*1000)</f>
        <v>41.112821726646338</v>
      </c>
      <c r="J50" s="262">
        <f>IF(J$17=0,0,J$17/AGR!J$5*1000)</f>
        <v>42.471867586555121</v>
      </c>
      <c r="K50" s="262">
        <f>IF(K$17=0,0,K$17/AGR!K$5*1000)</f>
        <v>47.456388469315947</v>
      </c>
      <c r="L50" s="262">
        <f>IF(L$17=0,0,L$17/AGR!L$5*1000)</f>
        <v>42.223632989020842</v>
      </c>
      <c r="M50" s="262">
        <f>IF(M$17=0,0,M$17/AGR!M$5*1000)</f>
        <v>38.221537108896442</v>
      </c>
      <c r="N50" s="262">
        <f>IF(N$17=0,0,N$17/AGR!N$5*1000)</f>
        <v>54.035325524425431</v>
      </c>
      <c r="O50" s="262">
        <f>IF(O$17=0,0,O$17/AGR!O$5*1000)</f>
        <v>52.589617590244345</v>
      </c>
      <c r="P50" s="262">
        <f>IF(P$17=0,0,P$17/AGR!P$5*1000)</f>
        <v>48.387305938678139</v>
      </c>
      <c r="Q50" s="262">
        <f>IF(Q$17=0,0,Q$17/AGR!Q$5*1000)</f>
        <v>50.215130497595567</v>
      </c>
      <c r="R50" s="262">
        <f>IF(R$17=0,0,R$17/AGR!R$5*1000)</f>
        <v>49.938469040426057</v>
      </c>
      <c r="S50" s="262">
        <f>IF(S$17=0,0,S$17/AGR!S$5*1000)</f>
        <v>45.011805260737091</v>
      </c>
      <c r="T50" s="262">
        <f>IF(T$17=0,0,T$17/AGR!T$5*1000)</f>
        <v>48.738921600430345</v>
      </c>
      <c r="U50" s="262">
        <f>IF(U$17=0,0,U$17/AGR!U$5*1000)</f>
        <v>48.366312082407994</v>
      </c>
      <c r="V50" s="262">
        <f>IF(V$17=0,0,V$17/AGR!V$5*1000)</f>
        <v>51.75065291539704</v>
      </c>
      <c r="W50" s="262">
        <f>IF(W$17=0,0,W$17/AGR!W$5*1000)</f>
        <v>43.148597965165806</v>
      </c>
      <c r="X50" s="262">
        <f>IF(X$17=0,0,X$17/AGR!X$5*1000)</f>
        <v>43.253365088777365</v>
      </c>
      <c r="Y50" s="262">
        <f>IF(Y$17=0,0,Y$17/AGR!Y$5*1000)</f>
        <v>46.344698561617577</v>
      </c>
      <c r="DA50" s="284"/>
    </row>
    <row r="51" spans="1:105" x14ac:dyDescent="0.25">
      <c r="A51" s="127" t="s">
        <v>167</v>
      </c>
      <c r="B51" s="262">
        <f>IF(B$25=0,0,B$25/AGR!B$5*1000)</f>
        <v>5.2907324998140348</v>
      </c>
      <c r="C51" s="262">
        <f>IF(C$25=0,0,C$25/AGR!C$5*1000)</f>
        <v>5.2067136317265881</v>
      </c>
      <c r="D51" s="262">
        <f>IF(D$25=0,0,D$25/AGR!D$5*1000)</f>
        <v>5.5568122343504927</v>
      </c>
      <c r="E51" s="262">
        <f>IF(E$25=0,0,E$25/AGR!E$5*1000)</f>
        <v>5.8395705164716709</v>
      </c>
      <c r="F51" s="262">
        <f>IF(F$25=0,0,F$25/AGR!F$5*1000)</f>
        <v>5.5925837644846963</v>
      </c>
      <c r="G51" s="262">
        <f>IF(G$25=0,0,G$25/AGR!G$5*1000)</f>
        <v>6.3785346131019676</v>
      </c>
      <c r="H51" s="262">
        <f>IF(H$25=0,0,H$25/AGR!H$5*1000)</f>
        <v>6.2762169043541922</v>
      </c>
      <c r="I51" s="262">
        <f>IF(I$25=0,0,I$25/AGR!I$5*1000)</f>
        <v>5.5532158052250509</v>
      </c>
      <c r="J51" s="262">
        <f>IF(J$25=0,0,J$25/AGR!J$5*1000)</f>
        <v>5.7255359002530097</v>
      </c>
      <c r="K51" s="262">
        <f>IF(K$25=0,0,K$25/AGR!K$5*1000)</f>
        <v>6.3433667912173721</v>
      </c>
      <c r="L51" s="262">
        <f>IF(L$25=0,0,L$25/AGR!L$5*1000)</f>
        <v>5.7527492638955433</v>
      </c>
      <c r="M51" s="262">
        <f>IF(M$25=0,0,M$25/AGR!M$5*1000)</f>
        <v>5.2133848960542331</v>
      </c>
      <c r="N51" s="262">
        <f>IF(N$25=0,0,N$25/AGR!N$5*1000)</f>
        <v>3.650456564008461</v>
      </c>
      <c r="O51" s="262">
        <f>IF(O$25=0,0,O$25/AGR!O$5*1000)</f>
        <v>2.6372705706000339</v>
      </c>
      <c r="P51" s="262">
        <f>IF(P$25=0,0,P$25/AGR!P$5*1000)</f>
        <v>3.1718707729357116</v>
      </c>
      <c r="Q51" s="262">
        <f>IF(Q$25=0,0,Q$25/AGR!Q$5*1000)</f>
        <v>3.2399960543327193</v>
      </c>
      <c r="R51" s="262">
        <f>IF(R$25=0,0,R$25/AGR!R$5*1000)</f>
        <v>3.0702865909467993</v>
      </c>
      <c r="S51" s="262">
        <f>IF(S$25=0,0,S$25/AGR!S$5*1000)</f>
        <v>2.7029037440276844</v>
      </c>
      <c r="T51" s="262">
        <f>IF(T$25=0,0,T$25/AGR!T$5*1000)</f>
        <v>3.1233458814024488</v>
      </c>
      <c r="U51" s="262">
        <f>IF(U$25=0,0,U$25/AGR!U$5*1000)</f>
        <v>2.9099973057016881</v>
      </c>
      <c r="V51" s="262">
        <f>IF(V$25=0,0,V$25/AGR!V$5*1000)</f>
        <v>3.8824042626605566</v>
      </c>
      <c r="W51" s="262">
        <f>IF(W$25=0,0,W$25/AGR!W$5*1000)</f>
        <v>2.8575450245966687</v>
      </c>
      <c r="X51" s="262">
        <f>IF(X$25=0,0,X$25/AGR!X$5*1000)</f>
        <v>2.8968457459427537</v>
      </c>
      <c r="Y51" s="262">
        <f>IF(Y$25=0,0,Y$25/AGR!Y$5*1000)</f>
        <v>2.7063886064946003</v>
      </c>
      <c r="DA51" s="284"/>
    </row>
    <row r="52" spans="1:105" x14ac:dyDescent="0.25">
      <c r="A52" s="127" t="s">
        <v>170</v>
      </c>
      <c r="B52" s="262">
        <f>IF(B$26=0,0,B$26/AGR!B$5*1000)</f>
        <v>3.6857717216984791</v>
      </c>
      <c r="C52" s="262">
        <f>IF(C$26=0,0,C$26/AGR!C$5*1000)</f>
        <v>3.4965600166864421</v>
      </c>
      <c r="D52" s="262">
        <f>IF(D$26=0,0,D$26/AGR!D$5*1000)</f>
        <v>3.2946778738445968</v>
      </c>
      <c r="E52" s="262">
        <f>IF(E$26=0,0,E$26/AGR!E$5*1000)</f>
        <v>3.5663287234066647</v>
      </c>
      <c r="F52" s="262">
        <f>IF(F$26=0,0,F$26/AGR!F$5*1000)</f>
        <v>3.7629734024838006</v>
      </c>
      <c r="G52" s="262">
        <f>IF(G$26=0,0,G$26/AGR!G$5*1000)</f>
        <v>4.3519284545016674</v>
      </c>
      <c r="H52" s="262">
        <f>IF(H$26=0,0,H$26/AGR!H$5*1000)</f>
        <v>3.9574166096288641</v>
      </c>
      <c r="I52" s="262">
        <f>IF(I$26=0,0,I$26/AGR!I$5*1000)</f>
        <v>3.8724793166423761</v>
      </c>
      <c r="J52" s="262">
        <f>IF(J$26=0,0,J$26/AGR!J$5*1000)</f>
        <v>4.256496856193996</v>
      </c>
      <c r="K52" s="262">
        <f>IF(K$26=0,0,K$26/AGR!K$5*1000)</f>
        <v>4.789762688270736</v>
      </c>
      <c r="L52" s="262">
        <f>IF(L$26=0,0,L$26/AGR!L$5*1000)</f>
        <v>4.886159098939939</v>
      </c>
      <c r="M52" s="262">
        <f>IF(M$26=0,0,M$26/AGR!M$5*1000)</f>
        <v>4.3841136157172818</v>
      </c>
      <c r="N52" s="262">
        <f>IF(N$26=0,0,N$26/AGR!N$5*1000)</f>
        <v>3.9584047967239044</v>
      </c>
      <c r="O52" s="262">
        <f>IF(O$26=0,0,O$26/AGR!O$5*1000)</f>
        <v>4.5418049231990096</v>
      </c>
      <c r="P52" s="262">
        <f>IF(P$26=0,0,P$26/AGR!P$5*1000)</f>
        <v>4.3573068591198094</v>
      </c>
      <c r="Q52" s="262">
        <f>IF(Q$26=0,0,Q$26/AGR!Q$5*1000)</f>
        <v>4.3788528945574807</v>
      </c>
      <c r="R52" s="262">
        <f>IF(R$26=0,0,R$26/AGR!R$5*1000)</f>
        <v>4.6374385945410195</v>
      </c>
      <c r="S52" s="262">
        <f>IF(S$26=0,0,S$26/AGR!S$5*1000)</f>
        <v>4.4320322895613549</v>
      </c>
      <c r="T52" s="262">
        <f>IF(T$26=0,0,T$26/AGR!T$5*1000)</f>
        <v>4.421580114104624</v>
      </c>
      <c r="U52" s="262">
        <f>IF(U$26=0,0,U$26/AGR!U$5*1000)</f>
        <v>4.4864974799279942</v>
      </c>
      <c r="V52" s="262">
        <f>IF(V$26=0,0,V$26/AGR!V$5*1000)</f>
        <v>4.3116903982404668</v>
      </c>
      <c r="W52" s="262">
        <f>IF(W$26=0,0,W$26/AGR!W$5*1000)</f>
        <v>5.1009771348899671</v>
      </c>
      <c r="X52" s="262">
        <f>IF(X$26=0,0,X$26/AGR!X$5*1000)</f>
        <v>3.5730500520361628</v>
      </c>
      <c r="Y52" s="262">
        <f>IF(Y$26=0,0,Y$26/AGR!Y$5*1000)</f>
        <v>3.5964708718719818</v>
      </c>
      <c r="DA52" s="284"/>
    </row>
    <row r="53" spans="1:105" x14ac:dyDescent="0.25">
      <c r="A53" s="260" t="s">
        <v>33</v>
      </c>
      <c r="B53" s="263">
        <f>IF(B$27=0,0,B$27/AGR!B$5*1000)</f>
        <v>5.3443689964627943</v>
      </c>
      <c r="C53" s="263">
        <f>IF(C$27=0,0,C$27/AGR!C$5*1000)</f>
        <v>5.070012024195341</v>
      </c>
      <c r="D53" s="263">
        <f>IF(D$27=0,0,D$27/AGR!D$5*1000)</f>
        <v>4.7772829170746629</v>
      </c>
      <c r="E53" s="263">
        <f>IF(E$27=0,0,E$27/AGR!E$5*1000)</f>
        <v>5.1711766489396629</v>
      </c>
      <c r="F53" s="263">
        <f>IF(F$27=0,0,F$27/AGR!F$5*1000)</f>
        <v>5.4563114336015097</v>
      </c>
      <c r="G53" s="263">
        <f>IF(G$27=0,0,G$27/AGR!G$5*1000)</f>
        <v>6.3102962590274201</v>
      </c>
      <c r="H53" s="263">
        <f>IF(H$27=0,0,H$27/AGR!H$5*1000)</f>
        <v>5.7382540839618512</v>
      </c>
      <c r="I53" s="263">
        <f>IF(I$27=0,0,I$27/AGR!I$5*1000)</f>
        <v>5.6150950091314433</v>
      </c>
      <c r="J53" s="263">
        <f>IF(J$27=0,0,J$27/AGR!J$5*1000)</f>
        <v>6.1719204414812925</v>
      </c>
      <c r="K53" s="263">
        <f>IF(K$27=0,0,K$27/AGR!K$5*1000)</f>
        <v>6.9451558979925654</v>
      </c>
      <c r="L53" s="263">
        <f>IF(L$27=0,0,L$27/AGR!L$5*1000)</f>
        <v>7.0849306934629119</v>
      </c>
      <c r="M53" s="263">
        <f>IF(M$27=0,0,M$27/AGR!M$5*1000)</f>
        <v>6.3569647427900611</v>
      </c>
      <c r="N53" s="263">
        <f>IF(N$27=0,0,N$27/AGR!N$5*1000)</f>
        <v>5.7396869552496632</v>
      </c>
      <c r="O53" s="263">
        <f>IF(O$27=0,0,O$27/AGR!O$5*1000)</f>
        <v>6.5856171386385629</v>
      </c>
      <c r="P53" s="263">
        <f>IF(P$27=0,0,P$27/AGR!P$5*1000)</f>
        <v>6.3180949457237237</v>
      </c>
      <c r="Q53" s="263">
        <f>IF(Q$27=0,0,Q$27/AGR!Q$5*1000)</f>
        <v>6.3493366971083471</v>
      </c>
      <c r="R53" s="263">
        <f>IF(R$27=0,0,R$27/AGR!R$5*1000)</f>
        <v>6.7242859620844806</v>
      </c>
      <c r="S53" s="263">
        <f>IF(S$27=0,0,S$27/AGR!S$5*1000)</f>
        <v>6.4264468198639646</v>
      </c>
      <c r="T53" s="263">
        <f>IF(T$27=0,0,T$27/AGR!T$5*1000)</f>
        <v>6.4112911654517069</v>
      </c>
      <c r="U53" s="263">
        <f>IF(U$27=0,0,U$27/AGR!U$5*1000)</f>
        <v>6.5054213458955914</v>
      </c>
      <c r="V53" s="263">
        <f>IF(V$27=0,0,V$27/AGR!V$5*1000)</f>
        <v>6.2519510774486768</v>
      </c>
      <c r="W53" s="263">
        <f>IF(W$27=0,0,W$27/AGR!W$5*1000)</f>
        <v>7.396416845590454</v>
      </c>
      <c r="X53" s="263">
        <f>IF(X$27=0,0,X$27/AGR!X$5*1000)</f>
        <v>5.1809225754524375</v>
      </c>
      <c r="Y53" s="263">
        <f>IF(Y$27=0,0,Y$27/AGR!Y$5*1000)</f>
        <v>5.214882764214372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397.34544829459043</v>
      </c>
      <c r="C5" s="80">
        <f t="shared" ref="C5:W5" si="1">SUM(C6:C9,C16:C17,C25:C27)</f>
        <v>395.29722852062514</v>
      </c>
      <c r="D5" s="80">
        <f t="shared" si="1"/>
        <v>405.24883872321971</v>
      </c>
      <c r="E5" s="80">
        <f t="shared" si="1"/>
        <v>439.42966657288451</v>
      </c>
      <c r="F5" s="80">
        <f t="shared" si="1"/>
        <v>396.46835617241328</v>
      </c>
      <c r="G5" s="80">
        <f t="shared" si="1"/>
        <v>410.39023897389501</v>
      </c>
      <c r="H5" s="80">
        <f t="shared" si="1"/>
        <v>414.86007694870034</v>
      </c>
      <c r="I5" s="80">
        <f t="shared" si="1"/>
        <v>393.81888056614696</v>
      </c>
      <c r="J5" s="80">
        <f t="shared" si="1"/>
        <v>396.05454220946001</v>
      </c>
      <c r="K5" s="80">
        <f t="shared" si="1"/>
        <v>315.84330464114646</v>
      </c>
      <c r="L5" s="80">
        <f t="shared" si="1"/>
        <v>297.02198135029289</v>
      </c>
      <c r="M5" s="80">
        <f t="shared" si="1"/>
        <v>281.57161203125725</v>
      </c>
      <c r="N5" s="80">
        <f t="shared" si="1"/>
        <v>274.67066589632549</v>
      </c>
      <c r="O5" s="80">
        <f t="shared" si="1"/>
        <v>225.68580356044905</v>
      </c>
      <c r="P5" s="80">
        <f t="shared" si="1"/>
        <v>198.69175539771902</v>
      </c>
      <c r="Q5" s="80">
        <f t="shared" si="1"/>
        <v>199.34077030771419</v>
      </c>
      <c r="R5" s="80">
        <f t="shared" si="1"/>
        <v>202.2497598483821</v>
      </c>
      <c r="S5" s="80">
        <f t="shared" si="1"/>
        <v>213.7105816991986</v>
      </c>
      <c r="T5" s="80">
        <f t="shared" si="1"/>
        <v>196.45626493552348</v>
      </c>
      <c r="U5" s="80">
        <f t="shared" si="1"/>
        <v>200.95633869924799</v>
      </c>
      <c r="V5" s="80">
        <f t="shared" si="1"/>
        <v>230.40220057953309</v>
      </c>
      <c r="W5" s="80">
        <f t="shared" si="1"/>
        <v>201.86547133397812</v>
      </c>
      <c r="X5" s="80">
        <f t="shared" ref="X5:Y5" si="2">SUM(X6:X9,X16:X17,X25:X27)</f>
        <v>206.95059472529488</v>
      </c>
      <c r="Y5" s="80">
        <f t="shared" si="2"/>
        <v>197.81216978685038</v>
      </c>
      <c r="DA5" s="103"/>
    </row>
    <row r="6" spans="1:105" x14ac:dyDescent="0.25">
      <c r="A6" s="238" t="s">
        <v>125</v>
      </c>
      <c r="B6" s="239">
        <v>15.24040807142581</v>
      </c>
      <c r="C6" s="239">
        <v>14.82784660976834</v>
      </c>
      <c r="D6" s="239">
        <v>14.05750657174184</v>
      </c>
      <c r="E6" s="239">
        <v>15.60902735428906</v>
      </c>
      <c r="F6" s="239">
        <v>14.942747417900859</v>
      </c>
      <c r="G6" s="239">
        <v>15.594593016875949</v>
      </c>
      <c r="H6" s="239">
        <v>14.994360477564401</v>
      </c>
      <c r="I6" s="239">
        <v>15.134754467973121</v>
      </c>
      <c r="J6" s="239">
        <v>15.77497824854793</v>
      </c>
      <c r="K6" s="239">
        <v>12.6599944894543</v>
      </c>
      <c r="L6" s="239">
        <v>12.67728826460919</v>
      </c>
      <c r="M6" s="239">
        <v>11.97560516699005</v>
      </c>
      <c r="N6" s="239">
        <v>10.49032912153227</v>
      </c>
      <c r="O6" s="239">
        <v>9.2935881433951248</v>
      </c>
      <c r="P6" s="239">
        <v>8.2153393768187488</v>
      </c>
      <c r="Q6" s="239">
        <v>8.1604447878980224</v>
      </c>
      <c r="R6" s="239">
        <v>8.4543322688280274</v>
      </c>
      <c r="S6" s="239">
        <v>9.0849361647480809</v>
      </c>
      <c r="T6" s="239">
        <v>8.1329046492410129</v>
      </c>
      <c r="U6" s="239">
        <v>8.3964235513191845</v>
      </c>
      <c r="V6" s="239">
        <v>9.2085011809647614</v>
      </c>
      <c r="W6" s="239">
        <v>8.9772972903308972</v>
      </c>
      <c r="X6" s="239">
        <v>8.2990809454911432</v>
      </c>
      <c r="Y6" s="239">
        <v>7.8164957854938653</v>
      </c>
      <c r="DA6" s="267" t="s">
        <v>1016</v>
      </c>
    </row>
    <row r="7" spans="1:105" x14ac:dyDescent="0.25">
      <c r="A7" s="240" t="s">
        <v>124</v>
      </c>
      <c r="B7" s="241">
        <v>9.8233291395466615</v>
      </c>
      <c r="C7" s="241">
        <v>9.5574092895557534</v>
      </c>
      <c r="D7" s="241">
        <v>9.0608803444356365</v>
      </c>
      <c r="E7" s="241">
        <v>10.06092570033289</v>
      </c>
      <c r="F7" s="241">
        <v>9.6314695411839129</v>
      </c>
      <c r="G7" s="241">
        <v>10.05162193060076</v>
      </c>
      <c r="H7" s="241">
        <v>9.6647371591241864</v>
      </c>
      <c r="I7" s="241">
        <v>9.755229249003655</v>
      </c>
      <c r="J7" s="241">
        <v>10.16789070072309</v>
      </c>
      <c r="K7" s="241">
        <v>8.1601025505297926</v>
      </c>
      <c r="L7" s="241">
        <v>8.1712493941455033</v>
      </c>
      <c r="M7" s="241">
        <v>7.7189738391035849</v>
      </c>
      <c r="N7" s="241">
        <v>6.7616270679911068</v>
      </c>
      <c r="O7" s="241">
        <v>5.9902579243350784</v>
      </c>
      <c r="P7" s="241">
        <v>5.2952639006350903</v>
      </c>
      <c r="Q7" s="241">
        <v>5.2598811462874906</v>
      </c>
      <c r="R7" s="241">
        <v>5.4493087155256443</v>
      </c>
      <c r="S7" s="241">
        <v>5.8557695922470083</v>
      </c>
      <c r="T7" s="241">
        <v>5.2421299256306284</v>
      </c>
      <c r="U7" s="241">
        <v>5.4119831800496661</v>
      </c>
      <c r="V7" s="241">
        <v>5.9354144297566851</v>
      </c>
      <c r="W7" s="241">
        <v>5.7863900791358862</v>
      </c>
      <c r="X7" s="241">
        <v>5.3492402107099659</v>
      </c>
      <c r="Y7" s="241">
        <v>5.0381860156846887</v>
      </c>
      <c r="DA7" s="268" t="s">
        <v>1017</v>
      </c>
    </row>
    <row r="8" spans="1:105" x14ac:dyDescent="0.25">
      <c r="A8" s="240" t="s">
        <v>123</v>
      </c>
      <c r="B8" s="241">
        <v>19.521236295923629</v>
      </c>
      <c r="C8" s="241">
        <v>18.99279179877745</v>
      </c>
      <c r="D8" s="241">
        <v>18.006073474697882</v>
      </c>
      <c r="E8" s="241">
        <v>19.993395839833681</v>
      </c>
      <c r="F8" s="241">
        <v>19.139966717955161</v>
      </c>
      <c r="G8" s="241">
        <v>19.974907088738831</v>
      </c>
      <c r="H8" s="241">
        <v>19.206077200622399</v>
      </c>
      <c r="I8" s="241">
        <v>19.385905998411271</v>
      </c>
      <c r="J8" s="241">
        <v>20.2059601363515</v>
      </c>
      <c r="K8" s="241">
        <v>16.216018808386629</v>
      </c>
      <c r="L8" s="241">
        <v>16.23817017530968</v>
      </c>
      <c r="M8" s="241">
        <v>15.339393614388021</v>
      </c>
      <c r="N8" s="241">
        <v>13.43692325321588</v>
      </c>
      <c r="O8" s="241">
        <v>11.904033627836951</v>
      </c>
      <c r="P8" s="241">
        <v>10.522919102590739</v>
      </c>
      <c r="Q8" s="241">
        <v>10.452605352678869</v>
      </c>
      <c r="R8" s="241">
        <v>10.829041923980711</v>
      </c>
      <c r="S8" s="241">
        <v>11.63677407942513</v>
      </c>
      <c r="T8" s="241">
        <v>10.41732955482448</v>
      </c>
      <c r="U8" s="241">
        <v>10.754867416789949</v>
      </c>
      <c r="V8" s="241">
        <v>11.795046867671401</v>
      </c>
      <c r="W8" s="241">
        <v>11.49890087470007</v>
      </c>
      <c r="X8" s="241">
        <v>10.63018256575943</v>
      </c>
      <c r="Y8" s="241">
        <v>10.01204564337112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129.16786132609226</v>
      </c>
      <c r="C9" s="243">
        <f t="shared" ref="C9:W9" si="4">SUM(C10:C15)</f>
        <v>127.55498394267194</v>
      </c>
      <c r="D9" s="243">
        <f t="shared" si="4"/>
        <v>128.65335433990026</v>
      </c>
      <c r="E9" s="243">
        <f t="shared" si="4"/>
        <v>140.21511916535792</v>
      </c>
      <c r="F9" s="243">
        <f t="shared" si="4"/>
        <v>128.50252137272722</v>
      </c>
      <c r="G9" s="243">
        <f t="shared" si="4"/>
        <v>133.34456244551328</v>
      </c>
      <c r="H9" s="243">
        <f t="shared" si="4"/>
        <v>133.04387466897333</v>
      </c>
      <c r="I9" s="243">
        <f t="shared" si="4"/>
        <v>128.49462006769295</v>
      </c>
      <c r="J9" s="243">
        <f t="shared" si="4"/>
        <v>131.24813574432528</v>
      </c>
      <c r="K9" s="243">
        <f t="shared" si="4"/>
        <v>105.27111242205196</v>
      </c>
      <c r="L9" s="243">
        <f t="shared" si="4"/>
        <v>103.0119828500149</v>
      </c>
      <c r="M9" s="243">
        <f t="shared" si="4"/>
        <v>97.385768684436414</v>
      </c>
      <c r="N9" s="243">
        <f t="shared" si="4"/>
        <v>96.812306440342013</v>
      </c>
      <c r="O9" s="243">
        <f t="shared" si="4"/>
        <v>93.815079621790687</v>
      </c>
      <c r="P9" s="243">
        <f t="shared" si="4"/>
        <v>79.103450453699978</v>
      </c>
      <c r="Q9" s="243">
        <f t="shared" si="4"/>
        <v>78.455454607942102</v>
      </c>
      <c r="R9" s="243">
        <f t="shared" si="4"/>
        <v>83.01064059601616</v>
      </c>
      <c r="S9" s="243">
        <f t="shared" si="4"/>
        <v>90.50359510505676</v>
      </c>
      <c r="T9" s="243">
        <f t="shared" si="4"/>
        <v>78.838928035252579</v>
      </c>
      <c r="U9" s="243">
        <f t="shared" si="4"/>
        <v>82.708928730361876</v>
      </c>
      <c r="V9" s="243">
        <f t="shared" si="4"/>
        <v>84.4838693482872</v>
      </c>
      <c r="W9" s="243">
        <f t="shared" si="4"/>
        <v>89.868644320962872</v>
      </c>
      <c r="X9" s="243">
        <f t="shared" ref="X9:Y9" si="5">SUM(X10:X15)</f>
        <v>78.005589044085824</v>
      </c>
      <c r="Y9" s="243">
        <f t="shared" si="5"/>
        <v>74.778528883052687</v>
      </c>
      <c r="DA9" s="269"/>
    </row>
    <row r="10" spans="1:105" x14ac:dyDescent="0.25">
      <c r="A10" s="253" t="s">
        <v>166</v>
      </c>
      <c r="B10" s="254">
        <v>79.155207936968253</v>
      </c>
      <c r="C10" s="254">
        <v>81.979745698323214</v>
      </c>
      <c r="D10" s="254">
        <v>95.301550831442853</v>
      </c>
      <c r="E10" s="254">
        <v>101.62313877061349</v>
      </c>
      <c r="F10" s="254">
        <v>82.266912681726822</v>
      </c>
      <c r="G10" s="254">
        <v>83.816549363912969</v>
      </c>
      <c r="H10" s="254">
        <v>91.731884262268153</v>
      </c>
      <c r="I10" s="254">
        <v>78.030667453437587</v>
      </c>
      <c r="J10" s="254">
        <v>72.295315997701636</v>
      </c>
      <c r="K10" s="254">
        <v>55.783883186350273</v>
      </c>
      <c r="L10" s="254">
        <v>44.314535357287021</v>
      </c>
      <c r="M10" s="254">
        <v>42.765666057448527</v>
      </c>
      <c r="N10" s="254">
        <v>14.445487108879259</v>
      </c>
      <c r="O10" s="254">
        <v>3.0377247855844378</v>
      </c>
      <c r="P10" s="254">
        <v>5.5984896264547546</v>
      </c>
      <c r="Q10" s="254">
        <v>5.8330212150210272</v>
      </c>
      <c r="R10" s="254">
        <v>4.2800708620242069</v>
      </c>
      <c r="S10" s="254">
        <v>3.5838146688494898</v>
      </c>
      <c r="T10" s="254">
        <v>5.057985617251382</v>
      </c>
      <c r="U10" s="254">
        <v>3.9708019948445998</v>
      </c>
      <c r="V10" s="254">
        <v>12.21013664907793</v>
      </c>
      <c r="W10" s="254">
        <v>2.8012216053532901</v>
      </c>
      <c r="X10" s="254">
        <v>7.7036847431260531</v>
      </c>
      <c r="Y10" s="254">
        <v>5.5254056963328582</v>
      </c>
      <c r="DA10" s="270" t="s">
        <v>1019</v>
      </c>
    </row>
    <row r="11" spans="1:105" x14ac:dyDescent="0.25">
      <c r="A11" s="253" t="s">
        <v>169</v>
      </c>
      <c r="B11" s="255">
        <v>0</v>
      </c>
      <c r="C11" s="255">
        <v>0</v>
      </c>
      <c r="D11" s="255">
        <v>0</v>
      </c>
      <c r="E11" s="255">
        <v>0</v>
      </c>
      <c r="F11" s="255">
        <v>0</v>
      </c>
      <c r="G11" s="255">
        <v>0</v>
      </c>
      <c r="H11" s="255">
        <v>0</v>
      </c>
      <c r="I11" s="255">
        <v>0</v>
      </c>
      <c r="J11" s="255">
        <v>0</v>
      </c>
      <c r="K11" s="255">
        <v>0</v>
      </c>
      <c r="L11" s="255">
        <v>0</v>
      </c>
      <c r="M11" s="255">
        <v>0</v>
      </c>
      <c r="N11" s="255">
        <v>0</v>
      </c>
      <c r="O11" s="255">
        <v>0</v>
      </c>
      <c r="P11" s="255">
        <v>4.4626580349463693E-2</v>
      </c>
      <c r="Q11" s="255">
        <v>4.1090009052531719E-2</v>
      </c>
      <c r="R11" s="255">
        <v>5.7135890187225279E-2</v>
      </c>
      <c r="S11" s="255">
        <v>7.7739263744481507E-2</v>
      </c>
      <c r="T11" s="255">
        <v>0.1232465404325141</v>
      </c>
      <c r="U11" s="255">
        <v>0.52769664083154244</v>
      </c>
      <c r="V11" s="255">
        <v>0.70771605743366051</v>
      </c>
      <c r="W11" s="255">
        <v>0.71524715735857569</v>
      </c>
      <c r="X11" s="255">
        <v>2.581070887862527</v>
      </c>
      <c r="Y11" s="255">
        <v>4.4487236171519076</v>
      </c>
      <c r="DA11" s="271" t="s">
        <v>1020</v>
      </c>
    </row>
    <row r="12" spans="1:105" x14ac:dyDescent="0.25">
      <c r="A12" s="253" t="s">
        <v>152</v>
      </c>
      <c r="B12" s="255">
        <v>0.35384399209406031</v>
      </c>
      <c r="C12" s="255">
        <v>0.5114807355603056</v>
      </c>
      <c r="D12" s="255">
        <v>0.31147246187332278</v>
      </c>
      <c r="E12" s="255">
        <v>0.25806460126306152</v>
      </c>
      <c r="F12" s="255">
        <v>1.6185795959149669</v>
      </c>
      <c r="G12" s="255">
        <v>1.610691337936593</v>
      </c>
      <c r="H12" s="255">
        <v>1.7213028414269329</v>
      </c>
      <c r="I12" s="255">
        <v>1.7095323174585439</v>
      </c>
      <c r="J12" s="255">
        <v>1.654894626228117</v>
      </c>
      <c r="K12" s="255">
        <v>2.0995418524375582</v>
      </c>
      <c r="L12" s="255">
        <v>1.8805030476635971</v>
      </c>
      <c r="M12" s="255">
        <v>1.867696534561218</v>
      </c>
      <c r="N12" s="255">
        <v>2.2418089727425632</v>
      </c>
      <c r="O12" s="255">
        <v>1.5103917877501809</v>
      </c>
      <c r="P12" s="255">
        <v>1.3581735970613229</v>
      </c>
      <c r="Q12" s="255">
        <v>1.0082494108369049</v>
      </c>
      <c r="R12" s="255">
        <v>1.0097746112680119</v>
      </c>
      <c r="S12" s="255">
        <v>0.67416622144831073</v>
      </c>
      <c r="T12" s="255">
        <v>0.75610188336861262</v>
      </c>
      <c r="U12" s="255">
        <v>0.63537730576704932</v>
      </c>
      <c r="V12" s="255">
        <v>0.86187948889622101</v>
      </c>
      <c r="W12" s="255">
        <v>0.34055156638714751</v>
      </c>
      <c r="X12" s="255">
        <v>0.47271826750436402</v>
      </c>
      <c r="Y12" s="255">
        <v>0.38112471897030659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1023</v>
      </c>
    </row>
    <row r="15" spans="1:105" x14ac:dyDescent="0.25">
      <c r="A15" s="253" t="s">
        <v>24</v>
      </c>
      <c r="B15" s="255">
        <v>49.658809397029962</v>
      </c>
      <c r="C15" s="255">
        <v>45.063757508788413</v>
      </c>
      <c r="D15" s="255">
        <v>33.040331046584079</v>
      </c>
      <c r="E15" s="255">
        <v>38.333915793481367</v>
      </c>
      <c r="F15" s="255">
        <v>44.617029095085428</v>
      </c>
      <c r="G15" s="255">
        <v>47.917321743663727</v>
      </c>
      <c r="H15" s="255">
        <v>39.590687565278238</v>
      </c>
      <c r="I15" s="255">
        <v>48.754420296796837</v>
      </c>
      <c r="J15" s="255">
        <v>57.29792512039554</v>
      </c>
      <c r="K15" s="255">
        <v>47.387687383264122</v>
      </c>
      <c r="L15" s="255">
        <v>56.816944445064287</v>
      </c>
      <c r="M15" s="255">
        <v>52.752406092426668</v>
      </c>
      <c r="N15" s="255">
        <v>80.125010358720189</v>
      </c>
      <c r="O15" s="255">
        <v>89.266963048456063</v>
      </c>
      <c r="P15" s="255">
        <v>72.102160649834431</v>
      </c>
      <c r="Q15" s="255">
        <v>71.573093973031632</v>
      </c>
      <c r="R15" s="255">
        <v>77.663659232536716</v>
      </c>
      <c r="S15" s="255">
        <v>86.167874951014483</v>
      </c>
      <c r="T15" s="255">
        <v>72.90159399420007</v>
      </c>
      <c r="U15" s="255">
        <v>77.575052788918683</v>
      </c>
      <c r="V15" s="255">
        <v>70.704137152879383</v>
      </c>
      <c r="W15" s="255">
        <v>86.011623991863857</v>
      </c>
      <c r="X15" s="255">
        <v>67.248115145592877</v>
      </c>
      <c r="Y15" s="255">
        <v>64.423274850597608</v>
      </c>
      <c r="DA15" s="271" t="s">
        <v>1024</v>
      </c>
    </row>
    <row r="16" spans="1:105" x14ac:dyDescent="0.25">
      <c r="A16" s="256" t="s">
        <v>168</v>
      </c>
      <c r="B16" s="257">
        <v>81.467194337126571</v>
      </c>
      <c r="C16" s="257">
        <v>82.224186157689928</v>
      </c>
      <c r="D16" s="257">
        <v>88.291694477222009</v>
      </c>
      <c r="E16" s="257">
        <v>95.177473282768688</v>
      </c>
      <c r="F16" s="257">
        <v>82.700969001935377</v>
      </c>
      <c r="G16" s="257">
        <v>85.116157299452212</v>
      </c>
      <c r="H16" s="257">
        <v>88.554964494858652</v>
      </c>
      <c r="I16" s="257">
        <v>80.822004571746504</v>
      </c>
      <c r="J16" s="257">
        <v>79.018974289601744</v>
      </c>
      <c r="K16" s="257">
        <v>62.436440801765301</v>
      </c>
      <c r="L16" s="257">
        <v>55.581850402720491</v>
      </c>
      <c r="M16" s="257">
        <v>53.031541550466997</v>
      </c>
      <c r="N16" s="257">
        <v>36.02590410275198</v>
      </c>
      <c r="O16" s="257">
        <v>20.095944737976311</v>
      </c>
      <c r="P16" s="257">
        <v>22.270073071924941</v>
      </c>
      <c r="Q16" s="257">
        <v>22.485199764965699</v>
      </c>
      <c r="R16" s="257">
        <v>20.843893709232539</v>
      </c>
      <c r="S16" s="257">
        <v>20.632332968059949</v>
      </c>
      <c r="T16" s="257">
        <v>21.393756920902959</v>
      </c>
      <c r="U16" s="257">
        <v>20.28048284444975</v>
      </c>
      <c r="V16" s="257">
        <v>30.877414535283648</v>
      </c>
      <c r="W16" s="257">
        <v>18.727685452329631</v>
      </c>
      <c r="X16" s="257">
        <v>25.056191776562329</v>
      </c>
      <c r="Y16" s="257">
        <v>21.90405397753813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93.021477680048875</v>
      </c>
      <c r="C17" s="257">
        <f t="shared" ref="C17:W17" si="7">SUM(C18:C24)</f>
        <v>93.966859398922438</v>
      </c>
      <c r="D17" s="257">
        <f t="shared" si="7"/>
        <v>100.11814213925635</v>
      </c>
      <c r="E17" s="257">
        <f t="shared" si="7"/>
        <v>106.50297334596728</v>
      </c>
      <c r="F17" s="257">
        <f t="shared" si="7"/>
        <v>93.025809308251553</v>
      </c>
      <c r="G17" s="257">
        <f t="shared" si="7"/>
        <v>95.827129488807131</v>
      </c>
      <c r="H17" s="257">
        <f t="shared" si="7"/>
        <v>99.954580288007378</v>
      </c>
      <c r="I17" s="257">
        <f t="shared" si="7"/>
        <v>91.473653677146444</v>
      </c>
      <c r="J17" s="257">
        <f t="shared" si="7"/>
        <v>89.525980395280342</v>
      </c>
      <c r="K17" s="257">
        <f t="shared" si="7"/>
        <v>71.014139111678062</v>
      </c>
      <c r="L17" s="257">
        <f t="shared" si="7"/>
        <v>62.134675313245452</v>
      </c>
      <c r="M17" s="257">
        <f t="shared" si="7"/>
        <v>59.01287421855244</v>
      </c>
      <c r="N17" s="257">
        <f t="shared" si="7"/>
        <v>80.041109940924429</v>
      </c>
      <c r="O17" s="257">
        <f t="shared" si="7"/>
        <v>58.622548208464643</v>
      </c>
      <c r="P17" s="257">
        <f t="shared" si="7"/>
        <v>49.72669886648962</v>
      </c>
      <c r="Q17" s="257">
        <f t="shared" si="7"/>
        <v>51.07763463304012</v>
      </c>
      <c r="R17" s="257">
        <f t="shared" si="7"/>
        <v>49.698185373476207</v>
      </c>
      <c r="S17" s="257">
        <f t="shared" si="7"/>
        <v>50.482914400608152</v>
      </c>
      <c r="T17" s="257">
        <f t="shared" si="7"/>
        <v>49.197407845104273</v>
      </c>
      <c r="U17" s="257">
        <f t="shared" si="7"/>
        <v>49.660022223603278</v>
      </c>
      <c r="V17" s="257">
        <f t="shared" si="7"/>
        <v>60.900345402279996</v>
      </c>
      <c r="W17" s="257">
        <f t="shared" si="7"/>
        <v>42.01790254994382</v>
      </c>
      <c r="X17" s="257">
        <f t="shared" ref="X17:Y17" si="8">SUM(X18:X24)</f>
        <v>55.467936866839985</v>
      </c>
      <c r="Y17" s="257">
        <f t="shared" si="8"/>
        <v>55.752361200478205</v>
      </c>
      <c r="DA17" s="272"/>
    </row>
    <row r="18" spans="1:105" x14ac:dyDescent="0.25">
      <c r="A18" s="61" t="s">
        <v>29</v>
      </c>
      <c r="B18" s="55">
        <v>1.486223074303457</v>
      </c>
      <c r="C18" s="55">
        <v>1.37817057415177</v>
      </c>
      <c r="D18" s="55">
        <v>0</v>
      </c>
      <c r="E18" s="55">
        <v>0</v>
      </c>
      <c r="F18" s="55">
        <v>8.43135513579302E-2</v>
      </c>
      <c r="G18" s="55">
        <v>0.54127426337320039</v>
      </c>
      <c r="H18" s="55">
        <v>0.82439916883262587</v>
      </c>
      <c r="I18" s="55">
        <v>0</v>
      </c>
      <c r="J18" s="55">
        <v>0</v>
      </c>
      <c r="K18" s="55">
        <v>0</v>
      </c>
      <c r="L18" s="55">
        <v>0</v>
      </c>
      <c r="M18" s="55">
        <v>0.25087965615166852</v>
      </c>
      <c r="N18" s="55">
        <v>0</v>
      </c>
      <c r="O18" s="55">
        <v>0.21751022615906759</v>
      </c>
      <c r="P18" s="55">
        <v>0.60192381131779993</v>
      </c>
      <c r="Q18" s="55">
        <v>0.34763414042160978</v>
      </c>
      <c r="R18" s="55">
        <v>0.63652984006458979</v>
      </c>
      <c r="S18" s="55">
        <v>0.1809930902485192</v>
      </c>
      <c r="T18" s="55">
        <v>0.12993655081506519</v>
      </c>
      <c r="U18" s="55">
        <v>0.13613828092633359</v>
      </c>
      <c r="V18" s="55">
        <v>0.31003029651451808</v>
      </c>
      <c r="W18" s="55">
        <v>0.30414708426614689</v>
      </c>
      <c r="X18" s="55">
        <v>0.23866355937603051</v>
      </c>
      <c r="Y18" s="55">
        <v>0.14739882411783081</v>
      </c>
      <c r="DA18" s="101" t="s">
        <v>1026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24.452591347176259</v>
      </c>
      <c r="O19" s="55">
        <v>7.7803709626063347</v>
      </c>
      <c r="P19" s="55">
        <v>6.1131641465961</v>
      </c>
      <c r="Q19" s="55">
        <v>6.6688925031418336</v>
      </c>
      <c r="R19" s="55">
        <v>7.2246426060649309</v>
      </c>
      <c r="S19" s="55">
        <v>7.9390106949826658</v>
      </c>
      <c r="T19" s="55">
        <v>8.8685155724613356</v>
      </c>
      <c r="U19" s="55">
        <v>8.8576641363638302</v>
      </c>
      <c r="V19" s="55">
        <v>9.3603313623551543</v>
      </c>
      <c r="W19" s="55">
        <v>9.6470789307752973</v>
      </c>
      <c r="X19" s="55">
        <v>9.7274100028591004</v>
      </c>
      <c r="Y19" s="55">
        <v>11.03671514436347</v>
      </c>
      <c r="DA19" s="101" t="s">
        <v>1027</v>
      </c>
    </row>
    <row r="20" spans="1:105" x14ac:dyDescent="0.25">
      <c r="A20" s="61" t="s">
        <v>166</v>
      </c>
      <c r="B20" s="55">
        <v>74.092888823788144</v>
      </c>
      <c r="C20" s="55">
        <v>74.564919613647916</v>
      </c>
      <c r="D20" s="55">
        <v>82.529730906158989</v>
      </c>
      <c r="E20" s="55">
        <v>92.624880241802174</v>
      </c>
      <c r="F20" s="55">
        <v>77.946651626567188</v>
      </c>
      <c r="G20" s="55">
        <v>79.875663806722528</v>
      </c>
      <c r="H20" s="55">
        <v>82.650102934704435</v>
      </c>
      <c r="I20" s="55">
        <v>74.4810288949583</v>
      </c>
      <c r="J20" s="55">
        <v>72.365718207057071</v>
      </c>
      <c r="K20" s="55">
        <v>55.813466946339787</v>
      </c>
      <c r="L20" s="55">
        <v>51.891447902128711</v>
      </c>
      <c r="M20" s="55">
        <v>49.646963829842143</v>
      </c>
      <c r="N20" s="55">
        <v>7.0850448156434762</v>
      </c>
      <c r="O20" s="55">
        <v>2.0705924634126518</v>
      </c>
      <c r="P20" s="55">
        <v>3.974618418636231</v>
      </c>
      <c r="Q20" s="55">
        <v>3.9064140129366458</v>
      </c>
      <c r="R20" s="55">
        <v>3.2447187477667772</v>
      </c>
      <c r="S20" s="55">
        <v>3.044550714859223</v>
      </c>
      <c r="T20" s="55">
        <v>3.646834947163943</v>
      </c>
      <c r="U20" s="55">
        <v>3.0152164581671519</v>
      </c>
      <c r="V20" s="55">
        <v>7.4601675917324988</v>
      </c>
      <c r="W20" s="55">
        <v>3.316934937394679</v>
      </c>
      <c r="X20" s="55">
        <v>4.6912718057459264</v>
      </c>
      <c r="Y20" s="55">
        <v>3.061571093915497</v>
      </c>
      <c r="DA20" s="101" t="s">
        <v>1028</v>
      </c>
    </row>
    <row r="21" spans="1:105" x14ac:dyDescent="0.25">
      <c r="A21" s="61" t="s">
        <v>129</v>
      </c>
      <c r="B21" s="55">
        <v>15.184906829909639</v>
      </c>
      <c r="C21" s="55">
        <v>15.59884281956648</v>
      </c>
      <c r="D21" s="55">
        <v>15.837309946014891</v>
      </c>
      <c r="E21" s="55">
        <v>12.4778805635504</v>
      </c>
      <c r="F21" s="55">
        <v>12.435907558844679</v>
      </c>
      <c r="G21" s="55">
        <v>12.155467427654809</v>
      </c>
      <c r="H21" s="55">
        <v>13.41828127710059</v>
      </c>
      <c r="I21" s="55">
        <v>13.43926777946484</v>
      </c>
      <c r="J21" s="55">
        <v>13.200820031106559</v>
      </c>
      <c r="K21" s="55">
        <v>10.9378627287076</v>
      </c>
      <c r="L21" s="55">
        <v>5.9211003818464878</v>
      </c>
      <c r="M21" s="55">
        <v>2.1315930369656408</v>
      </c>
      <c r="N21" s="55">
        <v>42.701815747053757</v>
      </c>
      <c r="O21" s="55">
        <v>42.583415443094118</v>
      </c>
      <c r="P21" s="55">
        <v>33.281918554510327</v>
      </c>
      <c r="Q21" s="55">
        <v>33.94401072989406</v>
      </c>
      <c r="R21" s="55">
        <v>32.388354753436857</v>
      </c>
      <c r="S21" s="55">
        <v>33.200530456700719</v>
      </c>
      <c r="T21" s="55">
        <v>30.114506948372409</v>
      </c>
      <c r="U21" s="55">
        <v>30.685735126103239</v>
      </c>
      <c r="V21" s="55">
        <v>37.772952545793622</v>
      </c>
      <c r="W21" s="55">
        <v>22.385583133799429</v>
      </c>
      <c r="X21" s="55">
        <v>33.153693544053439</v>
      </c>
      <c r="Y21" s="55">
        <v>32.608335154637047</v>
      </c>
      <c r="DA21" s="101" t="s">
        <v>1029</v>
      </c>
    </row>
    <row r="22" spans="1:105" x14ac:dyDescent="0.25">
      <c r="A22" s="61" t="s">
        <v>169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3.0923768599571431E-2</v>
      </c>
      <c r="Q22" s="55">
        <v>2.6859331111406929E-2</v>
      </c>
      <c r="R22" s="55">
        <v>4.2277504052810347E-2</v>
      </c>
      <c r="S22" s="55">
        <v>6.4460302038792688E-2</v>
      </c>
      <c r="T22" s="55">
        <v>8.6733625042231463E-2</v>
      </c>
      <c r="U22" s="55">
        <v>0.39110992424882279</v>
      </c>
      <c r="V22" s="55">
        <v>0.42204751937277801</v>
      </c>
      <c r="W22" s="55">
        <v>0.82664657148618792</v>
      </c>
      <c r="X22" s="55">
        <v>1.534144507386241</v>
      </c>
      <c r="Y22" s="55">
        <v>2.405967996226142</v>
      </c>
      <c r="DA22" s="101" t="s">
        <v>1030</v>
      </c>
    </row>
    <row r="23" spans="1:105" x14ac:dyDescent="0.25">
      <c r="A23" s="61" t="s">
        <v>164</v>
      </c>
      <c r="B23" s="55">
        <v>2.0800677590854311</v>
      </c>
      <c r="C23" s="55">
        <v>2.17576516352745</v>
      </c>
      <c r="D23" s="55">
        <v>1.6066393908744629</v>
      </c>
      <c r="E23" s="55">
        <v>1.2742368680196401</v>
      </c>
      <c r="F23" s="55">
        <v>1.737584190969651</v>
      </c>
      <c r="G23" s="55">
        <v>2.432632372458758</v>
      </c>
      <c r="H23" s="55">
        <v>2.2311746496910221</v>
      </c>
      <c r="I23" s="55">
        <v>2.6794185361320908</v>
      </c>
      <c r="J23" s="55">
        <v>3.072252936408054</v>
      </c>
      <c r="K23" s="55">
        <v>3.137743467830469</v>
      </c>
      <c r="L23" s="55">
        <v>3.142765859081047</v>
      </c>
      <c r="M23" s="55">
        <v>5.8221843952121706</v>
      </c>
      <c r="N23" s="55">
        <v>5.2127707042712439</v>
      </c>
      <c r="O23" s="55">
        <v>5.4192689496892852</v>
      </c>
      <c r="P23" s="55">
        <v>5.2077301816665393</v>
      </c>
      <c r="Q23" s="55">
        <v>5.8221843952212993</v>
      </c>
      <c r="R23" s="55">
        <v>5.751671472553868</v>
      </c>
      <c r="S23" s="55">
        <v>5.7466309499147377</v>
      </c>
      <c r="T23" s="55">
        <v>6.0589076450105797</v>
      </c>
      <c r="U23" s="55">
        <v>6.3157567225777207</v>
      </c>
      <c r="V23" s="55">
        <v>5.2927844681575884</v>
      </c>
      <c r="W23" s="55">
        <v>5.3215408311023733</v>
      </c>
      <c r="X23" s="55">
        <v>5.9685771279370066</v>
      </c>
      <c r="Y23" s="55">
        <v>6.3792709339330251</v>
      </c>
      <c r="DA23" s="101" t="s">
        <v>1031</v>
      </c>
    </row>
    <row r="24" spans="1:105" x14ac:dyDescent="0.25">
      <c r="A24" s="61" t="s">
        <v>152</v>
      </c>
      <c r="B24" s="55">
        <v>0.17739119296220929</v>
      </c>
      <c r="C24" s="55">
        <v>0.24916122802882429</v>
      </c>
      <c r="D24" s="55">
        <v>0.14446189620799829</v>
      </c>
      <c r="E24" s="55">
        <v>0.12597567259506409</v>
      </c>
      <c r="F24" s="55">
        <v>0.82135238051210258</v>
      </c>
      <c r="G24" s="55">
        <v>0.8220916185978423</v>
      </c>
      <c r="H24" s="55">
        <v>0.8306222576786938</v>
      </c>
      <c r="I24" s="55">
        <v>0.87393846659120644</v>
      </c>
      <c r="J24" s="55">
        <v>0.88718922070866801</v>
      </c>
      <c r="K24" s="55">
        <v>1.1250659688001989</v>
      </c>
      <c r="L24" s="55">
        <v>1.179361170189211</v>
      </c>
      <c r="M24" s="55">
        <v>1.161253300380819</v>
      </c>
      <c r="N24" s="55">
        <v>0.58888732677968136</v>
      </c>
      <c r="O24" s="55">
        <v>0.55139016350319492</v>
      </c>
      <c r="P24" s="55">
        <v>0.51641998516304655</v>
      </c>
      <c r="Q24" s="55">
        <v>0.3616395203132628</v>
      </c>
      <c r="R24" s="55">
        <v>0.40999044953637298</v>
      </c>
      <c r="S24" s="55">
        <v>0.30673819186348961</v>
      </c>
      <c r="T24" s="55">
        <v>0.29197255623871021</v>
      </c>
      <c r="U24" s="55">
        <v>0.25840157521618129</v>
      </c>
      <c r="V24" s="55">
        <v>0.28203161835384288</v>
      </c>
      <c r="W24" s="55">
        <v>0.21597106111971059</v>
      </c>
      <c r="X24" s="55">
        <v>0.15417631948223659</v>
      </c>
      <c r="Y24" s="55">
        <v>0.1131020532851917</v>
      </c>
      <c r="DA24" s="101" t="s">
        <v>1032</v>
      </c>
    </row>
    <row r="25" spans="1:105" x14ac:dyDescent="0.25">
      <c r="A25" s="256" t="s">
        <v>167</v>
      </c>
      <c r="B25" s="257">
        <v>10.95822022196297</v>
      </c>
      <c r="C25" s="257">
        <v>11.06004382278112</v>
      </c>
      <c r="D25" s="257">
        <v>11.87618942476271</v>
      </c>
      <c r="E25" s="257">
        <v>12.80240127193465</v>
      </c>
      <c r="F25" s="257">
        <v>11.124176280610399</v>
      </c>
      <c r="G25" s="257">
        <v>11.449045271828821</v>
      </c>
      <c r="H25" s="257">
        <v>11.91160209429891</v>
      </c>
      <c r="I25" s="257">
        <v>10.871435208786581</v>
      </c>
      <c r="J25" s="257">
        <v>10.628908102515449</v>
      </c>
      <c r="K25" s="257">
        <v>8.3983776997398714</v>
      </c>
      <c r="L25" s="257">
        <v>7.4763610311253919</v>
      </c>
      <c r="M25" s="257">
        <v>7.1333168614518181</v>
      </c>
      <c r="N25" s="257">
        <v>4.8458743923302734</v>
      </c>
      <c r="O25" s="257">
        <v>2.7031222788383751</v>
      </c>
      <c r="P25" s="257">
        <v>2.995566093407807</v>
      </c>
      <c r="Q25" s="257">
        <v>3.0245029642199781</v>
      </c>
      <c r="R25" s="257">
        <v>2.8037295184580309</v>
      </c>
      <c r="S25" s="257">
        <v>2.775272306804256</v>
      </c>
      <c r="T25" s="257">
        <v>2.877692077429995</v>
      </c>
      <c r="U25" s="257">
        <v>2.7279446533724929</v>
      </c>
      <c r="V25" s="257">
        <v>4.1533467687898424</v>
      </c>
      <c r="W25" s="257">
        <v>2.5190765817346379</v>
      </c>
      <c r="X25" s="257">
        <v>3.3703292428984368</v>
      </c>
      <c r="Y25" s="257">
        <v>2.9463325599055219</v>
      </c>
      <c r="DA25" s="272" t="s">
        <v>1033</v>
      </c>
    </row>
    <row r="26" spans="1:105" x14ac:dyDescent="0.25">
      <c r="A26" s="256" t="s">
        <v>170</v>
      </c>
      <c r="B26" s="257">
        <v>15.11281406084103</v>
      </c>
      <c r="C26" s="257">
        <v>14.703706599316551</v>
      </c>
      <c r="D26" s="257">
        <v>13.93981591451637</v>
      </c>
      <c r="E26" s="257">
        <v>15.47834723128137</v>
      </c>
      <c r="F26" s="257">
        <v>14.817645447975259</v>
      </c>
      <c r="G26" s="257">
        <v>15.464033739385791</v>
      </c>
      <c r="H26" s="257">
        <v>14.868826398652599</v>
      </c>
      <c r="I26" s="257">
        <v>15.00804499846716</v>
      </c>
      <c r="J26" s="257">
        <v>15.642908770343229</v>
      </c>
      <c r="K26" s="257">
        <v>12.55400392389199</v>
      </c>
      <c r="L26" s="257">
        <v>12.57115291407001</v>
      </c>
      <c r="M26" s="257">
        <v>11.875344367851669</v>
      </c>
      <c r="N26" s="257">
        <v>10.402503181524789</v>
      </c>
      <c r="O26" s="257">
        <v>9.2157814220539667</v>
      </c>
      <c r="P26" s="257">
        <v>8.1465598471309111</v>
      </c>
      <c r="Q26" s="257">
        <v>8.0921248404423025</v>
      </c>
      <c r="R26" s="257">
        <v>8.3835518700394562</v>
      </c>
      <c r="S26" s="257">
        <v>9.0088762957646331</v>
      </c>
      <c r="T26" s="257">
        <v>8.0648152702009686</v>
      </c>
      <c r="U26" s="257">
        <v>8.3261279693071781</v>
      </c>
      <c r="V26" s="257">
        <v>9.1314068150102869</v>
      </c>
      <c r="W26" s="257">
        <v>8.9021385832859838</v>
      </c>
      <c r="X26" s="257">
        <v>8.2296003241691764</v>
      </c>
      <c r="Y26" s="257">
        <v>7.75105540874568</v>
      </c>
      <c r="DA26" s="272" t="s">
        <v>1034</v>
      </c>
    </row>
    <row r="27" spans="1:105" x14ac:dyDescent="0.25">
      <c r="A27" s="128" t="s">
        <v>33</v>
      </c>
      <c r="B27" s="258">
        <v>23.032907161622671</v>
      </c>
      <c r="C27" s="258">
        <v>22.40940090114162</v>
      </c>
      <c r="D27" s="258">
        <v>21.245182036686671</v>
      </c>
      <c r="E27" s="258">
        <v>23.590003381119029</v>
      </c>
      <c r="F27" s="258">
        <v>22.58305108387351</v>
      </c>
      <c r="G27" s="258">
        <v>23.568188692692221</v>
      </c>
      <c r="H27" s="258">
        <v>22.661054166598479</v>
      </c>
      <c r="I27" s="258">
        <v>22.8732323269193</v>
      </c>
      <c r="J27" s="258">
        <v>23.840805821771479</v>
      </c>
      <c r="K27" s="258">
        <v>19.13311483364863</v>
      </c>
      <c r="L27" s="258">
        <v>19.15925100505229</v>
      </c>
      <c r="M27" s="258">
        <v>18.098793728016311</v>
      </c>
      <c r="N27" s="258">
        <v>15.85408839571279</v>
      </c>
      <c r="O27" s="258">
        <v>14.04544759575791</v>
      </c>
      <c r="P27" s="258">
        <v>12.415884685021201</v>
      </c>
      <c r="Q27" s="258">
        <v>12.33292221023963</v>
      </c>
      <c r="R27" s="258">
        <v>12.777075872825311</v>
      </c>
      <c r="S27" s="258">
        <v>13.73011078648463</v>
      </c>
      <c r="T27" s="258">
        <v>12.291300656936579</v>
      </c>
      <c r="U27" s="258">
        <v>12.689558129994611</v>
      </c>
      <c r="V27" s="258">
        <v>13.916855231489301</v>
      </c>
      <c r="W27" s="258">
        <v>13.567435601554321</v>
      </c>
      <c r="X27" s="258">
        <v>12.542443748778579</v>
      </c>
      <c r="Y27" s="258">
        <v>11.813110312580481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1.0000000000000002</v>
      </c>
      <c r="C31" s="235">
        <f t="shared" si="9"/>
        <v>0.99999999999999989</v>
      </c>
      <c r="D31" s="235">
        <f t="shared" si="9"/>
        <v>1</v>
      </c>
      <c r="E31" s="235">
        <f t="shared" si="9"/>
        <v>1.0000000000000002</v>
      </c>
      <c r="F31" s="235">
        <f t="shared" si="9"/>
        <v>0.99999999999999989</v>
      </c>
      <c r="G31" s="235">
        <f t="shared" si="9"/>
        <v>0.99999999999999989</v>
      </c>
      <c r="H31" s="235">
        <f t="shared" si="9"/>
        <v>1</v>
      </c>
      <c r="I31" s="235">
        <f t="shared" si="9"/>
        <v>0.99999999999999989</v>
      </c>
      <c r="J31" s="235">
        <f t="shared" si="9"/>
        <v>1.0000000000000002</v>
      </c>
      <c r="K31" s="235">
        <f t="shared" si="9"/>
        <v>1.0000000000000002</v>
      </c>
      <c r="L31" s="235">
        <f t="shared" si="9"/>
        <v>1</v>
      </c>
      <c r="M31" s="235">
        <f t="shared" si="9"/>
        <v>1.0000000000000002</v>
      </c>
      <c r="N31" s="235">
        <f t="shared" si="9"/>
        <v>1</v>
      </c>
      <c r="O31" s="235">
        <f t="shared" si="9"/>
        <v>0.99999999999999989</v>
      </c>
      <c r="P31" s="235">
        <f t="shared" si="9"/>
        <v>1</v>
      </c>
      <c r="Q31" s="235">
        <f t="shared" si="9"/>
        <v>1</v>
      </c>
      <c r="R31" s="235">
        <f t="shared" ref="R31:W31" si="10">SUM(R32:R40)</f>
        <v>1</v>
      </c>
      <c r="S31" s="235">
        <f t="shared" si="10"/>
        <v>0.99999999999999989</v>
      </c>
      <c r="T31" s="235">
        <f t="shared" si="10"/>
        <v>1</v>
      </c>
      <c r="U31" s="235">
        <f t="shared" si="10"/>
        <v>1</v>
      </c>
      <c r="V31" s="235">
        <f t="shared" si="10"/>
        <v>1</v>
      </c>
      <c r="W31" s="235">
        <f t="shared" si="10"/>
        <v>1</v>
      </c>
      <c r="X31" s="235">
        <f t="shared" ref="X31:Y31" si="11">SUM(X32:X40)</f>
        <v>1</v>
      </c>
      <c r="Y31" s="235">
        <f t="shared" si="11"/>
        <v>1</v>
      </c>
      <c r="DA31" s="274"/>
    </row>
    <row r="32" spans="1:105" x14ac:dyDescent="0.25">
      <c r="A32" s="238" t="s">
        <v>125</v>
      </c>
      <c r="B32" s="244">
        <f t="shared" ref="B32:Y32" si="12">IF(B$6=0,0,B$6/B$5)</f>
        <v>3.8355562236431176E-2</v>
      </c>
      <c r="C32" s="244">
        <f t="shared" si="12"/>
        <v>3.7510626283064563E-2</v>
      </c>
      <c r="D32" s="244">
        <f t="shared" si="12"/>
        <v>3.4688579530620087E-2</v>
      </c>
      <c r="E32" s="244">
        <f t="shared" si="12"/>
        <v>3.5521105063351752E-2</v>
      </c>
      <c r="F32" s="244">
        <f t="shared" si="12"/>
        <v>3.7689634456987198E-2</v>
      </c>
      <c r="G32" s="244">
        <f t="shared" si="12"/>
        <v>3.799942478131875E-2</v>
      </c>
      <c r="H32" s="244">
        <f t="shared" si="12"/>
        <v>3.6143175279356982E-2</v>
      </c>
      <c r="I32" s="244">
        <f t="shared" si="12"/>
        <v>3.8430748790448215E-2</v>
      </c>
      <c r="J32" s="244">
        <f t="shared" si="12"/>
        <v>3.983031771468757E-2</v>
      </c>
      <c r="K32" s="244">
        <f t="shared" si="12"/>
        <v>4.0083149787956657E-2</v>
      </c>
      <c r="L32" s="244">
        <f t="shared" si="12"/>
        <v>4.2681313372757518E-2</v>
      </c>
      <c r="M32" s="244">
        <f t="shared" si="12"/>
        <v>4.2531294545632814E-2</v>
      </c>
      <c r="N32" s="244">
        <f t="shared" si="12"/>
        <v>3.8192389738086724E-2</v>
      </c>
      <c r="O32" s="244">
        <f t="shared" si="12"/>
        <v>4.1179320970917317E-2</v>
      </c>
      <c r="P32" s="244">
        <f t="shared" si="12"/>
        <v>4.1347157864573686E-2</v>
      </c>
      <c r="Q32" s="244">
        <f t="shared" si="12"/>
        <v>4.0937158892789857E-2</v>
      </c>
      <c r="R32" s="244">
        <f t="shared" si="12"/>
        <v>4.1801445278184135E-2</v>
      </c>
      <c r="S32" s="244">
        <f t="shared" si="12"/>
        <v>4.2510464818888975E-2</v>
      </c>
      <c r="T32" s="244">
        <f t="shared" si="12"/>
        <v>4.1398041706179313E-2</v>
      </c>
      <c r="U32" s="244">
        <f t="shared" si="12"/>
        <v>4.1782327473060224E-2</v>
      </c>
      <c r="V32" s="244">
        <f t="shared" si="12"/>
        <v>3.9967071311830013E-2</v>
      </c>
      <c r="W32" s="244">
        <f t="shared" si="12"/>
        <v>4.4471683200730888E-2</v>
      </c>
      <c r="X32" s="244">
        <f t="shared" si="12"/>
        <v>4.0101749678503218E-2</v>
      </c>
      <c r="Y32" s="244">
        <f t="shared" si="12"/>
        <v>3.9514736600465061E-2</v>
      </c>
      <c r="DA32" s="275"/>
    </row>
    <row r="33" spans="1:105" x14ac:dyDescent="0.25">
      <c r="A33" s="240" t="s">
        <v>124</v>
      </c>
      <c r="B33" s="245">
        <f t="shared" ref="B33:Y33" si="13">IF(B$7=0,0,B$7/B$5)</f>
        <v>2.4722390005242196E-2</v>
      </c>
      <c r="C33" s="245">
        <f t="shared" si="13"/>
        <v>2.4177779655384261E-2</v>
      </c>
      <c r="D33" s="245">
        <f t="shared" si="13"/>
        <v>2.235880643849078E-2</v>
      </c>
      <c r="E33" s="245">
        <f t="shared" si="13"/>
        <v>2.2895417550658628E-2</v>
      </c>
      <c r="F33" s="245">
        <f t="shared" si="13"/>
        <v>2.4293160831719566E-2</v>
      </c>
      <c r="G33" s="245">
        <f t="shared" si="13"/>
        <v>2.4492838708184153E-2</v>
      </c>
      <c r="H33" s="245">
        <f t="shared" si="13"/>
        <v>2.3296377974493031E-2</v>
      </c>
      <c r="I33" s="245">
        <f t="shared" si="13"/>
        <v>2.477085211094936E-2</v>
      </c>
      <c r="J33" s="245">
        <f t="shared" si="13"/>
        <v>2.5672955659086047E-2</v>
      </c>
      <c r="K33" s="245">
        <f t="shared" si="13"/>
        <v>2.5835920630963207E-2</v>
      </c>
      <c r="L33" s="245">
        <f t="shared" si="13"/>
        <v>2.7510588128858853E-2</v>
      </c>
      <c r="M33" s="245">
        <f t="shared" si="13"/>
        <v>2.7413892272089922E-2</v>
      </c>
      <c r="N33" s="245">
        <f t="shared" si="13"/>
        <v>2.4617215842565748E-2</v>
      </c>
      <c r="O33" s="245">
        <f t="shared" si="13"/>
        <v>2.6542466694102942E-2</v>
      </c>
      <c r="P33" s="245">
        <f t="shared" si="13"/>
        <v>2.6650647330764284E-2</v>
      </c>
      <c r="Q33" s="245">
        <f t="shared" si="13"/>
        <v>2.638637915449021E-2</v>
      </c>
      <c r="R33" s="245">
        <f t="shared" si="13"/>
        <v>2.6943461982900527E-2</v>
      </c>
      <c r="S33" s="245">
        <f t="shared" si="13"/>
        <v>2.7400466302080945E-2</v>
      </c>
      <c r="T33" s="245">
        <f t="shared" si="13"/>
        <v>2.6683444925266617E-2</v>
      </c>
      <c r="U33" s="245">
        <f t="shared" si="13"/>
        <v>2.6931139445913473E-2</v>
      </c>
      <c r="V33" s="245">
        <f t="shared" si="13"/>
        <v>2.5761101303838567E-2</v>
      </c>
      <c r="W33" s="245">
        <f t="shared" si="13"/>
        <v>2.8664585582160021E-2</v>
      </c>
      <c r="X33" s="245">
        <f t="shared" si="13"/>
        <v>2.5847909341891569E-2</v>
      </c>
      <c r="Y33" s="245">
        <f t="shared" si="13"/>
        <v>2.5469545281837376E-2</v>
      </c>
      <c r="DA33" s="276"/>
    </row>
    <row r="34" spans="1:105" x14ac:dyDescent="0.25">
      <c r="A34" s="240" t="s">
        <v>123</v>
      </c>
      <c r="B34" s="245">
        <f t="shared" ref="B34:Y34" si="14">IF(B$8=0,0,B$8/B$5)</f>
        <v>4.9129130281242474E-2</v>
      </c>
      <c r="C34" s="245">
        <f t="shared" si="14"/>
        <v>4.8046863039887151E-2</v>
      </c>
      <c r="D34" s="245">
        <f t="shared" si="14"/>
        <v>4.4432140833340732E-2</v>
      </c>
      <c r="E34" s="245">
        <f t="shared" si="14"/>
        <v>4.5498511731723382E-2</v>
      </c>
      <c r="F34" s="245">
        <f t="shared" si="14"/>
        <v>4.8276152232516918E-2</v>
      </c>
      <c r="G34" s="245">
        <f t="shared" si="14"/>
        <v>4.8672958544731464E-2</v>
      </c>
      <c r="H34" s="245">
        <f t="shared" si="14"/>
        <v>4.6295313209897833E-2</v>
      </c>
      <c r="I34" s="245">
        <f t="shared" si="14"/>
        <v>4.9225435739755394E-2</v>
      </c>
      <c r="J34" s="245">
        <f t="shared" si="14"/>
        <v>5.1018124987606488E-2</v>
      </c>
      <c r="K34" s="245">
        <f t="shared" si="14"/>
        <v>5.1341974232478597E-2</v>
      </c>
      <c r="L34" s="245">
        <f t="shared" si="14"/>
        <v>5.4669927462907851E-2</v>
      </c>
      <c r="M34" s="245">
        <f t="shared" si="14"/>
        <v>5.4477770339593737E-2</v>
      </c>
      <c r="N34" s="245">
        <f t="shared" si="14"/>
        <v>4.8920124795152502E-2</v>
      </c>
      <c r="O34" s="245">
        <f t="shared" si="14"/>
        <v>5.2746045342849858E-2</v>
      </c>
      <c r="P34" s="245">
        <f t="shared" si="14"/>
        <v>5.2961025390948567E-2</v>
      </c>
      <c r="Q34" s="245">
        <f t="shared" si="14"/>
        <v>5.2435863153049975E-2</v>
      </c>
      <c r="R34" s="245">
        <f t="shared" si="14"/>
        <v>5.3542916105802918E-2</v>
      </c>
      <c r="S34" s="245">
        <f t="shared" si="14"/>
        <v>5.4451089819240184E-2</v>
      </c>
      <c r="T34" s="245">
        <f t="shared" si="14"/>
        <v>5.3026201827889911E-2</v>
      </c>
      <c r="U34" s="245">
        <f t="shared" si="14"/>
        <v>5.3518428363116849E-2</v>
      </c>
      <c r="V34" s="245">
        <f t="shared" si="14"/>
        <v>5.119329085400745E-2</v>
      </c>
      <c r="W34" s="245">
        <f t="shared" si="14"/>
        <v>5.6963188398255642E-2</v>
      </c>
      <c r="X34" s="245">
        <f t="shared" si="14"/>
        <v>5.1365798585260788E-2</v>
      </c>
      <c r="Y34" s="245">
        <f t="shared" si="14"/>
        <v>5.0613901329526159E-2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0.32507698749408526</v>
      </c>
      <c r="C35" s="246">
        <f t="shared" si="15"/>
        <v>0.32268119971404402</v>
      </c>
      <c r="D35" s="246">
        <f t="shared" si="15"/>
        <v>0.31746754597801335</v>
      </c>
      <c r="E35" s="246">
        <f t="shared" si="15"/>
        <v>0.31908432641541196</v>
      </c>
      <c r="F35" s="246">
        <f t="shared" si="15"/>
        <v>0.3241179765601393</v>
      </c>
      <c r="G35" s="246">
        <f t="shared" si="15"/>
        <v>0.32492137917051028</v>
      </c>
      <c r="H35" s="246">
        <f t="shared" si="15"/>
        <v>0.32069577686894396</v>
      </c>
      <c r="I35" s="246">
        <f t="shared" si="15"/>
        <v>0.32627846558034845</v>
      </c>
      <c r="J35" s="246">
        <f t="shared" si="15"/>
        <v>0.33138904306496386</v>
      </c>
      <c r="K35" s="246">
        <f t="shared" si="15"/>
        <v>0.33330170649543595</v>
      </c>
      <c r="L35" s="246">
        <f t="shared" si="15"/>
        <v>0.34681602479961815</v>
      </c>
      <c r="M35" s="246">
        <f t="shared" si="15"/>
        <v>0.34586501097143851</v>
      </c>
      <c r="N35" s="246">
        <f t="shared" si="15"/>
        <v>0.35246685744332029</v>
      </c>
      <c r="O35" s="246">
        <f t="shared" si="15"/>
        <v>0.41568888313642949</v>
      </c>
      <c r="P35" s="246">
        <f t="shared" si="15"/>
        <v>0.39812145348134603</v>
      </c>
      <c r="Q35" s="246">
        <f t="shared" si="15"/>
        <v>0.39357455319769069</v>
      </c>
      <c r="R35" s="246">
        <f t="shared" si="15"/>
        <v>0.4104362875795039</v>
      </c>
      <c r="S35" s="246">
        <f t="shared" si="15"/>
        <v>0.42348672857220593</v>
      </c>
      <c r="T35" s="246">
        <f t="shared" si="15"/>
        <v>0.40130523738261714</v>
      </c>
      <c r="U35" s="246">
        <f t="shared" si="15"/>
        <v>0.41157661045041416</v>
      </c>
      <c r="V35" s="246">
        <f t="shared" si="15"/>
        <v>0.36667995850640328</v>
      </c>
      <c r="W35" s="246">
        <f t="shared" si="15"/>
        <v>0.44519076852067929</v>
      </c>
      <c r="X35" s="246">
        <f t="shared" si="15"/>
        <v>0.37692855701927325</v>
      </c>
      <c r="Y35" s="246">
        <f t="shared" si="15"/>
        <v>0.37802794925928573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0.2050286336153701</v>
      </c>
      <c r="C36" s="259">
        <f t="shared" si="16"/>
        <v>0.20800597683269559</v>
      </c>
      <c r="D36" s="259">
        <f t="shared" si="16"/>
        <v>0.21787032075253945</v>
      </c>
      <c r="E36" s="259">
        <f t="shared" si="16"/>
        <v>0.21659319004349106</v>
      </c>
      <c r="F36" s="259">
        <f t="shared" si="16"/>
        <v>0.20859412287110998</v>
      </c>
      <c r="G36" s="259">
        <f t="shared" si="16"/>
        <v>0.207402977011026</v>
      </c>
      <c r="H36" s="259">
        <f t="shared" si="16"/>
        <v>0.21345742676948148</v>
      </c>
      <c r="I36" s="259">
        <f t="shared" si="16"/>
        <v>0.20522633261147419</v>
      </c>
      <c r="J36" s="259">
        <f t="shared" si="16"/>
        <v>0.19951538454471568</v>
      </c>
      <c r="K36" s="259">
        <f t="shared" si="16"/>
        <v>0.19768169812149122</v>
      </c>
      <c r="L36" s="259">
        <f t="shared" si="16"/>
        <v>0.18713042768767349</v>
      </c>
      <c r="M36" s="259">
        <f t="shared" si="16"/>
        <v>0.18834122221305452</v>
      </c>
      <c r="N36" s="259">
        <f t="shared" si="16"/>
        <v>0.13116036248424856</v>
      </c>
      <c r="O36" s="259">
        <f t="shared" si="16"/>
        <v>8.9043902722014553E-2</v>
      </c>
      <c r="P36" s="259">
        <f t="shared" si="16"/>
        <v>0.11208352871686693</v>
      </c>
      <c r="Q36" s="259">
        <f t="shared" si="16"/>
        <v>0.11279779711022596</v>
      </c>
      <c r="R36" s="259">
        <f t="shared" si="16"/>
        <v>0.10306016543534245</v>
      </c>
      <c r="S36" s="259">
        <f t="shared" si="16"/>
        <v>9.654333821008601E-2</v>
      </c>
      <c r="T36" s="259">
        <f t="shared" si="16"/>
        <v>0.10889831855412879</v>
      </c>
      <c r="U36" s="259">
        <f t="shared" si="16"/>
        <v>0.10091984644884279</v>
      </c>
      <c r="V36" s="259">
        <f t="shared" si="16"/>
        <v>0.13401527614587605</v>
      </c>
      <c r="W36" s="259">
        <f t="shared" si="16"/>
        <v>9.2773099473487691E-2</v>
      </c>
      <c r="X36" s="259">
        <f t="shared" si="16"/>
        <v>0.12107330162458235</v>
      </c>
      <c r="Y36" s="259">
        <f t="shared" si="16"/>
        <v>0.11073157936208133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0.23410731915842434</v>
      </c>
      <c r="C37" s="259">
        <f t="shared" si="17"/>
        <v>0.23771191047958384</v>
      </c>
      <c r="D37" s="259">
        <f t="shared" si="17"/>
        <v>0.24705349546389666</v>
      </c>
      <c r="E37" s="259">
        <f t="shared" si="17"/>
        <v>0.24236637042870779</v>
      </c>
      <c r="F37" s="259">
        <f t="shared" si="17"/>
        <v>0.234636151561607</v>
      </c>
      <c r="G37" s="259">
        <f t="shared" si="17"/>
        <v>0.2335024578762038</v>
      </c>
      <c r="H37" s="259">
        <f t="shared" si="17"/>
        <v>0.24093564515335925</v>
      </c>
      <c r="I37" s="259">
        <f t="shared" si="17"/>
        <v>0.23227340838927163</v>
      </c>
      <c r="J37" s="259">
        <f t="shared" si="17"/>
        <v>0.22604457430495278</v>
      </c>
      <c r="K37" s="259">
        <f t="shared" si="17"/>
        <v>0.22483977994202731</v>
      </c>
      <c r="L37" s="259">
        <f t="shared" si="17"/>
        <v>0.20919217840637497</v>
      </c>
      <c r="M37" s="259">
        <f t="shared" si="17"/>
        <v>0.2095838916176018</v>
      </c>
      <c r="N37" s="259">
        <f t="shared" si="17"/>
        <v>0.29140756505514848</v>
      </c>
      <c r="O37" s="259">
        <f t="shared" si="17"/>
        <v>0.25975292767036107</v>
      </c>
      <c r="P37" s="259">
        <f t="shared" si="17"/>
        <v>0.25027056994364089</v>
      </c>
      <c r="Q37" s="259">
        <f t="shared" si="17"/>
        <v>0.25623275436426607</v>
      </c>
      <c r="R37" s="259">
        <f t="shared" si="17"/>
        <v>0.24572679547670556</v>
      </c>
      <c r="S37" s="259">
        <f t="shared" si="17"/>
        <v>0.23622093954928139</v>
      </c>
      <c r="T37" s="259">
        <f t="shared" si="17"/>
        <v>0.25042422475684734</v>
      </c>
      <c r="U37" s="259">
        <f t="shared" si="17"/>
        <v>0.24711846635464757</v>
      </c>
      <c r="V37" s="259">
        <f t="shared" si="17"/>
        <v>0.26432189123670136</v>
      </c>
      <c r="W37" s="259">
        <f t="shared" si="17"/>
        <v>0.2081480417244162</v>
      </c>
      <c r="X37" s="259">
        <f t="shared" si="17"/>
        <v>0.2680250179540089</v>
      </c>
      <c r="Y37" s="259">
        <f t="shared" si="17"/>
        <v>0.28184495049295172</v>
      </c>
      <c r="DA37" s="278"/>
    </row>
    <row r="38" spans="1:105" x14ac:dyDescent="0.25">
      <c r="A38" s="127" t="s">
        <v>167</v>
      </c>
      <c r="B38" s="259">
        <f t="shared" ref="B38:Y38" si="18">IF(B$25=0,0,B$25/B$5)</f>
        <v>2.7578572421040008E-2</v>
      </c>
      <c r="C38" s="259">
        <f t="shared" si="18"/>
        <v>2.7979057339138535E-2</v>
      </c>
      <c r="D38" s="259">
        <f t="shared" si="18"/>
        <v>2.9305918462789259E-2</v>
      </c>
      <c r="E38" s="259">
        <f t="shared" si="18"/>
        <v>2.9134130546489227E-2</v>
      </c>
      <c r="F38" s="259">
        <f t="shared" si="18"/>
        <v>2.8058169353048692E-2</v>
      </c>
      <c r="G38" s="259">
        <f t="shared" si="18"/>
        <v>2.7897947330460499E-2</v>
      </c>
      <c r="H38" s="259">
        <f t="shared" si="18"/>
        <v>2.8712336414505952E-2</v>
      </c>
      <c r="I38" s="259">
        <f t="shared" si="18"/>
        <v>2.7605165077809374E-2</v>
      </c>
      <c r="J38" s="259">
        <f t="shared" si="18"/>
        <v>2.6836980692659686E-2</v>
      </c>
      <c r="K38" s="259">
        <f t="shared" si="18"/>
        <v>2.6590330003296747E-2</v>
      </c>
      <c r="L38" s="259">
        <f t="shared" si="18"/>
        <v>2.5171069821624228E-2</v>
      </c>
      <c r="M38" s="259">
        <f t="shared" si="18"/>
        <v>2.5333934802560812E-2</v>
      </c>
      <c r="N38" s="259">
        <f t="shared" si="18"/>
        <v>1.7642489694037259E-2</v>
      </c>
      <c r="O38" s="259">
        <f t="shared" si="18"/>
        <v>1.1977369582816292E-2</v>
      </c>
      <c r="P38" s="259">
        <f t="shared" si="18"/>
        <v>1.5076448881392267E-2</v>
      </c>
      <c r="Q38" s="259">
        <f t="shared" si="18"/>
        <v>1.5172525718402595E-2</v>
      </c>
      <c r="R38" s="259">
        <f t="shared" si="18"/>
        <v>1.3862708764449786E-2</v>
      </c>
      <c r="S38" s="259">
        <f t="shared" si="18"/>
        <v>1.298612490190355E-2</v>
      </c>
      <c r="T38" s="259">
        <f t="shared" si="18"/>
        <v>1.4648003607186807E-2</v>
      </c>
      <c r="U38" s="259">
        <f t="shared" si="18"/>
        <v>1.3574812673389442E-2</v>
      </c>
      <c r="V38" s="259">
        <f t="shared" si="18"/>
        <v>1.8026506510540635E-2</v>
      </c>
      <c r="W38" s="259">
        <f t="shared" si="18"/>
        <v>1.2478986946543865E-2</v>
      </c>
      <c r="X38" s="259">
        <f t="shared" si="18"/>
        <v>1.6285670729152501E-2</v>
      </c>
      <c r="Y38" s="259">
        <f t="shared" si="18"/>
        <v>1.489459704668474E-2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3.8034446161911102E-2</v>
      </c>
      <c r="C39" s="259">
        <f t="shared" si="19"/>
        <v>3.7196584085206569E-2</v>
      </c>
      <c r="D39" s="259">
        <f t="shared" si="19"/>
        <v>3.439816375152429E-2</v>
      </c>
      <c r="E39" s="259">
        <f t="shared" si="19"/>
        <v>3.5223719308705589E-2</v>
      </c>
      <c r="F39" s="259">
        <f t="shared" si="19"/>
        <v>3.7374093587260897E-2</v>
      </c>
      <c r="G39" s="259">
        <f t="shared" si="19"/>
        <v>3.7681290320283327E-2</v>
      </c>
      <c r="H39" s="259">
        <f t="shared" si="19"/>
        <v>3.5840581499220057E-2</v>
      </c>
      <c r="I39" s="259">
        <f t="shared" si="19"/>
        <v>3.8109003247614397E-2</v>
      </c>
      <c r="J39" s="259">
        <f t="shared" si="19"/>
        <v>3.9496854860132415E-2</v>
      </c>
      <c r="K39" s="259">
        <f t="shared" si="19"/>
        <v>3.9747570201481862E-2</v>
      </c>
      <c r="L39" s="259">
        <f t="shared" si="19"/>
        <v>4.2323981736705943E-2</v>
      </c>
      <c r="M39" s="259">
        <f t="shared" si="19"/>
        <v>4.2175218880138345E-2</v>
      </c>
      <c r="N39" s="259">
        <f t="shared" si="19"/>
        <v>3.7872639757793487E-2</v>
      </c>
      <c r="O39" s="259">
        <f t="shared" si="19"/>
        <v>4.0834564144773759E-2</v>
      </c>
      <c r="P39" s="259">
        <f t="shared" si="19"/>
        <v>4.1000995893483529E-2</v>
      </c>
      <c r="Q39" s="259">
        <f t="shared" si="19"/>
        <v>4.0594429468446519E-2</v>
      </c>
      <c r="R39" s="259">
        <f t="shared" si="19"/>
        <v>4.1451479973693132E-2</v>
      </c>
      <c r="S39" s="259">
        <f t="shared" si="19"/>
        <v>4.2154563541663019E-2</v>
      </c>
      <c r="T39" s="259">
        <f t="shared" si="19"/>
        <v>4.1051453731179424E-2</v>
      </c>
      <c r="U39" s="259">
        <f t="shared" si="19"/>
        <v>4.1432522224482266E-2</v>
      </c>
      <c r="V39" s="259">
        <f t="shared" si="19"/>
        <v>3.9632463544367037E-2</v>
      </c>
      <c r="W39" s="259">
        <f t="shared" si="19"/>
        <v>4.4099362434092362E-2</v>
      </c>
      <c r="X39" s="259">
        <f t="shared" si="19"/>
        <v>3.9766014372140869E-2</v>
      </c>
      <c r="Y39" s="259">
        <f t="shared" si="19"/>
        <v>3.9183915818211373E-2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5.7966958626253492E-2</v>
      </c>
      <c r="C40" s="261">
        <f t="shared" si="20"/>
        <v>5.6690002570995462E-2</v>
      </c>
      <c r="D40" s="261">
        <f t="shared" si="20"/>
        <v>5.2425028788785466E-2</v>
      </c>
      <c r="E40" s="261">
        <f t="shared" si="20"/>
        <v>5.3683228911460747E-2</v>
      </c>
      <c r="F40" s="261">
        <f t="shared" si="20"/>
        <v>5.6960538545610326E-2</v>
      </c>
      <c r="G40" s="261">
        <f t="shared" si="20"/>
        <v>5.7428726257281661E-2</v>
      </c>
      <c r="H40" s="261">
        <f t="shared" si="20"/>
        <v>5.4623366830741441E-2</v>
      </c>
      <c r="I40" s="261">
        <f t="shared" si="20"/>
        <v>5.8080588452329031E-2</v>
      </c>
      <c r="J40" s="261">
        <f t="shared" si="20"/>
        <v>6.0195764171195577E-2</v>
      </c>
      <c r="K40" s="261">
        <f t="shared" si="20"/>
        <v>6.0577870584868701E-2</v>
      </c>
      <c r="L40" s="261">
        <f t="shared" si="20"/>
        <v>6.4504488583479028E-2</v>
      </c>
      <c r="M40" s="261">
        <f t="shared" si="20"/>
        <v>6.4277764357889761E-2</v>
      </c>
      <c r="N40" s="261">
        <f t="shared" si="20"/>
        <v>5.7720355189647077E-2</v>
      </c>
      <c r="O40" s="261">
        <f t="shared" si="20"/>
        <v>6.2234519735734697E-2</v>
      </c>
      <c r="P40" s="261">
        <f t="shared" si="20"/>
        <v>6.2488172496983914E-2</v>
      </c>
      <c r="Q40" s="261">
        <f t="shared" si="20"/>
        <v>6.18685389406382E-2</v>
      </c>
      <c r="R40" s="261">
        <f t="shared" si="20"/>
        <v>6.3174739403417501E-2</v>
      </c>
      <c r="S40" s="261">
        <f t="shared" si="20"/>
        <v>6.4246284284649985E-2</v>
      </c>
      <c r="T40" s="261">
        <f t="shared" si="20"/>
        <v>6.2565073508704633E-2</v>
      </c>
      <c r="U40" s="261">
        <f t="shared" si="20"/>
        <v>6.3145846566133201E-2</v>
      </c>
      <c r="V40" s="261">
        <f t="shared" si="20"/>
        <v>6.0402440586435756E-2</v>
      </c>
      <c r="W40" s="261">
        <f t="shared" si="20"/>
        <v>6.7210283719634029E-2</v>
      </c>
      <c r="X40" s="261">
        <f t="shared" si="20"/>
        <v>6.0605980695186468E-2</v>
      </c>
      <c r="Y40" s="261">
        <f t="shared" si="20"/>
        <v>5.9718824808956524E-2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0.35590815987360558</v>
      </c>
      <c r="C44" s="237">
        <f>IF(C$5=0,0,C$5/AGR_fec!C$5)</f>
        <v>0.35358080448877466</v>
      </c>
      <c r="D44" s="237">
        <f>IF(D$5=0,0,D$5/AGR_fec!D$5)</f>
        <v>0.34764081068453656</v>
      </c>
      <c r="E44" s="237">
        <f>IF(E$5=0,0,E$5/AGR_fec!E$5)</f>
        <v>0.34987310273042216</v>
      </c>
      <c r="F44" s="237">
        <f>IF(F$5=0,0,F$5/AGR_fec!F$5)</f>
        <v>0.3545435371737341</v>
      </c>
      <c r="G44" s="237">
        <f>IF(G$5=0,0,G$5/AGR_fec!G$5)</f>
        <v>0.35524598243362671</v>
      </c>
      <c r="H44" s="237">
        <f>IF(H$5=0,0,H$5/AGR_fec!H$5)</f>
        <v>0.35069707656993487</v>
      </c>
      <c r="I44" s="237">
        <f>IF(I$5=0,0,I$5/AGR_fec!I$5)</f>
        <v>0.35628043280809396</v>
      </c>
      <c r="J44" s="237">
        <f>IF(J$5=0,0,J$5/AGR_fec!J$5)</f>
        <v>0.36046753230694351</v>
      </c>
      <c r="K44" s="237">
        <f>IF(K$5=0,0,K$5/AGR_fec!K$5)</f>
        <v>0.36114217857346503</v>
      </c>
      <c r="L44" s="237">
        <f>IF(L$5=0,0,L$5/AGR_fec!L$5)</f>
        <v>0.37118328454096156</v>
      </c>
      <c r="M44" s="237">
        <f>IF(M$5=0,0,M$5/AGR_fec!M$5)</f>
        <v>0.3700978790936314</v>
      </c>
      <c r="N44" s="237">
        <f>IF(N$5=0,0,N$5/AGR_fec!N$5)</f>
        <v>0.36491786650196867</v>
      </c>
      <c r="O44" s="237">
        <f>IF(O$5=0,0,O$5/AGR_fec!O$5)</f>
        <v>0.38970476527420228</v>
      </c>
      <c r="P44" s="237">
        <f>IF(P$5=0,0,P$5/AGR_fec!P$5)</f>
        <v>0.38436110537222001</v>
      </c>
      <c r="Q44" s="237">
        <f>IF(Q$5=0,0,Q$5/AGR_fec!Q$5)</f>
        <v>0.38188931260226849</v>
      </c>
      <c r="R44" s="237">
        <f>IF(R$5=0,0,R$5/AGR_fec!R$5)</f>
        <v>0.39027479212713639</v>
      </c>
      <c r="S44" s="237">
        <f>IF(S$5=0,0,S$5/AGR_fec!S$5)</f>
        <v>0.39749126721081518</v>
      </c>
      <c r="T44" s="237">
        <f>IF(T$5=0,0,T$5/AGR_fec!T$5)</f>
        <v>0.38675131210670832</v>
      </c>
      <c r="U44" s="237">
        <f>IF(U$5=0,0,U$5/AGR_fec!U$5)</f>
        <v>0.39129987122642318</v>
      </c>
      <c r="V44" s="237">
        <f>IF(V$5=0,0,V$5/AGR_fec!V$5)</f>
        <v>0.37132935284135571</v>
      </c>
      <c r="W44" s="237">
        <f>IF(W$5=0,0,W$5/AGR_fec!W$5)</f>
        <v>0.41328016647672311</v>
      </c>
      <c r="X44" s="237">
        <f>IF(X$5=0,0,X$5/AGR_fec!X$5)</f>
        <v>0.37518394805228178</v>
      </c>
      <c r="Y44" s="237">
        <f>IF(Y$5=0,0,Y$5/AGR_fec!Y$5)</f>
        <v>0.37398224738658792</v>
      </c>
      <c r="DA44" s="286"/>
    </row>
    <row r="45" spans="1:105" x14ac:dyDescent="0.25">
      <c r="A45" s="238" t="s">
        <v>125</v>
      </c>
      <c r="B45" s="250">
        <f>IF(B$6=0,0,B$6/AGR_fec!B$6)</f>
        <v>0.41656345872465789</v>
      </c>
      <c r="C45" s="250">
        <f>IF(C$6=0,0,C$6/AGR_fec!C$6)</f>
        <v>0.41656345872465794</v>
      </c>
      <c r="D45" s="250">
        <f>IF(D$6=0,0,D$6/AGR_fec!D$6)</f>
        <v>0.41656345872465783</v>
      </c>
      <c r="E45" s="250">
        <f>IF(E$6=0,0,E$6/AGR_fec!E$6)</f>
        <v>0.41656345872465789</v>
      </c>
      <c r="F45" s="250">
        <f>IF(F$6=0,0,F$6/AGR_fec!F$6)</f>
        <v>0.41656345872465778</v>
      </c>
      <c r="G45" s="250">
        <f>IF(G$6=0,0,G$6/AGR_fec!G$6)</f>
        <v>0.41656345872465778</v>
      </c>
      <c r="H45" s="250">
        <f>IF(H$6=0,0,H$6/AGR_fec!H$6)</f>
        <v>0.41656345872465778</v>
      </c>
      <c r="I45" s="250">
        <f>IF(I$6=0,0,I$6/AGR_fec!I$6)</f>
        <v>0.41656345872465789</v>
      </c>
      <c r="J45" s="250">
        <f>IF(J$6=0,0,J$6/AGR_fec!J$6)</f>
        <v>0.41656345872465783</v>
      </c>
      <c r="K45" s="250">
        <f>IF(K$6=0,0,K$6/AGR_fec!K$6)</f>
        <v>0.41656345872465789</v>
      </c>
      <c r="L45" s="250">
        <f>IF(L$6=0,0,L$6/AGR_fec!L$6)</f>
        <v>0.416563458724658</v>
      </c>
      <c r="M45" s="250">
        <f>IF(M$6=0,0,M$6/AGR_fec!M$6)</f>
        <v>0.41656345872465789</v>
      </c>
      <c r="N45" s="250">
        <f>IF(N$6=0,0,N$6/AGR_fec!N$6)</f>
        <v>0.41656345872465766</v>
      </c>
      <c r="O45" s="250">
        <f>IF(O$6=0,0,O$6/AGR_fec!O$6)</f>
        <v>0.41656345872465778</v>
      </c>
      <c r="P45" s="250">
        <f>IF(P$6=0,0,P$6/AGR_fec!P$6)</f>
        <v>0.41656345872465789</v>
      </c>
      <c r="Q45" s="250">
        <f>IF(Q$6=0,0,Q$6/AGR_fec!Q$6)</f>
        <v>0.41656345872465778</v>
      </c>
      <c r="R45" s="250">
        <f>IF(R$6=0,0,R$6/AGR_fec!R$6)</f>
        <v>0.41656345872465778</v>
      </c>
      <c r="S45" s="250">
        <f>IF(S$6=0,0,S$6/AGR_fec!S$6)</f>
        <v>0.41656345872465778</v>
      </c>
      <c r="T45" s="250">
        <f>IF(T$6=0,0,T$6/AGR_fec!T$6)</f>
        <v>0.41656345872465772</v>
      </c>
      <c r="U45" s="250">
        <f>IF(U$6=0,0,U$6/AGR_fec!U$6)</f>
        <v>0.41656345872465794</v>
      </c>
      <c r="V45" s="250">
        <f>IF(V$6=0,0,V$6/AGR_fec!V$6)</f>
        <v>0.41656345872465789</v>
      </c>
      <c r="W45" s="250">
        <f>IF(W$6=0,0,W$6/AGR_fec!W$6)</f>
        <v>0.41656345872465794</v>
      </c>
      <c r="X45" s="250">
        <f>IF(X$6=0,0,X$6/AGR_fec!X$6)</f>
        <v>0.41656345872465789</v>
      </c>
      <c r="Y45" s="250">
        <f>IF(Y$6=0,0,Y$6/AGR_fec!Y$6)</f>
        <v>0.41656345872465778</v>
      </c>
      <c r="DA45" s="287"/>
    </row>
    <row r="46" spans="1:105" x14ac:dyDescent="0.25">
      <c r="A46" s="240" t="s">
        <v>124</v>
      </c>
      <c r="B46" s="251">
        <f>IF(B$7=0,0,B$7/AGR_fec!B$7)</f>
        <v>0.41307595352711651</v>
      </c>
      <c r="C46" s="251">
        <f>IF(C$7=0,0,C$7/AGR_fec!C$7)</f>
        <v>0.41307595352711657</v>
      </c>
      <c r="D46" s="251">
        <f>IF(D$7=0,0,D$7/AGR_fec!D$7)</f>
        <v>0.41307595352711662</v>
      </c>
      <c r="E46" s="251">
        <f>IF(E$7=0,0,E$7/AGR_fec!E$7)</f>
        <v>0.41307595352711662</v>
      </c>
      <c r="F46" s="251">
        <f>IF(F$7=0,0,F$7/AGR_fec!F$7)</f>
        <v>0.4130759535271164</v>
      </c>
      <c r="G46" s="251">
        <f>IF(G$7=0,0,G$7/AGR_fec!G$7)</f>
        <v>0.41307595352711635</v>
      </c>
      <c r="H46" s="251">
        <f>IF(H$7=0,0,H$7/AGR_fec!H$7)</f>
        <v>0.41307595352711646</v>
      </c>
      <c r="I46" s="251">
        <f>IF(I$7=0,0,I$7/AGR_fec!I$7)</f>
        <v>0.41307595352711668</v>
      </c>
      <c r="J46" s="251">
        <f>IF(J$7=0,0,J$7/AGR_fec!J$7)</f>
        <v>0.41307595352711635</v>
      </c>
      <c r="K46" s="251">
        <f>IF(K$7=0,0,K$7/AGR_fec!K$7)</f>
        <v>0.41307595352711646</v>
      </c>
      <c r="L46" s="251">
        <f>IF(L$7=0,0,L$7/AGR_fec!L$7)</f>
        <v>0.41307595352711657</v>
      </c>
      <c r="M46" s="251">
        <f>IF(M$7=0,0,M$7/AGR_fec!M$7)</f>
        <v>0.41307595352711668</v>
      </c>
      <c r="N46" s="251">
        <f>IF(N$7=0,0,N$7/AGR_fec!N$7)</f>
        <v>0.41307595352711651</v>
      </c>
      <c r="O46" s="251">
        <f>IF(O$7=0,0,O$7/AGR_fec!O$7)</f>
        <v>0.41307595352711662</v>
      </c>
      <c r="P46" s="251">
        <f>IF(P$7=0,0,P$7/AGR_fec!P$7)</f>
        <v>0.41307595352711662</v>
      </c>
      <c r="Q46" s="251">
        <f>IF(Q$7=0,0,Q$7/AGR_fec!Q$7)</f>
        <v>0.41307595352711657</v>
      </c>
      <c r="R46" s="251">
        <f>IF(R$7=0,0,R$7/AGR_fec!R$7)</f>
        <v>0.41307595352711635</v>
      </c>
      <c r="S46" s="251">
        <f>IF(S$7=0,0,S$7/AGR_fec!S$7)</f>
        <v>0.41307595352711657</v>
      </c>
      <c r="T46" s="251">
        <f>IF(T$7=0,0,T$7/AGR_fec!T$7)</f>
        <v>0.41307595352711651</v>
      </c>
      <c r="U46" s="251">
        <f>IF(U$7=0,0,U$7/AGR_fec!U$7)</f>
        <v>0.41307595352711662</v>
      </c>
      <c r="V46" s="251">
        <f>IF(V$7=0,0,V$7/AGR_fec!V$7)</f>
        <v>0.4130759535271164</v>
      </c>
      <c r="W46" s="251">
        <f>IF(W$7=0,0,W$7/AGR_fec!W$7)</f>
        <v>0.4130759535271164</v>
      </c>
      <c r="X46" s="251">
        <f>IF(X$7=0,0,X$7/AGR_fec!X$7)</f>
        <v>0.41307595352711662</v>
      </c>
      <c r="Y46" s="251">
        <f>IF(Y$7=0,0,Y$7/AGR_fec!Y$7)</f>
        <v>0.41307595352711657</v>
      </c>
      <c r="DA46" s="288"/>
    </row>
    <row r="47" spans="1:105" x14ac:dyDescent="0.25">
      <c r="A47" s="240" t="s">
        <v>123</v>
      </c>
      <c r="B47" s="251">
        <f>IF(B$8=0,0,B$8/AGR_fec!B$8)</f>
        <v>0.59285622448927766</v>
      </c>
      <c r="C47" s="251">
        <f>IF(C$8=0,0,C$8/AGR_fec!C$8)</f>
        <v>0.59285622448927755</v>
      </c>
      <c r="D47" s="251">
        <f>IF(D$8=0,0,D$8/AGR_fec!D$8)</f>
        <v>0.59285622448927766</v>
      </c>
      <c r="E47" s="251">
        <f>IF(E$8=0,0,E$8/AGR_fec!E$8)</f>
        <v>0.59285622448927755</v>
      </c>
      <c r="F47" s="251">
        <f>IF(F$8=0,0,F$8/AGR_fec!F$8)</f>
        <v>0.59285622448927744</v>
      </c>
      <c r="G47" s="251">
        <f>IF(G$8=0,0,G$8/AGR_fec!G$8)</f>
        <v>0.59285622448927733</v>
      </c>
      <c r="H47" s="251">
        <f>IF(H$8=0,0,H$8/AGR_fec!H$8)</f>
        <v>0.59285622448927733</v>
      </c>
      <c r="I47" s="251">
        <f>IF(I$8=0,0,I$8/AGR_fec!I$8)</f>
        <v>0.59285622448927777</v>
      </c>
      <c r="J47" s="251">
        <f>IF(J$8=0,0,J$8/AGR_fec!J$8)</f>
        <v>0.59285622448927744</v>
      </c>
      <c r="K47" s="251">
        <f>IF(K$8=0,0,K$8/AGR_fec!K$8)</f>
        <v>0.59285622448927744</v>
      </c>
      <c r="L47" s="251">
        <f>IF(L$8=0,0,L$8/AGR_fec!L$8)</f>
        <v>0.59285622448927744</v>
      </c>
      <c r="M47" s="251">
        <f>IF(M$8=0,0,M$8/AGR_fec!M$8)</f>
        <v>0.59285622448927777</v>
      </c>
      <c r="N47" s="251">
        <f>IF(N$8=0,0,N$8/AGR_fec!N$8)</f>
        <v>0.59285622448927788</v>
      </c>
      <c r="O47" s="251">
        <f>IF(O$8=0,0,O$8/AGR_fec!O$8)</f>
        <v>0.59285622448927766</v>
      </c>
      <c r="P47" s="251">
        <f>IF(P$8=0,0,P$8/AGR_fec!P$8)</f>
        <v>0.59285622448927744</v>
      </c>
      <c r="Q47" s="251">
        <f>IF(Q$8=0,0,Q$8/AGR_fec!Q$8)</f>
        <v>0.59285622448927733</v>
      </c>
      <c r="R47" s="251">
        <f>IF(R$8=0,0,R$8/AGR_fec!R$8)</f>
        <v>0.59285622448927766</v>
      </c>
      <c r="S47" s="251">
        <f>IF(S$8=0,0,S$8/AGR_fec!S$8)</f>
        <v>0.59285622448927744</v>
      </c>
      <c r="T47" s="251">
        <f>IF(T$8=0,0,T$8/AGR_fec!T$8)</f>
        <v>0.59285622448927722</v>
      </c>
      <c r="U47" s="251">
        <f>IF(U$8=0,0,U$8/AGR_fec!U$8)</f>
        <v>0.59285622448927744</v>
      </c>
      <c r="V47" s="251">
        <f>IF(V$8=0,0,V$8/AGR_fec!V$8)</f>
        <v>0.59285622448927755</v>
      </c>
      <c r="W47" s="251">
        <f>IF(W$8=0,0,W$8/AGR_fec!W$8)</f>
        <v>0.59285622448927744</v>
      </c>
      <c r="X47" s="251">
        <f>IF(X$8=0,0,X$8/AGR_fec!X$8)</f>
        <v>0.59285622448927777</v>
      </c>
      <c r="Y47" s="251">
        <f>IF(Y$8=0,0,Y$8/AGR_fec!Y$8)</f>
        <v>0.59285622448927722</v>
      </c>
      <c r="DA47" s="288"/>
    </row>
    <row r="48" spans="1:105" x14ac:dyDescent="0.25">
      <c r="A48" s="242" t="s">
        <v>122</v>
      </c>
      <c r="B48" s="252">
        <f>IF(B$9=0,0,B$9/AGR_fec!B$9)</f>
        <v>0.59782169807300123</v>
      </c>
      <c r="C48" s="252">
        <f>IF(C$9=0,0,C$9/AGR_fec!C$9)</f>
        <v>0.59228461736951699</v>
      </c>
      <c r="D48" s="252">
        <f>IF(D$9=0,0,D$9/AGR_fec!D$9)</f>
        <v>0.57504679557025651</v>
      </c>
      <c r="E48" s="252">
        <f>IF(E$9=0,0,E$9/AGR_fec!E$9)</f>
        <v>0.57782344312196443</v>
      </c>
      <c r="F48" s="252">
        <f>IF(F$9=0,0,F$9/AGR_fec!F$9)</f>
        <v>0.59237967875405562</v>
      </c>
      <c r="G48" s="252">
        <f>IF(G$9=0,0,G$9/AGR_fec!G$9)</f>
        <v>0.59452255364867501</v>
      </c>
      <c r="H48" s="252">
        <f>IF(H$9=0,0,H$9/AGR_fec!H$9)</f>
        <v>0.58353880741334407</v>
      </c>
      <c r="I48" s="252">
        <f>IF(I$9=0,0,I$9/AGR_fec!I$9)</f>
        <v>0.59839673022605178</v>
      </c>
      <c r="J48" s="252">
        <f>IF(J$9=0,0,J$9/AGR_fec!J$9)</f>
        <v>0.6090837230397298</v>
      </c>
      <c r="K48" s="252">
        <f>IF(K$9=0,0,K$9/AGR_fec!K$9)</f>
        <v>0.61280205445974001</v>
      </c>
      <c r="L48" s="252">
        <f>IF(L$9=0,0,L$9/AGR_fec!L$9)</f>
        <v>0.63291690711253401</v>
      </c>
      <c r="M48" s="252">
        <f>IF(M$9=0,0,M$9/AGR_fec!M$9)</f>
        <v>0.63102133369683799</v>
      </c>
      <c r="N48" s="252">
        <f>IF(N$9=0,0,N$9/AGR_fec!N$9)</f>
        <v>0.69685946465906756</v>
      </c>
      <c r="O48" s="252">
        <f>IF(O$9=0,0,O$9/AGR_fec!O$9)</f>
        <v>0.72799256604844897</v>
      </c>
      <c r="P48" s="252">
        <f>IF(P$9=0,0,P$9/AGR_fec!P$9)</f>
        <v>0.71743890645703834</v>
      </c>
      <c r="Q48" s="252">
        <f>IF(Q$9=0,0,Q$9/AGR_fec!Q$9)</f>
        <v>0.71675922126154046</v>
      </c>
      <c r="R48" s="252">
        <f>IF(R$9=0,0,R$9/AGR_fec!R$9)</f>
        <v>0.7228901560237746</v>
      </c>
      <c r="S48" s="252">
        <f>IF(S$9=0,0,S$9/AGR_fec!S$9)</f>
        <v>0.72641043618703682</v>
      </c>
      <c r="T48" s="252">
        <f>IF(T$9=0,0,T$9/AGR_fec!T$9)</f>
        <v>0.71950461935132504</v>
      </c>
      <c r="U48" s="252">
        <f>IF(U$9=0,0,U$9/AGR_fec!U$9)</f>
        <v>0.72314019020100961</v>
      </c>
      <c r="V48" s="252">
        <f>IF(V$9=0,0,V$9/AGR_fec!V$9)</f>
        <v>0.6974347007099907</v>
      </c>
      <c r="W48" s="252">
        <f>IF(W$9=0,0,W$9/AGR_fec!W$9)</f>
        <v>0.72769882903489569</v>
      </c>
      <c r="X48" s="252">
        <f>IF(X$9=0,0,X$9/AGR_fec!X$9)</f>
        <v>0.7052895825512715</v>
      </c>
      <c r="Y48" s="252">
        <f>IF(Y$9=0,0,Y$9/AGR_fec!Y$9)</f>
        <v>0.70738350084757251</v>
      </c>
      <c r="DA48" s="289"/>
    </row>
    <row r="49" spans="1:105" x14ac:dyDescent="0.25">
      <c r="A49" s="127" t="s">
        <v>168</v>
      </c>
      <c r="B49" s="264">
        <f>IF(B$16=0,0,B$16/AGR_fec!B$16)</f>
        <v>0.2980843590511591</v>
      </c>
      <c r="C49" s="264">
        <f>IF(C$16=0,0,C$16/AGR_fec!C$16)</f>
        <v>0.29808435905115915</v>
      </c>
      <c r="D49" s="264">
        <f>IF(D$16=0,0,D$16/AGR_fec!D$16)</f>
        <v>0.2980843590511591</v>
      </c>
      <c r="E49" s="264">
        <f>IF(E$16=0,0,E$16/AGR_fec!E$16)</f>
        <v>0.29808435905115915</v>
      </c>
      <c r="F49" s="264">
        <f>IF(F$16=0,0,F$16/AGR_fec!F$16)</f>
        <v>0.29808435905115921</v>
      </c>
      <c r="G49" s="264">
        <f>IF(G$16=0,0,G$16/AGR_fec!G$16)</f>
        <v>0.29808435905115904</v>
      </c>
      <c r="H49" s="264">
        <f>IF(H$16=0,0,H$16/AGR_fec!H$16)</f>
        <v>0.29808435905115904</v>
      </c>
      <c r="I49" s="264">
        <f>IF(I$16=0,0,I$16/AGR_fec!I$16)</f>
        <v>0.29808435905115904</v>
      </c>
      <c r="J49" s="264">
        <f>IF(J$16=0,0,J$16/AGR_fec!J$16)</f>
        <v>0.2980843590511591</v>
      </c>
      <c r="K49" s="264">
        <f>IF(K$16=0,0,K$16/AGR_fec!K$16)</f>
        <v>0.2980843590511591</v>
      </c>
      <c r="L49" s="264">
        <f>IF(L$16=0,0,L$16/AGR_fec!L$16)</f>
        <v>0.29808435905115921</v>
      </c>
      <c r="M49" s="264">
        <f>IF(M$16=0,0,M$16/AGR_fec!M$16)</f>
        <v>0.29808435905115904</v>
      </c>
      <c r="N49" s="264">
        <f>IF(N$16=0,0,N$16/AGR_fec!N$16)</f>
        <v>0.2980843590511591</v>
      </c>
      <c r="O49" s="264">
        <f>IF(O$16=0,0,O$16/AGR_fec!O$16)</f>
        <v>0.2980843590511591</v>
      </c>
      <c r="P49" s="264">
        <f>IF(P$16=0,0,P$16/AGR_fec!P$16)</f>
        <v>0.29808435905115915</v>
      </c>
      <c r="Q49" s="264">
        <f>IF(Q$16=0,0,Q$16/AGR_fec!Q$16)</f>
        <v>0.29808435905115904</v>
      </c>
      <c r="R49" s="264">
        <f>IF(R$16=0,0,R$16/AGR_fec!R$16)</f>
        <v>0.29808435905115915</v>
      </c>
      <c r="S49" s="264">
        <f>IF(S$16=0,0,S$16/AGR_fec!S$16)</f>
        <v>0.2980843590511591</v>
      </c>
      <c r="T49" s="264">
        <f>IF(T$16=0,0,T$16/AGR_fec!T$16)</f>
        <v>0.29808435905115921</v>
      </c>
      <c r="U49" s="264">
        <f>IF(U$16=0,0,U$16/AGR_fec!U$16)</f>
        <v>0.29808435905115915</v>
      </c>
      <c r="V49" s="264">
        <f>IF(V$16=0,0,V$16/AGR_fec!V$16)</f>
        <v>0.29808435905115915</v>
      </c>
      <c r="W49" s="264">
        <f>IF(W$16=0,0,W$16/AGR_fec!W$16)</f>
        <v>0.29808435905115904</v>
      </c>
      <c r="X49" s="264">
        <f>IF(X$16=0,0,X$16/AGR_fec!X$16)</f>
        <v>0.29808435905115915</v>
      </c>
      <c r="Y49" s="264">
        <f>IF(Y$16=0,0,Y$16/AGR_fec!Y$16)</f>
        <v>0.2980843590511591</v>
      </c>
      <c r="DA49" s="290"/>
    </row>
    <row r="50" spans="1:105" x14ac:dyDescent="0.25">
      <c r="A50" s="127" t="s">
        <v>121</v>
      </c>
      <c r="B50" s="264">
        <f>IF(B$17=0,0,B$17/AGR_fec!B$17)</f>
        <v>0.23753438293011586</v>
      </c>
      <c r="C50" s="264">
        <f>IF(C$17=0,0,C$17/AGR_fec!C$17)</f>
        <v>0.23741224924009793</v>
      </c>
      <c r="D50" s="264">
        <f>IF(D$17=0,0,D$17/AGR_fec!D$17)</f>
        <v>0.23829766843248179</v>
      </c>
      <c r="E50" s="264">
        <f>IF(E$17=0,0,E$17/AGR_fec!E$17)</f>
        <v>0.23917105724788898</v>
      </c>
      <c r="F50" s="264">
        <f>IF(F$17=0,0,F$17/AGR_fec!F$17)</f>
        <v>0.23778837531552161</v>
      </c>
      <c r="G50" s="264">
        <f>IF(G$17=0,0,G$17/AGR_fec!G$17)</f>
        <v>0.23758109804749661</v>
      </c>
      <c r="H50" s="264">
        <f>IF(H$17=0,0,H$17/AGR_fec!H$17)</f>
        <v>0.23752335478529235</v>
      </c>
      <c r="I50" s="264">
        <f>IF(I$17=0,0,I$17/AGR_fec!I$17)</f>
        <v>0.23714481787502298</v>
      </c>
      <c r="J50" s="264">
        <f>IF(J$17=0,0,J$17/AGR_fec!J$17)</f>
        <v>0.23692584914101761</v>
      </c>
      <c r="K50" s="264">
        <f>IF(K$17=0,0,K$17/AGR_fec!K$17)</f>
        <v>0.23583691907810436</v>
      </c>
      <c r="L50" s="264">
        <f>IF(L$17=0,0,L$17/AGR_fec!L$17)</f>
        <v>0.23626579080632928</v>
      </c>
      <c r="M50" s="264">
        <f>IF(M$17=0,0,M$17/AGR_fec!M$17)</f>
        <v>0.2354529418271358</v>
      </c>
      <c r="N50" s="264">
        <f>IF(N$17=0,0,N$17/AGR_fec!N$17)</f>
        <v>0.2328346390744967</v>
      </c>
      <c r="O50" s="264">
        <f>IF(O$17=0,0,O$17/AGR_fec!O$17)</f>
        <v>0.22692947307706551</v>
      </c>
      <c r="P50" s="264">
        <f>IF(P$17=0,0,P$17/AGR_fec!P$17)</f>
        <v>0.22705548322671212</v>
      </c>
      <c r="Q50" s="264">
        <f>IF(Q$17=0,0,Q$17/AGR_fec!Q$17)</f>
        <v>0.22736513906705055</v>
      </c>
      <c r="R50" s="264">
        <f>IF(R$17=0,0,R$17/AGR_fec!R$17)</f>
        <v>0.22739731789101741</v>
      </c>
      <c r="S50" s="264">
        <f>IF(S$17=0,0,S$17/AGR_fec!S$17)</f>
        <v>0.2279188232811431</v>
      </c>
      <c r="T50" s="264">
        <f>IF(T$17=0,0,T$17/AGR_fec!T$17)</f>
        <v>0.2286016146222582</v>
      </c>
      <c r="U50" s="264">
        <f>IF(U$17=0,0,U$17/AGR_fec!U$17)</f>
        <v>0.22853788105703779</v>
      </c>
      <c r="V50" s="264">
        <f>IF(V$17=0,0,V$17/AGR_fec!V$17)</f>
        <v>0.22953224979653589</v>
      </c>
      <c r="W50" s="264">
        <f>IF(W$17=0,0,W$17/AGR_fec!W$17)</f>
        <v>0.23049240573883314</v>
      </c>
      <c r="X50" s="264">
        <f>IF(X$17=0,0,X$17/AGR_fec!X$17)</f>
        <v>0.22999181557880283</v>
      </c>
      <c r="Y50" s="264">
        <f>IF(Y$17=0,0,Y$17/AGR_fec!Y$17)</f>
        <v>0.23057319804397078</v>
      </c>
      <c r="DA50" s="290"/>
    </row>
    <row r="51" spans="1:105" x14ac:dyDescent="0.25">
      <c r="A51" s="127" t="s">
        <v>167</v>
      </c>
      <c r="B51" s="264">
        <f>IF(B$25=0,0,B$25/AGR_fec!B$25)</f>
        <v>0.20865905133581139</v>
      </c>
      <c r="C51" s="264">
        <f>IF(C$25=0,0,C$25/AGR_fec!C$25)</f>
        <v>0.20865905133581142</v>
      </c>
      <c r="D51" s="264">
        <f>IF(D$25=0,0,D$25/AGR_fec!D$25)</f>
        <v>0.20865905133581147</v>
      </c>
      <c r="E51" s="264">
        <f>IF(E$25=0,0,E$25/AGR_fec!E$25)</f>
        <v>0.20865905133581142</v>
      </c>
      <c r="F51" s="264">
        <f>IF(F$25=0,0,F$25/AGR_fec!F$25)</f>
        <v>0.20865905133581142</v>
      </c>
      <c r="G51" s="264">
        <f>IF(G$25=0,0,G$25/AGR_fec!G$25)</f>
        <v>0.20865905133581147</v>
      </c>
      <c r="H51" s="264">
        <f>IF(H$25=0,0,H$25/AGR_fec!H$25)</f>
        <v>0.20865905133581145</v>
      </c>
      <c r="I51" s="264">
        <f>IF(I$25=0,0,I$25/AGR_fec!I$25)</f>
        <v>0.20865905133581139</v>
      </c>
      <c r="J51" s="264">
        <f>IF(J$25=0,0,J$25/AGR_fec!J$25)</f>
        <v>0.20865905133581125</v>
      </c>
      <c r="K51" s="264">
        <f>IF(K$25=0,0,K$25/AGR_fec!K$25)</f>
        <v>0.20865905133581139</v>
      </c>
      <c r="L51" s="264">
        <f>IF(L$25=0,0,L$25/AGR_fec!L$25)</f>
        <v>0.20865905133581139</v>
      </c>
      <c r="M51" s="264">
        <f>IF(M$25=0,0,M$25/AGR_fec!M$25)</f>
        <v>0.20865905133581139</v>
      </c>
      <c r="N51" s="264">
        <f>IF(N$25=0,0,N$25/AGR_fec!N$25)</f>
        <v>0.20865905133581139</v>
      </c>
      <c r="O51" s="264">
        <f>IF(O$25=0,0,O$25/AGR_fec!O$25)</f>
        <v>0.20865905133581134</v>
      </c>
      <c r="P51" s="264">
        <f>IF(P$25=0,0,P$25/AGR_fec!P$25)</f>
        <v>0.20865905133581142</v>
      </c>
      <c r="Q51" s="264">
        <f>IF(Q$25=0,0,Q$25/AGR_fec!Q$25)</f>
        <v>0.20865905133581147</v>
      </c>
      <c r="R51" s="264">
        <f>IF(R$25=0,0,R$25/AGR_fec!R$25)</f>
        <v>0.20865905133581125</v>
      </c>
      <c r="S51" s="264">
        <f>IF(S$25=0,0,S$25/AGR_fec!S$25)</f>
        <v>0.20865905133581136</v>
      </c>
      <c r="T51" s="264">
        <f>IF(T$25=0,0,T$25/AGR_fec!T$25)</f>
        <v>0.20865905133581142</v>
      </c>
      <c r="U51" s="264">
        <f>IF(U$25=0,0,U$25/AGR_fec!U$25)</f>
        <v>0.20865905133581134</v>
      </c>
      <c r="V51" s="264">
        <f>IF(V$25=0,0,V$25/AGR_fec!V$25)</f>
        <v>0.20865905133581142</v>
      </c>
      <c r="W51" s="264">
        <f>IF(W$25=0,0,W$25/AGR_fec!W$25)</f>
        <v>0.20865905133581134</v>
      </c>
      <c r="X51" s="264">
        <f>IF(X$25=0,0,X$25/AGR_fec!X$25)</f>
        <v>0.20865905133581131</v>
      </c>
      <c r="Y51" s="264">
        <f>IF(Y$25=0,0,Y$25/AGR_fec!Y$25)</f>
        <v>0.20865905133581139</v>
      </c>
      <c r="DA51" s="290"/>
    </row>
    <row r="52" spans="1:105" x14ac:dyDescent="0.25">
      <c r="A52" s="127" t="s">
        <v>170</v>
      </c>
      <c r="B52" s="264">
        <f>IF(B$26=0,0,B$26/AGR_fec!B$26)</f>
        <v>0.41307595352711668</v>
      </c>
      <c r="C52" s="264">
        <f>IF(C$26=0,0,C$26/AGR_fec!C$26)</f>
        <v>0.41307595352711662</v>
      </c>
      <c r="D52" s="264">
        <f>IF(D$26=0,0,D$26/AGR_fec!D$26)</f>
        <v>0.41307595352711657</v>
      </c>
      <c r="E52" s="264">
        <f>IF(E$26=0,0,E$26/AGR_fec!E$26)</f>
        <v>0.41307595352711662</v>
      </c>
      <c r="F52" s="264">
        <f>IF(F$26=0,0,F$26/AGR_fec!F$26)</f>
        <v>0.41307595352711646</v>
      </c>
      <c r="G52" s="264">
        <f>IF(G$26=0,0,G$26/AGR_fec!G$26)</f>
        <v>0.41307595352711668</v>
      </c>
      <c r="H52" s="264">
        <f>IF(H$26=0,0,H$26/AGR_fec!H$26)</f>
        <v>0.41307595352711646</v>
      </c>
      <c r="I52" s="264">
        <f>IF(I$26=0,0,I$26/AGR_fec!I$26)</f>
        <v>0.41307595352711646</v>
      </c>
      <c r="J52" s="264">
        <f>IF(J$26=0,0,J$26/AGR_fec!J$26)</f>
        <v>0.41307595352711657</v>
      </c>
      <c r="K52" s="264">
        <f>IF(K$26=0,0,K$26/AGR_fec!K$26)</f>
        <v>0.4130759535271164</v>
      </c>
      <c r="L52" s="264">
        <f>IF(L$26=0,0,L$26/AGR_fec!L$26)</f>
        <v>0.41307595352711662</v>
      </c>
      <c r="M52" s="264">
        <f>IF(M$26=0,0,M$26/AGR_fec!M$26)</f>
        <v>0.4130759535271164</v>
      </c>
      <c r="N52" s="264">
        <f>IF(N$26=0,0,N$26/AGR_fec!N$26)</f>
        <v>0.41307595352711657</v>
      </c>
      <c r="O52" s="264">
        <f>IF(O$26=0,0,O$26/AGR_fec!O$26)</f>
        <v>0.41307595352711651</v>
      </c>
      <c r="P52" s="264">
        <f>IF(P$26=0,0,P$26/AGR_fec!P$26)</f>
        <v>0.41307595352711662</v>
      </c>
      <c r="Q52" s="264">
        <f>IF(Q$26=0,0,Q$26/AGR_fec!Q$26)</f>
        <v>0.41307595352711668</v>
      </c>
      <c r="R52" s="264">
        <f>IF(R$26=0,0,R$26/AGR_fec!R$26)</f>
        <v>0.41307595352711662</v>
      </c>
      <c r="S52" s="264">
        <f>IF(S$26=0,0,S$26/AGR_fec!S$26)</f>
        <v>0.41307595352711657</v>
      </c>
      <c r="T52" s="264">
        <f>IF(T$26=0,0,T$26/AGR_fec!T$26)</f>
        <v>0.41307595352711651</v>
      </c>
      <c r="U52" s="264">
        <f>IF(U$26=0,0,U$26/AGR_fec!U$26)</f>
        <v>0.41307595352711657</v>
      </c>
      <c r="V52" s="264">
        <f>IF(V$26=0,0,V$26/AGR_fec!V$26)</f>
        <v>0.41307595352711657</v>
      </c>
      <c r="W52" s="264">
        <f>IF(W$26=0,0,W$26/AGR_fec!W$26)</f>
        <v>0.41307595352711662</v>
      </c>
      <c r="X52" s="264">
        <f>IF(X$26=0,0,X$26/AGR_fec!X$26)</f>
        <v>0.41307595352711657</v>
      </c>
      <c r="Y52" s="264">
        <f>IF(Y$26=0,0,Y$26/AGR_fec!Y$26)</f>
        <v>0.41307595352711657</v>
      </c>
      <c r="DA52" s="290"/>
    </row>
    <row r="53" spans="1:105" x14ac:dyDescent="0.25">
      <c r="A53" s="260" t="s">
        <v>33</v>
      </c>
      <c r="B53" s="265">
        <f>IF(B$27=0,0,B$27/AGR_fec!B$27)</f>
        <v>0.43417551672220789</v>
      </c>
      <c r="C53" s="265">
        <f>IF(C$27=0,0,C$27/AGR_fec!C$27)</f>
        <v>0.43417551672220783</v>
      </c>
      <c r="D53" s="265">
        <f>IF(D$27=0,0,D$27/AGR_fec!D$27)</f>
        <v>0.43417551672220783</v>
      </c>
      <c r="E53" s="265">
        <f>IF(E$27=0,0,E$27/AGR_fec!E$27)</f>
        <v>0.43417551672220783</v>
      </c>
      <c r="F53" s="265">
        <f>IF(F$27=0,0,F$27/AGR_fec!F$27)</f>
        <v>0.43417551672220767</v>
      </c>
      <c r="G53" s="265">
        <f>IF(G$27=0,0,G$27/AGR_fec!G$27)</f>
        <v>0.43417551672220772</v>
      </c>
      <c r="H53" s="265">
        <f>IF(H$27=0,0,H$27/AGR_fec!H$27)</f>
        <v>0.43417551672220778</v>
      </c>
      <c r="I53" s="265">
        <f>IF(I$27=0,0,I$27/AGR_fec!I$27)</f>
        <v>0.43417551672220789</v>
      </c>
      <c r="J53" s="265">
        <f>IF(J$27=0,0,J$27/AGR_fec!J$27)</f>
        <v>0.43417551672220794</v>
      </c>
      <c r="K53" s="265">
        <f>IF(K$27=0,0,K$27/AGR_fec!K$27)</f>
        <v>0.43417551672220794</v>
      </c>
      <c r="L53" s="265">
        <f>IF(L$27=0,0,L$27/AGR_fec!L$27)</f>
        <v>0.43417551672220783</v>
      </c>
      <c r="M53" s="265">
        <f>IF(M$27=0,0,M$27/AGR_fec!M$27)</f>
        <v>0.43417551672220778</v>
      </c>
      <c r="N53" s="265">
        <f>IF(N$27=0,0,N$27/AGR_fec!N$27)</f>
        <v>0.43417551672220756</v>
      </c>
      <c r="O53" s="265">
        <f>IF(O$27=0,0,O$27/AGR_fec!O$27)</f>
        <v>0.43417551672220778</v>
      </c>
      <c r="P53" s="265">
        <f>IF(P$27=0,0,P$27/AGR_fec!P$27)</f>
        <v>0.43417551672220767</v>
      </c>
      <c r="Q53" s="265">
        <f>IF(Q$27=0,0,Q$27/AGR_fec!Q$27)</f>
        <v>0.43417551672220767</v>
      </c>
      <c r="R53" s="265">
        <f>IF(R$27=0,0,R$27/AGR_fec!R$27)</f>
        <v>0.43417551672220794</v>
      </c>
      <c r="S53" s="265">
        <f>IF(S$27=0,0,S$27/AGR_fec!S$27)</f>
        <v>0.43417551672220789</v>
      </c>
      <c r="T53" s="265">
        <f>IF(T$27=0,0,T$27/AGR_fec!T$27)</f>
        <v>0.43417551672220756</v>
      </c>
      <c r="U53" s="265">
        <f>IF(U$27=0,0,U$27/AGR_fec!U$27)</f>
        <v>0.43417551672220783</v>
      </c>
      <c r="V53" s="265">
        <f>IF(V$27=0,0,V$27/AGR_fec!V$27)</f>
        <v>0.43417551672220789</v>
      </c>
      <c r="W53" s="265">
        <f>IF(W$27=0,0,W$27/AGR_fec!W$27)</f>
        <v>0.43417551672220789</v>
      </c>
      <c r="X53" s="265">
        <f>IF(X$27=0,0,X$27/AGR_fec!X$27)</f>
        <v>0.43417551672220783</v>
      </c>
      <c r="Y53" s="265">
        <f>IF(Y$27=0,0,Y$27/AGR_fec!Y$27)</f>
        <v>0.43417551672220778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2656.1320378173277</v>
      </c>
      <c r="C5" s="80">
        <f t="shared" ref="C5:W5" si="0">SUM(C6:C9,C16:C17,C25:C27)</f>
        <v>2691.8237110427917</v>
      </c>
      <c r="D5" s="80">
        <f t="shared" si="0"/>
        <v>2918.1398947177427</v>
      </c>
      <c r="E5" s="80">
        <f t="shared" si="0"/>
        <v>3126.93444684211</v>
      </c>
      <c r="F5" s="80">
        <f t="shared" si="0"/>
        <v>2673.3443222543824</v>
      </c>
      <c r="G5" s="80">
        <f t="shared" si="0"/>
        <v>2744.6112152507453</v>
      </c>
      <c r="H5" s="80">
        <f t="shared" si="0"/>
        <v>2894.2575444013742</v>
      </c>
      <c r="I5" s="80">
        <f t="shared" si="0"/>
        <v>2594.8675566025217</v>
      </c>
      <c r="J5" s="80">
        <f t="shared" si="0"/>
        <v>2508.9540534029784</v>
      </c>
      <c r="K5" s="80">
        <f t="shared" si="0"/>
        <v>1962.3770715624034</v>
      </c>
      <c r="L5" s="80">
        <f t="shared" si="0"/>
        <v>1689.283281961352</v>
      </c>
      <c r="M5" s="80">
        <f t="shared" si="0"/>
        <v>1577.0072289326711</v>
      </c>
      <c r="N5" s="80">
        <f t="shared" si="0"/>
        <v>1444.4086352387949</v>
      </c>
      <c r="O5" s="80">
        <f t="shared" si="0"/>
        <v>961.81425198647923</v>
      </c>
      <c r="P5" s="80">
        <f t="shared" si="0"/>
        <v>883.64007843310048</v>
      </c>
      <c r="Q5" s="80">
        <f t="shared" si="0"/>
        <v>895.36518380881216</v>
      </c>
      <c r="R5" s="80">
        <f t="shared" si="0"/>
        <v>848.54314601950944</v>
      </c>
      <c r="S5" s="80">
        <f t="shared" si="0"/>
        <v>846.80166744687313</v>
      </c>
      <c r="T5" s="80">
        <f t="shared" si="0"/>
        <v>841.40948977432379</v>
      </c>
      <c r="U5" s="80">
        <f t="shared" si="0"/>
        <v>824.29475053254396</v>
      </c>
      <c r="V5" s="80">
        <f t="shared" si="0"/>
        <v>1165.7611254578915</v>
      </c>
      <c r="W5" s="80">
        <f t="shared" si="0"/>
        <v>709.33854352421213</v>
      </c>
      <c r="X5" s="80">
        <f t="shared" ref="X5:Y5" si="1">SUM(X6:X9,X16:X17,X25:X27)</f>
        <v>990.38459964972606</v>
      </c>
      <c r="Y5" s="80">
        <f t="shared" si="1"/>
        <v>937.01835505546364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459.957465723094</v>
      </c>
      <c r="C9" s="243">
        <f t="shared" ref="C9:W9" si="2">SUM(C10:C15)</f>
        <v>476.37037479644948</v>
      </c>
      <c r="D9" s="243">
        <f t="shared" si="2"/>
        <v>553.78112119693822</v>
      </c>
      <c r="E9" s="243">
        <f t="shared" si="2"/>
        <v>590.51479474324481</v>
      </c>
      <c r="F9" s="243">
        <f t="shared" si="2"/>
        <v>478.03905335049791</v>
      </c>
      <c r="G9" s="243">
        <f t="shared" si="2"/>
        <v>487.04372884446502</v>
      </c>
      <c r="H9" s="243">
        <f t="shared" si="2"/>
        <v>533.03839521052555</v>
      </c>
      <c r="I9" s="243">
        <f t="shared" si="2"/>
        <v>453.42295202034848</v>
      </c>
      <c r="J9" s="243">
        <f t="shared" si="2"/>
        <v>420.09579908415458</v>
      </c>
      <c r="K9" s="243">
        <f t="shared" si="2"/>
        <v>324.15066812809778</v>
      </c>
      <c r="L9" s="243">
        <f t="shared" si="2"/>
        <v>257.50423640937328</v>
      </c>
      <c r="M9" s="243">
        <f t="shared" si="2"/>
        <v>248.5040200438587</v>
      </c>
      <c r="N9" s="243">
        <f t="shared" si="2"/>
        <v>83.940271460427851</v>
      </c>
      <c r="O9" s="243">
        <f t="shared" si="2"/>
        <v>17.651702653023971</v>
      </c>
      <c r="P9" s="243">
        <f t="shared" si="2"/>
        <v>32.70883461476172</v>
      </c>
      <c r="Q9" s="243">
        <f t="shared" si="2"/>
        <v>34.057633889932241</v>
      </c>
      <c r="R9" s="243">
        <f t="shared" si="2"/>
        <v>25.097331653945037</v>
      </c>
      <c r="S9" s="243">
        <f t="shared" si="2"/>
        <v>21.133205946361613</v>
      </c>
      <c r="T9" s="243">
        <f t="shared" si="2"/>
        <v>29.823041202901589</v>
      </c>
      <c r="U9" s="243">
        <f t="shared" si="2"/>
        <v>25.132466015527864</v>
      </c>
      <c r="V9" s="243">
        <f t="shared" si="2"/>
        <v>73.687735660772375</v>
      </c>
      <c r="W9" s="243">
        <f t="shared" si="2"/>
        <v>19.113668345075411</v>
      </c>
      <c r="X9" s="243">
        <f t="shared" ref="X9:Y9" si="3">SUM(X10:X15)</f>
        <v>54.999797703014359</v>
      </c>
      <c r="Y9" s="243">
        <f t="shared" si="3"/>
        <v>49.748189889679807</v>
      </c>
      <c r="DA9" s="269"/>
    </row>
    <row r="10" spans="1:105" x14ac:dyDescent="0.25">
      <c r="A10" s="253" t="s">
        <v>166</v>
      </c>
      <c r="B10" s="254">
        <v>459.957465723094</v>
      </c>
      <c r="C10" s="254">
        <v>476.37037479644948</v>
      </c>
      <c r="D10" s="254">
        <v>553.78112119693822</v>
      </c>
      <c r="E10" s="254">
        <v>590.51479474324481</v>
      </c>
      <c r="F10" s="254">
        <v>478.03905335049791</v>
      </c>
      <c r="G10" s="254">
        <v>487.04372884446502</v>
      </c>
      <c r="H10" s="254">
        <v>533.03839521052555</v>
      </c>
      <c r="I10" s="254">
        <v>453.42295202034848</v>
      </c>
      <c r="J10" s="254">
        <v>420.09579908415458</v>
      </c>
      <c r="K10" s="254">
        <v>324.15066812809778</v>
      </c>
      <c r="L10" s="254">
        <v>257.50423640937328</v>
      </c>
      <c r="M10" s="254">
        <v>248.5040200438587</v>
      </c>
      <c r="N10" s="254">
        <v>83.940271460427851</v>
      </c>
      <c r="O10" s="254">
        <v>17.651702653023971</v>
      </c>
      <c r="P10" s="254">
        <v>32.53187209755928</v>
      </c>
      <c r="Q10" s="254">
        <v>33.89469531438229</v>
      </c>
      <c r="R10" s="254">
        <v>24.87076464229062</v>
      </c>
      <c r="S10" s="254">
        <v>20.824938190016411</v>
      </c>
      <c r="T10" s="254">
        <v>29.33431861065635</v>
      </c>
      <c r="U10" s="254">
        <v>23.03993449844635</v>
      </c>
      <c r="V10" s="254">
        <v>70.881354037817601</v>
      </c>
      <c r="W10" s="254">
        <v>16.277422851988089</v>
      </c>
      <c r="X10" s="254">
        <v>44.76480327105611</v>
      </c>
      <c r="Y10" s="254">
        <v>32.107193795776283</v>
      </c>
      <c r="DA10" s="270" t="s">
        <v>1040</v>
      </c>
    </row>
    <row r="11" spans="1:105" x14ac:dyDescent="0.25">
      <c r="A11" s="253" t="s">
        <v>169</v>
      </c>
      <c r="B11" s="255">
        <v>0</v>
      </c>
      <c r="C11" s="255">
        <v>0</v>
      </c>
      <c r="D11" s="255">
        <v>0</v>
      </c>
      <c r="E11" s="255">
        <v>0</v>
      </c>
      <c r="F11" s="255">
        <v>0</v>
      </c>
      <c r="G11" s="255">
        <v>0</v>
      </c>
      <c r="H11" s="255">
        <v>0</v>
      </c>
      <c r="I11" s="255">
        <v>0</v>
      </c>
      <c r="J11" s="255">
        <v>0</v>
      </c>
      <c r="K11" s="255">
        <v>0</v>
      </c>
      <c r="L11" s="255">
        <v>0</v>
      </c>
      <c r="M11" s="255">
        <v>0</v>
      </c>
      <c r="N11" s="255">
        <v>0</v>
      </c>
      <c r="O11" s="255">
        <v>0</v>
      </c>
      <c r="P11" s="255">
        <v>0.17696251720244341</v>
      </c>
      <c r="Q11" s="255">
        <v>0.16293857554995431</v>
      </c>
      <c r="R11" s="255">
        <v>0.22656701165441809</v>
      </c>
      <c r="S11" s="255">
        <v>0.30826775634520281</v>
      </c>
      <c r="T11" s="255">
        <v>0.48872259224524039</v>
      </c>
      <c r="U11" s="255">
        <v>2.0925315170815151</v>
      </c>
      <c r="V11" s="255">
        <v>2.806381622954774</v>
      </c>
      <c r="W11" s="255">
        <v>2.836245493087322</v>
      </c>
      <c r="X11" s="255">
        <v>10.234994431958251</v>
      </c>
      <c r="Y11" s="255">
        <v>17.640996093903521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847.89874953277013</v>
      </c>
      <c r="C16" s="257">
        <v>855.77741067097111</v>
      </c>
      <c r="D16" s="257">
        <v>918.92715774120268</v>
      </c>
      <c r="E16" s="257">
        <v>990.59334541696455</v>
      </c>
      <c r="F16" s="257">
        <v>860.73969740152268</v>
      </c>
      <c r="G16" s="257">
        <v>885.87662710694974</v>
      </c>
      <c r="H16" s="257">
        <v>921.66723392229494</v>
      </c>
      <c r="I16" s="257">
        <v>841.1837079785796</v>
      </c>
      <c r="J16" s="257">
        <v>822.41803016139784</v>
      </c>
      <c r="K16" s="257">
        <v>649.82942535149607</v>
      </c>
      <c r="L16" s="257">
        <v>578.48784208967061</v>
      </c>
      <c r="M16" s="257">
        <v>551.94459723702914</v>
      </c>
      <c r="N16" s="257">
        <v>374.95238774400991</v>
      </c>
      <c r="O16" s="257">
        <v>209.15567981263499</v>
      </c>
      <c r="P16" s="257">
        <v>231.7836923602417</v>
      </c>
      <c r="Q16" s="257">
        <v>234.0226997975858</v>
      </c>
      <c r="R16" s="257">
        <v>216.9402242860595</v>
      </c>
      <c r="S16" s="257">
        <v>214.7383307588546</v>
      </c>
      <c r="T16" s="257">
        <v>222.23298938010731</v>
      </c>
      <c r="U16" s="257">
        <v>210.76784539988881</v>
      </c>
      <c r="V16" s="257">
        <v>321.05206366053761</v>
      </c>
      <c r="W16" s="257">
        <v>194.91503550450389</v>
      </c>
      <c r="X16" s="257">
        <v>260.78121197453038</v>
      </c>
      <c r="Y16" s="257">
        <v>227.97421868239019</v>
      </c>
      <c r="DA16" s="272" t="s">
        <v>1046</v>
      </c>
    </row>
    <row r="17" spans="1:105" x14ac:dyDescent="0.25">
      <c r="A17" s="256" t="s">
        <v>121</v>
      </c>
      <c r="B17" s="257">
        <f>SUM(B18:B24)</f>
        <v>1185.3450116835591</v>
      </c>
      <c r="C17" s="257">
        <f t="shared" ref="C17:W17" si="4">SUM(C18:C24)</f>
        <v>1195.2311643011642</v>
      </c>
      <c r="D17" s="257">
        <f t="shared" si="4"/>
        <v>1268.8521043332105</v>
      </c>
      <c r="E17" s="257">
        <f t="shared" si="4"/>
        <v>1355.4755400272973</v>
      </c>
      <c r="F17" s="257">
        <f t="shared" si="4"/>
        <v>1169.167265478545</v>
      </c>
      <c r="G17" s="257">
        <f t="shared" si="4"/>
        <v>1201.4622827483515</v>
      </c>
      <c r="H17" s="257">
        <f t="shared" si="4"/>
        <v>1262.4458753489241</v>
      </c>
      <c r="I17" s="257">
        <f t="shared" si="4"/>
        <v>1138.6204369216373</v>
      </c>
      <c r="J17" s="257">
        <f t="shared" si="4"/>
        <v>1108.4057458560439</v>
      </c>
      <c r="K17" s="257">
        <f t="shared" si="4"/>
        <v>863.52683850165681</v>
      </c>
      <c r="L17" s="257">
        <f t="shared" si="4"/>
        <v>742.12994364606584</v>
      </c>
      <c r="M17" s="257">
        <f t="shared" si="4"/>
        <v>670.49785753808453</v>
      </c>
      <c r="N17" s="257">
        <f t="shared" si="4"/>
        <v>913.46574997917992</v>
      </c>
      <c r="O17" s="257">
        <f t="shared" si="4"/>
        <v>694.81586259886114</v>
      </c>
      <c r="P17" s="257">
        <f t="shared" si="4"/>
        <v>574.60838334947675</v>
      </c>
      <c r="Q17" s="257">
        <f t="shared" si="4"/>
        <v>582.31543807431547</v>
      </c>
      <c r="R17" s="257">
        <f t="shared" si="4"/>
        <v>564.81871806272272</v>
      </c>
      <c r="S17" s="257">
        <f t="shared" si="4"/>
        <v>569.66637091610266</v>
      </c>
      <c r="T17" s="257">
        <f t="shared" si="4"/>
        <v>546.64953825326154</v>
      </c>
      <c r="U17" s="257">
        <f t="shared" si="4"/>
        <v>547.89364114223235</v>
      </c>
      <c r="V17" s="257">
        <f t="shared" si="4"/>
        <v>709.32849654453321</v>
      </c>
      <c r="W17" s="257">
        <f t="shared" si="4"/>
        <v>457.85529123409759</v>
      </c>
      <c r="X17" s="257">
        <f t="shared" ref="X17:Y17" si="5">SUM(X18:X24)</f>
        <v>624.49230681231529</v>
      </c>
      <c r="Y17" s="257">
        <f t="shared" si="5"/>
        <v>615.48880048907938</v>
      </c>
      <c r="DA17" s="272"/>
    </row>
    <row r="18" spans="1:105" x14ac:dyDescent="0.25">
      <c r="A18" s="61" t="s">
        <v>29</v>
      </c>
      <c r="B18" s="55">
        <v>34.140115974931199</v>
      </c>
      <c r="C18" s="55">
        <v>31.658035760769032</v>
      </c>
      <c r="D18" s="55">
        <v>0</v>
      </c>
      <c r="E18" s="55">
        <v>0</v>
      </c>
      <c r="F18" s="55">
        <v>1.9367714520023169</v>
      </c>
      <c r="G18" s="55">
        <v>12.433642328199671</v>
      </c>
      <c r="H18" s="55">
        <v>18.938304000013382</v>
      </c>
      <c r="I18" s="55">
        <v>0</v>
      </c>
      <c r="J18" s="55">
        <v>0</v>
      </c>
      <c r="K18" s="55">
        <v>0</v>
      </c>
      <c r="L18" s="55">
        <v>0</v>
      </c>
      <c r="M18" s="55">
        <v>5.9576889314952943</v>
      </c>
      <c r="N18" s="55">
        <v>0</v>
      </c>
      <c r="O18" s="55">
        <v>5.055144663785204</v>
      </c>
      <c r="P18" s="55">
        <v>14.2513331112151</v>
      </c>
      <c r="Q18" s="55">
        <v>8.09722460722252</v>
      </c>
      <c r="R18" s="55">
        <v>14.7379318171553</v>
      </c>
      <c r="S18" s="55">
        <v>4.2004051255280181</v>
      </c>
      <c r="T18" s="55">
        <v>2.9733795730739079</v>
      </c>
      <c r="U18" s="55">
        <v>3.060368050078198</v>
      </c>
      <c r="V18" s="55">
        <v>7.5519746992094374</v>
      </c>
      <c r="W18" s="55">
        <v>7.608238241699345</v>
      </c>
      <c r="X18" s="55">
        <v>5.9872688518999526</v>
      </c>
      <c r="Y18" s="55">
        <v>3.6934210969894239</v>
      </c>
      <c r="DA18" s="101" t="s">
        <v>1047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255.42892619961609</v>
      </c>
      <c r="O19" s="55">
        <v>81.272850480229494</v>
      </c>
      <c r="P19" s="55">
        <v>63.857401920199813</v>
      </c>
      <c r="Q19" s="55">
        <v>69.66247572018159</v>
      </c>
      <c r="R19" s="55">
        <v>75.467776680292928</v>
      </c>
      <c r="S19" s="55">
        <v>82.929982680173623</v>
      </c>
      <c r="T19" s="55">
        <v>92.639482560197564</v>
      </c>
      <c r="U19" s="55">
        <v>92.526129720379615</v>
      </c>
      <c r="V19" s="55">
        <v>97.776933119812824</v>
      </c>
      <c r="W19" s="55">
        <v>100.772264880443</v>
      </c>
      <c r="X19" s="55">
        <v>101.61139391963169</v>
      </c>
      <c r="Y19" s="55">
        <v>115.28824319968641</v>
      </c>
      <c r="DA19" s="101" t="s">
        <v>1048</v>
      </c>
    </row>
    <row r="20" spans="1:105" x14ac:dyDescent="0.25">
      <c r="A20" s="61" t="s">
        <v>166</v>
      </c>
      <c r="B20" s="55">
        <v>950.80103314837424</v>
      </c>
      <c r="C20" s="55">
        <v>956.85839398017947</v>
      </c>
      <c r="D20" s="55">
        <v>1059.0672688934219</v>
      </c>
      <c r="E20" s="55">
        <v>1188.6138228271509</v>
      </c>
      <c r="F20" s="55">
        <v>1000.254654306343</v>
      </c>
      <c r="G20" s="55">
        <v>1025.008808219945</v>
      </c>
      <c r="H20" s="55">
        <v>1060.611949508796</v>
      </c>
      <c r="I20" s="55">
        <v>955.78186176139468</v>
      </c>
      <c r="J20" s="55">
        <v>928.63702209574853</v>
      </c>
      <c r="K20" s="55">
        <v>716.22935586140557</v>
      </c>
      <c r="L20" s="55">
        <v>665.89983276598184</v>
      </c>
      <c r="M20" s="55">
        <v>637.09736860656062</v>
      </c>
      <c r="N20" s="55">
        <v>90.919223660416236</v>
      </c>
      <c r="O20" s="55">
        <v>26.57099061320325</v>
      </c>
      <c r="P20" s="55">
        <v>51.004507433871083</v>
      </c>
      <c r="Q20" s="55">
        <v>50.129270681277127</v>
      </c>
      <c r="R20" s="55">
        <v>41.638030135249089</v>
      </c>
      <c r="S20" s="55">
        <v>39.069362945818668</v>
      </c>
      <c r="T20" s="55">
        <v>46.707805311373953</v>
      </c>
      <c r="U20" s="55">
        <v>38.636381207168156</v>
      </c>
      <c r="V20" s="55">
        <v>95.638994949432828</v>
      </c>
      <c r="W20" s="55">
        <v>42.564748323705018</v>
      </c>
      <c r="X20" s="55">
        <v>60.201001074356753</v>
      </c>
      <c r="Y20" s="55">
        <v>39.287777887497747</v>
      </c>
      <c r="DA20" s="101" t="s">
        <v>1049</v>
      </c>
    </row>
    <row r="21" spans="1:105" x14ac:dyDescent="0.25">
      <c r="A21" s="61" t="s">
        <v>129</v>
      </c>
      <c r="B21" s="55">
        <v>200.40386256025371</v>
      </c>
      <c r="C21" s="55">
        <v>206.7147345602157</v>
      </c>
      <c r="D21" s="55">
        <v>209.78483543978851</v>
      </c>
      <c r="E21" s="55">
        <v>166.8617172001463</v>
      </c>
      <c r="F21" s="55">
        <v>166.97583972019979</v>
      </c>
      <c r="G21" s="55">
        <v>164.01983220020679</v>
      </c>
      <c r="H21" s="55">
        <v>182.8956218401147</v>
      </c>
      <c r="I21" s="55">
        <v>182.8385751602427</v>
      </c>
      <c r="J21" s="55">
        <v>179.76872376029539</v>
      </c>
      <c r="K21" s="55">
        <v>147.29748264025119</v>
      </c>
      <c r="L21" s="55">
        <v>76.230110880083956</v>
      </c>
      <c r="M21" s="55">
        <v>27.44280000002853</v>
      </c>
      <c r="N21" s="55">
        <v>567.1176001191476</v>
      </c>
      <c r="O21" s="55">
        <v>581.91687684164322</v>
      </c>
      <c r="P21" s="55">
        <v>445.21769340139298</v>
      </c>
      <c r="Q21" s="55">
        <v>454.18548564118407</v>
      </c>
      <c r="R21" s="55">
        <v>432.59566644167933</v>
      </c>
      <c r="S21" s="55">
        <v>442.88828352092702</v>
      </c>
      <c r="T21" s="55">
        <v>403.5506983208607</v>
      </c>
      <c r="U21" s="55">
        <v>410.16173112168281</v>
      </c>
      <c r="V21" s="55">
        <v>504.57399119903431</v>
      </c>
      <c r="W21" s="55">
        <v>299.49338196131669</v>
      </c>
      <c r="X21" s="55">
        <v>442.92832667839468</v>
      </c>
      <c r="Y21" s="55">
        <v>435.633057718815</v>
      </c>
      <c r="DA21" s="101" t="s">
        <v>1050</v>
      </c>
    </row>
    <row r="22" spans="1:105" x14ac:dyDescent="0.25">
      <c r="A22" s="61" t="s">
        <v>169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0.27744748279782322</v>
      </c>
      <c r="Q22" s="55">
        <v>0.24098142445020071</v>
      </c>
      <c r="R22" s="55">
        <v>0.3793129883461086</v>
      </c>
      <c r="S22" s="55">
        <v>0.57833664365533621</v>
      </c>
      <c r="T22" s="55">
        <v>0.77817248775528791</v>
      </c>
      <c r="U22" s="55">
        <v>3.5090310429236311</v>
      </c>
      <c r="V22" s="55">
        <v>3.7866025770437819</v>
      </c>
      <c r="W22" s="55">
        <v>7.4166578269335579</v>
      </c>
      <c r="X22" s="55">
        <v>13.76431628803218</v>
      </c>
      <c r="Y22" s="55">
        <v>21.586300586090811</v>
      </c>
      <c r="DA22" s="101" t="s">
        <v>1051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162.93081087790469</v>
      </c>
      <c r="C25" s="257">
        <v>164.444761274207</v>
      </c>
      <c r="D25" s="257">
        <v>176.57951144639111</v>
      </c>
      <c r="E25" s="257">
        <v>190.35076665460349</v>
      </c>
      <c r="F25" s="257">
        <v>165.3983060238165</v>
      </c>
      <c r="G25" s="257">
        <v>170.228576550979</v>
      </c>
      <c r="H25" s="257">
        <v>177.10603991962981</v>
      </c>
      <c r="I25" s="257">
        <v>161.640459681956</v>
      </c>
      <c r="J25" s="257">
        <v>158.03447830138219</v>
      </c>
      <c r="K25" s="257">
        <v>124.870139581153</v>
      </c>
      <c r="L25" s="257">
        <v>111.16125981624241</v>
      </c>
      <c r="M25" s="257">
        <v>106.06075411369859</v>
      </c>
      <c r="N25" s="257">
        <v>72.050226055177092</v>
      </c>
      <c r="O25" s="257">
        <v>40.191006921959101</v>
      </c>
      <c r="P25" s="257">
        <v>44.539168108620302</v>
      </c>
      <c r="Q25" s="257">
        <v>44.969412046978711</v>
      </c>
      <c r="R25" s="257">
        <v>41.686872016782146</v>
      </c>
      <c r="S25" s="257">
        <v>41.263759825554132</v>
      </c>
      <c r="T25" s="257">
        <v>42.703920938053287</v>
      </c>
      <c r="U25" s="257">
        <v>40.500797974894908</v>
      </c>
      <c r="V25" s="257">
        <v>61.692829592048362</v>
      </c>
      <c r="W25" s="257">
        <v>37.454548440535262</v>
      </c>
      <c r="X25" s="257">
        <v>50.11128315986609</v>
      </c>
      <c r="Y25" s="257">
        <v>43.807145994314332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1</v>
      </c>
      <c r="C31" s="235">
        <f t="shared" si="6"/>
        <v>1</v>
      </c>
      <c r="D31" s="235">
        <f t="shared" si="6"/>
        <v>1</v>
      </c>
      <c r="E31" s="235">
        <f t="shared" si="6"/>
        <v>1</v>
      </c>
      <c r="F31" s="235">
        <f t="shared" si="6"/>
        <v>0.99999999999999989</v>
      </c>
      <c r="G31" s="235">
        <f t="shared" si="6"/>
        <v>0.99999999999999989</v>
      </c>
      <c r="H31" s="235">
        <f t="shared" si="6"/>
        <v>1</v>
      </c>
      <c r="I31" s="235">
        <f t="shared" si="6"/>
        <v>0.99999999999999989</v>
      </c>
      <c r="J31" s="235">
        <f t="shared" si="6"/>
        <v>1</v>
      </c>
      <c r="K31" s="235">
        <f t="shared" si="6"/>
        <v>1.0000000000000002</v>
      </c>
      <c r="L31" s="235">
        <f t="shared" si="6"/>
        <v>1</v>
      </c>
      <c r="M31" s="235">
        <f t="shared" si="6"/>
        <v>0.99999999999999989</v>
      </c>
      <c r="N31" s="235">
        <f t="shared" si="6"/>
        <v>1</v>
      </c>
      <c r="O31" s="235">
        <f t="shared" si="6"/>
        <v>1</v>
      </c>
      <c r="P31" s="235">
        <f t="shared" si="6"/>
        <v>1</v>
      </c>
      <c r="Q31" s="235">
        <f t="shared" si="6"/>
        <v>1</v>
      </c>
      <c r="R31" s="235">
        <f t="shared" ref="R31:W31" si="7">SUM(R32:R40)</f>
        <v>1</v>
      </c>
      <c r="S31" s="235">
        <f t="shared" si="7"/>
        <v>0.99999999999999989</v>
      </c>
      <c r="T31" s="235">
        <f t="shared" si="7"/>
        <v>1</v>
      </c>
      <c r="U31" s="235">
        <f t="shared" si="7"/>
        <v>0.99999999999999989</v>
      </c>
      <c r="V31" s="235">
        <f t="shared" si="7"/>
        <v>1</v>
      </c>
      <c r="W31" s="235">
        <f t="shared" si="7"/>
        <v>1</v>
      </c>
      <c r="X31" s="235">
        <f t="shared" ref="X31:Y31" si="8">SUM(X32:X40)</f>
        <v>1</v>
      </c>
      <c r="Y31" s="235">
        <f t="shared" si="8"/>
        <v>1.0000000000000002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0.1731681479588881</v>
      </c>
      <c r="C35" s="246">
        <f t="shared" si="12"/>
        <v>0.17696938058841427</v>
      </c>
      <c r="D35" s="246">
        <f t="shared" si="12"/>
        <v>0.18977195788295226</v>
      </c>
      <c r="E35" s="246">
        <f t="shared" si="12"/>
        <v>0.18884783316759501</v>
      </c>
      <c r="F35" s="246">
        <f t="shared" si="12"/>
        <v>0.17881686596486618</v>
      </c>
      <c r="G35" s="246">
        <f t="shared" si="12"/>
        <v>0.17745454297430216</v>
      </c>
      <c r="H35" s="246">
        <f t="shared" si="12"/>
        <v>0.18417103075074651</v>
      </c>
      <c r="I35" s="246">
        <f t="shared" si="12"/>
        <v>0.17473837956262336</v>
      </c>
      <c r="J35" s="246">
        <f t="shared" si="12"/>
        <v>0.16743861790309175</v>
      </c>
      <c r="K35" s="246">
        <f t="shared" si="12"/>
        <v>0.16518266179599</v>
      </c>
      <c r="L35" s="246">
        <f t="shared" si="12"/>
        <v>0.15243401693432762</v>
      </c>
      <c r="M35" s="246">
        <f t="shared" si="12"/>
        <v>0.15757950596843356</v>
      </c>
      <c r="N35" s="246">
        <f t="shared" si="12"/>
        <v>5.8113936328378801E-2</v>
      </c>
      <c r="O35" s="246">
        <f t="shared" si="12"/>
        <v>1.8352506855213568E-2</v>
      </c>
      <c r="P35" s="246">
        <f t="shared" si="12"/>
        <v>3.7016015245440313E-2</v>
      </c>
      <c r="Q35" s="246">
        <f t="shared" si="12"/>
        <v>3.8037701829161795E-2</v>
      </c>
      <c r="R35" s="246">
        <f t="shared" si="12"/>
        <v>2.9576965852209012E-2</v>
      </c>
      <c r="S35" s="246">
        <f t="shared" si="12"/>
        <v>2.4956500156735312E-2</v>
      </c>
      <c r="T35" s="246">
        <f t="shared" si="12"/>
        <v>3.5444146477240812E-2</v>
      </c>
      <c r="U35" s="246">
        <f t="shared" si="12"/>
        <v>3.0489659189617282E-2</v>
      </c>
      <c r="V35" s="246">
        <f t="shared" si="12"/>
        <v>6.3209978486655286E-2</v>
      </c>
      <c r="W35" s="246">
        <f t="shared" si="12"/>
        <v>2.6945763090939379E-2</v>
      </c>
      <c r="X35" s="246">
        <f t="shared" si="12"/>
        <v>5.5533777203791733E-2</v>
      </c>
      <c r="Y35" s="246">
        <f t="shared" si="12"/>
        <v>5.3092012148187998E-2</v>
      </c>
      <c r="DA35" s="277"/>
    </row>
    <row r="36" spans="1:105" x14ac:dyDescent="0.25">
      <c r="A36" s="127" t="s">
        <v>168</v>
      </c>
      <c r="B36" s="259">
        <f t="shared" ref="B36:Y36" si="13">IF(B$16=0,0,B$16/B$5)</f>
        <v>0.31922311747330512</v>
      </c>
      <c r="C36" s="259">
        <f t="shared" si="13"/>
        <v>0.31791733134687694</v>
      </c>
      <c r="D36" s="259">
        <f t="shared" si="13"/>
        <v>0.31490168082914544</v>
      </c>
      <c r="E36" s="259">
        <f t="shared" si="13"/>
        <v>0.31679376790817104</v>
      </c>
      <c r="F36" s="259">
        <f t="shared" si="13"/>
        <v>0.32197113190255888</v>
      </c>
      <c r="G36" s="259">
        <f t="shared" si="13"/>
        <v>0.32276944078071063</v>
      </c>
      <c r="H36" s="259">
        <f t="shared" si="13"/>
        <v>0.31844686237586556</v>
      </c>
      <c r="I36" s="259">
        <f t="shared" si="13"/>
        <v>0.32417211654530348</v>
      </c>
      <c r="J36" s="259">
        <f t="shared" si="13"/>
        <v>0.32779318100541727</v>
      </c>
      <c r="K36" s="259">
        <f t="shared" si="13"/>
        <v>0.33114401649328051</v>
      </c>
      <c r="L36" s="259">
        <f t="shared" si="13"/>
        <v>0.34244572728974976</v>
      </c>
      <c r="M36" s="259">
        <f t="shared" si="13"/>
        <v>0.34999496965564886</v>
      </c>
      <c r="N36" s="259">
        <f t="shared" si="13"/>
        <v>0.25958885774870866</v>
      </c>
      <c r="O36" s="259">
        <f t="shared" si="13"/>
        <v>0.21745953481210759</v>
      </c>
      <c r="P36" s="259">
        <f t="shared" si="13"/>
        <v>0.2623055450034002</v>
      </c>
      <c r="Q36" s="259">
        <f t="shared" si="13"/>
        <v>0.26137123045378186</v>
      </c>
      <c r="R36" s="259">
        <f t="shared" si="13"/>
        <v>0.25566198407673152</v>
      </c>
      <c r="S36" s="259">
        <f t="shared" si="13"/>
        <v>0.2535875152517067</v>
      </c>
      <c r="T36" s="259">
        <f t="shared" si="13"/>
        <v>0.26411989890880944</v>
      </c>
      <c r="U36" s="259">
        <f t="shared" si="13"/>
        <v>0.25569475635228794</v>
      </c>
      <c r="V36" s="259">
        <f t="shared" si="13"/>
        <v>0.27540124357332102</v>
      </c>
      <c r="W36" s="259">
        <f t="shared" si="13"/>
        <v>0.27478421592051944</v>
      </c>
      <c r="X36" s="259">
        <f t="shared" si="13"/>
        <v>0.26331307258489489</v>
      </c>
      <c r="Y36" s="259">
        <f t="shared" si="13"/>
        <v>0.24329749513700405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0.44626735222757014</v>
      </c>
      <c r="C37" s="259">
        <f t="shared" si="14"/>
        <v>0.44402282341072807</v>
      </c>
      <c r="D37" s="259">
        <f t="shared" si="14"/>
        <v>0.43481537901250628</v>
      </c>
      <c r="E37" s="259">
        <f t="shared" si="14"/>
        <v>0.43348383634846954</v>
      </c>
      <c r="F37" s="259">
        <f t="shared" si="14"/>
        <v>0.43734256591855986</v>
      </c>
      <c r="G37" s="259">
        <f t="shared" si="14"/>
        <v>0.43775317832714861</v>
      </c>
      <c r="H37" s="259">
        <f t="shared" si="14"/>
        <v>0.43618988841922107</v>
      </c>
      <c r="I37" s="259">
        <f t="shared" si="14"/>
        <v>0.43879713013655347</v>
      </c>
      <c r="J37" s="259">
        <f t="shared" si="14"/>
        <v>0.44178000962300451</v>
      </c>
      <c r="K37" s="259">
        <f t="shared" si="14"/>
        <v>0.44004123927830796</v>
      </c>
      <c r="L37" s="259">
        <f t="shared" si="14"/>
        <v>0.43931645542860737</v>
      </c>
      <c r="M37" s="259">
        <f t="shared" si="14"/>
        <v>0.42517107419468325</v>
      </c>
      <c r="N37" s="259">
        <f t="shared" si="14"/>
        <v>0.63241504356429057</v>
      </c>
      <c r="O37" s="259">
        <f t="shared" si="14"/>
        <v>0.72240129647052531</v>
      </c>
      <c r="P37" s="259">
        <f t="shared" si="14"/>
        <v>0.65027424329642358</v>
      </c>
      <c r="Q37" s="259">
        <f t="shared" si="14"/>
        <v>0.65036640758935027</v>
      </c>
      <c r="R37" s="259">
        <f t="shared" si="14"/>
        <v>0.66563346921399402</v>
      </c>
      <c r="S37" s="259">
        <f t="shared" si="14"/>
        <v>0.67272703020727409</v>
      </c>
      <c r="T37" s="259">
        <f t="shared" si="14"/>
        <v>0.64968311493596242</v>
      </c>
      <c r="U37" s="259">
        <f t="shared" si="14"/>
        <v>0.66468170613516597</v>
      </c>
      <c r="V37" s="259">
        <f t="shared" si="14"/>
        <v>0.60846813386912424</v>
      </c>
      <c r="W37" s="259">
        <f t="shared" si="14"/>
        <v>0.64546794392326634</v>
      </c>
      <c r="X37" s="259">
        <f t="shared" si="14"/>
        <v>0.63055534893533527</v>
      </c>
      <c r="Y37" s="259">
        <f t="shared" si="14"/>
        <v>0.65685885144976441</v>
      </c>
      <c r="DA37" s="278"/>
    </row>
    <row r="38" spans="1:105" x14ac:dyDescent="0.25">
      <c r="A38" s="127" t="s">
        <v>167</v>
      </c>
      <c r="B38" s="259">
        <f t="shared" ref="B38:Y38" si="15">IF(B$25=0,0,B$25/B$5)</f>
        <v>6.1341382340236679E-2</v>
      </c>
      <c r="C38" s="259">
        <f t="shared" si="15"/>
        <v>6.1090464653980762E-2</v>
      </c>
      <c r="D38" s="259">
        <f t="shared" si="15"/>
        <v>6.051098227539594E-2</v>
      </c>
      <c r="E38" s="259">
        <f t="shared" si="15"/>
        <v>6.0874562575764471E-2</v>
      </c>
      <c r="F38" s="259">
        <f t="shared" si="15"/>
        <v>6.1869436214014938E-2</v>
      </c>
      <c r="G38" s="259">
        <f t="shared" si="15"/>
        <v>6.2022837917838594E-2</v>
      </c>
      <c r="H38" s="259">
        <f t="shared" si="15"/>
        <v>6.1192218454166988E-2</v>
      </c>
      <c r="I38" s="259">
        <f t="shared" si="15"/>
        <v>6.2292373755519527E-2</v>
      </c>
      <c r="J38" s="259">
        <f t="shared" si="15"/>
        <v>6.298819146848654E-2</v>
      </c>
      <c r="K38" s="259">
        <f t="shared" si="15"/>
        <v>6.3632082432421619E-2</v>
      </c>
      <c r="L38" s="259">
        <f t="shared" si="15"/>
        <v>6.5803800347315339E-2</v>
      </c>
      <c r="M38" s="259">
        <f t="shared" si="15"/>
        <v>6.7254450181234243E-2</v>
      </c>
      <c r="N38" s="259">
        <f t="shared" si="15"/>
        <v>4.9882162358621931E-2</v>
      </c>
      <c r="O38" s="259">
        <f t="shared" si="15"/>
        <v>4.178666186215349E-2</v>
      </c>
      <c r="P38" s="259">
        <f t="shared" si="15"/>
        <v>5.0404196454735976E-2</v>
      </c>
      <c r="Q38" s="259">
        <f t="shared" si="15"/>
        <v>5.0224660127706121E-2</v>
      </c>
      <c r="R38" s="259">
        <f t="shared" si="15"/>
        <v>4.912758085706545E-2</v>
      </c>
      <c r="S38" s="259">
        <f t="shared" si="15"/>
        <v>4.872895438428379E-2</v>
      </c>
      <c r="T38" s="259">
        <f t="shared" si="15"/>
        <v>5.0752839677987223E-2</v>
      </c>
      <c r="U38" s="259">
        <f t="shared" si="15"/>
        <v>4.9133878322928731E-2</v>
      </c>
      <c r="V38" s="259">
        <f t="shared" si="15"/>
        <v>5.292064407089956E-2</v>
      </c>
      <c r="W38" s="259">
        <f t="shared" si="15"/>
        <v>5.2802077065274844E-2</v>
      </c>
      <c r="X38" s="259">
        <f t="shared" si="15"/>
        <v>5.0597801275978224E-2</v>
      </c>
      <c r="Y38" s="259">
        <f t="shared" si="15"/>
        <v>4.6751641265043643E-2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2.3791365171497434</v>
      </c>
      <c r="C44" s="237">
        <f>IF(C$5=0,0,C$5/AGR_fec!C$5)</f>
        <v>2.407750736969331</v>
      </c>
      <c r="D44" s="237">
        <f>IF(D$5=0,0,D$5/AGR_fec!D$5)</f>
        <v>2.5033125866239234</v>
      </c>
      <c r="E44" s="237">
        <f>IF(E$5=0,0,E$5/AGR_fec!E$5)</f>
        <v>2.4896595295525583</v>
      </c>
      <c r="F44" s="237">
        <f>IF(F$5=0,0,F$5/AGR_fec!F$5)</f>
        <v>2.3906496882772856</v>
      </c>
      <c r="G44" s="237">
        <f>IF(G$5=0,0,G$5/AGR_fec!G$5)</f>
        <v>2.3758170028554741</v>
      </c>
      <c r="H44" s="237">
        <f>IF(H$5=0,0,H$5/AGR_fec!H$5)</f>
        <v>2.4466265038743447</v>
      </c>
      <c r="I44" s="237">
        <f>IF(I$5=0,0,I$5/AGR_fec!I$5)</f>
        <v>2.347527205442721</v>
      </c>
      <c r="J44" s="237">
        <f>IF(J$5=0,0,J$5/AGR_fec!J$5)</f>
        <v>2.2835149705804154</v>
      </c>
      <c r="K44" s="237">
        <f>IF(K$5=0,0,K$5/AGR_fec!K$5)</f>
        <v>2.2438250879241131</v>
      </c>
      <c r="L44" s="237">
        <f>IF(L$5=0,0,L$5/AGR_fec!L$5)</f>
        <v>2.1110683938878507</v>
      </c>
      <c r="M44" s="237">
        <f>IF(M$5=0,0,M$5/AGR_fec!M$5)</f>
        <v>2.0728191543631742</v>
      </c>
      <c r="N44" s="237">
        <f>IF(N$5=0,0,N$5/AGR_fec!N$5)</f>
        <v>1.9189909334086361</v>
      </c>
      <c r="O44" s="237">
        <f>IF(O$5=0,0,O$5/AGR_fec!O$5)</f>
        <v>1.6608204476954542</v>
      </c>
      <c r="P44" s="237">
        <f>IF(P$5=0,0,P$5/AGR_fec!P$5)</f>
        <v>1.7093657289296902</v>
      </c>
      <c r="Q44" s="237">
        <f>IF(Q$5=0,0,Q$5/AGR_fec!Q$5)</f>
        <v>1.7153058756867805</v>
      </c>
      <c r="R44" s="237">
        <f>IF(R$5=0,0,R$5/AGR_fec!R$5)</f>
        <v>1.6374061465978029</v>
      </c>
      <c r="S44" s="237">
        <f>IF(S$5=0,0,S$5/AGR_fec!S$5)</f>
        <v>1.5750098342975549</v>
      </c>
      <c r="T44" s="237">
        <f>IF(T$5=0,0,T$5/AGR_fec!T$5)</f>
        <v>1.6564308819372933</v>
      </c>
      <c r="U44" s="237">
        <f>IF(U$5=0,0,U$5/AGR_fec!U$5)</f>
        <v>1.6050572568339099</v>
      </c>
      <c r="V44" s="237">
        <f>IF(V$5=0,0,V$5/AGR_fec!V$5)</f>
        <v>1.8788072474787929</v>
      </c>
      <c r="W44" s="237">
        <f>IF(W$5=0,0,W$5/AGR_fec!W$5)</f>
        <v>1.4522322684449036</v>
      </c>
      <c r="X44" s="237">
        <f>IF(X$5=0,0,X$5/AGR_fec!X$5)</f>
        <v>1.7954836258382887</v>
      </c>
      <c r="Y44" s="237">
        <f>IF(Y$5=0,0,Y$5/AGR_fec!Y$5)</f>
        <v>1.7715200770697015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2.1288000774879214</v>
      </c>
      <c r="C48" s="252">
        <f>IF(C$9=0,0,C$9/AGR_fec!C$9)</f>
        <v>2.2119625313056837</v>
      </c>
      <c r="D48" s="252">
        <f>IF(D$9=0,0,D$9/AGR_fec!D$9)</f>
        <v>2.4752565591897651</v>
      </c>
      <c r="E48" s="252">
        <f>IF(E$9=0,0,E$9/AGR_fec!E$9)</f>
        <v>2.4334985695130604</v>
      </c>
      <c r="F48" s="252">
        <f>IF(F$9=0,0,F$9/AGR_fec!F$9)</f>
        <v>2.2036970001100831</v>
      </c>
      <c r="G48" s="252">
        <f>IF(G$9=0,0,G$9/AGR_fec!G$9)</f>
        <v>2.171505729973072</v>
      </c>
      <c r="H48" s="252">
        <f>IF(H$9=0,0,H$9/AGR_fec!H$9)</f>
        <v>2.3379399481606602</v>
      </c>
      <c r="I48" s="252">
        <f>IF(I$9=0,0,I$9/AGR_fec!I$9)</f>
        <v>2.1115811055395262</v>
      </c>
      <c r="J48" s="252">
        <f>IF(J$9=0,0,J$9/AGR_fec!J$9)</f>
        <v>1.9495401735684483</v>
      </c>
      <c r="K48" s="252">
        <f>IF(K$9=0,0,K$9/AGR_fec!K$9)</f>
        <v>1.8869392638980509</v>
      </c>
      <c r="L48" s="252">
        <f>IF(L$9=0,0,L$9/AGR_fec!L$9)</f>
        <v>1.5821342368867111</v>
      </c>
      <c r="M48" s="252">
        <f>IF(M$9=0,0,M$9/AGR_fec!M$9)</f>
        <v>1.6102079418320809</v>
      </c>
      <c r="N48" s="252">
        <f>IF(N$9=0,0,N$9/AGR_fec!N$9)</f>
        <v>0.60420596083305034</v>
      </c>
      <c r="O48" s="252">
        <f>IF(O$9=0,0,O$9/AGR_fec!O$9)</f>
        <v>0.13697486972568063</v>
      </c>
      <c r="P48" s="252">
        <f>IF(P$9=0,0,P$9/AGR_fec!P$9)</f>
        <v>0.29665697770331773</v>
      </c>
      <c r="Q48" s="252">
        <f>IF(Q$9=0,0,Q$9/AGR_fec!Q$9)</f>
        <v>0.31114628379818637</v>
      </c>
      <c r="R48" s="252">
        <f>IF(R$9=0,0,R$9/AGR_fec!R$9)</f>
        <v>0.21855769169876088</v>
      </c>
      <c r="S48" s="252">
        <f>IF(S$9=0,0,S$9/AGR_fec!S$9)</f>
        <v>0.16962178498773564</v>
      </c>
      <c r="T48" s="252">
        <f>IF(T$9=0,0,T$9/AGR_fec!T$9)</f>
        <v>0.27217285221074794</v>
      </c>
      <c r="U48" s="252">
        <f>IF(U$9=0,0,U$9/AGR_fec!U$9)</f>
        <v>0.21973802023163638</v>
      </c>
      <c r="V48" s="252">
        <f>IF(V$9=0,0,V$9/AGR_fec!V$9)</f>
        <v>0.6083100154267449</v>
      </c>
      <c r="W48" s="252">
        <f>IF(W$9=0,0,W$9/AGR_fec!W$9)</f>
        <v>0.1547702669642731</v>
      </c>
      <c r="X48" s="252">
        <f>IF(X$9=0,0,X$9/AGR_fec!X$9)</f>
        <v>0.49728211577814363</v>
      </c>
      <c r="Y48" s="252">
        <f>IF(Y$9=0,0,Y$9/AGR_fec!Y$9)</f>
        <v>0.47060365121687997</v>
      </c>
      <c r="DA48" s="289"/>
    </row>
    <row r="49" spans="1:105" x14ac:dyDescent="0.25">
      <c r="A49" s="127" t="s">
        <v>168</v>
      </c>
      <c r="B49" s="264">
        <f>IF(B$16=0,0,B$16/AGR_fec!B$16)</f>
        <v>3.1024188000000006</v>
      </c>
      <c r="C49" s="264">
        <f>IF(C$16=0,0,C$16/AGR_fec!C$16)</f>
        <v>3.1024188000000001</v>
      </c>
      <c r="D49" s="264">
        <f>IF(D$16=0,0,D$16/AGR_fec!D$16)</f>
        <v>3.1024188000000001</v>
      </c>
      <c r="E49" s="264">
        <f>IF(E$16=0,0,E$16/AGR_fec!E$16)</f>
        <v>3.102418800000001</v>
      </c>
      <c r="F49" s="264">
        <f>IF(F$16=0,0,F$16/AGR_fec!F$16)</f>
        <v>3.102418800000001</v>
      </c>
      <c r="G49" s="264">
        <f>IF(G$16=0,0,G$16/AGR_fec!G$16)</f>
        <v>3.1024187999999993</v>
      </c>
      <c r="H49" s="264">
        <f>IF(H$16=0,0,H$16/AGR_fec!H$16)</f>
        <v>3.1024187999999997</v>
      </c>
      <c r="I49" s="264">
        <f>IF(I$16=0,0,I$16/AGR_fec!I$16)</f>
        <v>3.1024187999999993</v>
      </c>
      <c r="J49" s="264">
        <f>IF(J$16=0,0,J$16/AGR_fec!J$16)</f>
        <v>3.1024188000000001</v>
      </c>
      <c r="K49" s="264">
        <f>IF(K$16=0,0,K$16/AGR_fec!K$16)</f>
        <v>3.1024188000000001</v>
      </c>
      <c r="L49" s="264">
        <f>IF(L$16=0,0,L$16/AGR_fec!L$16)</f>
        <v>3.102418800000001</v>
      </c>
      <c r="M49" s="264">
        <f>IF(M$16=0,0,M$16/AGR_fec!M$16)</f>
        <v>3.1024188000000001</v>
      </c>
      <c r="N49" s="264">
        <f>IF(N$16=0,0,N$16/AGR_fec!N$16)</f>
        <v>3.1024188000000001</v>
      </c>
      <c r="O49" s="264">
        <f>IF(O$16=0,0,O$16/AGR_fec!O$16)</f>
        <v>3.1024187999999988</v>
      </c>
      <c r="P49" s="264">
        <f>IF(P$16=0,0,P$16/AGR_fec!P$16)</f>
        <v>3.1024188000000006</v>
      </c>
      <c r="Q49" s="264">
        <f>IF(Q$16=0,0,Q$16/AGR_fec!Q$16)</f>
        <v>3.1024188000000006</v>
      </c>
      <c r="R49" s="264">
        <f>IF(R$16=0,0,R$16/AGR_fec!R$16)</f>
        <v>3.1024187999999997</v>
      </c>
      <c r="S49" s="264">
        <f>IF(S$16=0,0,S$16/AGR_fec!S$16)</f>
        <v>3.1024187999999997</v>
      </c>
      <c r="T49" s="264">
        <f>IF(T$16=0,0,T$16/AGR_fec!T$16)</f>
        <v>3.0964256742894887</v>
      </c>
      <c r="U49" s="264">
        <f>IF(U$16=0,0,U$16/AGR_fec!U$16)</f>
        <v>3.0978847291998131</v>
      </c>
      <c r="V49" s="264">
        <f>IF(V$16=0,0,V$16/AGR_fec!V$16)</f>
        <v>3.0993721481747163</v>
      </c>
      <c r="W49" s="264">
        <f>IF(W$16=0,0,W$16/AGR_fec!W$16)</f>
        <v>3.1024188000000001</v>
      </c>
      <c r="X49" s="264">
        <f>IF(X$16=0,0,X$16/AGR_fec!X$16)</f>
        <v>3.1024187999999997</v>
      </c>
      <c r="Y49" s="264">
        <f>IF(Y$16=0,0,Y$16/AGR_fec!Y$16)</f>
        <v>3.1024187999999993</v>
      </c>
      <c r="DA49" s="290"/>
    </row>
    <row r="50" spans="1:105" x14ac:dyDescent="0.25">
      <c r="A50" s="127" t="s">
        <v>121</v>
      </c>
      <c r="B50" s="264">
        <f>IF(B$17=0,0,B$17/AGR_fec!B$17)</f>
        <v>3.0268299636991669</v>
      </c>
      <c r="C50" s="264">
        <f>IF(C$17=0,0,C$17/AGR_fec!C$17)</f>
        <v>3.0198148676431606</v>
      </c>
      <c r="D50" s="264">
        <f>IF(D$17=0,0,D$17/AGR_fec!D$17)</f>
        <v>3.020076996911182</v>
      </c>
      <c r="E50" s="264">
        <f>IF(E$17=0,0,E$17/AGR_fec!E$17)</f>
        <v>3.0439574389052244</v>
      </c>
      <c r="F50" s="264">
        <f>IF(F$17=0,0,F$17/AGR_fec!F$17)</f>
        <v>2.9885725971918418</v>
      </c>
      <c r="G50" s="264">
        <f>IF(G$17=0,0,G$17/AGR_fec!G$17)</f>
        <v>2.9787465190778351</v>
      </c>
      <c r="H50" s="264">
        <f>IF(H$17=0,0,H$17/AGR_fec!H$17)</f>
        <v>2.9999663715631542</v>
      </c>
      <c r="I50" s="264">
        <f>IF(I$17=0,0,I$17/AGR_fec!I$17)</f>
        <v>2.9518656497047893</v>
      </c>
      <c r="J50" s="264">
        <f>IF(J$17=0,0,J$17/AGR_fec!J$17)</f>
        <v>2.933338136820566</v>
      </c>
      <c r="K50" s="264">
        <f>IF(K$17=0,0,K$17/AGR_fec!K$17)</f>
        <v>2.8677600218911428</v>
      </c>
      <c r="L50" s="264">
        <f>IF(L$17=0,0,L$17/AGR_fec!L$17)</f>
        <v>2.8219334394625308</v>
      </c>
      <c r="M50" s="264">
        <f>IF(M$17=0,0,M$17/AGR_fec!M$17)</f>
        <v>2.6751907128174159</v>
      </c>
      <c r="N50" s="264">
        <f>IF(N$17=0,0,N$17/AGR_fec!N$17)</f>
        <v>2.6572153779513217</v>
      </c>
      <c r="O50" s="264">
        <f>IF(O$17=0,0,O$17/AGR_fec!O$17)</f>
        <v>2.6896510370796092</v>
      </c>
      <c r="P50" s="264">
        <f>IF(P$17=0,0,P$17/AGR_fec!P$17)</f>
        <v>2.6237008915035078</v>
      </c>
      <c r="Q50" s="264">
        <f>IF(Q$17=0,0,Q$17/AGR_fec!Q$17)</f>
        <v>2.5920979213280555</v>
      </c>
      <c r="R50" s="264">
        <f>IF(R$17=0,0,R$17/AGR_fec!R$17)</f>
        <v>2.5843652160920363</v>
      </c>
      <c r="S50" s="264">
        <f>IF(S$17=0,0,S$17/AGR_fec!S$17)</f>
        <v>2.5719134971429702</v>
      </c>
      <c r="T50" s="264">
        <f>IF(T$17=0,0,T$17/AGR_fec!T$17)</f>
        <v>2.5400721816615586</v>
      </c>
      <c r="U50" s="264">
        <f>IF(U$17=0,0,U$17/AGR_fec!U$17)</f>
        <v>2.5214336640340194</v>
      </c>
      <c r="V50" s="264">
        <f>IF(V$17=0,0,V$17/AGR_fec!V$17)</f>
        <v>2.6734456854257118</v>
      </c>
      <c r="W50" s="264">
        <f>IF(W$17=0,0,W$17/AGR_fec!W$17)</f>
        <v>2.5116000835920436</v>
      </c>
      <c r="X50" s="264">
        <f>IF(X$17=0,0,X$17/AGR_fec!X$17)</f>
        <v>2.5893899714273196</v>
      </c>
      <c r="Y50" s="264">
        <f>IF(Y$17=0,0,Y$17/AGR_fec!Y$17)</f>
        <v>2.5454566951649982</v>
      </c>
      <c r="DA50" s="290"/>
    </row>
    <row r="51" spans="1:105" x14ac:dyDescent="0.25">
      <c r="A51" s="127" t="s">
        <v>167</v>
      </c>
      <c r="B51" s="264">
        <f>IF(B$25=0,0,B$25/AGR_fec!B$25)</f>
        <v>3.1024188000000001</v>
      </c>
      <c r="C51" s="264">
        <f>IF(C$25=0,0,C$25/AGR_fec!C$25)</f>
        <v>3.1024187999999997</v>
      </c>
      <c r="D51" s="264">
        <f>IF(D$25=0,0,D$25/AGR_fec!D$25)</f>
        <v>3.102418800000001</v>
      </c>
      <c r="E51" s="264">
        <f>IF(E$25=0,0,E$25/AGR_fec!E$25)</f>
        <v>3.1024187999999997</v>
      </c>
      <c r="F51" s="264">
        <f>IF(F$25=0,0,F$25/AGR_fec!F$25)</f>
        <v>3.1024187999999997</v>
      </c>
      <c r="G51" s="264">
        <f>IF(G$25=0,0,G$25/AGR_fec!G$25)</f>
        <v>3.1024187999999997</v>
      </c>
      <c r="H51" s="264">
        <f>IF(H$25=0,0,H$25/AGR_fec!H$25)</f>
        <v>3.1024187999999997</v>
      </c>
      <c r="I51" s="264">
        <f>IF(I$25=0,0,I$25/AGR_fec!I$25)</f>
        <v>3.1024187999999997</v>
      </c>
      <c r="J51" s="264">
        <f>IF(J$25=0,0,J$25/AGR_fec!J$25)</f>
        <v>3.1024187999999997</v>
      </c>
      <c r="K51" s="264">
        <f>IF(K$25=0,0,K$25/AGR_fec!K$25)</f>
        <v>3.1024188000000006</v>
      </c>
      <c r="L51" s="264">
        <f>IF(L$25=0,0,L$25/AGR_fec!L$25)</f>
        <v>3.1024187999999988</v>
      </c>
      <c r="M51" s="264">
        <f>IF(M$25=0,0,M$25/AGR_fec!M$25)</f>
        <v>3.1024187999999984</v>
      </c>
      <c r="N51" s="264">
        <f>IF(N$25=0,0,N$25/AGR_fec!N$25)</f>
        <v>3.1024187999999993</v>
      </c>
      <c r="O51" s="264">
        <f>IF(O$25=0,0,O$25/AGR_fec!O$25)</f>
        <v>3.1024187999999984</v>
      </c>
      <c r="P51" s="264">
        <f>IF(P$25=0,0,P$25/AGR_fec!P$25)</f>
        <v>3.1024188000000006</v>
      </c>
      <c r="Q51" s="264">
        <f>IF(Q$25=0,0,Q$25/AGR_fec!Q$25)</f>
        <v>3.102418800000001</v>
      </c>
      <c r="R51" s="264">
        <f>IF(R$25=0,0,R$25/AGR_fec!R$25)</f>
        <v>3.1024187999999988</v>
      </c>
      <c r="S51" s="264">
        <f>IF(S$25=0,0,S$25/AGR_fec!S$25)</f>
        <v>3.1024187999999997</v>
      </c>
      <c r="T51" s="264">
        <f>IF(T$25=0,0,T$25/AGR_fec!T$25)</f>
        <v>3.0964256742894891</v>
      </c>
      <c r="U51" s="264">
        <f>IF(U$25=0,0,U$25/AGR_fec!U$25)</f>
        <v>3.0978847291998122</v>
      </c>
      <c r="V51" s="264">
        <f>IF(V$25=0,0,V$25/AGR_fec!V$25)</f>
        <v>3.099372148174715</v>
      </c>
      <c r="W51" s="264">
        <f>IF(W$25=0,0,W$25/AGR_fec!W$25)</f>
        <v>3.102418800000001</v>
      </c>
      <c r="X51" s="264">
        <f>IF(X$25=0,0,X$25/AGR_fec!X$25)</f>
        <v>3.1024187999999993</v>
      </c>
      <c r="Y51" s="264">
        <f>IF(Y$25=0,0,Y$25/AGR_fec!Y$25)</f>
        <v>3.1024188000000006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2025-11-06T10:22:54Z</dcterms:created>
  <dcterms:modified xsi:type="dcterms:W3CDTF">2025-11-06T10:22:54Z</dcterms:modified>
</cp:coreProperties>
</file>