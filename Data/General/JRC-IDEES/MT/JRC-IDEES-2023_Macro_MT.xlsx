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88" i="59"/>
  <c r="AA84" i="59"/>
  <c r="AA82" i="59"/>
  <c r="AA81" i="59"/>
  <c r="AA79" i="59"/>
  <c r="AA110" i="59"/>
  <c r="AA74" i="59"/>
  <c r="AA105" i="59"/>
  <c r="AA70" i="59"/>
  <c r="AA101" i="59"/>
  <c r="AA66" i="59"/>
  <c r="AA97" i="59"/>
  <c r="AA94" i="59"/>
  <c r="AA5" i="59"/>
  <c r="Z115" i="59"/>
  <c r="Z111" i="59"/>
  <c r="Z107" i="59"/>
  <c r="Z103" i="59"/>
  <c r="Z99" i="59"/>
  <c r="Y75" i="57"/>
  <c r="K75" i="57"/>
  <c r="J75" i="57"/>
  <c r="F75" i="57"/>
  <c r="E75" i="57"/>
  <c r="S54" i="57"/>
  <c r="K54" i="57"/>
  <c r="J54" i="57"/>
  <c r="U39" i="57"/>
  <c r="Q39" i="57"/>
  <c r="O39" i="57"/>
  <c r="I39" i="57"/>
  <c r="H39" i="57"/>
  <c r="O16" i="57"/>
  <c r="G16" i="57"/>
  <c r="E16" i="57"/>
  <c r="T75" i="57"/>
  <c r="Q75" i="57"/>
  <c r="D75" i="57"/>
  <c r="U75" i="57"/>
  <c r="O75" i="57"/>
  <c r="P54" i="57"/>
  <c r="L54" i="57"/>
  <c r="R54" i="57"/>
  <c r="Q54" i="57"/>
  <c r="I54" i="57"/>
  <c r="E39" i="57"/>
  <c r="S16" i="57"/>
  <c r="Y16" i="57"/>
  <c r="M16" i="57"/>
  <c r="N16" i="57" l="1"/>
  <c r="H16" i="57"/>
  <c r="J16" i="57"/>
  <c r="R39" i="57"/>
  <c r="T39" i="57"/>
  <c r="W16" i="57"/>
  <c r="U16" i="57"/>
  <c r="K39" i="57"/>
  <c r="M39" i="57"/>
  <c r="Y39" i="57"/>
  <c r="AA89" i="59"/>
  <c r="AA80" i="59"/>
  <c r="F16" i="57"/>
  <c r="V16" i="57"/>
  <c r="X16" i="57"/>
  <c r="J39" i="57"/>
  <c r="L39" i="57"/>
  <c r="I16" i="57"/>
  <c r="K16" i="57"/>
  <c r="S39" i="57"/>
  <c r="G39" i="57"/>
  <c r="W39" i="57"/>
  <c r="W54" i="57"/>
  <c r="AA98" i="59"/>
  <c r="AA102" i="59"/>
  <c r="AA106" i="59"/>
  <c r="AA113" i="59"/>
  <c r="AA114" i="59"/>
  <c r="Z54" i="55"/>
  <c r="AA93" i="59"/>
  <c r="AA109" i="59"/>
  <c r="AA117" i="59"/>
  <c r="AA121" i="59"/>
  <c r="P16" i="57"/>
  <c r="D39" i="57"/>
  <c r="F39" i="57"/>
  <c r="N39" i="57"/>
  <c r="V39" i="57"/>
  <c r="D54" i="57"/>
  <c r="T54" i="57"/>
  <c r="F54" i="57"/>
  <c r="N54" i="57"/>
  <c r="V54" i="57"/>
  <c r="H54" i="57"/>
  <c r="X54" i="57"/>
  <c r="V75" i="57"/>
  <c r="Q16" i="57"/>
  <c r="E54" i="57"/>
  <c r="M54" i="57"/>
  <c r="U54" i="57"/>
  <c r="G54" i="57"/>
  <c r="O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AA95" i="59" s="1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" i="59" l="1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7" i="4"/>
  <c r="B6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<sst xmlns="http://schemas.openxmlformats.org/spreadsheetml/2006/main" count="722" uniqueCount="281">
  <si>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</si>
  <si>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</si>
  <si>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</si>
  <si>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</si>
  <si>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</si>
  <si>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</si>
  <si>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</si>
  <si>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</si>
  <si>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</si>
  <si>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</si>
  <si>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</si>
  <si>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</si>
  <si>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</si>
  <si>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</si>
  <si>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</si>
  <si>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</si>
  <si>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</si>
  <si>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</si>
  <si>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</si>
  <si>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</si>
  <si>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</si>
  <si>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</si>
  <si>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</si>
  <si>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</si>
  <si>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</si>
  <si>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</si>
  <si>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</si>
  <si>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</si>
  <si>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</si>
  <si>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</si>
  <si>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</si>
  <si>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</si>
  <si>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</si>
  <si>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</si>
  <si>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</si>
  <si>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</si>
  <si>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</si>
  <si>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</si>
  <si>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</si>
  <si>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</si>
  <si>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</si>
  <si>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</si>
  <si>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</si>
  <si>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</si>
  <si>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</si>
  <si>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</si>
  <si>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</si>
  <si>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</si>
  <si>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</si>
  <si>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</si>
  <si>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</si>
  <si>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</si>
  <si>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</si>
  <si>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</si>
  <si>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</si>
  <si>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</si>
  <si>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</si>
  <si>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</si>
  <si>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</si>
  <si>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</si>
  <si>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</si>
  <si>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</si>
  <si>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</si>
  <si>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</si>
  <si>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</si>
  <si>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</si>
  <si>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</si>
  <si>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</si>
  <si>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</si>
  <si>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</si>
  <si>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</si>
  <si>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</si>
  <si>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</si>
  <si>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</si>
  <si>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</si>
  <si>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</si>
  <si>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</si>
  <si>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</si>
  <si>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</si>
  <si>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</si>
  <si>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</si>
  <si>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</si>
  <si>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</si>
  <si>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</si>
  <si>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</si>
  <si>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</si>
  <si>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</si>
  <si>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</si>
  <si>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</si>
  <si>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</si>
  <si>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</si>
  <si>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</si>
  <si>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</si>
  <si>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</si>
  <si>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</si>
  <si>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</si>
  <si>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</si>
  <si>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</si>
  <si>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</si>
  <si>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</si>
  <si>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</si>
  <si>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</si>
  <si>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</si>
  <si>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</si>
  <si>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</si>
  <si>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</si>
  <si>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</si>
  <si>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</si>
  <si>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</si>
  <si>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</si>
  <si>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</si>
  <si>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</si>
  <si>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</si>
  <si>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</si>
  <si>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</si>
  <si>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</si>
  <si>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</si>
  <si>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</si>
  <si>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</si>
  <si>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</si>
  <si>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</si>
  <si>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</si>
  <si>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</si>
  <si>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</si>
  <si>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</si>
  <si>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</si>
  <si>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</si>
  <si>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</si>
  <si>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</si>
  <si>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</si>
  <si>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</si>
  <si>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</si>
  <si>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</si>
  <si>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</si>
  <si>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</si>
  <si>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</si>
  <si>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</si>
  <si>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</si>
  <si>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</si>
  <si>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</si>
  <si>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</si>
  <si>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</si>
  <si>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</si>
  <si>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</si>
  <si>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</si>
  <si>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</si>
  <si>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</si>
  <si>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</si>
  <si>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</si>
  <si>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</si>
  <si>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</si>
  <si>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</si>
  <si>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</si>
  <si>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</si>
  <si>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</si>
  <si>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</si>
  <si>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</si>
  <si>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</si>
  <si>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</si>
  <si>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</si>
  <si>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</si>
  <si>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</si>
  <si>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</si>
  <si>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</si>
  <si>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</si>
  <si>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</si>
  <si>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</si>
  <si>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</si>
  <si>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</si>
  <si>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</si>
  <si>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</si>
  <si>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</si>
  <si>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</si>
  <si>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</si>
  <si>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</si>
  <si>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</si>
  <si>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</si>
  <si>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</si>
  <si>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</si>
  <si>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</si>
  <si>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</si>
  <si>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</si>
  <si>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</si>
  <si>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</si>
  <si>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</si>
  <si>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</si>
  <si>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</si>
  <si>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</si>
  <si>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</si>
  <si>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</si>
  <si>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</si>
  <si>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</si>
  <si>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</si>
  <si>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</si>
  <si>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</si>
  <si>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</si>
  <si>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</si>
  <si>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</si>
  <si>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</si>
  <si>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</si>
  <si>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</si>
  <si>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</si>
  <si>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</si>
  <si>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</si>
  <si>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</si>
  <si>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</si>
  <si>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</si>
  <si>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</si>
  <si>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</si>
  <si>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</si>
  <si>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</si>
  <si>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</si>
  <si>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</si>
  <si>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</si>
  <si>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</si>
  <si>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</si>
  <si>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</si>
  <si>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</si>
  <si>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</si>
  <si>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</si>
  <si>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</si>
  <si>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</si>
  <si>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</si>
  <si>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</si>
  <si>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</si>
  <si>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</si>
  <si>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</si>
  <si>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</si>
  <si>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</si>
  <si>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</si>
  <si>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</si>
  <si>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</si>
  <si>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</si>
  <si>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</si>
  <si>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</si>
  <si>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</si>
  <si>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</si>
  <si>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</si>
  <si>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</si>
  <si>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</si>
  <si>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</si>
  <si>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</si>
  <si>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</si>
  <si>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</si>
  <si>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</si>
  <si>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</si>
  <si>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</si>
  <si>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</si>
  <si>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</si>
  <si>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</si>
  <si>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</si>
  <si>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</si>
  <si>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</si>
  <si>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</si>
  <si>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</si>
  <si>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</si>
  <si>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</si>
  <si>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</si>
  <si>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</si>
  <si>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</si>
  <si>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</si>
  <si>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</si>
  <si>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</si>
  <si>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</si>
  <si>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</si>
  <si>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</si>
  <si>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</si>
  <si>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</si>
  <si>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</si>
  <si>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</si>
  <si>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</si>
  <si>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</si>
  <si>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</si>
  <si>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</si>
  <si>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</si>
  <si>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</si>
  <si>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</si>
  <si>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</si>
  <si>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</si>
  <si>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MT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</si>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</sst>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45967.477905092594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4377</v>
      </c>
      <c r="E2" s="19">
        <v>4546.1000000000004</v>
      </c>
      <c r="F2" s="19">
        <v>4724.5</v>
      </c>
      <c r="G2" s="19">
        <v>4796.8999999999996</v>
      </c>
      <c r="H2" s="19">
        <v>4915.6000000000004</v>
      </c>
      <c r="I2" s="19">
        <v>5133.8</v>
      </c>
      <c r="J2" s="19">
        <v>5380.6</v>
      </c>
      <c r="K2" s="19">
        <v>5778.2</v>
      </c>
      <c r="L2" s="19">
        <v>6236.5</v>
      </c>
      <c r="M2" s="19">
        <v>6287.6</v>
      </c>
      <c r="N2" s="19">
        <v>6862</v>
      </c>
      <c r="O2" s="19">
        <v>7032.8</v>
      </c>
      <c r="P2" s="19">
        <v>7479.5</v>
      </c>
      <c r="Q2" s="19">
        <v>8129.4</v>
      </c>
      <c r="R2" s="19">
        <v>8948.5</v>
      </c>
      <c r="S2" s="19">
        <v>10221.4</v>
      </c>
      <c r="T2" s="19">
        <v>10864.3</v>
      </c>
      <c r="U2" s="19">
        <v>12535.7</v>
      </c>
      <c r="V2" s="19">
        <v>13678.6</v>
      </c>
      <c r="W2" s="19">
        <v>14594.2</v>
      </c>
      <c r="X2" s="19">
        <v>14362.4</v>
      </c>
      <c r="Y2" s="19">
        <v>16689.900000000001</v>
      </c>
      <c r="Z2" s="19">
        <v>17974.7</v>
      </c>
      <c r="AA2" s="19">
        <v>20911.2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2805</v>
      </c>
      <c r="E3" s="23">
        <v>2931.9</v>
      </c>
      <c r="F3" s="23">
        <v>2892</v>
      </c>
      <c r="G3" s="23">
        <v>2966.7</v>
      </c>
      <c r="H3" s="23">
        <v>3109.6</v>
      </c>
      <c r="I3" s="23">
        <v>3292.5</v>
      </c>
      <c r="J3" s="23">
        <v>3480.1</v>
      </c>
      <c r="K3" s="23">
        <v>3623.6</v>
      </c>
      <c r="L3" s="23">
        <v>3813</v>
      </c>
      <c r="M3" s="23">
        <v>3832.9</v>
      </c>
      <c r="N3" s="23">
        <v>4017</v>
      </c>
      <c r="O3" s="23">
        <v>4270.8</v>
      </c>
      <c r="P3" s="23">
        <v>4426.8999999999996</v>
      </c>
      <c r="Q3" s="23">
        <v>4634.2</v>
      </c>
      <c r="R3" s="23">
        <v>4803</v>
      </c>
      <c r="S3" s="23">
        <v>5043.7</v>
      </c>
      <c r="T3" s="23">
        <v>5230.6000000000004</v>
      </c>
      <c r="U3" s="23">
        <v>5617.4</v>
      </c>
      <c r="V3" s="23">
        <v>6253.7</v>
      </c>
      <c r="W3" s="23">
        <v>6738.2</v>
      </c>
      <c r="X3" s="23">
        <v>6124.8</v>
      </c>
      <c r="Y3" s="23">
        <v>6885.7</v>
      </c>
      <c r="Z3" s="23">
        <v>7949.8</v>
      </c>
      <c r="AA3" s="23">
        <v>9550.4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3898.2</v>
      </c>
      <c r="E4" s="27">
        <v>4030.9</v>
      </c>
      <c r="F4" s="27">
        <v>4180.2</v>
      </c>
      <c r="G4" s="27">
        <v>4256.5</v>
      </c>
      <c r="H4" s="27">
        <v>4307.3</v>
      </c>
      <c r="I4" s="27">
        <v>4457</v>
      </c>
      <c r="J4" s="27">
        <v>4676</v>
      </c>
      <c r="K4" s="27">
        <v>5040</v>
      </c>
      <c r="L4" s="27">
        <v>5492.3</v>
      </c>
      <c r="M4" s="27">
        <v>5505.9</v>
      </c>
      <c r="N4" s="27">
        <v>6053.2</v>
      </c>
      <c r="O4" s="27">
        <v>6151.1</v>
      </c>
      <c r="P4" s="27">
        <v>6592.6</v>
      </c>
      <c r="Q4" s="27">
        <v>7204.3</v>
      </c>
      <c r="R4" s="27">
        <v>7913.5</v>
      </c>
      <c r="S4" s="27">
        <v>9113.5</v>
      </c>
      <c r="T4" s="27">
        <v>9678.9</v>
      </c>
      <c r="U4" s="27">
        <v>11228.1</v>
      </c>
      <c r="V4" s="27">
        <v>12209.5</v>
      </c>
      <c r="W4" s="27">
        <v>13098.9</v>
      </c>
      <c r="X4" s="27">
        <v>13149.7</v>
      </c>
      <c r="Y4" s="27">
        <v>15357.2</v>
      </c>
      <c r="Z4" s="27">
        <v>16670.7</v>
      </c>
      <c r="AA4" s="27">
        <v>19420.400000000001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91.8</v>
      </c>
      <c r="J6" s="19">
        <v>97.6</v>
      </c>
      <c r="K6" s="19">
        <v>101.4</v>
      </c>
      <c r="L6" s="19">
        <v>67</v>
      </c>
      <c r="M6" s="19">
        <v>83.6</v>
      </c>
      <c r="N6" s="19">
        <v>87.3</v>
      </c>
      <c r="O6" s="19">
        <v>76.5</v>
      </c>
      <c r="P6" s="19">
        <v>81.599999999999994</v>
      </c>
      <c r="Q6" s="19">
        <v>82.9</v>
      </c>
      <c r="R6" s="19">
        <v>89.6</v>
      </c>
      <c r="S6" s="19">
        <v>96.2</v>
      </c>
      <c r="T6" s="19">
        <v>109.8</v>
      </c>
      <c r="U6" s="19">
        <v>84.7</v>
      </c>
      <c r="V6" s="19">
        <v>85.1</v>
      </c>
      <c r="W6" s="19">
        <v>68.900000000000006</v>
      </c>
      <c r="X6" s="19">
        <v>112.8</v>
      </c>
      <c r="Y6" s="19">
        <v>147.19999999999999</v>
      </c>
      <c r="Z6" s="19">
        <v>150.9</v>
      </c>
      <c r="AA6" s="19">
        <v>11.2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1262.9999999999995</v>
      </c>
      <c r="E7" s="23">
        <v>1183.0999999999999</v>
      </c>
      <c r="F7" s="23">
        <v>1269.5999999999999</v>
      </c>
      <c r="G7" s="23">
        <v>1268.8999999999996</v>
      </c>
      <c r="H7" s="23">
        <v>1183.5000000000005</v>
      </c>
      <c r="I7" s="23">
        <v>1064.6999999999998</v>
      </c>
      <c r="J7" s="23">
        <v>1065.3999999999996</v>
      </c>
      <c r="K7" s="23">
        <v>1069.4000000000005</v>
      </c>
      <c r="L7" s="23">
        <v>1203.9000000000005</v>
      </c>
      <c r="M7" s="23">
        <v>1110.0999999999995</v>
      </c>
      <c r="N7" s="23">
        <v>905.8</v>
      </c>
      <c r="O7" s="23">
        <v>863.9</v>
      </c>
      <c r="P7" s="23">
        <v>840</v>
      </c>
      <c r="Q7" s="23">
        <v>877.6</v>
      </c>
      <c r="R7" s="23">
        <v>865.8</v>
      </c>
      <c r="S7" s="23">
        <v>889.7</v>
      </c>
      <c r="T7" s="23">
        <v>967.9</v>
      </c>
      <c r="U7" s="23">
        <v>1007.1</v>
      </c>
      <c r="V7" s="23">
        <v>1093.4000000000001</v>
      </c>
      <c r="W7" s="23">
        <v>1141.8</v>
      </c>
      <c r="X7" s="23">
        <v>1145.5999999999999</v>
      </c>
      <c r="Y7" s="23">
        <v>1263</v>
      </c>
      <c r="Z7" s="23">
        <v>1375.6</v>
      </c>
      <c r="AA7" s="23">
        <v>1555.6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291.2</v>
      </c>
      <c r="O8" s="23">
        <v>292.7</v>
      </c>
      <c r="P8" s="23">
        <v>287.5</v>
      </c>
      <c r="Q8" s="23">
        <v>306</v>
      </c>
      <c r="R8" s="23">
        <v>304.3</v>
      </c>
      <c r="S8" s="23">
        <v>346.1</v>
      </c>
      <c r="T8" s="23">
        <v>366.1</v>
      </c>
      <c r="U8" s="23">
        <v>429</v>
      </c>
      <c r="V8" s="23">
        <v>481.8</v>
      </c>
      <c r="W8" s="23">
        <v>619.20000000000005</v>
      </c>
      <c r="X8" s="23">
        <v>608.5</v>
      </c>
      <c r="Y8" s="23">
        <v>647.1</v>
      </c>
      <c r="Z8" s="23">
        <v>655.4</v>
      </c>
      <c r="AA8" s="23">
        <v>763.2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1079.9000000000001</v>
      </c>
      <c r="E9" s="23">
        <v>1109.2</v>
      </c>
      <c r="F9" s="23">
        <v>1109.0999999999999</v>
      </c>
      <c r="G9" s="23">
        <v>1094.9000000000001</v>
      </c>
      <c r="H9" s="23">
        <v>1096.8</v>
      </c>
      <c r="I9" s="23">
        <v>1061.0999999999999</v>
      </c>
      <c r="J9" s="23">
        <v>1094.4000000000001</v>
      </c>
      <c r="K9" s="23">
        <v>1187.0999999999999</v>
      </c>
      <c r="L9" s="23">
        <v>1231.5999999999999</v>
      </c>
      <c r="M9" s="23">
        <v>1181.2</v>
      </c>
      <c r="N9" s="23">
        <v>1234.2</v>
      </c>
      <c r="O9" s="23">
        <v>1283.4000000000001</v>
      </c>
      <c r="P9" s="23">
        <v>1385.9</v>
      </c>
      <c r="Q9" s="23">
        <v>1544.1</v>
      </c>
      <c r="R9" s="23">
        <v>1644.8</v>
      </c>
      <c r="S9" s="23">
        <v>1910.7</v>
      </c>
      <c r="T9" s="23">
        <v>1929.9</v>
      </c>
      <c r="U9" s="23">
        <v>2214.8000000000002</v>
      </c>
      <c r="V9" s="23">
        <v>2350.8000000000002</v>
      </c>
      <c r="W9" s="23">
        <v>2528.6999999999998</v>
      </c>
      <c r="X9" s="23">
        <v>1505.4</v>
      </c>
      <c r="Y9" s="23">
        <v>2170.6</v>
      </c>
      <c r="Z9" s="23">
        <v>2917.4</v>
      </c>
      <c r="AA9" s="23">
        <v>3485.6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172.5</v>
      </c>
      <c r="E10" s="23">
        <v>193.8</v>
      </c>
      <c r="F10" s="23">
        <v>197.3</v>
      </c>
      <c r="G10" s="23">
        <v>204</v>
      </c>
      <c r="H10" s="23">
        <v>217</v>
      </c>
      <c r="I10" s="23">
        <v>242.9</v>
      </c>
      <c r="J10" s="23">
        <v>269</v>
      </c>
      <c r="K10" s="23">
        <v>264</v>
      </c>
      <c r="L10" s="23">
        <v>286.2</v>
      </c>
      <c r="M10" s="23">
        <v>291.60000000000002</v>
      </c>
      <c r="N10" s="23">
        <v>323.3</v>
      </c>
      <c r="O10" s="23">
        <v>373</v>
      </c>
      <c r="P10" s="23">
        <v>381.8</v>
      </c>
      <c r="Q10" s="23">
        <v>402.6</v>
      </c>
      <c r="R10" s="23">
        <v>501.6</v>
      </c>
      <c r="S10" s="23">
        <v>606.29999999999995</v>
      </c>
      <c r="T10" s="23">
        <v>665.6</v>
      </c>
      <c r="U10" s="23">
        <v>788.4</v>
      </c>
      <c r="V10" s="23">
        <v>841.3</v>
      </c>
      <c r="W10" s="23">
        <v>1002.9</v>
      </c>
      <c r="X10" s="23">
        <v>1269.2</v>
      </c>
      <c r="Y10" s="23">
        <v>1601.1</v>
      </c>
      <c r="Z10" s="23">
        <v>1887.4</v>
      </c>
      <c r="AA10" s="23">
        <v>2390.6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147</v>
      </c>
      <c r="E11" s="23">
        <v>157.5</v>
      </c>
      <c r="F11" s="23">
        <v>141.4</v>
      </c>
      <c r="G11" s="23">
        <v>157.19999999999999</v>
      </c>
      <c r="H11" s="23">
        <v>233</v>
      </c>
      <c r="I11" s="23">
        <v>315.60000000000002</v>
      </c>
      <c r="J11" s="23">
        <v>367.9</v>
      </c>
      <c r="K11" s="23">
        <v>419.6</v>
      </c>
      <c r="L11" s="23">
        <v>387</v>
      </c>
      <c r="M11" s="23">
        <v>467.3</v>
      </c>
      <c r="N11" s="23">
        <v>586.79999999999995</v>
      </c>
      <c r="O11" s="23">
        <v>527.70000000000005</v>
      </c>
      <c r="P11" s="23">
        <v>630.9</v>
      </c>
      <c r="Q11" s="23">
        <v>686.1</v>
      </c>
      <c r="R11" s="23">
        <v>670.1</v>
      </c>
      <c r="S11" s="23">
        <v>785.4</v>
      </c>
      <c r="T11" s="23">
        <v>863.2</v>
      </c>
      <c r="U11" s="23">
        <v>956.2</v>
      </c>
      <c r="V11" s="23">
        <v>1031.5</v>
      </c>
      <c r="W11" s="23">
        <v>1134.5999999999999</v>
      </c>
      <c r="X11" s="23">
        <v>1263.3</v>
      </c>
      <c r="Y11" s="23">
        <v>1474.1</v>
      </c>
      <c r="Z11" s="23">
        <v>1307.4000000000001</v>
      </c>
      <c r="AA11" s="23">
        <v>1614.4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221.3</v>
      </c>
      <c r="E12" s="23">
        <v>231.4</v>
      </c>
      <c r="F12" s="23">
        <v>243.5</v>
      </c>
      <c r="G12" s="23">
        <v>261.5</v>
      </c>
      <c r="H12" s="23">
        <v>274.5</v>
      </c>
      <c r="I12" s="23">
        <v>275.10000000000002</v>
      </c>
      <c r="J12" s="23">
        <v>296.10000000000002</v>
      </c>
      <c r="K12" s="23">
        <v>303.5</v>
      </c>
      <c r="L12" s="23">
        <v>335.3</v>
      </c>
      <c r="M12" s="23">
        <v>368.6</v>
      </c>
      <c r="N12" s="23">
        <v>401.7</v>
      </c>
      <c r="O12" s="23">
        <v>425.2</v>
      </c>
      <c r="P12" s="23">
        <v>457.4</v>
      </c>
      <c r="Q12" s="23">
        <v>498.8</v>
      </c>
      <c r="R12" s="23">
        <v>510</v>
      </c>
      <c r="S12" s="23">
        <v>603.6</v>
      </c>
      <c r="T12" s="23">
        <v>701.7</v>
      </c>
      <c r="U12" s="23">
        <v>805.8</v>
      </c>
      <c r="V12" s="23">
        <v>876.8</v>
      </c>
      <c r="W12" s="23">
        <v>1014</v>
      </c>
      <c r="X12" s="23">
        <v>921</v>
      </c>
      <c r="Y12" s="23">
        <v>1064.5</v>
      </c>
      <c r="Z12" s="23">
        <v>1087.9000000000001</v>
      </c>
      <c r="AA12" s="23">
        <v>1562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267.60000000000002</v>
      </c>
      <c r="E13" s="23">
        <v>289.89999999999998</v>
      </c>
      <c r="F13" s="23">
        <v>303.39999999999998</v>
      </c>
      <c r="G13" s="23">
        <v>328.1</v>
      </c>
      <c r="H13" s="23">
        <v>336.8</v>
      </c>
      <c r="I13" s="23">
        <v>365.9</v>
      </c>
      <c r="J13" s="23">
        <v>411.8</v>
      </c>
      <c r="K13" s="23">
        <v>440.2</v>
      </c>
      <c r="L13" s="23">
        <v>471</v>
      </c>
      <c r="M13" s="23">
        <v>483.3</v>
      </c>
      <c r="N13" s="23">
        <v>557.29999999999995</v>
      </c>
      <c r="O13" s="23">
        <v>601.9</v>
      </c>
      <c r="P13" s="23">
        <v>700.8</v>
      </c>
      <c r="Q13" s="23">
        <v>790</v>
      </c>
      <c r="R13" s="23">
        <v>922.8</v>
      </c>
      <c r="S13" s="23">
        <v>1148.5</v>
      </c>
      <c r="T13" s="23">
        <v>1376.9</v>
      </c>
      <c r="U13" s="23">
        <v>1723.3</v>
      </c>
      <c r="V13" s="23">
        <v>1864.2</v>
      </c>
      <c r="W13" s="23">
        <v>2126.3000000000002</v>
      </c>
      <c r="X13" s="23">
        <v>2201.5</v>
      </c>
      <c r="Y13" s="23">
        <v>2648.8</v>
      </c>
      <c r="Z13" s="23">
        <v>3062.4</v>
      </c>
      <c r="AA13" s="23">
        <v>3497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641.79999999999995</v>
      </c>
      <c r="E14" s="23">
        <v>738.3</v>
      </c>
      <c r="F14" s="23">
        <v>771.9</v>
      </c>
      <c r="G14" s="23">
        <v>782.6</v>
      </c>
      <c r="H14" s="23">
        <v>819.3</v>
      </c>
      <c r="I14" s="23">
        <v>839</v>
      </c>
      <c r="J14" s="23">
        <v>867.8</v>
      </c>
      <c r="K14" s="23">
        <v>917.3</v>
      </c>
      <c r="L14" s="23">
        <v>989.1</v>
      </c>
      <c r="M14" s="23">
        <v>1053.2</v>
      </c>
      <c r="N14" s="23">
        <v>1123.9999999999991</v>
      </c>
      <c r="O14" s="23">
        <v>1185.6000000000013</v>
      </c>
      <c r="P14" s="23">
        <v>1254.5999999999995</v>
      </c>
      <c r="Q14" s="23">
        <v>1336.5000000000009</v>
      </c>
      <c r="R14" s="23">
        <v>1432.8999999999996</v>
      </c>
      <c r="S14" s="23">
        <v>1550.3000000000002</v>
      </c>
      <c r="T14" s="23">
        <v>1652.5999999999995</v>
      </c>
      <c r="U14" s="23">
        <v>1781.8000000000011</v>
      </c>
      <c r="V14" s="23">
        <v>1935.9999999999982</v>
      </c>
      <c r="W14" s="23">
        <v>2145.4999999999982</v>
      </c>
      <c r="X14" s="23">
        <v>2182.0000000000018</v>
      </c>
      <c r="Y14" s="23">
        <v>2466.3999999999996</v>
      </c>
      <c r="Z14" s="23">
        <v>2616.1000000000004</v>
      </c>
      <c r="AA14" s="23">
        <v>2796.8000000000029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105.1</v>
      </c>
      <c r="E15" s="23">
        <v>127.7</v>
      </c>
      <c r="F15" s="23">
        <v>144</v>
      </c>
      <c r="G15" s="23">
        <v>159.30000000000001</v>
      </c>
      <c r="H15" s="23">
        <v>146.4</v>
      </c>
      <c r="I15" s="23">
        <v>200.9</v>
      </c>
      <c r="J15" s="23">
        <v>206</v>
      </c>
      <c r="K15" s="23">
        <v>337.5</v>
      </c>
      <c r="L15" s="23">
        <v>521.20000000000005</v>
      </c>
      <c r="M15" s="23">
        <v>467</v>
      </c>
      <c r="N15" s="23">
        <v>541.6</v>
      </c>
      <c r="O15" s="23">
        <v>521.20000000000005</v>
      </c>
      <c r="P15" s="23">
        <v>572.1</v>
      </c>
      <c r="Q15" s="23">
        <v>679.7</v>
      </c>
      <c r="R15" s="23">
        <v>971.6</v>
      </c>
      <c r="S15" s="23">
        <v>1176.7</v>
      </c>
      <c r="T15" s="23">
        <v>1045.2</v>
      </c>
      <c r="U15" s="23">
        <v>1437</v>
      </c>
      <c r="V15" s="23">
        <v>1648.6</v>
      </c>
      <c r="W15" s="23">
        <v>1317</v>
      </c>
      <c r="X15" s="23">
        <v>1940.4</v>
      </c>
      <c r="Y15" s="23">
        <v>1874.4</v>
      </c>
      <c r="Z15" s="23">
        <v>1610.2</v>
      </c>
      <c r="AA15" s="23">
        <v>1744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3898.1999999999994</v>
      </c>
      <c r="E16" s="30">
        <f t="shared" ref="E16:Y16" si="0">SUM(E6:E15)</f>
        <v>4030.9000000000005</v>
      </c>
      <c r="F16" s="30">
        <f t="shared" si="0"/>
        <v>4180.2000000000007</v>
      </c>
      <c r="G16" s="30">
        <f t="shared" si="0"/>
        <v>4256.5</v>
      </c>
      <c r="H16" s="30">
        <f t="shared" si="0"/>
        <v>4307.3</v>
      </c>
      <c r="I16" s="30">
        <f t="shared" si="0"/>
        <v>4456.9999999999991</v>
      </c>
      <c r="J16" s="30">
        <f t="shared" si="0"/>
        <v>4676</v>
      </c>
      <c r="K16" s="30">
        <f t="shared" si="0"/>
        <v>5040</v>
      </c>
      <c r="L16" s="30">
        <f t="shared" si="0"/>
        <v>5492.3</v>
      </c>
      <c r="M16" s="30">
        <f t="shared" si="0"/>
        <v>5505.9</v>
      </c>
      <c r="N16" s="30">
        <f t="shared" si="0"/>
        <v>6053.2</v>
      </c>
      <c r="O16" s="30">
        <f t="shared" si="0"/>
        <v>6151.1</v>
      </c>
      <c r="P16" s="30">
        <f t="shared" si="0"/>
        <v>6592.6</v>
      </c>
      <c r="Q16" s="30">
        <f t="shared" si="0"/>
        <v>7204.3</v>
      </c>
      <c r="R16" s="30">
        <f t="shared" si="0"/>
        <v>7913.5</v>
      </c>
      <c r="S16" s="30">
        <f t="shared" si="0"/>
        <v>9113.5</v>
      </c>
      <c r="T16" s="30">
        <f t="shared" si="0"/>
        <v>9678.9000000000015</v>
      </c>
      <c r="U16" s="30">
        <f t="shared" si="0"/>
        <v>11228.100000000002</v>
      </c>
      <c r="V16" s="30">
        <f t="shared" si="0"/>
        <v>12209.5</v>
      </c>
      <c r="W16" s="30">
        <f t="shared" si="0"/>
        <v>13098.9</v>
      </c>
      <c r="X16" s="30">
        <f t="shared" si="0"/>
        <v>13149.7</v>
      </c>
      <c r="Y16" s="30">
        <f t="shared" si="0"/>
        <v>15357.2</v>
      </c>
      <c r="Z16" s="30">
        <f t="shared" ref="Z16:AA16" si="1">SUM(Z6:Z15)</f>
        <v>16670.7</v>
      </c>
      <c r="AA16" s="30">
        <f t="shared" si="1"/>
        <v>19420.400000000001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91.8</v>
      </c>
      <c r="J18" s="19">
        <v>97.6</v>
      </c>
      <c r="K18" s="19">
        <v>101.4</v>
      </c>
      <c r="L18" s="19">
        <v>67</v>
      </c>
      <c r="M18" s="19">
        <v>83.6</v>
      </c>
      <c r="N18" s="19">
        <v>87.3</v>
      </c>
      <c r="O18" s="19">
        <v>76.5</v>
      </c>
      <c r="P18" s="19">
        <v>81.599999999999994</v>
      </c>
      <c r="Q18" s="19">
        <v>82.9</v>
      </c>
      <c r="R18" s="19">
        <v>89.6</v>
      </c>
      <c r="S18" s="19">
        <v>96.2</v>
      </c>
      <c r="T18" s="19">
        <v>109.8</v>
      </c>
      <c r="U18" s="19">
        <v>84.7</v>
      </c>
      <c r="V18" s="19">
        <v>85.1</v>
      </c>
      <c r="W18" s="19">
        <v>68.900000000000006</v>
      </c>
      <c r="X18" s="19">
        <v>112.8</v>
      </c>
      <c r="Y18" s="19">
        <v>147.19999999999999</v>
      </c>
      <c r="Z18" s="19">
        <v>150.9</v>
      </c>
      <c r="AA18" s="19">
        <v>11.2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1164.4999999999995</v>
      </c>
      <c r="E20" s="23">
        <v>1075.7999999999997</v>
      </c>
      <c r="F20" s="23">
        <v>1157.9000000000001</v>
      </c>
      <c r="G20" s="23">
        <v>1175.7999999999997</v>
      </c>
      <c r="H20" s="23">
        <v>1090.0000000000005</v>
      </c>
      <c r="I20" s="23">
        <v>990.0999999999998</v>
      </c>
      <c r="J20" s="23">
        <v>959.39999999999964</v>
      </c>
      <c r="K20" s="23">
        <v>961.40000000000055</v>
      </c>
      <c r="L20" s="23">
        <v>1098.2000000000007</v>
      </c>
      <c r="M20" s="23">
        <v>956.59999999999945</v>
      </c>
      <c r="N20" s="23">
        <v>759.2</v>
      </c>
      <c r="O20" s="23">
        <v>776</v>
      </c>
      <c r="P20" s="23">
        <v>809.2</v>
      </c>
      <c r="Q20" s="23">
        <v>766.4</v>
      </c>
      <c r="R20" s="23">
        <v>747.8</v>
      </c>
      <c r="S20" s="23">
        <v>732</v>
      </c>
      <c r="T20" s="23">
        <v>760.2</v>
      </c>
      <c r="U20" s="23">
        <v>830.8</v>
      </c>
      <c r="V20" s="23">
        <v>894.1</v>
      </c>
      <c r="W20" s="23">
        <v>938.5</v>
      </c>
      <c r="X20" s="23">
        <v>941.8</v>
      </c>
      <c r="Y20" s="23">
        <v>1029.2</v>
      </c>
      <c r="Z20" s="23">
        <v>1123.8</v>
      </c>
      <c r="AA20" s="23">
        <v>1222.5999999999999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32.299999999999969</v>
      </c>
      <c r="E21" s="23">
        <v>39.200000000000102</v>
      </c>
      <c r="F21" s="23">
        <v>43.899999999999913</v>
      </c>
      <c r="G21" s="23">
        <v>32.699999999999996</v>
      </c>
      <c r="H21" s="23">
        <v>44.5</v>
      </c>
      <c r="I21" s="23">
        <v>26.100000000000023</v>
      </c>
      <c r="J21" s="23">
        <v>55.899999999999991</v>
      </c>
      <c r="K21" s="23">
        <v>57.100000000000009</v>
      </c>
      <c r="L21" s="23">
        <v>44.499999999999858</v>
      </c>
      <c r="M21" s="23">
        <v>84.899999999999991</v>
      </c>
      <c r="N21" s="23">
        <v>79.799999999999926</v>
      </c>
      <c r="O21" s="23">
        <v>21.100000000000012</v>
      </c>
      <c r="P21" s="23">
        <v>-31.900000000000134</v>
      </c>
      <c r="Q21" s="23">
        <v>47.200000000000045</v>
      </c>
      <c r="R21" s="23">
        <v>50.600000000000009</v>
      </c>
      <c r="S21" s="23">
        <v>87.100000000000037</v>
      </c>
      <c r="T21" s="23">
        <v>132.89999999999995</v>
      </c>
      <c r="U21" s="23">
        <v>98.700000000000074</v>
      </c>
      <c r="V21" s="23">
        <v>114.60000000000005</v>
      </c>
      <c r="W21" s="23">
        <v>116.39999999999992</v>
      </c>
      <c r="X21" s="23">
        <v>118.49999999999997</v>
      </c>
      <c r="Y21" s="23">
        <v>143.79999999999995</v>
      </c>
      <c r="Z21" s="23">
        <v>151.89999999999992</v>
      </c>
      <c r="AA21" s="23">
        <v>215.8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66.200000000000031</v>
      </c>
      <c r="E22" s="23">
        <v>68.100000000000094</v>
      </c>
      <c r="F22" s="23">
        <v>67.799999999999898</v>
      </c>
      <c r="G22" s="23">
        <v>60.399999999999906</v>
      </c>
      <c r="H22" s="23">
        <v>49</v>
      </c>
      <c r="I22" s="23">
        <v>48.5</v>
      </c>
      <c r="J22" s="23">
        <v>50.100000000000016</v>
      </c>
      <c r="K22" s="23">
        <v>50.899999999999984</v>
      </c>
      <c r="L22" s="23">
        <v>61.19999999999996</v>
      </c>
      <c r="M22" s="23">
        <v>68.600000000000009</v>
      </c>
      <c r="N22" s="23">
        <v>66.799999999999969</v>
      </c>
      <c r="O22" s="23">
        <v>66.799999999999969</v>
      </c>
      <c r="P22" s="23">
        <v>62.700000000000095</v>
      </c>
      <c r="Q22" s="23">
        <v>64</v>
      </c>
      <c r="R22" s="23">
        <v>67.399999999999991</v>
      </c>
      <c r="S22" s="23">
        <v>70.600000000000009</v>
      </c>
      <c r="T22" s="23">
        <v>74.799999999999983</v>
      </c>
      <c r="U22" s="23">
        <v>77.600000000000009</v>
      </c>
      <c r="V22" s="23">
        <v>84.700000000000017</v>
      </c>
      <c r="W22" s="23">
        <v>86.900000000000034</v>
      </c>
      <c r="X22" s="23">
        <v>85.299999999999983</v>
      </c>
      <c r="Y22" s="23">
        <v>90</v>
      </c>
      <c r="Z22" s="23">
        <v>99.900000000000048</v>
      </c>
      <c r="AA22" s="23">
        <v>117.20000000000002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291.2</v>
      </c>
      <c r="O23" s="23">
        <v>292.7</v>
      </c>
      <c r="P23" s="23">
        <v>287.5</v>
      </c>
      <c r="Q23" s="23">
        <v>306</v>
      </c>
      <c r="R23" s="23">
        <v>304.3</v>
      </c>
      <c r="S23" s="23">
        <v>346.1</v>
      </c>
      <c r="T23" s="23">
        <v>366.1</v>
      </c>
      <c r="U23" s="23">
        <v>429</v>
      </c>
      <c r="V23" s="23">
        <v>481.8</v>
      </c>
      <c r="W23" s="23">
        <v>619.20000000000005</v>
      </c>
      <c r="X23" s="23">
        <v>608.5</v>
      </c>
      <c r="Y23" s="23">
        <v>647.1</v>
      </c>
      <c r="Z23" s="23">
        <v>655.4</v>
      </c>
      <c r="AA23" s="23">
        <v>763.2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520.00000000000011</v>
      </c>
      <c r="E24" s="23">
        <v>521.90000000000009</v>
      </c>
      <c r="F24" s="23">
        <v>548.59999999999991</v>
      </c>
      <c r="G24" s="23">
        <v>549.40000000000009</v>
      </c>
      <c r="H24" s="23">
        <v>548.5</v>
      </c>
      <c r="I24" s="23">
        <v>543.19999999999982</v>
      </c>
      <c r="J24" s="23">
        <v>551.50000000000011</v>
      </c>
      <c r="K24" s="23">
        <v>581.19999999999982</v>
      </c>
      <c r="L24" s="23">
        <v>609.59999999999991</v>
      </c>
      <c r="M24" s="23">
        <v>575.70000000000005</v>
      </c>
      <c r="N24" s="23">
        <v>617.30000000000007</v>
      </c>
      <c r="O24" s="23">
        <v>673.10000000000014</v>
      </c>
      <c r="P24" s="23">
        <v>700.5</v>
      </c>
      <c r="Q24" s="23">
        <v>763.89999999999986</v>
      </c>
      <c r="R24" s="23">
        <v>818.9</v>
      </c>
      <c r="S24" s="23">
        <v>954.40000000000009</v>
      </c>
      <c r="T24" s="23">
        <v>932.30000000000007</v>
      </c>
      <c r="U24" s="23">
        <v>1045.0000000000002</v>
      </c>
      <c r="V24" s="23">
        <v>1087.2000000000003</v>
      </c>
      <c r="W24" s="23">
        <v>1185.5999999999999</v>
      </c>
      <c r="X24" s="23">
        <v>1060.8000000000002</v>
      </c>
      <c r="Y24" s="23">
        <v>1215.5</v>
      </c>
      <c r="Z24" s="23">
        <v>1456.2000000000003</v>
      </c>
      <c r="AA24" s="23">
        <v>1606.3999999999999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309.3</v>
      </c>
      <c r="E25" s="23">
        <v>330.3</v>
      </c>
      <c r="F25" s="23">
        <v>301.8</v>
      </c>
      <c r="G25" s="23">
        <v>282</v>
      </c>
      <c r="H25" s="23">
        <v>292.2</v>
      </c>
      <c r="I25" s="23">
        <v>274.10000000000002</v>
      </c>
      <c r="J25" s="23">
        <v>298.89999999999998</v>
      </c>
      <c r="K25" s="23">
        <v>347.3</v>
      </c>
      <c r="L25" s="23">
        <v>344.5</v>
      </c>
      <c r="M25" s="23">
        <v>347.8</v>
      </c>
      <c r="N25" s="23">
        <v>325.39999999999998</v>
      </c>
      <c r="O25" s="23">
        <v>301.10000000000002</v>
      </c>
      <c r="P25" s="23">
        <v>363.6</v>
      </c>
      <c r="Q25" s="23">
        <v>401.4</v>
      </c>
      <c r="R25" s="23">
        <v>426.5</v>
      </c>
      <c r="S25" s="23">
        <v>502.4</v>
      </c>
      <c r="T25" s="23">
        <v>537.1</v>
      </c>
      <c r="U25" s="23">
        <v>610.9</v>
      </c>
      <c r="V25" s="23">
        <v>632.5</v>
      </c>
      <c r="W25" s="23">
        <v>705.8</v>
      </c>
      <c r="X25" s="23">
        <v>203.3</v>
      </c>
      <c r="Y25" s="23">
        <v>597.4</v>
      </c>
      <c r="Z25" s="23">
        <v>801.4</v>
      </c>
      <c r="AA25" s="23">
        <v>1052.9000000000001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250.6</v>
      </c>
      <c r="E26" s="23">
        <v>257</v>
      </c>
      <c r="F26" s="23">
        <v>258.7</v>
      </c>
      <c r="G26" s="23">
        <v>263.5</v>
      </c>
      <c r="H26" s="23">
        <v>256.10000000000002</v>
      </c>
      <c r="I26" s="23">
        <v>243.8</v>
      </c>
      <c r="J26" s="23">
        <v>244</v>
      </c>
      <c r="K26" s="23">
        <v>258.60000000000002</v>
      </c>
      <c r="L26" s="23">
        <v>277.5</v>
      </c>
      <c r="M26" s="23">
        <v>257.7</v>
      </c>
      <c r="N26" s="23">
        <v>291.5</v>
      </c>
      <c r="O26" s="23">
        <v>309.2</v>
      </c>
      <c r="P26" s="23">
        <v>321.8</v>
      </c>
      <c r="Q26" s="23">
        <v>378.8</v>
      </c>
      <c r="R26" s="23">
        <v>399.4</v>
      </c>
      <c r="S26" s="23">
        <v>453.9</v>
      </c>
      <c r="T26" s="23">
        <v>460.5</v>
      </c>
      <c r="U26" s="23">
        <v>558.9</v>
      </c>
      <c r="V26" s="23">
        <v>631.1</v>
      </c>
      <c r="W26" s="23">
        <v>637.29999999999995</v>
      </c>
      <c r="X26" s="23">
        <v>241.3</v>
      </c>
      <c r="Y26" s="23">
        <v>357.7</v>
      </c>
      <c r="Z26" s="23">
        <v>659.8</v>
      </c>
      <c r="AA26" s="23">
        <v>826.3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172.5</v>
      </c>
      <c r="E27" s="23">
        <v>193.8</v>
      </c>
      <c r="F27" s="23">
        <v>197.3</v>
      </c>
      <c r="G27" s="23">
        <v>204</v>
      </c>
      <c r="H27" s="23">
        <v>217</v>
      </c>
      <c r="I27" s="23">
        <v>242.9</v>
      </c>
      <c r="J27" s="23">
        <v>269</v>
      </c>
      <c r="K27" s="23">
        <v>264</v>
      </c>
      <c r="L27" s="23">
        <v>286.2</v>
      </c>
      <c r="M27" s="23">
        <v>291.60000000000002</v>
      </c>
      <c r="N27" s="23">
        <v>323.3</v>
      </c>
      <c r="O27" s="23">
        <v>373</v>
      </c>
      <c r="P27" s="23">
        <v>381.8</v>
      </c>
      <c r="Q27" s="23">
        <v>402.6</v>
      </c>
      <c r="R27" s="23">
        <v>501.6</v>
      </c>
      <c r="S27" s="23">
        <v>606.29999999999995</v>
      </c>
      <c r="T27" s="23">
        <v>665.6</v>
      </c>
      <c r="U27" s="23">
        <v>788.4</v>
      </c>
      <c r="V27" s="23">
        <v>841.3</v>
      </c>
      <c r="W27" s="23">
        <v>1002.9</v>
      </c>
      <c r="X27" s="23">
        <v>1269.2</v>
      </c>
      <c r="Y27" s="23">
        <v>1601.1</v>
      </c>
      <c r="Z27" s="23">
        <v>1887.4</v>
      </c>
      <c r="AA27" s="23">
        <v>2390.6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147</v>
      </c>
      <c r="E28" s="23">
        <v>157.5</v>
      </c>
      <c r="F28" s="23">
        <v>141.4</v>
      </c>
      <c r="G28" s="23">
        <v>157.19999999999999</v>
      </c>
      <c r="H28" s="23">
        <v>233</v>
      </c>
      <c r="I28" s="23">
        <v>315.60000000000002</v>
      </c>
      <c r="J28" s="23">
        <v>367.9</v>
      </c>
      <c r="K28" s="23">
        <v>419.6</v>
      </c>
      <c r="L28" s="23">
        <v>387</v>
      </c>
      <c r="M28" s="23">
        <v>467.3</v>
      </c>
      <c r="N28" s="23">
        <v>586.79999999999995</v>
      </c>
      <c r="O28" s="23">
        <v>527.70000000000005</v>
      </c>
      <c r="P28" s="23">
        <v>630.9</v>
      </c>
      <c r="Q28" s="23">
        <v>686.1</v>
      </c>
      <c r="R28" s="23">
        <v>670.1</v>
      </c>
      <c r="S28" s="23">
        <v>785.4</v>
      </c>
      <c r="T28" s="23">
        <v>863.2</v>
      </c>
      <c r="U28" s="23">
        <v>956.2</v>
      </c>
      <c r="V28" s="23">
        <v>1031.5</v>
      </c>
      <c r="W28" s="23">
        <v>1134.5999999999999</v>
      </c>
      <c r="X28" s="23">
        <v>1263.3</v>
      </c>
      <c r="Y28" s="23">
        <v>1474.1</v>
      </c>
      <c r="Z28" s="23">
        <v>1307.4000000000001</v>
      </c>
      <c r="AA28" s="23">
        <v>1614.4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221.3</v>
      </c>
      <c r="E29" s="23">
        <v>231.4</v>
      </c>
      <c r="F29" s="23">
        <v>243.5</v>
      </c>
      <c r="G29" s="23">
        <v>261.5</v>
      </c>
      <c r="H29" s="23">
        <v>274.5</v>
      </c>
      <c r="I29" s="23">
        <v>275.10000000000002</v>
      </c>
      <c r="J29" s="23">
        <v>296.10000000000002</v>
      </c>
      <c r="K29" s="23">
        <v>303.5</v>
      </c>
      <c r="L29" s="23">
        <v>335.3</v>
      </c>
      <c r="M29" s="23">
        <v>368.6</v>
      </c>
      <c r="N29" s="23">
        <v>401.7</v>
      </c>
      <c r="O29" s="23">
        <v>425.2</v>
      </c>
      <c r="P29" s="23">
        <v>457.4</v>
      </c>
      <c r="Q29" s="23">
        <v>498.8</v>
      </c>
      <c r="R29" s="23">
        <v>510</v>
      </c>
      <c r="S29" s="23">
        <v>603.6</v>
      </c>
      <c r="T29" s="23">
        <v>701.7</v>
      </c>
      <c r="U29" s="23">
        <v>805.8</v>
      </c>
      <c r="V29" s="23">
        <v>876.8</v>
      </c>
      <c r="W29" s="23">
        <v>1014</v>
      </c>
      <c r="X29" s="23">
        <v>921</v>
      </c>
      <c r="Y29" s="23">
        <v>1064.5</v>
      </c>
      <c r="Z29" s="23">
        <v>1087.9000000000001</v>
      </c>
      <c r="AA29" s="23">
        <v>1562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132.40000000000003</v>
      </c>
      <c r="E30" s="23">
        <v>144.99999999999997</v>
      </c>
      <c r="F30" s="23">
        <v>163.29999999999998</v>
      </c>
      <c r="G30" s="23">
        <v>169.70000000000002</v>
      </c>
      <c r="H30" s="23">
        <v>168.10000000000002</v>
      </c>
      <c r="I30" s="23">
        <v>199.29999999999998</v>
      </c>
      <c r="J30" s="23">
        <v>225</v>
      </c>
      <c r="K30" s="23">
        <v>244.6</v>
      </c>
      <c r="L30" s="23">
        <v>261.39999999999998</v>
      </c>
      <c r="M30" s="23">
        <v>271.3</v>
      </c>
      <c r="N30" s="23">
        <v>320.29999999999995</v>
      </c>
      <c r="O30" s="23">
        <v>349.29999999999995</v>
      </c>
      <c r="P30" s="23">
        <v>399.59999999999997</v>
      </c>
      <c r="Q30" s="23">
        <v>425</v>
      </c>
      <c r="R30" s="23">
        <v>508.29999999999995</v>
      </c>
      <c r="S30" s="23">
        <v>641.9</v>
      </c>
      <c r="T30" s="23">
        <v>792.00000000000011</v>
      </c>
      <c r="U30" s="23">
        <v>967.9</v>
      </c>
      <c r="V30" s="23">
        <v>1015.5</v>
      </c>
      <c r="W30" s="23">
        <v>1156.7000000000003</v>
      </c>
      <c r="X30" s="23">
        <v>1286.8</v>
      </c>
      <c r="Y30" s="23">
        <v>1532.4</v>
      </c>
      <c r="Z30" s="23">
        <v>1734.7</v>
      </c>
      <c r="AA30" s="23">
        <v>1913.7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135.19999999999999</v>
      </c>
      <c r="E31" s="23">
        <v>144.9</v>
      </c>
      <c r="F31" s="23">
        <v>140.1</v>
      </c>
      <c r="G31" s="23">
        <v>158.4</v>
      </c>
      <c r="H31" s="23">
        <v>168.7</v>
      </c>
      <c r="I31" s="23">
        <v>166.6</v>
      </c>
      <c r="J31" s="23">
        <v>186.8</v>
      </c>
      <c r="K31" s="23">
        <v>195.6</v>
      </c>
      <c r="L31" s="23">
        <v>209.6</v>
      </c>
      <c r="M31" s="23">
        <v>212</v>
      </c>
      <c r="N31" s="23">
        <v>237</v>
      </c>
      <c r="O31" s="23">
        <v>252.6</v>
      </c>
      <c r="P31" s="23">
        <v>301.2</v>
      </c>
      <c r="Q31" s="23">
        <v>365</v>
      </c>
      <c r="R31" s="23">
        <v>414.5</v>
      </c>
      <c r="S31" s="23">
        <v>506.6</v>
      </c>
      <c r="T31" s="23">
        <v>584.9</v>
      </c>
      <c r="U31" s="23">
        <v>755.4</v>
      </c>
      <c r="V31" s="23">
        <v>848.7</v>
      </c>
      <c r="W31" s="23">
        <v>969.6</v>
      </c>
      <c r="X31" s="23">
        <v>914.7</v>
      </c>
      <c r="Y31" s="23">
        <v>1116.4000000000001</v>
      </c>
      <c r="Z31" s="23">
        <v>1327.7</v>
      </c>
      <c r="AA31" s="23">
        <v>1583.3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254.79999999999995</v>
      </c>
      <c r="E32" s="23">
        <v>296.69999999999993</v>
      </c>
      <c r="F32" s="23">
        <v>297.49999999999994</v>
      </c>
      <c r="G32" s="23">
        <v>300.40000000000003</v>
      </c>
      <c r="H32" s="23">
        <v>310.49999999999994</v>
      </c>
      <c r="I32" s="23">
        <v>311.5</v>
      </c>
      <c r="J32" s="23">
        <v>317.5</v>
      </c>
      <c r="K32" s="23">
        <v>335.59999999999991</v>
      </c>
      <c r="L32" s="23">
        <v>354.9</v>
      </c>
      <c r="M32" s="23">
        <v>374.20000000000005</v>
      </c>
      <c r="N32" s="23">
        <v>393.69999999999914</v>
      </c>
      <c r="O32" s="23">
        <v>411.60000000000127</v>
      </c>
      <c r="P32" s="23">
        <v>433.09999999999945</v>
      </c>
      <c r="Q32" s="23">
        <v>445.60000000000093</v>
      </c>
      <c r="R32" s="23">
        <v>476.19999999999959</v>
      </c>
      <c r="S32" s="23">
        <v>511.00000000000023</v>
      </c>
      <c r="T32" s="23">
        <v>548.09999999999945</v>
      </c>
      <c r="U32" s="23">
        <v>594.70000000000118</v>
      </c>
      <c r="V32" s="23">
        <v>641.59999999999809</v>
      </c>
      <c r="W32" s="23">
        <v>703.89999999999827</v>
      </c>
      <c r="X32" s="23">
        <v>747.60000000000173</v>
      </c>
      <c r="Y32" s="23">
        <v>834.69999999999959</v>
      </c>
      <c r="Z32" s="23">
        <v>919.10000000000036</v>
      </c>
      <c r="AA32" s="23">
        <v>979.700000000003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218.1</v>
      </c>
      <c r="E33" s="23">
        <v>250.5</v>
      </c>
      <c r="F33" s="23">
        <v>272.10000000000002</v>
      </c>
      <c r="G33" s="23">
        <v>272.7</v>
      </c>
      <c r="H33" s="23">
        <v>279.3</v>
      </c>
      <c r="I33" s="23">
        <v>289.10000000000002</v>
      </c>
      <c r="J33" s="23">
        <v>297.8</v>
      </c>
      <c r="K33" s="23">
        <v>311.39999999999998</v>
      </c>
      <c r="L33" s="23">
        <v>328.4</v>
      </c>
      <c r="M33" s="23">
        <v>345.9</v>
      </c>
      <c r="N33" s="23">
        <v>369.4</v>
      </c>
      <c r="O33" s="23">
        <v>391.8</v>
      </c>
      <c r="P33" s="23">
        <v>418.2</v>
      </c>
      <c r="Q33" s="23">
        <v>448.5</v>
      </c>
      <c r="R33" s="23">
        <v>473.1</v>
      </c>
      <c r="S33" s="23">
        <v>511.7</v>
      </c>
      <c r="T33" s="23">
        <v>534</v>
      </c>
      <c r="U33" s="23">
        <v>570.29999999999995</v>
      </c>
      <c r="V33" s="23">
        <v>631</v>
      </c>
      <c r="W33" s="23">
        <v>684.1</v>
      </c>
      <c r="X33" s="23">
        <v>641.9</v>
      </c>
      <c r="Y33" s="23">
        <v>725.6</v>
      </c>
      <c r="Z33" s="23">
        <v>740.2</v>
      </c>
      <c r="AA33" s="23">
        <v>810.2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168.9</v>
      </c>
      <c r="E34" s="23">
        <v>191.1</v>
      </c>
      <c r="F34" s="23">
        <v>202.3</v>
      </c>
      <c r="G34" s="23">
        <v>209.5</v>
      </c>
      <c r="H34" s="23">
        <v>229.5</v>
      </c>
      <c r="I34" s="23">
        <v>238.4</v>
      </c>
      <c r="J34" s="23">
        <v>252.5</v>
      </c>
      <c r="K34" s="23">
        <v>270.3</v>
      </c>
      <c r="L34" s="23">
        <v>305.8</v>
      </c>
      <c r="M34" s="23">
        <v>333.1</v>
      </c>
      <c r="N34" s="23">
        <v>360.9</v>
      </c>
      <c r="O34" s="23">
        <v>382.2</v>
      </c>
      <c r="P34" s="23">
        <v>403.3</v>
      </c>
      <c r="Q34" s="23">
        <v>442.4</v>
      </c>
      <c r="R34" s="23">
        <v>483.6</v>
      </c>
      <c r="S34" s="23">
        <v>527.6</v>
      </c>
      <c r="T34" s="23">
        <v>570.5</v>
      </c>
      <c r="U34" s="23">
        <v>616.79999999999995</v>
      </c>
      <c r="V34" s="23">
        <v>663.4</v>
      </c>
      <c r="W34" s="23">
        <v>757.5</v>
      </c>
      <c r="X34" s="23">
        <v>792.5</v>
      </c>
      <c r="Y34" s="23">
        <v>906.1</v>
      </c>
      <c r="Z34" s="23">
        <v>956.8</v>
      </c>
      <c r="AA34" s="23">
        <v>1006.9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52.8</v>
      </c>
      <c r="E35" s="23">
        <v>69.400000000000006</v>
      </c>
      <c r="F35" s="23">
        <v>79.8</v>
      </c>
      <c r="G35" s="23">
        <v>92.100000000000009</v>
      </c>
      <c r="H35" s="23">
        <v>86.7</v>
      </c>
      <c r="I35" s="23">
        <v>137.20000000000002</v>
      </c>
      <c r="J35" s="23">
        <v>140.6</v>
      </c>
      <c r="K35" s="23">
        <v>266.7</v>
      </c>
      <c r="L35" s="23">
        <v>447.1</v>
      </c>
      <c r="M35" s="23">
        <v>394</v>
      </c>
      <c r="N35" s="23">
        <v>461.5</v>
      </c>
      <c r="O35" s="23">
        <v>440.70000000000005</v>
      </c>
      <c r="P35" s="23">
        <v>486.3</v>
      </c>
      <c r="Q35" s="23">
        <v>587.1</v>
      </c>
      <c r="R35" s="23">
        <v>873.6</v>
      </c>
      <c r="S35" s="23">
        <v>1072.4000000000001</v>
      </c>
      <c r="T35" s="23">
        <v>936.80000000000007</v>
      </c>
      <c r="U35" s="23">
        <v>1320.6</v>
      </c>
      <c r="V35" s="23">
        <v>1523.3</v>
      </c>
      <c r="W35" s="23">
        <v>1167.8</v>
      </c>
      <c r="X35" s="23">
        <v>1815.7</v>
      </c>
      <c r="Y35" s="23">
        <v>1724.5</v>
      </c>
      <c r="Z35" s="23">
        <v>1424.7</v>
      </c>
      <c r="AA35" s="23">
        <v>1527.2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51.4</v>
      </c>
      <c r="E36" s="23">
        <v>57.5</v>
      </c>
      <c r="F36" s="23">
        <v>63.1</v>
      </c>
      <c r="G36" s="23">
        <v>66.400000000000006</v>
      </c>
      <c r="H36" s="23">
        <v>58.6</v>
      </c>
      <c r="I36" s="23">
        <v>62.4</v>
      </c>
      <c r="J36" s="23">
        <v>63.5</v>
      </c>
      <c r="K36" s="23">
        <v>68.3</v>
      </c>
      <c r="L36" s="23">
        <v>70.7</v>
      </c>
      <c r="M36" s="23">
        <v>68.900000000000006</v>
      </c>
      <c r="N36" s="23">
        <v>74.900000000000006</v>
      </c>
      <c r="O36" s="23">
        <v>74.7</v>
      </c>
      <c r="P36" s="23">
        <v>78.400000000000006</v>
      </c>
      <c r="Q36" s="23">
        <v>83.6</v>
      </c>
      <c r="R36" s="23">
        <v>90</v>
      </c>
      <c r="S36" s="23">
        <v>94.9</v>
      </c>
      <c r="T36" s="23">
        <v>98.8</v>
      </c>
      <c r="U36" s="23">
        <v>106</v>
      </c>
      <c r="V36" s="23">
        <v>112.6</v>
      </c>
      <c r="W36" s="23">
        <v>136.6</v>
      </c>
      <c r="X36" s="23">
        <v>110.6</v>
      </c>
      <c r="Y36" s="23">
        <v>136.80000000000001</v>
      </c>
      <c r="Z36" s="23">
        <v>165.7</v>
      </c>
      <c r="AA36" s="23">
        <v>189.2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0.9</v>
      </c>
      <c r="E37" s="23">
        <v>0.8</v>
      </c>
      <c r="F37" s="23">
        <v>1.1000000000000001</v>
      </c>
      <c r="G37" s="23">
        <v>0.8</v>
      </c>
      <c r="H37" s="23">
        <v>1.1000000000000001</v>
      </c>
      <c r="I37" s="23">
        <v>1.3</v>
      </c>
      <c r="J37" s="23">
        <v>1.9</v>
      </c>
      <c r="K37" s="23">
        <v>2.5</v>
      </c>
      <c r="L37" s="23">
        <v>3.4</v>
      </c>
      <c r="M37" s="23">
        <v>4.0999999999999996</v>
      </c>
      <c r="N37" s="23">
        <v>5.2</v>
      </c>
      <c r="O37" s="23">
        <v>5.8</v>
      </c>
      <c r="P37" s="23">
        <v>7.4</v>
      </c>
      <c r="Q37" s="23">
        <v>9</v>
      </c>
      <c r="R37" s="23">
        <v>8</v>
      </c>
      <c r="S37" s="23">
        <v>9.4</v>
      </c>
      <c r="T37" s="23">
        <v>9.6</v>
      </c>
      <c r="U37" s="23">
        <v>10.4</v>
      </c>
      <c r="V37" s="23">
        <v>12.7</v>
      </c>
      <c r="W37" s="23">
        <v>12.6</v>
      </c>
      <c r="X37" s="23">
        <v>14.1</v>
      </c>
      <c r="Y37" s="23">
        <v>13.1</v>
      </c>
      <c r="Z37" s="23">
        <v>19.8</v>
      </c>
      <c r="AA37" s="23">
        <v>27.6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3898.2</v>
      </c>
      <c r="E39" s="30">
        <f t="shared" ref="E39:Y39" si="2">SUM(E18:E38)</f>
        <v>4030.9000000000005</v>
      </c>
      <c r="F39" s="30">
        <f t="shared" si="2"/>
        <v>4180.2000000000007</v>
      </c>
      <c r="G39" s="30">
        <f t="shared" si="2"/>
        <v>4256.4999999999991</v>
      </c>
      <c r="H39" s="30">
        <f t="shared" si="2"/>
        <v>4307.3000000000011</v>
      </c>
      <c r="I39" s="30">
        <f t="shared" si="2"/>
        <v>4456.9999999999991</v>
      </c>
      <c r="J39" s="30">
        <f t="shared" si="2"/>
        <v>4676</v>
      </c>
      <c r="K39" s="30">
        <f t="shared" si="2"/>
        <v>5040</v>
      </c>
      <c r="L39" s="30">
        <f t="shared" si="2"/>
        <v>5492.3</v>
      </c>
      <c r="M39" s="30">
        <f t="shared" si="2"/>
        <v>5505.9</v>
      </c>
      <c r="N39" s="30">
        <f t="shared" si="2"/>
        <v>6053.199999999998</v>
      </c>
      <c r="O39" s="30">
        <f t="shared" si="2"/>
        <v>6151.1000000000013</v>
      </c>
      <c r="P39" s="30">
        <f t="shared" si="2"/>
        <v>6592.5999999999995</v>
      </c>
      <c r="Q39" s="30">
        <f t="shared" si="2"/>
        <v>7204.3000000000011</v>
      </c>
      <c r="R39" s="30">
        <f t="shared" si="2"/>
        <v>7913.5000000000009</v>
      </c>
      <c r="S39" s="30">
        <f t="shared" si="2"/>
        <v>9113.5</v>
      </c>
      <c r="T39" s="30">
        <f t="shared" si="2"/>
        <v>9678.8999999999978</v>
      </c>
      <c r="U39" s="30">
        <f t="shared" si="2"/>
        <v>11228.099999999999</v>
      </c>
      <c r="V39" s="30">
        <f t="shared" si="2"/>
        <v>12209.5</v>
      </c>
      <c r="W39" s="30">
        <f t="shared" si="2"/>
        <v>13098.9</v>
      </c>
      <c r="X39" s="30">
        <f t="shared" si="2"/>
        <v>13149.700000000004</v>
      </c>
      <c r="Y39" s="30">
        <f t="shared" si="2"/>
        <v>15357.199999999999</v>
      </c>
      <c r="Z39" s="30">
        <f t="shared" ref="Z39:AA39" si="3">SUM(Z18:Z38)</f>
        <v>16670.7</v>
      </c>
      <c r="AA39" s="30">
        <f t="shared" si="3"/>
        <v>19420.400000000001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96.5</v>
      </c>
      <c r="O41" s="19">
        <v>100.3</v>
      </c>
      <c r="P41" s="19">
        <v>103.7</v>
      </c>
      <c r="Q41" s="19">
        <v>117.7</v>
      </c>
      <c r="R41" s="19">
        <v>133.9</v>
      </c>
      <c r="S41" s="19">
        <v>145.1</v>
      </c>
      <c r="T41" s="19">
        <v>140.9</v>
      </c>
      <c r="U41" s="19">
        <v>146.5</v>
      </c>
      <c r="V41" s="19">
        <v>144.5</v>
      </c>
      <c r="W41" s="19">
        <v>145.80000000000001</v>
      </c>
      <c r="X41" s="19">
        <v>127.4</v>
      </c>
      <c r="Y41" s="19">
        <v>127.5</v>
      </c>
      <c r="Z41" s="19">
        <v>152.6</v>
      </c>
      <c r="AA41" s="19">
        <v>170.2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28.3</v>
      </c>
      <c r="O42" s="23">
        <v>31.2</v>
      </c>
      <c r="P42" s="23">
        <v>30.3</v>
      </c>
      <c r="Q42" s="23">
        <v>21.3</v>
      </c>
      <c r="R42" s="23">
        <v>17.600000000000001</v>
      </c>
      <c r="S42" s="23">
        <v>17.5</v>
      </c>
      <c r="T42" s="23">
        <v>16.399999999999999</v>
      </c>
      <c r="U42" s="23">
        <v>18.399999999999999</v>
      </c>
      <c r="V42" s="23">
        <v>19.7</v>
      </c>
      <c r="W42" s="23">
        <v>17.600000000000001</v>
      </c>
      <c r="X42" s="23">
        <v>17.5</v>
      </c>
      <c r="Y42" s="23">
        <v>20.7</v>
      </c>
      <c r="Z42" s="23">
        <v>19.5</v>
      </c>
      <c r="AA42" s="23">
        <v>18.600000000000001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64.900000000000006</v>
      </c>
      <c r="O43" s="23">
        <v>70.3</v>
      </c>
      <c r="P43" s="23">
        <v>68.900000000000006</v>
      </c>
      <c r="Q43" s="23">
        <v>69</v>
      </c>
      <c r="R43" s="23">
        <v>71</v>
      </c>
      <c r="S43" s="23">
        <v>73</v>
      </c>
      <c r="T43" s="23">
        <v>68.7</v>
      </c>
      <c r="U43" s="23">
        <v>60.4</v>
      </c>
      <c r="V43" s="23">
        <v>80.3</v>
      </c>
      <c r="W43" s="23">
        <v>87.2</v>
      </c>
      <c r="X43" s="23">
        <v>101.5</v>
      </c>
      <c r="Y43" s="23">
        <v>115.7</v>
      </c>
      <c r="Z43" s="23">
        <v>134.4</v>
      </c>
      <c r="AA43" s="23">
        <v>162.19999999999999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12.2</v>
      </c>
      <c r="O45" s="23">
        <v>7.9</v>
      </c>
      <c r="P45" s="23">
        <v>8.1999999999999993</v>
      </c>
      <c r="Q45" s="23">
        <v>7.7</v>
      </c>
      <c r="R45" s="23">
        <v>9.9</v>
      </c>
      <c r="S45" s="23">
        <v>10.9</v>
      </c>
      <c r="T45" s="23">
        <v>8.6999999999999993</v>
      </c>
      <c r="U45" s="23">
        <v>10.3</v>
      </c>
      <c r="V45" s="23">
        <v>10.850000000000001</v>
      </c>
      <c r="W45" s="23">
        <v>11.4</v>
      </c>
      <c r="X45" s="23">
        <v>12.5</v>
      </c>
      <c r="Y45" s="23">
        <v>13.5</v>
      </c>
      <c r="Z45" s="23">
        <v>14.4</v>
      </c>
      <c r="AA45" s="23">
        <v>13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65.8</v>
      </c>
      <c r="V46" s="23">
        <v>61.1</v>
      </c>
      <c r="W46" s="23">
        <v>55</v>
      </c>
      <c r="X46" s="23">
        <v>74.099999999999994</v>
      </c>
      <c r="Y46" s="23">
        <v>80.7</v>
      </c>
      <c r="Z46" s="23">
        <v>70.2</v>
      </c>
      <c r="AA46" s="23">
        <v>81.8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131.5</v>
      </c>
      <c r="AA49" s="23">
        <v>147.80000000000001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19.7</v>
      </c>
      <c r="S50" s="23">
        <v>19.100000000000001</v>
      </c>
      <c r="T50" s="23">
        <v>19.899999999999999</v>
      </c>
      <c r="U50" s="23">
        <v>18.8</v>
      </c>
      <c r="V50" s="23">
        <v>16.5</v>
      </c>
      <c r="W50" s="23">
        <v>6.7</v>
      </c>
      <c r="X50" s="23">
        <v>17.8</v>
      </c>
      <c r="Y50" s="23">
        <v>20</v>
      </c>
      <c r="Z50" s="23">
        <v>21.4</v>
      </c>
      <c r="AA50" s="23">
        <v>26.2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21.3</v>
      </c>
      <c r="W51" s="23">
        <v>19.7</v>
      </c>
      <c r="X51" s="23">
        <v>23.1</v>
      </c>
      <c r="Y51" s="23">
        <v>22.8</v>
      </c>
      <c r="Z51" s="23">
        <v>23.4</v>
      </c>
      <c r="AA51" s="23">
        <v>26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30.2</v>
      </c>
      <c r="O52" s="23">
        <v>33.200000000000003</v>
      </c>
      <c r="P52" s="23">
        <v>41.7</v>
      </c>
      <c r="Q52" s="23">
        <v>49.2</v>
      </c>
      <c r="R52" s="23">
        <v>55.3</v>
      </c>
      <c r="S52" s="23">
        <v>59.7</v>
      </c>
      <c r="T52" s="23">
        <v>65.599999999999994</v>
      </c>
      <c r="U52" s="23">
        <v>71.400000000000006</v>
      </c>
      <c r="V52" s="23">
        <v>62.2</v>
      </c>
      <c r="W52" s="23">
        <v>64.400000000000006</v>
      </c>
      <c r="X52" s="23">
        <v>54.7</v>
      </c>
      <c r="Y52" s="23">
        <v>66.8</v>
      </c>
      <c r="Z52" s="23">
        <v>77.7</v>
      </c>
      <c r="AA52" s="23">
        <v>78.400000000000006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1164.4999999999995</v>
      </c>
      <c r="E53" s="23">
        <v>1075.7999999999997</v>
      </c>
      <c r="F53" s="23">
        <v>1157.9000000000001</v>
      </c>
      <c r="G53" s="23">
        <v>1175.7999999999997</v>
      </c>
      <c r="H53" s="23">
        <v>1090.0000000000005</v>
      </c>
      <c r="I53" s="23">
        <v>990.0999999999998</v>
      </c>
      <c r="J53" s="23">
        <v>959.39999999999964</v>
      </c>
      <c r="K53" s="23">
        <v>961.40000000000055</v>
      </c>
      <c r="L53" s="23">
        <v>1098.2000000000007</v>
      </c>
      <c r="M53" s="23">
        <v>956.59999999999945</v>
      </c>
      <c r="N53" s="23">
        <v>527.10000000000014</v>
      </c>
      <c r="O53" s="23">
        <v>533.09999999999991</v>
      </c>
      <c r="P53" s="23">
        <v>556.40000000000009</v>
      </c>
      <c r="Q53" s="23">
        <v>501.5</v>
      </c>
      <c r="R53" s="23">
        <v>440.4</v>
      </c>
      <c r="S53" s="23">
        <v>406.7</v>
      </c>
      <c r="T53" s="23">
        <v>440.00000000000006</v>
      </c>
      <c r="U53" s="23">
        <v>439.19999999999993</v>
      </c>
      <c r="V53" s="23">
        <v>477.65000000000003</v>
      </c>
      <c r="W53" s="23">
        <v>530.70000000000005</v>
      </c>
      <c r="X53" s="23">
        <v>513.19999999999993</v>
      </c>
      <c r="Y53" s="23">
        <v>561.5</v>
      </c>
      <c r="Z53" s="23">
        <v>478.70000000000005</v>
      </c>
      <c r="AA53" s="23">
        <v>498.39999999999986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1164.4999999999995</v>
      </c>
      <c r="E54" s="30">
        <f t="shared" ref="E54:Y54" si="4">SUM(E41:E53)</f>
        <v>1075.7999999999997</v>
      </c>
      <c r="F54" s="30">
        <f t="shared" si="4"/>
        <v>1157.9000000000001</v>
      </c>
      <c r="G54" s="30">
        <f t="shared" si="4"/>
        <v>1175.7999999999997</v>
      </c>
      <c r="H54" s="30">
        <f t="shared" si="4"/>
        <v>1090.0000000000005</v>
      </c>
      <c r="I54" s="30">
        <f t="shared" si="4"/>
        <v>990.0999999999998</v>
      </c>
      <c r="J54" s="30">
        <f t="shared" si="4"/>
        <v>959.39999999999964</v>
      </c>
      <c r="K54" s="30">
        <f t="shared" si="4"/>
        <v>961.40000000000055</v>
      </c>
      <c r="L54" s="30">
        <f t="shared" si="4"/>
        <v>1098.2000000000007</v>
      </c>
      <c r="M54" s="30">
        <f t="shared" si="4"/>
        <v>956.59999999999945</v>
      </c>
      <c r="N54" s="30">
        <f t="shared" si="4"/>
        <v>759.2</v>
      </c>
      <c r="O54" s="30">
        <f t="shared" si="4"/>
        <v>776</v>
      </c>
      <c r="P54" s="30">
        <f t="shared" si="4"/>
        <v>809.2</v>
      </c>
      <c r="Q54" s="30">
        <f t="shared" si="4"/>
        <v>766.4</v>
      </c>
      <c r="R54" s="30">
        <f t="shared" si="4"/>
        <v>747.8</v>
      </c>
      <c r="S54" s="30">
        <f t="shared" si="4"/>
        <v>732</v>
      </c>
      <c r="T54" s="30">
        <f t="shared" si="4"/>
        <v>760.2</v>
      </c>
      <c r="U54" s="30">
        <f t="shared" si="4"/>
        <v>830.8</v>
      </c>
      <c r="V54" s="30">
        <f t="shared" si="4"/>
        <v>894.1</v>
      </c>
      <c r="W54" s="30">
        <f t="shared" si="4"/>
        <v>938.5</v>
      </c>
      <c r="X54" s="30">
        <f t="shared" si="4"/>
        <v>941.8</v>
      </c>
      <c r="Y54" s="30">
        <f t="shared" si="4"/>
        <v>1029.2</v>
      </c>
      <c r="Z54" s="30">
        <f t="shared" ref="Z54:AA54" si="5">SUM(Z41:Z53)</f>
        <v>1123.8</v>
      </c>
      <c r="AA54" s="30">
        <f t="shared" si="5"/>
        <v>1222.5999999999999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96.5</v>
      </c>
      <c r="O56" s="19">
        <v>100.3</v>
      </c>
      <c r="P56" s="19">
        <v>103.7</v>
      </c>
      <c r="Q56" s="19">
        <v>117.7</v>
      </c>
      <c r="R56" s="19">
        <v>133.9</v>
      </c>
      <c r="S56" s="19">
        <v>145.1</v>
      </c>
      <c r="T56" s="19">
        <v>140.9</v>
      </c>
      <c r="U56" s="19">
        <v>146.5</v>
      </c>
      <c r="V56" s="19">
        <v>144.5</v>
      </c>
      <c r="W56" s="19">
        <v>145.80000000000001</v>
      </c>
      <c r="X56" s="19">
        <v>127.4</v>
      </c>
      <c r="Y56" s="19">
        <v>127.5</v>
      </c>
      <c r="Z56" s="19">
        <v>152.6</v>
      </c>
      <c r="AA56" s="19">
        <v>170.2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28.3</v>
      </c>
      <c r="O57" s="23">
        <v>31.2</v>
      </c>
      <c r="P57" s="23">
        <v>30.3</v>
      </c>
      <c r="Q57" s="23">
        <v>21.3</v>
      </c>
      <c r="R57" s="23">
        <v>17.600000000000001</v>
      </c>
      <c r="S57" s="23">
        <v>17.5</v>
      </c>
      <c r="T57" s="23">
        <v>16.399999999999999</v>
      </c>
      <c r="U57" s="23">
        <v>18.399999999999999</v>
      </c>
      <c r="V57" s="23">
        <v>19.7</v>
      </c>
      <c r="W57" s="23">
        <v>17.600000000000001</v>
      </c>
      <c r="X57" s="23">
        <v>17.5</v>
      </c>
      <c r="Y57" s="23">
        <v>20.7</v>
      </c>
      <c r="Z57" s="23">
        <v>19.5</v>
      </c>
      <c r="AA57" s="23">
        <v>18.600000000000001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64.900000000000006</v>
      </c>
      <c r="O60" s="23">
        <v>70.3</v>
      </c>
      <c r="P60" s="23">
        <v>68.900000000000006</v>
      </c>
      <c r="Q60" s="23">
        <v>69</v>
      </c>
      <c r="R60" s="23">
        <v>71</v>
      </c>
      <c r="S60" s="23">
        <v>73</v>
      </c>
      <c r="T60" s="23">
        <v>68.7</v>
      </c>
      <c r="U60" s="23">
        <v>60.4</v>
      </c>
      <c r="V60" s="23">
        <v>80.3</v>
      </c>
      <c r="W60" s="23">
        <v>87.2</v>
      </c>
      <c r="X60" s="23">
        <v>101.5</v>
      </c>
      <c r="Y60" s="23">
        <v>115.7</v>
      </c>
      <c r="Z60" s="23">
        <v>134.4</v>
      </c>
      <c r="AA60" s="23">
        <v>162.19999999999999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12.2</v>
      </c>
      <c r="O62" s="23">
        <v>7.9</v>
      </c>
      <c r="P62" s="23">
        <v>8.1999999999999993</v>
      </c>
      <c r="Q62" s="23">
        <v>7.7</v>
      </c>
      <c r="R62" s="23">
        <v>9.9</v>
      </c>
      <c r="S62" s="23">
        <v>10.9</v>
      </c>
      <c r="T62" s="23">
        <v>8.6999999999999993</v>
      </c>
      <c r="U62" s="23">
        <v>10.3</v>
      </c>
      <c r="V62" s="23">
        <v>10.850000000000001</v>
      </c>
      <c r="W62" s="23">
        <v>11.4</v>
      </c>
      <c r="X62" s="23">
        <v>12.5</v>
      </c>
      <c r="Y62" s="23">
        <v>13.5</v>
      </c>
      <c r="Z62" s="23">
        <v>14.4</v>
      </c>
      <c r="AA62" s="23">
        <v>13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65.8</v>
      </c>
      <c r="V63" s="23">
        <v>61.1</v>
      </c>
      <c r="W63" s="23">
        <v>55</v>
      </c>
      <c r="X63" s="23">
        <v>74.099999999999994</v>
      </c>
      <c r="Y63" s="23">
        <v>80.7</v>
      </c>
      <c r="Z63" s="23">
        <v>70.2</v>
      </c>
      <c r="AA63" s="23">
        <v>81.8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131.5</v>
      </c>
      <c r="AA68" s="23">
        <v>147.80000000000001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19.7</v>
      </c>
      <c r="S69" s="23">
        <v>19.100000000000001</v>
      </c>
      <c r="T69" s="23">
        <v>19.899999999999999</v>
      </c>
      <c r="U69" s="23">
        <v>18.8</v>
      </c>
      <c r="V69" s="23">
        <v>16.5</v>
      </c>
      <c r="W69" s="23">
        <v>6.7</v>
      </c>
      <c r="X69" s="23">
        <v>17.8</v>
      </c>
      <c r="Y69" s="23">
        <v>20</v>
      </c>
      <c r="Z69" s="23">
        <v>21.4</v>
      </c>
      <c r="AA69" s="23">
        <v>26.2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21.3</v>
      </c>
      <c r="W70" s="23">
        <v>19.7</v>
      </c>
      <c r="X70" s="23">
        <v>23.1</v>
      </c>
      <c r="Y70" s="23">
        <v>22.8</v>
      </c>
      <c r="Z70" s="23">
        <v>23.4</v>
      </c>
      <c r="AA70" s="23">
        <v>26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30.2</v>
      </c>
      <c r="O72" s="23">
        <v>33.200000000000003</v>
      </c>
      <c r="P72" s="23">
        <v>41.7</v>
      </c>
      <c r="Q72" s="23">
        <v>49.2</v>
      </c>
      <c r="R72" s="23">
        <v>55.3</v>
      </c>
      <c r="S72" s="23">
        <v>59.7</v>
      </c>
      <c r="T72" s="23">
        <v>65.599999999999994</v>
      </c>
      <c r="U72" s="23">
        <v>71.400000000000006</v>
      </c>
      <c r="V72" s="23">
        <v>62.2</v>
      </c>
      <c r="W72" s="23">
        <v>64.400000000000006</v>
      </c>
      <c r="X72" s="23">
        <v>54.7</v>
      </c>
      <c r="Y72" s="23">
        <v>66.8</v>
      </c>
      <c r="Z72" s="23">
        <v>77.7</v>
      </c>
      <c r="AA72" s="23">
        <v>78.400000000000006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1164.4999999999995</v>
      </c>
      <c r="E73" s="23">
        <v>1075.7999999999997</v>
      </c>
      <c r="F73" s="23">
        <v>1157.9000000000001</v>
      </c>
      <c r="G73" s="23">
        <v>1175.7999999999997</v>
      </c>
      <c r="H73" s="23">
        <v>1090.0000000000005</v>
      </c>
      <c r="I73" s="23">
        <v>990.0999999999998</v>
      </c>
      <c r="J73" s="23">
        <v>959.39999999999964</v>
      </c>
      <c r="K73" s="23">
        <v>961.40000000000055</v>
      </c>
      <c r="L73" s="23">
        <v>1098.2000000000007</v>
      </c>
      <c r="M73" s="23">
        <v>956.59999999999945</v>
      </c>
      <c r="N73" s="23">
        <v>527.10000000000014</v>
      </c>
      <c r="O73" s="23">
        <v>533.09999999999991</v>
      </c>
      <c r="P73" s="23">
        <v>556.40000000000009</v>
      </c>
      <c r="Q73" s="23">
        <v>501.5</v>
      </c>
      <c r="R73" s="23">
        <v>440.4</v>
      </c>
      <c r="S73" s="23">
        <v>406.7</v>
      </c>
      <c r="T73" s="23">
        <v>440.00000000000006</v>
      </c>
      <c r="U73" s="23">
        <v>439.19999999999993</v>
      </c>
      <c r="V73" s="23">
        <v>477.65000000000003</v>
      </c>
      <c r="W73" s="23">
        <v>530.70000000000005</v>
      </c>
      <c r="X73" s="23">
        <v>513.19999999999993</v>
      </c>
      <c r="Y73" s="23">
        <v>561.5</v>
      </c>
      <c r="Z73" s="23">
        <v>478.70000000000005</v>
      </c>
      <c r="AA73" s="23">
        <v>498.39999999999986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1164.4999999999995</v>
      </c>
      <c r="E75" s="30">
        <f t="shared" ref="E75:Y75" si="6">SUM(E56:E74)</f>
        <v>1075.7999999999997</v>
      </c>
      <c r="F75" s="30">
        <f t="shared" si="6"/>
        <v>1157.9000000000001</v>
      </c>
      <c r="G75" s="30">
        <f t="shared" si="6"/>
        <v>1175.7999999999997</v>
      </c>
      <c r="H75" s="30">
        <f t="shared" si="6"/>
        <v>1090.0000000000005</v>
      </c>
      <c r="I75" s="30">
        <f t="shared" si="6"/>
        <v>990.0999999999998</v>
      </c>
      <c r="J75" s="30">
        <f t="shared" si="6"/>
        <v>959.39999999999964</v>
      </c>
      <c r="K75" s="30">
        <f t="shared" si="6"/>
        <v>961.40000000000055</v>
      </c>
      <c r="L75" s="30">
        <f t="shared" si="6"/>
        <v>1098.2000000000007</v>
      </c>
      <c r="M75" s="30">
        <f t="shared" si="6"/>
        <v>956.59999999999945</v>
      </c>
      <c r="N75" s="30">
        <f t="shared" si="6"/>
        <v>759.2</v>
      </c>
      <c r="O75" s="30">
        <f t="shared" si="6"/>
        <v>776</v>
      </c>
      <c r="P75" s="30">
        <f t="shared" si="6"/>
        <v>809.2</v>
      </c>
      <c r="Q75" s="30">
        <f t="shared" si="6"/>
        <v>766.4</v>
      </c>
      <c r="R75" s="30">
        <f t="shared" si="6"/>
        <v>747.8</v>
      </c>
      <c r="S75" s="30">
        <f t="shared" si="6"/>
        <v>732</v>
      </c>
      <c r="T75" s="30">
        <f t="shared" si="6"/>
        <v>760.2</v>
      </c>
      <c r="U75" s="30">
        <f t="shared" si="6"/>
        <v>830.8</v>
      </c>
      <c r="V75" s="30">
        <f t="shared" si="6"/>
        <v>894.1</v>
      </c>
      <c r="W75" s="30">
        <f t="shared" si="6"/>
        <v>938.5</v>
      </c>
      <c r="X75" s="30">
        <f t="shared" si="6"/>
        <v>941.8</v>
      </c>
      <c r="Y75" s="30">
        <f t="shared" si="6"/>
        <v>1029.2</v>
      </c>
      <c r="Z75" s="30">
        <f t="shared" ref="Z75:AA75" si="7">SUM(Z56:Z74)</f>
        <v>1123.8</v>
      </c>
      <c r="AA75" s="30">
        <f t="shared" si="7"/>
        <v>1222.5999999999999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7588.3904650200084</v>
      </c>
      <c r="E2" s="19">
        <v>7530.8398721075891</v>
      </c>
      <c r="F2" s="19">
        <v>7737.3094254281914</v>
      </c>
      <c r="G2" s="19">
        <v>8022.9940481895628</v>
      </c>
      <c r="H2" s="19">
        <v>8055.7339576865897</v>
      </c>
      <c r="I2" s="19">
        <v>8287.8148431778191</v>
      </c>
      <c r="J2" s="19">
        <v>8481.468955912982</v>
      </c>
      <c r="K2" s="19">
        <v>8908.5901217297396</v>
      </c>
      <c r="L2" s="19">
        <v>9301.4101981220538</v>
      </c>
      <c r="M2" s="19">
        <v>9171.6340032275675</v>
      </c>
      <c r="N2" s="19">
        <v>9740.1405637462576</v>
      </c>
      <c r="O2" s="19">
        <v>9836.7754105113163</v>
      </c>
      <c r="P2" s="19">
        <v>10240.300099163107</v>
      </c>
      <c r="Q2" s="19">
        <v>10884.566437903621</v>
      </c>
      <c r="R2" s="19">
        <v>11715.225630151403</v>
      </c>
      <c r="S2" s="19">
        <v>12842.269173999999</v>
      </c>
      <c r="T2" s="19">
        <v>13365.987919706242</v>
      </c>
      <c r="U2" s="19">
        <v>15099.782214829447</v>
      </c>
      <c r="V2" s="19">
        <v>16185.351402309243</v>
      </c>
      <c r="W2" s="19">
        <v>16846.557722591257</v>
      </c>
      <c r="X2" s="19">
        <v>16263.993099656605</v>
      </c>
      <c r="Y2" s="19">
        <v>18445.30211727244</v>
      </c>
      <c r="Z2" s="19">
        <v>18903.307826298038</v>
      </c>
      <c r="AA2" s="19">
        <v>20911.2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4333.5236220472443</v>
      </c>
      <c r="E3" s="23">
        <v>4406.3818190920811</v>
      </c>
      <c r="F3" s="23">
        <v>4338</v>
      </c>
      <c r="G3" s="23">
        <v>4590.4849374379864</v>
      </c>
      <c r="H3" s="23">
        <v>4684.8242701027566</v>
      </c>
      <c r="I3" s="23">
        <v>4845.9498069498077</v>
      </c>
      <c r="J3" s="23">
        <v>4985.3671804538189</v>
      </c>
      <c r="K3" s="23">
        <v>5125.2063182444608</v>
      </c>
      <c r="L3" s="23">
        <v>5189.891454415615</v>
      </c>
      <c r="M3" s="23">
        <v>5109.5971823480431</v>
      </c>
      <c r="N3" s="23">
        <v>5234.266122643864</v>
      </c>
      <c r="O3" s="23">
        <v>5432.4543426446762</v>
      </c>
      <c r="P3" s="23">
        <v>5485.6227175629228</v>
      </c>
      <c r="Q3" s="23">
        <v>5678.2769987448855</v>
      </c>
      <c r="R3" s="23">
        <v>5857.9096227679929</v>
      </c>
      <c r="S3" s="23">
        <v>6056.3740859999998</v>
      </c>
      <c r="T3" s="23">
        <v>6228.9130225223889</v>
      </c>
      <c r="U3" s="23">
        <v>6642.1750157554743</v>
      </c>
      <c r="V3" s="23">
        <v>7321.3781099183952</v>
      </c>
      <c r="W3" s="23">
        <v>7736.0128081078501</v>
      </c>
      <c r="X3" s="23">
        <v>6937.0647852251514</v>
      </c>
      <c r="Y3" s="23">
        <v>7709.8625967438129</v>
      </c>
      <c r="Z3" s="23">
        <v>8448.7997132388082</v>
      </c>
      <c r="AA3" s="23">
        <v>9550.4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6845.1275104175174</v>
      </c>
      <c r="E4" s="27">
        <v>6753.1505716661477</v>
      </c>
      <c r="F4" s="27">
        <v>6992.4686341406459</v>
      </c>
      <c r="G4" s="27">
        <v>7305.2741405241377</v>
      </c>
      <c r="H4" s="27">
        <v>7229.3658614046963</v>
      </c>
      <c r="I4" s="27">
        <v>7278.0846946787233</v>
      </c>
      <c r="J4" s="27">
        <v>7482.3891591382908</v>
      </c>
      <c r="K4" s="27">
        <v>7899.3815635939318</v>
      </c>
      <c r="L4" s="27">
        <v>8295.3183611319346</v>
      </c>
      <c r="M4" s="27">
        <v>8341.4572596752587</v>
      </c>
      <c r="N4" s="27">
        <v>8821.8451112693419</v>
      </c>
      <c r="O4" s="27">
        <v>8741.6326974155527</v>
      </c>
      <c r="P4" s="27">
        <v>9159.3051059657591</v>
      </c>
      <c r="Q4" s="27">
        <v>9868.0696452092634</v>
      </c>
      <c r="R4" s="27">
        <v>10768.459577252246</v>
      </c>
      <c r="S4" s="27">
        <v>11751.675980000002</v>
      </c>
      <c r="T4" s="27">
        <v>12239.987419459238</v>
      </c>
      <c r="U4" s="27">
        <v>13849.901842392243</v>
      </c>
      <c r="V4" s="27">
        <v>14882.647262896198</v>
      </c>
      <c r="W4" s="27">
        <v>15506.219254743915</v>
      </c>
      <c r="X4" s="27">
        <v>15182.095478394785</v>
      </c>
      <c r="Y4" s="27">
        <v>17149.143751840242</v>
      </c>
      <c r="Z4" s="27">
        <v>17792.934847494103</v>
      </c>
      <c r="AA4" s="27">
        <v>19420.400000000001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149.90535673581036</v>
      </c>
      <c r="J6" s="19">
        <v>156.17647175617989</v>
      </c>
      <c r="K6" s="19">
        <v>158.92803383897316</v>
      </c>
      <c r="L6" s="19">
        <v>101.19373125937032</v>
      </c>
      <c r="M6" s="19">
        <v>126.65428484150667</v>
      </c>
      <c r="N6" s="19">
        <v>127.2297426507985</v>
      </c>
      <c r="O6" s="19">
        <v>108.71793684906596</v>
      </c>
      <c r="P6" s="19">
        <v>113.36942885156174</v>
      </c>
      <c r="Q6" s="19">
        <v>113.55204164011049</v>
      </c>
      <c r="R6" s="19">
        <v>121.92506199807937</v>
      </c>
      <c r="S6" s="19">
        <v>124.04797600000002</v>
      </c>
      <c r="T6" s="19">
        <v>138.85365265232872</v>
      </c>
      <c r="U6" s="19">
        <v>104.47775545734568</v>
      </c>
      <c r="V6" s="19">
        <v>103.73178935029824</v>
      </c>
      <c r="W6" s="19">
        <v>81.562459950977242</v>
      </c>
      <c r="X6" s="19">
        <v>130.23417796321829</v>
      </c>
      <c r="Y6" s="19">
        <v>164.37592531652146</v>
      </c>
      <c r="Z6" s="19">
        <v>161.0582560112569</v>
      </c>
      <c r="AA6" s="19">
        <v>11.2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2217.7918130566218</v>
      </c>
      <c r="E7" s="23">
        <v>1982.1013771957178</v>
      </c>
      <c r="F7" s="23">
        <v>2123.7352705384824</v>
      </c>
      <c r="G7" s="23">
        <v>2177.7663237192705</v>
      </c>
      <c r="H7" s="23">
        <v>1986.3846253969914</v>
      </c>
      <c r="I7" s="23">
        <v>1738.6082060633689</v>
      </c>
      <c r="J7" s="23">
        <v>1704.8198054204304</v>
      </c>
      <c r="K7" s="23">
        <v>1676.1108420847927</v>
      </c>
      <c r="L7" s="23">
        <v>1818.3154188530743</v>
      </c>
      <c r="M7" s="23">
        <v>1681.8052823272308</v>
      </c>
      <c r="N7" s="23">
        <v>1320.0996665875518</v>
      </c>
      <c r="O7" s="23">
        <v>1227.7310541687332</v>
      </c>
      <c r="P7" s="23">
        <v>1167.0382381778415</v>
      </c>
      <c r="Q7" s="23">
        <v>1202.0901295942215</v>
      </c>
      <c r="R7" s="23">
        <v>1178.155342387691</v>
      </c>
      <c r="S7" s="23">
        <v>1147.2503560000002</v>
      </c>
      <c r="T7" s="23">
        <v>1224.0113879980779</v>
      </c>
      <c r="U7" s="23">
        <v>1242.261481949148</v>
      </c>
      <c r="V7" s="23">
        <v>1332.7889362587086</v>
      </c>
      <c r="W7" s="23">
        <v>1351.6403014807811</v>
      </c>
      <c r="X7" s="23">
        <v>1322.6620059810539</v>
      </c>
      <c r="Y7" s="23">
        <v>1410.3722396383603</v>
      </c>
      <c r="Z7" s="23">
        <v>1468.202365600298</v>
      </c>
      <c r="AA7" s="23">
        <v>1555.6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424.3906192429842</v>
      </c>
      <c r="O8" s="23">
        <v>415.97045902904063</v>
      </c>
      <c r="P8" s="23">
        <v>399.43273032872548</v>
      </c>
      <c r="Q8" s="23">
        <v>419.142638623327</v>
      </c>
      <c r="R8" s="23">
        <v>414.08254872785221</v>
      </c>
      <c r="S8" s="23">
        <v>446.28902800000009</v>
      </c>
      <c r="T8" s="23">
        <v>462.97196936263703</v>
      </c>
      <c r="U8" s="23">
        <v>529.17304712162093</v>
      </c>
      <c r="V8" s="23">
        <v>587.28526567536653</v>
      </c>
      <c r="W8" s="23">
        <v>732.99673732431222</v>
      </c>
      <c r="X8" s="23">
        <v>702.54873484590723</v>
      </c>
      <c r="Y8" s="23">
        <v>722.60639451305065</v>
      </c>
      <c r="Z8" s="23">
        <v>699.5200860820263</v>
      </c>
      <c r="AA8" s="23">
        <v>763.2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1896.273459160607</v>
      </c>
      <c r="E9" s="23">
        <v>1858.2933374909055</v>
      </c>
      <c r="F9" s="23">
        <v>1855.257394891486</v>
      </c>
      <c r="G9" s="23">
        <v>1879.1365338799199</v>
      </c>
      <c r="H9" s="23">
        <v>1840.8674753995938</v>
      </c>
      <c r="I9" s="23">
        <v>1732.729564622749</v>
      </c>
      <c r="J9" s="23">
        <v>1751.2246996922468</v>
      </c>
      <c r="K9" s="23">
        <v>1860.5864789964992</v>
      </c>
      <c r="L9" s="23">
        <v>1860.1522301349326</v>
      </c>
      <c r="M9" s="23">
        <v>1789.5220245788003</v>
      </c>
      <c r="N9" s="23">
        <v>1798.7050215305328</v>
      </c>
      <c r="O9" s="23">
        <v>1823.9032699619775</v>
      </c>
      <c r="P9" s="23">
        <v>1925.4741598698458</v>
      </c>
      <c r="Q9" s="23">
        <v>2115.0266284257491</v>
      </c>
      <c r="R9" s="23">
        <v>2238.1957809647429</v>
      </c>
      <c r="S9" s="23">
        <v>2463.8094360000005</v>
      </c>
      <c r="T9" s="23">
        <v>2440.5616052252203</v>
      </c>
      <c r="U9" s="23">
        <v>2731.9637873309234</v>
      </c>
      <c r="V9" s="23">
        <v>2865.4840235567699</v>
      </c>
      <c r="W9" s="23">
        <v>2993.4251448191021</v>
      </c>
      <c r="X9" s="23">
        <v>1738.0720878176317</v>
      </c>
      <c r="Y9" s="23">
        <v>2423.874887853543</v>
      </c>
      <c r="Z9" s="23">
        <v>3113.7929495509666</v>
      </c>
      <c r="AA9" s="23">
        <v>3485.6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302.90505760274533</v>
      </c>
      <c r="E10" s="23">
        <v>324.68197692547557</v>
      </c>
      <c r="F10" s="23">
        <v>330.03541972057548</v>
      </c>
      <c r="G10" s="23">
        <v>350.11768463923977</v>
      </c>
      <c r="H10" s="23">
        <v>364.21247461862862</v>
      </c>
      <c r="I10" s="23">
        <v>396.64500164627822</v>
      </c>
      <c r="J10" s="23">
        <v>430.44539859029089</v>
      </c>
      <c r="K10" s="23">
        <v>413.77712952158691</v>
      </c>
      <c r="L10" s="23">
        <v>432.26337143928038</v>
      </c>
      <c r="M10" s="23">
        <v>441.77499353807838</v>
      </c>
      <c r="N10" s="23">
        <v>471.1726895647555</v>
      </c>
      <c r="O10" s="23">
        <v>530.08876398302755</v>
      </c>
      <c r="P10" s="23">
        <v>530.44666587654751</v>
      </c>
      <c r="Q10" s="23">
        <v>551.46021669853417</v>
      </c>
      <c r="R10" s="23">
        <v>682.56262386424805</v>
      </c>
      <c r="S10" s="23">
        <v>781.81172400000003</v>
      </c>
      <c r="T10" s="23">
        <v>841.72123137877952</v>
      </c>
      <c r="U10" s="23">
        <v>972.49424324169217</v>
      </c>
      <c r="V10" s="23">
        <v>1025.4941760329718</v>
      </c>
      <c r="W10" s="23">
        <v>1187.2132232922361</v>
      </c>
      <c r="X10" s="23">
        <v>1465.3654137492613</v>
      </c>
      <c r="Y10" s="23">
        <v>1787.9231930997455</v>
      </c>
      <c r="Z10" s="23">
        <v>2014.4556156106446</v>
      </c>
      <c r="AA10" s="23">
        <v>2390.6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258.12778821799168</v>
      </c>
      <c r="E11" s="23">
        <v>263.86693171188028</v>
      </c>
      <c r="F11" s="23">
        <v>236.52817206532879</v>
      </c>
      <c r="G11" s="23">
        <v>269.79656875141416</v>
      </c>
      <c r="H11" s="23">
        <v>391.06685062737546</v>
      </c>
      <c r="I11" s="23">
        <v>515.3608996276879</v>
      </c>
      <c r="J11" s="23">
        <v>588.70208974486252</v>
      </c>
      <c r="K11" s="23">
        <v>657.65486192143135</v>
      </c>
      <c r="L11" s="23">
        <v>584.50707458770614</v>
      </c>
      <c r="M11" s="23">
        <v>707.96109218224967</v>
      </c>
      <c r="N11" s="23">
        <v>855.1937341063981</v>
      </c>
      <c r="O11" s="23">
        <v>749.94059183336094</v>
      </c>
      <c r="P11" s="23">
        <v>876.52907674571441</v>
      </c>
      <c r="Q11" s="23">
        <v>939.78354365838129</v>
      </c>
      <c r="R11" s="23">
        <v>911.85250050126115</v>
      </c>
      <c r="S11" s="23">
        <v>1012.7575920000002</v>
      </c>
      <c r="T11" s="23">
        <v>1091.6072219443547</v>
      </c>
      <c r="U11" s="23">
        <v>1179.476148386233</v>
      </c>
      <c r="V11" s="23">
        <v>1257.3365536408066</v>
      </c>
      <c r="W11" s="23">
        <v>1343.1170836049168</v>
      </c>
      <c r="X11" s="23">
        <v>1458.5535196891283</v>
      </c>
      <c r="Y11" s="23">
        <v>1646.1042901432356</v>
      </c>
      <c r="Z11" s="23">
        <v>1395.4112916442496</v>
      </c>
      <c r="AA11" s="23">
        <v>1614.4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388.59645940572489</v>
      </c>
      <c r="E12" s="23">
        <v>387.6749714166927</v>
      </c>
      <c r="F12" s="23">
        <v>407.31690168251453</v>
      </c>
      <c r="G12" s="23">
        <v>448.80281633902553</v>
      </c>
      <c r="H12" s="23">
        <v>460.72038840006246</v>
      </c>
      <c r="I12" s="23">
        <v>449.2261834207128</v>
      </c>
      <c r="J12" s="23">
        <v>473.80997220291874</v>
      </c>
      <c r="K12" s="23">
        <v>475.68696518864255</v>
      </c>
      <c r="L12" s="23">
        <v>506.42176255622195</v>
      </c>
      <c r="M12" s="23">
        <v>558.43025589209765</v>
      </c>
      <c r="N12" s="23">
        <v>585.43170243786665</v>
      </c>
      <c r="O12" s="23">
        <v>604.27276795062551</v>
      </c>
      <c r="P12" s="23">
        <v>635.48010731255317</v>
      </c>
      <c r="Q12" s="23">
        <v>683.22989589972394</v>
      </c>
      <c r="R12" s="23">
        <v>693.99309842656794</v>
      </c>
      <c r="S12" s="23">
        <v>778.33012800000017</v>
      </c>
      <c r="T12" s="23">
        <v>887.37347965518268</v>
      </c>
      <c r="U12" s="23">
        <v>993.95720599207948</v>
      </c>
      <c r="V12" s="23">
        <v>1068.7665440933197</v>
      </c>
      <c r="W12" s="23">
        <v>1200.3531841841934</v>
      </c>
      <c r="X12" s="23">
        <v>1063.3482083698941</v>
      </c>
      <c r="Y12" s="23">
        <v>1188.7104110016107</v>
      </c>
      <c r="Z12" s="23">
        <v>1161.1350345569674</v>
      </c>
      <c r="AA12" s="23">
        <v>1562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469.89793283765022</v>
      </c>
      <c r="E13" s="23">
        <v>485.68268890967676</v>
      </c>
      <c r="F13" s="23">
        <v>507.51518673706329</v>
      </c>
      <c r="G13" s="23">
        <v>563.10594279477732</v>
      </c>
      <c r="H13" s="23">
        <v>565.28461498412037</v>
      </c>
      <c r="I13" s="23">
        <v>597.49858420079534</v>
      </c>
      <c r="J13" s="23">
        <v>658.94949865978367</v>
      </c>
      <c r="K13" s="23">
        <v>689.94201672500969</v>
      </c>
      <c r="L13" s="23">
        <v>711.37682721139436</v>
      </c>
      <c r="M13" s="23">
        <v>732.20114669737063</v>
      </c>
      <c r="N13" s="23">
        <v>812.2008657421535</v>
      </c>
      <c r="O13" s="23">
        <v>855.38988482944842</v>
      </c>
      <c r="P13" s="23">
        <v>973.64333013694193</v>
      </c>
      <c r="Q13" s="23">
        <v>1082.1002761844063</v>
      </c>
      <c r="R13" s="23">
        <v>1255.7192769177193</v>
      </c>
      <c r="S13" s="23">
        <v>1480.9677800000002</v>
      </c>
      <c r="T13" s="23">
        <v>1741.2349211019255</v>
      </c>
      <c r="U13" s="23">
        <v>2125.6967648127957</v>
      </c>
      <c r="V13" s="23">
        <v>2272.3478461436662</v>
      </c>
      <c r="W13" s="23">
        <v>2517.0719679791428</v>
      </c>
      <c r="X13" s="23">
        <v>2541.7601310817827</v>
      </c>
      <c r="Y13" s="23">
        <v>2957.8733082771882</v>
      </c>
      <c r="Z13" s="23">
        <v>3268.5540305425652</v>
      </c>
      <c r="AA13" s="23">
        <v>3497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1126.9824114170547</v>
      </c>
      <c r="E14" s="23">
        <v>1236.9076551294045</v>
      </c>
      <c r="F14" s="23">
        <v>1291.2029421303203</v>
      </c>
      <c r="G14" s="23">
        <v>1343.1475490130836</v>
      </c>
      <c r="H14" s="23">
        <v>1375.1118914978913</v>
      </c>
      <c r="I14" s="23">
        <v>1370.0500468556088</v>
      </c>
      <c r="J14" s="23">
        <v>1388.6264568648864</v>
      </c>
      <c r="K14" s="23">
        <v>1437.7187913263319</v>
      </c>
      <c r="L14" s="23">
        <v>1493.891337143928</v>
      </c>
      <c r="M14" s="23">
        <v>1595.601588457833</v>
      </c>
      <c r="N14" s="23">
        <v>1638.1011539461329</v>
      </c>
      <c r="O14" s="23">
        <v>1684.91484873533</v>
      </c>
      <c r="P14" s="23">
        <v>1743.054968592761</v>
      </c>
      <c r="Q14" s="23">
        <v>1830.6671128107089</v>
      </c>
      <c r="R14" s="23">
        <v>1949.8484524224095</v>
      </c>
      <c r="S14" s="23">
        <v>1999.0808440000005</v>
      </c>
      <c r="T14" s="23">
        <v>2089.886578991242</v>
      </c>
      <c r="U14" s="23">
        <v>2197.8567257839272</v>
      </c>
      <c r="V14" s="23">
        <v>2359.8677342206488</v>
      </c>
      <c r="W14" s="23">
        <v>2539.8005489814445</v>
      </c>
      <c r="X14" s="23">
        <v>2519.2462439338879</v>
      </c>
      <c r="Y14" s="23">
        <v>2754.190096471933</v>
      </c>
      <c r="Z14" s="23">
        <v>2792.2100964284241</v>
      </c>
      <c r="AA14" s="23">
        <v>2796.8000000000029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184.55258871912193</v>
      </c>
      <c r="E15" s="23">
        <v>213.94163288639436</v>
      </c>
      <c r="F15" s="23">
        <v>240.87734637487515</v>
      </c>
      <c r="G15" s="23">
        <v>273.40072138740635</v>
      </c>
      <c r="H15" s="23">
        <v>245.71754048003334</v>
      </c>
      <c r="I15" s="23">
        <v>328.06085150571136</v>
      </c>
      <c r="J15" s="23">
        <v>329.63476620669115</v>
      </c>
      <c r="K15" s="23">
        <v>528.97644399066508</v>
      </c>
      <c r="L15" s="23">
        <v>787.19660794602703</v>
      </c>
      <c r="M15" s="23">
        <v>707.50659116009115</v>
      </c>
      <c r="N15" s="23">
        <v>789.31991546016582</v>
      </c>
      <c r="O15" s="23">
        <v>740.70312007494363</v>
      </c>
      <c r="P15" s="23">
        <v>794.83640007326562</v>
      </c>
      <c r="Q15" s="23">
        <v>931.01716167410257</v>
      </c>
      <c r="R15" s="23">
        <v>1322.1248910416734</v>
      </c>
      <c r="S15" s="23">
        <v>1517.3311160000003</v>
      </c>
      <c r="T15" s="23">
        <v>1321.7653711494897</v>
      </c>
      <c r="U15" s="23">
        <v>1772.5446823164784</v>
      </c>
      <c r="V15" s="23">
        <v>2009.5443939236391</v>
      </c>
      <c r="W15" s="23">
        <v>1559.0386031268074</v>
      </c>
      <c r="X15" s="23">
        <v>2240.3049549630214</v>
      </c>
      <c r="Y15" s="23">
        <v>2093.1130055250537</v>
      </c>
      <c r="Z15" s="23">
        <v>1718.5951214667055</v>
      </c>
      <c r="AA15" s="23">
        <v>1744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6845.1275104175184</v>
      </c>
      <c r="E16" s="30">
        <f t="shared" ref="E16:S16" si="0">SUM(E6:E15)</f>
        <v>6753.1505716661468</v>
      </c>
      <c r="F16" s="30">
        <f t="shared" si="0"/>
        <v>6992.468634140645</v>
      </c>
      <c r="G16" s="30">
        <f t="shared" si="0"/>
        <v>7305.2741405241377</v>
      </c>
      <c r="H16" s="30">
        <f t="shared" si="0"/>
        <v>7229.3658614046972</v>
      </c>
      <c r="I16" s="30">
        <f t="shared" si="0"/>
        <v>7278.0846946787215</v>
      </c>
      <c r="J16" s="30">
        <f t="shared" si="0"/>
        <v>7482.3891591382917</v>
      </c>
      <c r="K16" s="30">
        <f t="shared" si="0"/>
        <v>7899.3815635939318</v>
      </c>
      <c r="L16" s="30">
        <f t="shared" si="0"/>
        <v>8295.3183611319364</v>
      </c>
      <c r="M16" s="30">
        <f t="shared" si="0"/>
        <v>8341.4572596752587</v>
      </c>
      <c r="N16" s="30">
        <f t="shared" si="0"/>
        <v>8821.8451112693401</v>
      </c>
      <c r="O16" s="30">
        <f t="shared" si="0"/>
        <v>8741.6326974155527</v>
      </c>
      <c r="P16" s="30">
        <f t="shared" si="0"/>
        <v>9159.3051059657591</v>
      </c>
      <c r="Q16" s="30">
        <f t="shared" si="0"/>
        <v>9868.0696452092652</v>
      </c>
      <c r="R16" s="30">
        <f t="shared" si="0"/>
        <v>10768.459577252244</v>
      </c>
      <c r="S16" s="30">
        <f t="shared" si="0"/>
        <v>11751.675980000004</v>
      </c>
      <c r="T16" s="30">
        <f t="shared" ref="T16:Y16" si="1">SUM(T6:T15)</f>
        <v>12239.987419459238</v>
      </c>
      <c r="U16" s="30">
        <f t="shared" si="1"/>
        <v>13849.901842392244</v>
      </c>
      <c r="V16" s="30">
        <f t="shared" si="1"/>
        <v>14882.647262896195</v>
      </c>
      <c r="W16" s="30">
        <f t="shared" si="1"/>
        <v>15506.219254743915</v>
      </c>
      <c r="X16" s="30">
        <f t="shared" si="1"/>
        <v>15182.095478394787</v>
      </c>
      <c r="Y16" s="30">
        <f t="shared" si="1"/>
        <v>17149.143751840242</v>
      </c>
      <c r="Z16" s="30">
        <f t="shared" ref="Z16:AA16" si="2">SUM(Z6:Z15)</f>
        <v>17792.934847494103</v>
      </c>
      <c r="AA16" s="30">
        <f t="shared" si="2"/>
        <v>19420.400000000001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149.90535673581036</v>
      </c>
      <c r="J18" s="19">
        <v>156.17647175617989</v>
      </c>
      <c r="K18" s="19">
        <v>158.92803383897316</v>
      </c>
      <c r="L18" s="19">
        <v>101.19373125937032</v>
      </c>
      <c r="M18" s="19">
        <v>126.65428484150667</v>
      </c>
      <c r="N18" s="19">
        <v>127.2297426507985</v>
      </c>
      <c r="O18" s="19">
        <v>108.71793684906596</v>
      </c>
      <c r="P18" s="19">
        <v>113.36942885156174</v>
      </c>
      <c r="Q18" s="19">
        <v>113.55204164011049</v>
      </c>
      <c r="R18" s="19">
        <v>121.92506199807937</v>
      </c>
      <c r="S18" s="19">
        <v>124.04797600000002</v>
      </c>
      <c r="T18" s="19">
        <v>138.85365265232872</v>
      </c>
      <c r="U18" s="19">
        <v>104.47775545734568</v>
      </c>
      <c r="V18" s="19">
        <v>103.73178935029824</v>
      </c>
      <c r="W18" s="19">
        <v>81.562459950977242</v>
      </c>
      <c r="X18" s="19">
        <v>130.23417796321829</v>
      </c>
      <c r="Y18" s="19">
        <v>164.37592531652146</v>
      </c>
      <c r="Z18" s="19">
        <v>161.0582560112569</v>
      </c>
      <c r="AA18" s="19">
        <v>11.2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2044.8286352370828</v>
      </c>
      <c r="E20" s="23">
        <v>1802.3367945120046</v>
      </c>
      <c r="F20" s="23">
        <v>1936.8880511629718</v>
      </c>
      <c r="G20" s="23">
        <v>2017.9822235236179</v>
      </c>
      <c r="H20" s="23">
        <v>1829.4543655958773</v>
      </c>
      <c r="I20" s="23">
        <v>1616.7896917660764</v>
      </c>
      <c r="J20" s="23">
        <v>1535.2019160131038</v>
      </c>
      <c r="K20" s="23">
        <v>1506.83838000778</v>
      </c>
      <c r="L20" s="23">
        <v>1658.6709801349336</v>
      </c>
      <c r="M20" s="23">
        <v>1449.2522593227898</v>
      </c>
      <c r="N20" s="23">
        <v>1106.4469715977805</v>
      </c>
      <c r="O20" s="23">
        <v>1102.8120130049044</v>
      </c>
      <c r="P20" s="23">
        <v>1124.2468361113206</v>
      </c>
      <c r="Q20" s="23">
        <v>1049.7742426173784</v>
      </c>
      <c r="R20" s="23">
        <v>1017.5843902027206</v>
      </c>
      <c r="S20" s="23">
        <v>943.89936000000012</v>
      </c>
      <c r="T20" s="23">
        <v>961.3528847568333</v>
      </c>
      <c r="U20" s="23">
        <v>1024.794796150682</v>
      </c>
      <c r="V20" s="23">
        <v>1089.8542051480806</v>
      </c>
      <c r="W20" s="23">
        <v>1110.9777745136739</v>
      </c>
      <c r="X20" s="23">
        <v>1087.3630213276506</v>
      </c>
      <c r="Y20" s="23">
        <v>1149.2914560853526</v>
      </c>
      <c r="Z20" s="23">
        <v>1199.4517435748871</v>
      </c>
      <c r="AA20" s="23">
        <v>1222.5999999999999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56.717874554021243</v>
      </c>
      <c r="E21" s="23">
        <v>65.673547448290378</v>
      </c>
      <c r="F21" s="23">
        <v>73.434135457340261</v>
      </c>
      <c r="G21" s="23">
        <v>56.121805331878136</v>
      </c>
      <c r="H21" s="23">
        <v>74.688733274327063</v>
      </c>
      <c r="I21" s="23">
        <v>42.620150444495138</v>
      </c>
      <c r="J21" s="23">
        <v>89.449434130844821</v>
      </c>
      <c r="K21" s="23">
        <v>89.494977635161419</v>
      </c>
      <c r="L21" s="23">
        <v>67.210761806596494</v>
      </c>
      <c r="M21" s="23">
        <v>128.62378927086024</v>
      </c>
      <c r="N21" s="23">
        <v>116.2993523887023</v>
      </c>
      <c r="O21" s="23">
        <v>29.986254477324096</v>
      </c>
      <c r="P21" s="23">
        <v>-44.319666426039639</v>
      </c>
      <c r="Q21" s="23">
        <v>64.652067134055727</v>
      </c>
      <c r="R21" s="23">
        <v>68.855001530165381</v>
      </c>
      <c r="S21" s="23">
        <v>112.31370800000006</v>
      </c>
      <c r="T21" s="23">
        <v>168.06603312836501</v>
      </c>
      <c r="U21" s="23">
        <v>121.74680594616322</v>
      </c>
      <c r="V21" s="23">
        <v>139.69051773847454</v>
      </c>
      <c r="W21" s="23">
        <v>137.79202232646944</v>
      </c>
      <c r="X21" s="23">
        <v>136.81516036029578</v>
      </c>
      <c r="Y21" s="23">
        <v>160.57919878067787</v>
      </c>
      <c r="Z21" s="23">
        <v>162.12557381119888</v>
      </c>
      <c r="AA21" s="23">
        <v>215.8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116.24530326551739</v>
      </c>
      <c r="E22" s="23">
        <v>114.09103523542268</v>
      </c>
      <c r="F22" s="23">
        <v>113.4130839181702</v>
      </c>
      <c r="G22" s="23">
        <v>103.66229486377476</v>
      </c>
      <c r="H22" s="23">
        <v>82.241526526787112</v>
      </c>
      <c r="I22" s="23">
        <v>79.198363852797414</v>
      </c>
      <c r="J22" s="23">
        <v>80.168455276481708</v>
      </c>
      <c r="K22" s="23">
        <v>79.777484441851385</v>
      </c>
      <c r="L22" s="23">
        <v>92.433676911544168</v>
      </c>
      <c r="M22" s="23">
        <v>103.92923373358086</v>
      </c>
      <c r="N22" s="23">
        <v>97.353342601069144</v>
      </c>
      <c r="O22" s="23">
        <v>94.932786686504613</v>
      </c>
      <c r="P22" s="23">
        <v>87.111068492560435</v>
      </c>
      <c r="Q22" s="23">
        <v>87.663819842787348</v>
      </c>
      <c r="R22" s="23">
        <v>91.715950654805241</v>
      </c>
      <c r="S22" s="23">
        <v>91.037288000000018</v>
      </c>
      <c r="T22" s="23">
        <v>94.592470112879639</v>
      </c>
      <c r="U22" s="23">
        <v>95.71987985230254</v>
      </c>
      <c r="V22" s="23">
        <v>103.24421337215351</v>
      </c>
      <c r="W22" s="23">
        <v>102.87050464063752</v>
      </c>
      <c r="X22" s="23">
        <v>98.483824293107432</v>
      </c>
      <c r="Y22" s="23">
        <v>100.50158477232971</v>
      </c>
      <c r="Z22" s="23">
        <v>106.62504821421187</v>
      </c>
      <c r="AA22" s="23">
        <v>117.20000000000002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424.3906192429842</v>
      </c>
      <c r="O23" s="23">
        <v>415.97045902904063</v>
      </c>
      <c r="P23" s="23">
        <v>399.43273032872548</v>
      </c>
      <c r="Q23" s="23">
        <v>419.142638623327</v>
      </c>
      <c r="R23" s="23">
        <v>414.08254872785221</v>
      </c>
      <c r="S23" s="23">
        <v>446.28902800000009</v>
      </c>
      <c r="T23" s="23">
        <v>462.97196936263703</v>
      </c>
      <c r="U23" s="23">
        <v>529.17304712162093</v>
      </c>
      <c r="V23" s="23">
        <v>587.28526567536653</v>
      </c>
      <c r="W23" s="23">
        <v>732.99673732431222</v>
      </c>
      <c r="X23" s="23">
        <v>702.54873484590723</v>
      </c>
      <c r="Y23" s="23">
        <v>722.60639451305065</v>
      </c>
      <c r="Z23" s="23">
        <v>699.5200860820263</v>
      </c>
      <c r="AA23" s="23">
        <v>763.2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913.1051011792905</v>
      </c>
      <c r="E24" s="23">
        <v>874.36286768527202</v>
      </c>
      <c r="F24" s="23">
        <v>917.67577931428104</v>
      </c>
      <c r="G24" s="23">
        <v>942.91498010195278</v>
      </c>
      <c r="H24" s="23">
        <v>920.60157754985164</v>
      </c>
      <c r="I24" s="23">
        <v>887.02167515133078</v>
      </c>
      <c r="J24" s="23">
        <v>882.49307554849622</v>
      </c>
      <c r="K24" s="23">
        <v>910.93661999222059</v>
      </c>
      <c r="L24" s="23">
        <v>920.71191904047964</v>
      </c>
      <c r="M24" s="23">
        <v>872.18746152219376</v>
      </c>
      <c r="N24" s="23">
        <v>899.64398783892238</v>
      </c>
      <c r="O24" s="23">
        <v>956.57572932165124</v>
      </c>
      <c r="P24" s="23">
        <v>973.22653076616416</v>
      </c>
      <c r="Q24" s="23">
        <v>1046.3498746547693</v>
      </c>
      <c r="R24" s="23">
        <v>1114.3351927480714</v>
      </c>
      <c r="S24" s="23">
        <v>1230.6797120000003</v>
      </c>
      <c r="T24" s="23">
        <v>1178.9914423293812</v>
      </c>
      <c r="U24" s="23">
        <v>1289.0112686295897</v>
      </c>
      <c r="V24" s="23">
        <v>1325.2315085974651</v>
      </c>
      <c r="W24" s="23">
        <v>1403.4898768922876</v>
      </c>
      <c r="X24" s="23">
        <v>1224.755460845585</v>
      </c>
      <c r="Y24" s="23">
        <v>1357.3297365640751</v>
      </c>
      <c r="Z24" s="23">
        <v>1554.2281802756283</v>
      </c>
      <c r="AA24" s="23">
        <v>1606.3999999999999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543.12193806683558</v>
      </c>
      <c r="E25" s="23">
        <v>553.36665107577176</v>
      </c>
      <c r="F25" s="23">
        <v>504.83877177734252</v>
      </c>
      <c r="G25" s="23">
        <v>483.98621111894909</v>
      </c>
      <c r="H25" s="23">
        <v>490.42804185973864</v>
      </c>
      <c r="I25" s="23">
        <v>447.59322746498503</v>
      </c>
      <c r="J25" s="23">
        <v>478.2904447533009</v>
      </c>
      <c r="K25" s="23">
        <v>544.33635258654215</v>
      </c>
      <c r="L25" s="23">
        <v>520.31702117691157</v>
      </c>
      <c r="M25" s="23">
        <v>526.91818502244053</v>
      </c>
      <c r="N25" s="23">
        <v>474.23319883814236</v>
      </c>
      <c r="O25" s="23">
        <v>427.90811483991848</v>
      </c>
      <c r="P25" s="23">
        <v>505.16083738269424</v>
      </c>
      <c r="Q25" s="23">
        <v>549.81652007648188</v>
      </c>
      <c r="R25" s="23">
        <v>580.36873819398272</v>
      </c>
      <c r="S25" s="23">
        <v>647.83475200000009</v>
      </c>
      <c r="T25" s="23">
        <v>679.21946119823087</v>
      </c>
      <c r="U25" s="23">
        <v>753.54735311561353</v>
      </c>
      <c r="V25" s="23">
        <v>770.97951544140585</v>
      </c>
      <c r="W25" s="23">
        <v>835.51210788678861</v>
      </c>
      <c r="X25" s="23">
        <v>234.72170549576492</v>
      </c>
      <c r="Y25" s="23">
        <v>667.10718603321959</v>
      </c>
      <c r="Z25" s="23">
        <v>855.34848487356703</v>
      </c>
      <c r="AA25" s="23">
        <v>1052.9000000000001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440.04641991448102</v>
      </c>
      <c r="E26" s="23">
        <v>430.56381872986179</v>
      </c>
      <c r="F26" s="23">
        <v>432.74284379986244</v>
      </c>
      <c r="G26" s="23">
        <v>452.23534265901804</v>
      </c>
      <c r="H26" s="23">
        <v>429.83785599000367</v>
      </c>
      <c r="I26" s="23">
        <v>398.11466200643321</v>
      </c>
      <c r="J26" s="23">
        <v>390.44117939044975</v>
      </c>
      <c r="K26" s="23">
        <v>405.31350641773628</v>
      </c>
      <c r="L26" s="23">
        <v>419.12328991754123</v>
      </c>
      <c r="M26" s="23">
        <v>390.41637803416592</v>
      </c>
      <c r="N26" s="23">
        <v>424.82783485346806</v>
      </c>
      <c r="O26" s="23">
        <v>439.41942580040779</v>
      </c>
      <c r="P26" s="23">
        <v>447.08679172098738</v>
      </c>
      <c r="Q26" s="23">
        <v>518.86023369449765</v>
      </c>
      <c r="R26" s="23">
        <v>543.4918500226886</v>
      </c>
      <c r="S26" s="23">
        <v>585.29497200000003</v>
      </c>
      <c r="T26" s="23">
        <v>582.35070169760809</v>
      </c>
      <c r="U26" s="23">
        <v>689.40516558572006</v>
      </c>
      <c r="V26" s="23">
        <v>769.27299951789928</v>
      </c>
      <c r="W26" s="23">
        <v>754.423160040026</v>
      </c>
      <c r="X26" s="23">
        <v>278.59492147628174</v>
      </c>
      <c r="Y26" s="23">
        <v>399.43796525624816</v>
      </c>
      <c r="Z26" s="23">
        <v>704.2162844017713</v>
      </c>
      <c r="AA26" s="23">
        <v>826.3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302.90505760274533</v>
      </c>
      <c r="E27" s="23">
        <v>324.68197692547557</v>
      </c>
      <c r="F27" s="23">
        <v>330.03541972057548</v>
      </c>
      <c r="G27" s="23">
        <v>350.11768463923977</v>
      </c>
      <c r="H27" s="23">
        <v>364.21247461862862</v>
      </c>
      <c r="I27" s="23">
        <v>396.64500164627822</v>
      </c>
      <c r="J27" s="23">
        <v>430.44539859029089</v>
      </c>
      <c r="K27" s="23">
        <v>413.77712952158691</v>
      </c>
      <c r="L27" s="23">
        <v>432.26337143928038</v>
      </c>
      <c r="M27" s="23">
        <v>441.77499353807838</v>
      </c>
      <c r="N27" s="23">
        <v>471.1726895647555</v>
      </c>
      <c r="O27" s="23">
        <v>530.08876398302755</v>
      </c>
      <c r="P27" s="23">
        <v>530.44666587654751</v>
      </c>
      <c r="Q27" s="23">
        <v>551.46021669853417</v>
      </c>
      <c r="R27" s="23">
        <v>682.56262386424805</v>
      </c>
      <c r="S27" s="23">
        <v>781.81172400000003</v>
      </c>
      <c r="T27" s="23">
        <v>841.72123137877952</v>
      </c>
      <c r="U27" s="23">
        <v>972.49424324169217</v>
      </c>
      <c r="V27" s="23">
        <v>1025.4941760329718</v>
      </c>
      <c r="W27" s="23">
        <v>1187.2132232922361</v>
      </c>
      <c r="X27" s="23">
        <v>1465.3654137492613</v>
      </c>
      <c r="Y27" s="23">
        <v>1787.9231930997455</v>
      </c>
      <c r="Z27" s="23">
        <v>2014.4556156106446</v>
      </c>
      <c r="AA27" s="23">
        <v>2390.6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258.12778821799168</v>
      </c>
      <c r="E28" s="23">
        <v>263.86693171188028</v>
      </c>
      <c r="F28" s="23">
        <v>236.52817206532879</v>
      </c>
      <c r="G28" s="23">
        <v>269.79656875141416</v>
      </c>
      <c r="H28" s="23">
        <v>391.06685062737546</v>
      </c>
      <c r="I28" s="23">
        <v>515.3608996276879</v>
      </c>
      <c r="J28" s="23">
        <v>588.70208974486252</v>
      </c>
      <c r="K28" s="23">
        <v>657.65486192143135</v>
      </c>
      <c r="L28" s="23">
        <v>584.50707458770614</v>
      </c>
      <c r="M28" s="23">
        <v>707.96109218224967</v>
      </c>
      <c r="N28" s="23">
        <v>855.1937341063981</v>
      </c>
      <c r="O28" s="23">
        <v>749.94059183336094</v>
      </c>
      <c r="P28" s="23">
        <v>876.52907674571441</v>
      </c>
      <c r="Q28" s="23">
        <v>939.78354365838129</v>
      </c>
      <c r="R28" s="23">
        <v>911.85250050126115</v>
      </c>
      <c r="S28" s="23">
        <v>1012.7575920000002</v>
      </c>
      <c r="T28" s="23">
        <v>1091.6072219443547</v>
      </c>
      <c r="U28" s="23">
        <v>1179.476148386233</v>
      </c>
      <c r="V28" s="23">
        <v>1257.3365536408066</v>
      </c>
      <c r="W28" s="23">
        <v>1343.1170836049168</v>
      </c>
      <c r="X28" s="23">
        <v>1458.5535196891283</v>
      </c>
      <c r="Y28" s="23">
        <v>1646.1042901432356</v>
      </c>
      <c r="Z28" s="23">
        <v>1395.4112916442496</v>
      </c>
      <c r="AA28" s="23">
        <v>1614.4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388.59645940572489</v>
      </c>
      <c r="E29" s="23">
        <v>387.6749714166927</v>
      </c>
      <c r="F29" s="23">
        <v>407.31690168251453</v>
      </c>
      <c r="G29" s="23">
        <v>448.80281633902553</v>
      </c>
      <c r="H29" s="23">
        <v>460.72038840006246</v>
      </c>
      <c r="I29" s="23">
        <v>449.2261834207128</v>
      </c>
      <c r="J29" s="23">
        <v>473.80997220291874</v>
      </c>
      <c r="K29" s="23">
        <v>475.68696518864255</v>
      </c>
      <c r="L29" s="23">
        <v>506.42176255622195</v>
      </c>
      <c r="M29" s="23">
        <v>558.43025589209765</v>
      </c>
      <c r="N29" s="23">
        <v>585.43170243786665</v>
      </c>
      <c r="O29" s="23">
        <v>604.27276795062551</v>
      </c>
      <c r="P29" s="23">
        <v>635.48010731255317</v>
      </c>
      <c r="Q29" s="23">
        <v>683.22989589972394</v>
      </c>
      <c r="R29" s="23">
        <v>693.99309842656794</v>
      </c>
      <c r="S29" s="23">
        <v>778.33012800000017</v>
      </c>
      <c r="T29" s="23">
        <v>887.37347965518268</v>
      </c>
      <c r="U29" s="23">
        <v>993.95720599207948</v>
      </c>
      <c r="V29" s="23">
        <v>1068.7665440933197</v>
      </c>
      <c r="W29" s="23">
        <v>1200.3531841841934</v>
      </c>
      <c r="X29" s="23">
        <v>1063.3482083698941</v>
      </c>
      <c r="Y29" s="23">
        <v>1188.7104110016107</v>
      </c>
      <c r="Z29" s="23">
        <v>1161.1350345569674</v>
      </c>
      <c r="AA29" s="23">
        <v>1562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232.49060653103473</v>
      </c>
      <c r="E30" s="23">
        <v>242.92511173474688</v>
      </c>
      <c r="F30" s="23">
        <v>273.16160182650765</v>
      </c>
      <c r="G30" s="23">
        <v>291.24985825136764</v>
      </c>
      <c r="H30" s="23">
        <v>282.13878794189623</v>
      </c>
      <c r="I30" s="23">
        <v>325.44812197654687</v>
      </c>
      <c r="J30" s="23">
        <v>360.03797279857048</v>
      </c>
      <c r="K30" s="23">
        <v>383.37077985219759</v>
      </c>
      <c r="L30" s="23">
        <v>394.8065873313343</v>
      </c>
      <c r="M30" s="23">
        <v>411.02042437201868</v>
      </c>
      <c r="N30" s="23">
        <v>466.80053345991701</v>
      </c>
      <c r="O30" s="23">
        <v>496.40752080233642</v>
      </c>
      <c r="P30" s="23">
        <v>555.17676187603024</v>
      </c>
      <c r="Q30" s="23">
        <v>582.1425536435097</v>
      </c>
      <c r="R30" s="23">
        <v>691.67978809847932</v>
      </c>
      <c r="S30" s="23">
        <v>827.71721200000013</v>
      </c>
      <c r="T30" s="23">
        <v>1001.5673306069614</v>
      </c>
      <c r="U30" s="23">
        <v>1193.9081405804588</v>
      </c>
      <c r="V30" s="23">
        <v>1237.8335145150161</v>
      </c>
      <c r="W30" s="23">
        <v>1369.2786273627778</v>
      </c>
      <c r="X30" s="23">
        <v>1485.6856400981321</v>
      </c>
      <c r="Y30" s="23">
        <v>1711.2069833902005</v>
      </c>
      <c r="Z30" s="23">
        <v>1851.476187559492</v>
      </c>
      <c r="AA30" s="23">
        <v>1913.7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237.40732630661546</v>
      </c>
      <c r="E31" s="23">
        <v>242.75757717492985</v>
      </c>
      <c r="F31" s="23">
        <v>234.35358491055558</v>
      </c>
      <c r="G31" s="23">
        <v>271.85608454340974</v>
      </c>
      <c r="H31" s="23">
        <v>283.1458270422242</v>
      </c>
      <c r="I31" s="23">
        <v>272.05046222424841</v>
      </c>
      <c r="J31" s="23">
        <v>298.91152586121319</v>
      </c>
      <c r="K31" s="23">
        <v>306.57123687281211</v>
      </c>
      <c r="L31" s="23">
        <v>316.57023988005994</v>
      </c>
      <c r="M31" s="23">
        <v>321.18072232535189</v>
      </c>
      <c r="N31" s="23">
        <v>345.40033228223649</v>
      </c>
      <c r="O31" s="23">
        <v>358.98236402711194</v>
      </c>
      <c r="P31" s="23">
        <v>418.46656826091169</v>
      </c>
      <c r="Q31" s="23">
        <v>499.95772254089661</v>
      </c>
      <c r="R31" s="23">
        <v>564.03948881923998</v>
      </c>
      <c r="S31" s="23">
        <v>653.25056800000016</v>
      </c>
      <c r="T31" s="23">
        <v>739.66759049496409</v>
      </c>
      <c r="U31" s="23">
        <v>931.7886242323367</v>
      </c>
      <c r="V31" s="23">
        <v>1034.5143316286501</v>
      </c>
      <c r="W31" s="23">
        <v>1147.7933406163647</v>
      </c>
      <c r="X31" s="23">
        <v>1056.0744909836505</v>
      </c>
      <c r="Y31" s="23">
        <v>1246.6663248869877</v>
      </c>
      <c r="Z31" s="23">
        <v>1417.0778429830734</v>
      </c>
      <c r="AA31" s="23">
        <v>1583.3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447.42149957785216</v>
      </c>
      <c r="E32" s="23">
        <v>497.07503897723723</v>
      </c>
      <c r="F32" s="23">
        <v>497.64590657309265</v>
      </c>
      <c r="G32" s="23">
        <v>515.56545326288062</v>
      </c>
      <c r="H32" s="23">
        <v>521.14273441974274</v>
      </c>
      <c r="I32" s="23">
        <v>508.665780209204</v>
      </c>
      <c r="J32" s="23">
        <v>508.05358383798279</v>
      </c>
      <c r="K32" s="23">
        <v>525.99850252819897</v>
      </c>
      <c r="L32" s="23">
        <v>536.02470483508239</v>
      </c>
      <c r="M32" s="23">
        <v>566.91427497238999</v>
      </c>
      <c r="N32" s="23">
        <v>573.7726194916296</v>
      </c>
      <c r="O32" s="23">
        <v>584.94513473301561</v>
      </c>
      <c r="P32" s="23">
        <v>601.71935827955053</v>
      </c>
      <c r="Q32" s="23">
        <v>610.35934565540822</v>
      </c>
      <c r="R32" s="23">
        <v>647.99904602104186</v>
      </c>
      <c r="S32" s="23">
        <v>658.92428000000041</v>
      </c>
      <c r="T32" s="23">
        <v>693.13011856777132</v>
      </c>
      <c r="U32" s="23">
        <v>733.5645946928405</v>
      </c>
      <c r="V32" s="23">
        <v>782.07186894419692</v>
      </c>
      <c r="W32" s="23">
        <v>833.26292539176688</v>
      </c>
      <c r="X32" s="23">
        <v>863.14779650090622</v>
      </c>
      <c r="Y32" s="23">
        <v>932.09636454959514</v>
      </c>
      <c r="Z32" s="23">
        <v>980.97178992674799</v>
      </c>
      <c r="AA32" s="23">
        <v>979.700000000003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382.97735109077541</v>
      </c>
      <c r="E33" s="23">
        <v>419.67407234175244</v>
      </c>
      <c r="F33" s="23">
        <v>455.1578190875245</v>
      </c>
      <c r="G33" s="23">
        <v>468.02496373098376</v>
      </c>
      <c r="H33" s="23">
        <v>468.77670120268652</v>
      </c>
      <c r="I33" s="23">
        <v>472.08756680090175</v>
      </c>
      <c r="J33" s="23">
        <v>476.53025910850795</v>
      </c>
      <c r="K33" s="23">
        <v>488.06893232205363</v>
      </c>
      <c r="L33" s="23">
        <v>496.00031859070464</v>
      </c>
      <c r="M33" s="23">
        <v>524.03967854876987</v>
      </c>
      <c r="N33" s="23">
        <v>538.35815504243942</v>
      </c>
      <c r="O33" s="23">
        <v>556.80637460737319</v>
      </c>
      <c r="P33" s="23">
        <v>581.01832286425395</v>
      </c>
      <c r="Q33" s="23">
        <v>614.33161249203317</v>
      </c>
      <c r="R33" s="23">
        <v>643.78065659923391</v>
      </c>
      <c r="S33" s="23">
        <v>659.8269160000001</v>
      </c>
      <c r="T33" s="23">
        <v>675.2991850304511</v>
      </c>
      <c r="U33" s="23">
        <v>703.46710669804281</v>
      </c>
      <c r="V33" s="23">
        <v>769.15110552336307</v>
      </c>
      <c r="W33" s="23">
        <v>809.8240762331427</v>
      </c>
      <c r="X33" s="23">
        <v>741.11098257615095</v>
      </c>
      <c r="Y33" s="23">
        <v>810.26611012002707</v>
      </c>
      <c r="Z33" s="23">
        <v>790.028635517113</v>
      </c>
      <c r="AA33" s="23">
        <v>810.2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296.5835607484272</v>
      </c>
      <c r="E34" s="23">
        <v>320.1585438104147</v>
      </c>
      <c r="F34" s="23">
        <v>338.39921646970305</v>
      </c>
      <c r="G34" s="23">
        <v>359.5571320192193</v>
      </c>
      <c r="H34" s="23">
        <v>385.19245587546209</v>
      </c>
      <c r="I34" s="23">
        <v>389.29669984550316</v>
      </c>
      <c r="J34" s="23">
        <v>404.04261391839572</v>
      </c>
      <c r="K34" s="23">
        <v>423.65135647607934</v>
      </c>
      <c r="L34" s="23">
        <v>461.86631371814099</v>
      </c>
      <c r="M34" s="23">
        <v>504.64763493667317</v>
      </c>
      <c r="N34" s="23">
        <v>525.97037941206383</v>
      </c>
      <c r="O34" s="23">
        <v>543.16333939494132</v>
      </c>
      <c r="P34" s="23">
        <v>560.31728744895656</v>
      </c>
      <c r="Q34" s="23">
        <v>605.97615466326749</v>
      </c>
      <c r="R34" s="23">
        <v>658.06874980213388</v>
      </c>
      <c r="S34" s="23">
        <v>680.32964800000013</v>
      </c>
      <c r="T34" s="23">
        <v>721.45727539301936</v>
      </c>
      <c r="U34" s="23">
        <v>760.82502439304369</v>
      </c>
      <c r="V34" s="23">
        <v>808.64475975308881</v>
      </c>
      <c r="W34" s="23">
        <v>896.71354735653495</v>
      </c>
      <c r="X34" s="23">
        <v>914.98746485683068</v>
      </c>
      <c r="Y34" s="23">
        <v>1011.8276218023105</v>
      </c>
      <c r="Z34" s="23">
        <v>1021.2096709845632</v>
      </c>
      <c r="AA34" s="23">
        <v>1006.9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92.715287196666395</v>
      </c>
      <c r="E35" s="23">
        <v>116.2689845130444</v>
      </c>
      <c r="F35" s="23">
        <v>133.48619611607663</v>
      </c>
      <c r="G35" s="23">
        <v>158.06783703565679</v>
      </c>
      <c r="H35" s="23">
        <v>145.51714999739679</v>
      </c>
      <c r="I35" s="23">
        <v>224.04155712585168</v>
      </c>
      <c r="J35" s="23">
        <v>224.9837287799067</v>
      </c>
      <c r="K35" s="23">
        <v>418.00894107351223</v>
      </c>
      <c r="L35" s="23">
        <v>675.27936188155923</v>
      </c>
      <c r="M35" s="23">
        <v>596.91134243485203</v>
      </c>
      <c r="N35" s="23">
        <v>672.58334746097944</v>
      </c>
      <c r="O35" s="23">
        <v>626.30058522069771</v>
      </c>
      <c r="P35" s="23">
        <v>675.63178003081464</v>
      </c>
      <c r="Q35" s="23">
        <v>804.17857233906955</v>
      </c>
      <c r="R35" s="23">
        <v>1188.7693544812739</v>
      </c>
      <c r="S35" s="23">
        <v>1382.8383520000002</v>
      </c>
      <c r="T35" s="23">
        <v>1184.6821657987391</v>
      </c>
      <c r="U35" s="23">
        <v>1628.9648625380246</v>
      </c>
      <c r="V35" s="23">
        <v>1856.811218769792</v>
      </c>
      <c r="W35" s="23">
        <v>1382.4185882547347</v>
      </c>
      <c r="X35" s="23">
        <v>2096.3315330480095</v>
      </c>
      <c r="Y35" s="23">
        <v>1925.7220326653621</v>
      </c>
      <c r="Z35" s="23">
        <v>1520.6076695774532</v>
      </c>
      <c r="AA35" s="23">
        <v>1527.2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90.256927308876001</v>
      </c>
      <c r="E36" s="23">
        <v>96.332371894813434</v>
      </c>
      <c r="F36" s="23">
        <v>105.55111497399042</v>
      </c>
      <c r="G36" s="23">
        <v>113.95987382375256</v>
      </c>
      <c r="H36" s="23">
        <v>98.354152132035196</v>
      </c>
      <c r="I36" s="23">
        <v>101.89645163741358</v>
      </c>
      <c r="J36" s="23">
        <v>101.61071676759656</v>
      </c>
      <c r="K36" s="23">
        <v>107.04915888759237</v>
      </c>
      <c r="L36" s="23">
        <v>106.7820417916042</v>
      </c>
      <c r="M36" s="23">
        <v>104.38373475573937</v>
      </c>
      <c r="N36" s="23">
        <v>109.15816408413298</v>
      </c>
      <c r="O36" s="23">
        <v>106.159867746735</v>
      </c>
      <c r="P36" s="23">
        <v>108.92356889659854</v>
      </c>
      <c r="Q36" s="23">
        <v>114.51086466964097</v>
      </c>
      <c r="R36" s="23">
        <v>122.46937031057081</v>
      </c>
      <c r="S36" s="23">
        <v>122.37165200000003</v>
      </c>
      <c r="T36" s="23">
        <v>124.94299528278758</v>
      </c>
      <c r="U36" s="23">
        <v>130.7513822724751</v>
      </c>
      <c r="V36" s="23">
        <v>137.25263784775066</v>
      </c>
      <c r="W36" s="23">
        <v>161.70438358931045</v>
      </c>
      <c r="X36" s="23">
        <v>127.69414966960943</v>
      </c>
      <c r="Y36" s="23">
        <v>152.76240885394117</v>
      </c>
      <c r="Z36" s="23">
        <v>176.85455945039936</v>
      </c>
      <c r="AA36" s="23">
        <v>189.2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1.5803742135795409</v>
      </c>
      <c r="E37" s="23">
        <v>1.3402764785365349</v>
      </c>
      <c r="F37" s="23">
        <v>1.8400352848080741</v>
      </c>
      <c r="G37" s="23">
        <v>1.3730105279970188</v>
      </c>
      <c r="H37" s="23">
        <v>1.8462383506013433</v>
      </c>
      <c r="I37" s="23">
        <v>2.1228427424461165</v>
      </c>
      <c r="J37" s="23">
        <v>3.0403206591879282</v>
      </c>
      <c r="K37" s="23">
        <v>3.9183440295604823</v>
      </c>
      <c r="L37" s="23">
        <v>5.1352042728635681</v>
      </c>
      <c r="M37" s="23">
        <v>6.2115139694997294</v>
      </c>
      <c r="N37" s="23">
        <v>7.5784039150532898</v>
      </c>
      <c r="O37" s="23">
        <v>8.2426671075108828</v>
      </c>
      <c r="P37" s="23">
        <v>10.281051145852413</v>
      </c>
      <c r="Q37" s="23">
        <v>12.327724665391971</v>
      </c>
      <c r="R37" s="23">
        <v>10.886166249828516</v>
      </c>
      <c r="S37" s="23">
        <v>12.121112000000002</v>
      </c>
      <c r="T37" s="23">
        <v>12.140210067963165</v>
      </c>
      <c r="U37" s="23">
        <v>12.828437505978689</v>
      </c>
      <c r="V37" s="23">
        <v>15.480537306096211</v>
      </c>
      <c r="W37" s="23">
        <v>14.915631282762165</v>
      </c>
      <c r="X37" s="23">
        <v>16.279272245402286</v>
      </c>
      <c r="Y37" s="23">
        <v>14.628564005750214</v>
      </c>
      <c r="Z37" s="23">
        <v>21.132892438852792</v>
      </c>
      <c r="AA37" s="23">
        <v>27.6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6845.1275104175184</v>
      </c>
      <c r="E39" s="30">
        <f t="shared" ref="E39:S39" si="3">SUM(E18:E38)</f>
        <v>6753.1505716661477</v>
      </c>
      <c r="F39" s="30">
        <f t="shared" si="3"/>
        <v>6992.468634140645</v>
      </c>
      <c r="G39" s="30">
        <f t="shared" si="3"/>
        <v>7305.2741405241359</v>
      </c>
      <c r="H39" s="30">
        <f t="shared" si="3"/>
        <v>7229.3658614046963</v>
      </c>
      <c r="I39" s="30">
        <f t="shared" si="3"/>
        <v>7278.0846946787233</v>
      </c>
      <c r="J39" s="30">
        <f t="shared" si="3"/>
        <v>7482.389159138289</v>
      </c>
      <c r="K39" s="30">
        <f t="shared" si="3"/>
        <v>7899.3815635939318</v>
      </c>
      <c r="L39" s="30">
        <f t="shared" si="3"/>
        <v>8295.3183611319346</v>
      </c>
      <c r="M39" s="30">
        <f t="shared" si="3"/>
        <v>8341.4572596752587</v>
      </c>
      <c r="N39" s="30">
        <f t="shared" si="3"/>
        <v>8821.8451112693383</v>
      </c>
      <c r="O39" s="30">
        <f t="shared" si="3"/>
        <v>8741.6326974155509</v>
      </c>
      <c r="P39" s="30">
        <f t="shared" si="3"/>
        <v>9159.3051059657591</v>
      </c>
      <c r="Q39" s="30">
        <f t="shared" si="3"/>
        <v>9868.0696452092634</v>
      </c>
      <c r="R39" s="30">
        <f t="shared" si="3"/>
        <v>10768.459577252246</v>
      </c>
      <c r="S39" s="30">
        <f t="shared" si="3"/>
        <v>11751.675980000005</v>
      </c>
      <c r="T39" s="30">
        <f t="shared" ref="T39:Y39" si="4">SUM(T18:T38)</f>
        <v>12239.987419459236</v>
      </c>
      <c r="U39" s="30">
        <f t="shared" si="4"/>
        <v>13849.901842392243</v>
      </c>
      <c r="V39" s="30">
        <f t="shared" si="4"/>
        <v>14882.647262896193</v>
      </c>
      <c r="W39" s="30">
        <f t="shared" si="4"/>
        <v>15506.219254743914</v>
      </c>
      <c r="X39" s="30">
        <f t="shared" si="4"/>
        <v>15182.095478394785</v>
      </c>
      <c r="Y39" s="30">
        <f t="shared" si="4"/>
        <v>17149.143751840245</v>
      </c>
      <c r="Z39" s="30">
        <f t="shared" ref="Z39:AA39" si="5">SUM(Z18:Z38)</f>
        <v>17792.934847494107</v>
      </c>
      <c r="AA39" s="30">
        <f t="shared" si="5"/>
        <v>19420.400000000001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140.63768803896971</v>
      </c>
      <c r="O41" s="19">
        <v>142.54129497988649</v>
      </c>
      <c r="P41" s="19">
        <v>144.07364916552638</v>
      </c>
      <c r="Q41" s="19">
        <v>161.21924367962612</v>
      </c>
      <c r="R41" s="19">
        <v>182.2072076065048</v>
      </c>
      <c r="S41" s="19">
        <v>187.10354800000002</v>
      </c>
      <c r="T41" s="19">
        <v>178.18287485166772</v>
      </c>
      <c r="U41" s="19">
        <v>180.70827832941134</v>
      </c>
      <c r="V41" s="19">
        <v>176.1368221047955</v>
      </c>
      <c r="W41" s="19">
        <v>172.59516198624794</v>
      </c>
      <c r="X41" s="19">
        <v>147.09072936625898</v>
      </c>
      <c r="Y41" s="19">
        <v>142.37724509413374</v>
      </c>
      <c r="Z41" s="19">
        <v>162.87269627115839</v>
      </c>
      <c r="AA41" s="19">
        <v>170.2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41.244005922309249</v>
      </c>
      <c r="O42" s="23">
        <v>44.339864440403375</v>
      </c>
      <c r="P42" s="23">
        <v>42.096736448557856</v>
      </c>
      <c r="Q42" s="23">
        <v>29.175615041427665</v>
      </c>
      <c r="R42" s="23">
        <v>23.949565749622739</v>
      </c>
      <c r="S42" s="23">
        <v>22.565900000000003</v>
      </c>
      <c r="T42" s="23">
        <v>20.739525532770408</v>
      </c>
      <c r="U42" s="23">
        <v>22.696466356731523</v>
      </c>
      <c r="V42" s="23">
        <v>24.013116923629557</v>
      </c>
      <c r="W42" s="23">
        <v>20.834532585445565</v>
      </c>
      <c r="X42" s="23">
        <v>20.204770517343267</v>
      </c>
      <c r="Y42" s="23">
        <v>23.115364497635831</v>
      </c>
      <c r="Z42" s="23">
        <v>20.812697098870174</v>
      </c>
      <c r="AA42" s="23">
        <v>18.600000000000001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94.584310401338186</v>
      </c>
      <c r="O43" s="23">
        <v>99.906809941037082</v>
      </c>
      <c r="P43" s="23">
        <v>95.724922155301527</v>
      </c>
      <c r="Q43" s="23">
        <v>94.512555768005114</v>
      </c>
      <c r="R43" s="23">
        <v>96.614725467228084</v>
      </c>
      <c r="S43" s="23">
        <v>94.132040000000018</v>
      </c>
      <c r="T43" s="23">
        <v>86.878378298861406</v>
      </c>
      <c r="U43" s="23">
        <v>74.50361782318393</v>
      </c>
      <c r="V43" s="23">
        <v>97.880877612561093</v>
      </c>
      <c r="W43" s="23">
        <v>103.22563871879848</v>
      </c>
      <c r="X43" s="23">
        <v>117.18766900059094</v>
      </c>
      <c r="Y43" s="23">
        <v>129.2003706462061</v>
      </c>
      <c r="Z43" s="23">
        <v>143.44751231221289</v>
      </c>
      <c r="AA43" s="23">
        <v>162.19999999999999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17.780101493009642</v>
      </c>
      <c r="O45" s="23">
        <v>11.227081060230342</v>
      </c>
      <c r="P45" s="23">
        <v>11.392516134593214</v>
      </c>
      <c r="Q45" s="23">
        <v>10.547053324835353</v>
      </c>
      <c r="R45" s="23">
        <v>13.471630734162789</v>
      </c>
      <c r="S45" s="23">
        <v>14.055332000000002</v>
      </c>
      <c r="T45" s="23">
        <v>11.002065374091618</v>
      </c>
      <c r="U45" s="23">
        <v>12.70508714534428</v>
      </c>
      <c r="V45" s="23">
        <v>13.225498407176687</v>
      </c>
      <c r="W45" s="23">
        <v>13.495094970118151</v>
      </c>
      <c r="X45" s="23">
        <v>14.431978940959475</v>
      </c>
      <c r="Y45" s="23">
        <v>15.075237715849456</v>
      </c>
      <c r="Z45" s="23">
        <v>15.369376319165667</v>
      </c>
      <c r="AA45" s="23">
        <v>13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81.164537297442081</v>
      </c>
      <c r="V46" s="23">
        <v>74.477230661612495</v>
      </c>
      <c r="W46" s="23">
        <v>65.107914329517385</v>
      </c>
      <c r="X46" s="23">
        <v>85.552771162007758</v>
      </c>
      <c r="Y46" s="23">
        <v>90.116421012522309</v>
      </c>
      <c r="Z46" s="23">
        <v>74.925709555932627</v>
      </c>
      <c r="AA46" s="23">
        <v>81.8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140.3522906923809</v>
      </c>
      <c r="AA49" s="23">
        <v>147.80000000000001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26.807184390202721</v>
      </c>
      <c r="S50" s="23">
        <v>24.629068000000004</v>
      </c>
      <c r="T50" s="23">
        <v>25.165643786715311</v>
      </c>
      <c r="U50" s="23">
        <v>23.18986779926917</v>
      </c>
      <c r="V50" s="23">
        <v>20.112509098471456</v>
      </c>
      <c r="W50" s="23">
        <v>7.9313277455957554</v>
      </c>
      <c r="X50" s="23">
        <v>20.551138011926295</v>
      </c>
      <c r="Y50" s="23">
        <v>22.333685504962158</v>
      </c>
      <c r="Z50" s="23">
        <v>22.840600918760089</v>
      </c>
      <c r="AA50" s="23">
        <v>26.2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25.963420836208609</v>
      </c>
      <c r="W51" s="23">
        <v>23.320471132572592</v>
      </c>
      <c r="X51" s="23">
        <v>26.670297082893111</v>
      </c>
      <c r="Y51" s="23">
        <v>25.460401475656859</v>
      </c>
      <c r="Z51" s="23">
        <v>24.975236518644209</v>
      </c>
      <c r="AA51" s="23">
        <v>26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44.013038122040257</v>
      </c>
      <c r="O52" s="23">
        <v>47.182163442993335</v>
      </c>
      <c r="P52" s="23">
        <v>57.935112538114275</v>
      </c>
      <c r="Q52" s="23">
        <v>67.391561504142771</v>
      </c>
      <c r="R52" s="23">
        <v>75.250624201939615</v>
      </c>
      <c r="S52" s="23">
        <v>76.981956000000011</v>
      </c>
      <c r="T52" s="23">
        <v>82.958102131081631</v>
      </c>
      <c r="U52" s="23">
        <v>88.072157492969083</v>
      </c>
      <c r="V52" s="23">
        <v>75.818064601510585</v>
      </c>
      <c r="W52" s="23">
        <v>76.235448778562187</v>
      </c>
      <c r="X52" s="23">
        <v>63.154339845638667</v>
      </c>
      <c r="Y52" s="23">
        <v>74.594509586573608</v>
      </c>
      <c r="Z52" s="23">
        <v>82.930593055498079</v>
      </c>
      <c r="AA52" s="23">
        <v>78.400000000000006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2044.8286352370828</v>
      </c>
      <c r="E53" s="23">
        <v>1802.3367945120046</v>
      </c>
      <c r="F53" s="23">
        <v>1936.8880511629718</v>
      </c>
      <c r="G53" s="23">
        <v>2017.9822235236179</v>
      </c>
      <c r="H53" s="23">
        <v>1829.4543655958773</v>
      </c>
      <c r="I53" s="23">
        <v>1616.7896917660764</v>
      </c>
      <c r="J53" s="23">
        <v>1535.2019160131038</v>
      </c>
      <c r="K53" s="23">
        <v>1506.83838000778</v>
      </c>
      <c r="L53" s="23">
        <v>1658.6709801349336</v>
      </c>
      <c r="M53" s="23">
        <v>1449.2522593227898</v>
      </c>
      <c r="N53" s="23">
        <v>768.18782762011347</v>
      </c>
      <c r="O53" s="23">
        <v>757.61479914035374</v>
      </c>
      <c r="P53" s="23">
        <v>773.02389966922749</v>
      </c>
      <c r="Q53" s="23">
        <v>686.92821329934145</v>
      </c>
      <c r="R53" s="23">
        <v>599.28345205305982</v>
      </c>
      <c r="S53" s="23">
        <v>524.4315160000001</v>
      </c>
      <c r="T53" s="23">
        <v>556.4262947816452</v>
      </c>
      <c r="U53" s="23">
        <v>541.75478390633066</v>
      </c>
      <c r="V53" s="23">
        <v>582.22666490211475</v>
      </c>
      <c r="W53" s="23">
        <v>628.23218426681603</v>
      </c>
      <c r="X53" s="23">
        <v>592.51932740003213</v>
      </c>
      <c r="Y53" s="23">
        <v>627.01822055181253</v>
      </c>
      <c r="Z53" s="23">
        <v>510.92503083226427</v>
      </c>
      <c r="AA53" s="23">
        <v>498.39999999999986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2044.8286352370828</v>
      </c>
      <c r="E54" s="30">
        <f t="shared" ref="E54:S54" si="6">SUM(E41:E53)</f>
        <v>1802.3367945120046</v>
      </c>
      <c r="F54" s="30">
        <f t="shared" si="6"/>
        <v>1936.8880511629718</v>
      </c>
      <c r="G54" s="30">
        <f t="shared" si="6"/>
        <v>2017.9822235236179</v>
      </c>
      <c r="H54" s="30">
        <f t="shared" si="6"/>
        <v>1829.4543655958773</v>
      </c>
      <c r="I54" s="30">
        <f t="shared" si="6"/>
        <v>1616.7896917660764</v>
      </c>
      <c r="J54" s="30">
        <f t="shared" si="6"/>
        <v>1535.2019160131038</v>
      </c>
      <c r="K54" s="30">
        <f t="shared" si="6"/>
        <v>1506.83838000778</v>
      </c>
      <c r="L54" s="30">
        <f t="shared" si="6"/>
        <v>1658.6709801349336</v>
      </c>
      <c r="M54" s="30">
        <f t="shared" si="6"/>
        <v>1449.2522593227898</v>
      </c>
      <c r="N54" s="30">
        <f t="shared" si="6"/>
        <v>1106.4469715977805</v>
      </c>
      <c r="O54" s="30">
        <f t="shared" si="6"/>
        <v>1102.8120130049042</v>
      </c>
      <c r="P54" s="30">
        <f t="shared" si="6"/>
        <v>1124.2468361113208</v>
      </c>
      <c r="Q54" s="30">
        <f t="shared" si="6"/>
        <v>1049.7742426173786</v>
      </c>
      <c r="R54" s="30">
        <f t="shared" si="6"/>
        <v>1017.5843902027206</v>
      </c>
      <c r="S54" s="30">
        <f t="shared" si="6"/>
        <v>943.89936000000023</v>
      </c>
      <c r="T54" s="30">
        <f t="shared" ref="T54:Y54" si="7">SUM(T41:T53)</f>
        <v>961.3528847568333</v>
      </c>
      <c r="U54" s="30">
        <f t="shared" si="7"/>
        <v>1024.794796150682</v>
      </c>
      <c r="V54" s="30">
        <f t="shared" si="7"/>
        <v>1089.8542051480808</v>
      </c>
      <c r="W54" s="30">
        <f t="shared" si="7"/>
        <v>1110.9777745136739</v>
      </c>
      <c r="X54" s="30">
        <f t="shared" si="7"/>
        <v>1087.3630213276506</v>
      </c>
      <c r="Y54" s="30">
        <f t="shared" si="7"/>
        <v>1149.2914560853526</v>
      </c>
      <c r="Z54" s="30">
        <f t="shared" ref="Z54:AA54" si="8">SUM(Z41:Z53)</f>
        <v>1199.4517435748871</v>
      </c>
      <c r="AA54" s="30">
        <f t="shared" si="8"/>
        <v>1222.5999999999999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140.63768803896971</v>
      </c>
      <c r="O56" s="19">
        <v>142.54129497988649</v>
      </c>
      <c r="P56" s="19">
        <v>144.07364916552638</v>
      </c>
      <c r="Q56" s="19">
        <v>161.21924367962612</v>
      </c>
      <c r="R56" s="19">
        <v>182.2072076065048</v>
      </c>
      <c r="S56" s="19">
        <v>187.10354800000002</v>
      </c>
      <c r="T56" s="19">
        <v>178.18287485166772</v>
      </c>
      <c r="U56" s="19">
        <v>180.70827832941134</v>
      </c>
      <c r="V56" s="19">
        <v>176.1368221047955</v>
      </c>
      <c r="W56" s="19">
        <v>172.59516198624794</v>
      </c>
      <c r="X56" s="19">
        <v>147.09072936625898</v>
      </c>
      <c r="Y56" s="19">
        <v>142.37724509413374</v>
      </c>
      <c r="Z56" s="19">
        <v>162.87269627115839</v>
      </c>
      <c r="AA56" s="19">
        <v>170.2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41.244005922309249</v>
      </c>
      <c r="O57" s="23">
        <v>44.339864440403375</v>
      </c>
      <c r="P57" s="23">
        <v>42.096736448557856</v>
      </c>
      <c r="Q57" s="23">
        <v>29.175615041427665</v>
      </c>
      <c r="R57" s="23">
        <v>23.949565749622739</v>
      </c>
      <c r="S57" s="23">
        <v>22.565900000000003</v>
      </c>
      <c r="T57" s="23">
        <v>20.739525532770408</v>
      </c>
      <c r="U57" s="23">
        <v>22.696466356731523</v>
      </c>
      <c r="V57" s="23">
        <v>24.013116923629557</v>
      </c>
      <c r="W57" s="23">
        <v>20.834532585445565</v>
      </c>
      <c r="X57" s="23">
        <v>20.204770517343267</v>
      </c>
      <c r="Y57" s="23">
        <v>23.115364497635831</v>
      </c>
      <c r="Z57" s="23">
        <v>20.812697098870174</v>
      </c>
      <c r="AA57" s="23">
        <v>18.600000000000001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94.584310401338186</v>
      </c>
      <c r="O60" s="23">
        <v>99.906809941037082</v>
      </c>
      <c r="P60" s="23">
        <v>95.724922155301527</v>
      </c>
      <c r="Q60" s="23">
        <v>94.512555768005114</v>
      </c>
      <c r="R60" s="23">
        <v>96.614725467228084</v>
      </c>
      <c r="S60" s="23">
        <v>94.132040000000018</v>
      </c>
      <c r="T60" s="23">
        <v>86.878378298861406</v>
      </c>
      <c r="U60" s="23">
        <v>74.50361782318393</v>
      </c>
      <c r="V60" s="23">
        <v>97.880877612561093</v>
      </c>
      <c r="W60" s="23">
        <v>103.22563871879848</v>
      </c>
      <c r="X60" s="23">
        <v>117.18766900059094</v>
      </c>
      <c r="Y60" s="23">
        <v>129.2003706462061</v>
      </c>
      <c r="Z60" s="23">
        <v>143.44751231221289</v>
      </c>
      <c r="AA60" s="23">
        <v>162.19999999999999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17.780101493009642</v>
      </c>
      <c r="O62" s="23">
        <v>11.227081060230342</v>
      </c>
      <c r="P62" s="23">
        <v>11.392516134593214</v>
      </c>
      <c r="Q62" s="23">
        <v>10.547053324835353</v>
      </c>
      <c r="R62" s="23">
        <v>13.471630734162789</v>
      </c>
      <c r="S62" s="23">
        <v>14.055332000000002</v>
      </c>
      <c r="T62" s="23">
        <v>11.002065374091618</v>
      </c>
      <c r="U62" s="23">
        <v>12.70508714534428</v>
      </c>
      <c r="V62" s="23">
        <v>13.225498407176687</v>
      </c>
      <c r="W62" s="23">
        <v>13.495094970118151</v>
      </c>
      <c r="X62" s="23">
        <v>14.431978940959475</v>
      </c>
      <c r="Y62" s="23">
        <v>15.075237715849456</v>
      </c>
      <c r="Z62" s="23">
        <v>15.369376319165667</v>
      </c>
      <c r="AA62" s="23">
        <v>13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81.164537297442081</v>
      </c>
      <c r="V63" s="23">
        <v>74.477230661612495</v>
      </c>
      <c r="W63" s="23">
        <v>65.107914329517385</v>
      </c>
      <c r="X63" s="23">
        <v>85.552771162007758</v>
      </c>
      <c r="Y63" s="23">
        <v>90.116421012522309</v>
      </c>
      <c r="Z63" s="23">
        <v>74.925709555932627</v>
      </c>
      <c r="AA63" s="23">
        <v>81.8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140.3522906923809</v>
      </c>
      <c r="AA68" s="23">
        <v>147.80000000000001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26.807184390202721</v>
      </c>
      <c r="S69" s="23">
        <v>24.629068000000004</v>
      </c>
      <c r="T69" s="23">
        <v>25.165643786715311</v>
      </c>
      <c r="U69" s="23">
        <v>23.18986779926917</v>
      </c>
      <c r="V69" s="23">
        <v>20.112509098471456</v>
      </c>
      <c r="W69" s="23">
        <v>7.9313277455957554</v>
      </c>
      <c r="X69" s="23">
        <v>20.551138011926295</v>
      </c>
      <c r="Y69" s="23">
        <v>22.333685504962158</v>
      </c>
      <c r="Z69" s="23">
        <v>22.840600918760089</v>
      </c>
      <c r="AA69" s="23">
        <v>26.2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25.963420836208609</v>
      </c>
      <c r="W70" s="23">
        <v>23.320471132572592</v>
      </c>
      <c r="X70" s="23">
        <v>26.670297082893111</v>
      </c>
      <c r="Y70" s="23">
        <v>25.460401475656859</v>
      </c>
      <c r="Z70" s="23">
        <v>24.975236518644209</v>
      </c>
      <c r="AA70" s="23">
        <v>26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44.013038122040257</v>
      </c>
      <c r="O72" s="23">
        <v>47.182163442993335</v>
      </c>
      <c r="P72" s="23">
        <v>57.935112538114275</v>
      </c>
      <c r="Q72" s="23">
        <v>67.391561504142771</v>
      </c>
      <c r="R72" s="23">
        <v>75.250624201939615</v>
      </c>
      <c r="S72" s="23">
        <v>76.981956000000011</v>
      </c>
      <c r="T72" s="23">
        <v>82.958102131081631</v>
      </c>
      <c r="U72" s="23">
        <v>88.072157492969083</v>
      </c>
      <c r="V72" s="23">
        <v>75.818064601510585</v>
      </c>
      <c r="W72" s="23">
        <v>76.235448778562187</v>
      </c>
      <c r="X72" s="23">
        <v>63.154339845638667</v>
      </c>
      <c r="Y72" s="23">
        <v>74.594509586573608</v>
      </c>
      <c r="Z72" s="23">
        <v>82.930593055498079</v>
      </c>
      <c r="AA72" s="23">
        <v>78.400000000000006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2044.8286352370828</v>
      </c>
      <c r="E73" s="23">
        <v>1802.3367945120046</v>
      </c>
      <c r="F73" s="23">
        <v>1936.8880511629718</v>
      </c>
      <c r="G73" s="23">
        <v>2017.9822235236179</v>
      </c>
      <c r="H73" s="23">
        <v>1829.4543655958773</v>
      </c>
      <c r="I73" s="23">
        <v>1616.7896917660764</v>
      </c>
      <c r="J73" s="23">
        <v>1535.2019160131038</v>
      </c>
      <c r="K73" s="23">
        <v>1506.83838000778</v>
      </c>
      <c r="L73" s="23">
        <v>1658.6709801349336</v>
      </c>
      <c r="M73" s="23">
        <v>1449.2522593227898</v>
      </c>
      <c r="N73" s="23">
        <v>768.18782762011347</v>
      </c>
      <c r="O73" s="23">
        <v>757.61479914035374</v>
      </c>
      <c r="P73" s="23">
        <v>773.02389966922749</v>
      </c>
      <c r="Q73" s="23">
        <v>686.92821329934145</v>
      </c>
      <c r="R73" s="23">
        <v>599.28345205305982</v>
      </c>
      <c r="S73" s="23">
        <v>524.4315160000001</v>
      </c>
      <c r="T73" s="23">
        <v>556.4262947816452</v>
      </c>
      <c r="U73" s="23">
        <v>541.75478390633066</v>
      </c>
      <c r="V73" s="23">
        <v>582.22666490211475</v>
      </c>
      <c r="W73" s="23">
        <v>628.23218426681603</v>
      </c>
      <c r="X73" s="23">
        <v>592.51932740003213</v>
      </c>
      <c r="Y73" s="23">
        <v>627.01822055181253</v>
      </c>
      <c r="Z73" s="23">
        <v>510.92503083226427</v>
      </c>
      <c r="AA73" s="23">
        <v>498.39999999999986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2044.8286352370828</v>
      </c>
      <c r="E75" s="30">
        <f t="shared" ref="E75:S75" si="9">SUM(E56:E74)</f>
        <v>1802.3367945120046</v>
      </c>
      <c r="F75" s="30">
        <f t="shared" si="9"/>
        <v>1936.8880511629718</v>
      </c>
      <c r="G75" s="30">
        <f t="shared" si="9"/>
        <v>2017.9822235236179</v>
      </c>
      <c r="H75" s="30">
        <f t="shared" si="9"/>
        <v>1829.4543655958773</v>
      </c>
      <c r="I75" s="30">
        <f t="shared" si="9"/>
        <v>1616.7896917660764</v>
      </c>
      <c r="J75" s="30">
        <f t="shared" si="9"/>
        <v>1535.2019160131038</v>
      </c>
      <c r="K75" s="30">
        <f t="shared" si="9"/>
        <v>1506.83838000778</v>
      </c>
      <c r="L75" s="30">
        <f t="shared" si="9"/>
        <v>1658.6709801349336</v>
      </c>
      <c r="M75" s="30">
        <f t="shared" si="9"/>
        <v>1449.2522593227898</v>
      </c>
      <c r="N75" s="30">
        <f t="shared" si="9"/>
        <v>1106.4469715977805</v>
      </c>
      <c r="O75" s="30">
        <f t="shared" si="9"/>
        <v>1102.8120130049042</v>
      </c>
      <c r="P75" s="30">
        <f t="shared" si="9"/>
        <v>1124.2468361113208</v>
      </c>
      <c r="Q75" s="30">
        <f t="shared" si="9"/>
        <v>1049.7742426173786</v>
      </c>
      <c r="R75" s="30">
        <f t="shared" si="9"/>
        <v>1017.5843902027206</v>
      </c>
      <c r="S75" s="30">
        <f t="shared" si="9"/>
        <v>943.89936000000023</v>
      </c>
      <c r="T75" s="30">
        <f t="shared" ref="T75:Y75" si="10">SUM(T56:T74)</f>
        <v>961.3528847568333</v>
      </c>
      <c r="U75" s="30">
        <f t="shared" si="10"/>
        <v>1024.794796150682</v>
      </c>
      <c r="V75" s="30">
        <f t="shared" si="10"/>
        <v>1089.8542051480808</v>
      </c>
      <c r="W75" s="30">
        <f t="shared" si="10"/>
        <v>1110.9777745136739</v>
      </c>
      <c r="X75" s="30">
        <f t="shared" si="10"/>
        <v>1087.3630213276506</v>
      </c>
      <c r="Y75" s="30">
        <f t="shared" si="10"/>
        <v>1149.2914560853526</v>
      </c>
      <c r="Z75" s="30">
        <f t="shared" ref="Z75:AA75" si="11">SUM(Z56:Z74)</f>
        <v>1199.4517435748871</v>
      </c>
      <c r="AA75" s="30">
        <f t="shared" si="11"/>
        <v>1222.5999999999999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388759</v>
      </c>
      <c r="E3" s="42">
        <v>391415</v>
      </c>
      <c r="F3" s="42">
        <v>394641</v>
      </c>
      <c r="G3" s="42">
        <v>397296</v>
      </c>
      <c r="H3" s="42">
        <v>399867</v>
      </c>
      <c r="I3" s="42">
        <v>402668</v>
      </c>
      <c r="J3" s="42">
        <v>404999</v>
      </c>
      <c r="K3" s="42">
        <v>405616</v>
      </c>
      <c r="L3" s="42">
        <v>407832</v>
      </c>
      <c r="M3" s="42">
        <v>410926</v>
      </c>
      <c r="N3" s="42">
        <v>414027</v>
      </c>
      <c r="O3" s="42">
        <v>414989</v>
      </c>
      <c r="P3" s="42">
        <v>417546</v>
      </c>
      <c r="Q3" s="42">
        <v>421464</v>
      </c>
      <c r="R3" s="42">
        <v>428156</v>
      </c>
      <c r="S3" s="42">
        <v>438805</v>
      </c>
      <c r="T3" s="42">
        <v>449635</v>
      </c>
      <c r="U3" s="42">
        <v>459375</v>
      </c>
      <c r="V3" s="42">
        <v>474837</v>
      </c>
      <c r="W3" s="42">
        <v>492968</v>
      </c>
      <c r="X3" s="42">
        <v>514855</v>
      </c>
      <c r="Y3" s="42">
        <v>516125</v>
      </c>
      <c r="Z3" s="42">
        <v>520174</v>
      </c>
      <c r="AA3" s="42">
        <v>542051</v>
      </c>
    </row>
    <row r="4" spans="1:27" x14ac:dyDescent="0.25">
      <c r="A4" s="43" t="s">
        <v>239</v>
      </c>
      <c r="B4" s="44"/>
      <c r="C4" s="44"/>
      <c r="D4" s="45">
        <v>134669</v>
      </c>
      <c r="E4" s="45">
        <v>135775</v>
      </c>
      <c r="F4" s="45">
        <v>137082</v>
      </c>
      <c r="G4" s="45">
        <v>138194</v>
      </c>
      <c r="H4" s="45">
        <v>139280</v>
      </c>
      <c r="I4" s="45">
        <v>140449</v>
      </c>
      <c r="J4" s="45">
        <v>142205</v>
      </c>
      <c r="K4" s="45">
        <v>143989</v>
      </c>
      <c r="L4" s="45">
        <v>146649</v>
      </c>
      <c r="M4" s="45">
        <v>149265</v>
      </c>
      <c r="N4" s="45">
        <v>152104</v>
      </c>
      <c r="O4" s="45">
        <v>154042</v>
      </c>
      <c r="P4" s="45">
        <v>156795</v>
      </c>
      <c r="Q4" s="45">
        <v>160313</v>
      </c>
      <c r="R4" s="45">
        <v>165184</v>
      </c>
      <c r="S4" s="45">
        <v>172554</v>
      </c>
      <c r="T4" s="45">
        <v>178073</v>
      </c>
      <c r="U4" s="45">
        <v>183456</v>
      </c>
      <c r="V4" s="45">
        <v>191004</v>
      </c>
      <c r="W4" s="45">
        <v>200720</v>
      </c>
      <c r="X4" s="45">
        <v>211700</v>
      </c>
      <c r="Y4" s="45">
        <v>213011</v>
      </c>
      <c r="Z4" s="45">
        <v>215215</v>
      </c>
      <c r="AA4" s="45">
        <v>225011</v>
      </c>
    </row>
    <row r="5" spans="1:27" x14ac:dyDescent="0.25">
      <c r="A5" s="46" t="s">
        <v>240</v>
      </c>
      <c r="B5" s="47"/>
      <c r="C5" s="47"/>
      <c r="D5" s="48">
        <f>D3/D4</f>
        <v>2.8867742390602142</v>
      </c>
      <c r="E5" s="48">
        <f t="shared" ref="E5:S5" si="0">E3/E4</f>
        <v>2.8828208433069418</v>
      </c>
      <c r="F5" s="48">
        <f t="shared" si="0"/>
        <v>2.878868122729461</v>
      </c>
      <c r="G5" s="48">
        <f t="shared" si="0"/>
        <v>2.8749149746009235</v>
      </c>
      <c r="H5" s="48">
        <f t="shared" si="0"/>
        <v>2.8709577828834005</v>
      </c>
      <c r="I5" s="48">
        <f t="shared" si="0"/>
        <v>2.8670051050559278</v>
      </c>
      <c r="J5" s="48">
        <f t="shared" si="0"/>
        <v>2.8479940930347034</v>
      </c>
      <c r="K5" s="48">
        <f t="shared" si="0"/>
        <v>2.8169929647403622</v>
      </c>
      <c r="L5" s="48">
        <f t="shared" si="0"/>
        <v>2.7810077122926171</v>
      </c>
      <c r="M5" s="48">
        <f t="shared" si="0"/>
        <v>2.7529963487756675</v>
      </c>
      <c r="N5" s="48">
        <f t="shared" si="0"/>
        <v>2.7219994214484826</v>
      </c>
      <c r="O5" s="48">
        <f t="shared" si="0"/>
        <v>2.693999039223069</v>
      </c>
      <c r="P5" s="48">
        <f t="shared" si="0"/>
        <v>2.6630058356452695</v>
      </c>
      <c r="Q5" s="48">
        <f t="shared" si="0"/>
        <v>2.6290070050463781</v>
      </c>
      <c r="R5" s="48">
        <f t="shared" si="0"/>
        <v>2.591994382022472</v>
      </c>
      <c r="S5" s="48">
        <f t="shared" si="0"/>
        <v>2.5430010315611344</v>
      </c>
      <c r="T5" s="48">
        <f t="shared" ref="T5:Y5" si="1">T3/T4</f>
        <v>2.5250037905802678</v>
      </c>
      <c r="U5" s="48">
        <f t="shared" si="1"/>
        <v>2.5040064102564101</v>
      </c>
      <c r="V5" s="48">
        <f t="shared" si="1"/>
        <v>2.4860055286800278</v>
      </c>
      <c r="W5" s="48">
        <f t="shared" si="1"/>
        <v>2.4559984057393383</v>
      </c>
      <c r="X5" s="48">
        <f t="shared" si="1"/>
        <v>2.4320028341993387</v>
      </c>
      <c r="Y5" s="48">
        <f t="shared" si="1"/>
        <v>2.4229969344306164</v>
      </c>
      <c r="Z5" s="48">
        <f t="shared" ref="Z5:AA5" si="2">Z3/Z4</f>
        <v>2.4169969565318401</v>
      </c>
      <c r="AA5" s="48">
        <f t="shared" si="2"/>
        <v>2.4089977823306414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806.55</v>
      </c>
      <c r="E8" s="42">
        <v>673.11</v>
      </c>
      <c r="F8" s="42">
        <v>683.53</v>
      </c>
      <c r="G8" s="42">
        <v>641.29</v>
      </c>
      <c r="H8" s="42">
        <v>703.55</v>
      </c>
      <c r="I8" s="42">
        <v>580.32000000000005</v>
      </c>
      <c r="J8" s="42">
        <v>668.63</v>
      </c>
      <c r="K8" s="42">
        <v>697.07</v>
      </c>
      <c r="L8" s="42">
        <v>566.98</v>
      </c>
      <c r="M8" s="42">
        <v>488.95</v>
      </c>
      <c r="N8" s="42">
        <v>455.25</v>
      </c>
      <c r="O8" s="42">
        <v>768.88</v>
      </c>
      <c r="P8" s="42">
        <v>712</v>
      </c>
      <c r="Q8" s="42">
        <v>614.26</v>
      </c>
      <c r="R8" s="42">
        <v>596.26</v>
      </c>
      <c r="S8" s="42">
        <v>497.11</v>
      </c>
      <c r="T8" s="42">
        <v>465.19</v>
      </c>
      <c r="U8" s="42">
        <v>487.25</v>
      </c>
      <c r="V8" s="42">
        <v>564.79</v>
      </c>
      <c r="W8" s="42">
        <v>521.44000000000005</v>
      </c>
      <c r="X8" s="42">
        <v>512.79</v>
      </c>
      <c r="Y8" s="42">
        <v>419.81</v>
      </c>
      <c r="Z8" s="42">
        <v>449.86</v>
      </c>
      <c r="AA8" s="42">
        <v>646.01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605.0095238095239</v>
      </c>
      <c r="E9" s="45">
        <f t="shared" si="3"/>
        <v>605.0095238095239</v>
      </c>
      <c r="F9" s="45">
        <f t="shared" si="3"/>
        <v>605.0095238095239</v>
      </c>
      <c r="G9" s="45">
        <f t="shared" si="3"/>
        <v>605.0095238095239</v>
      </c>
      <c r="H9" s="45">
        <f t="shared" si="3"/>
        <v>605.0095238095239</v>
      </c>
      <c r="I9" s="45">
        <f t="shared" si="3"/>
        <v>605.0095238095239</v>
      </c>
      <c r="J9" s="45">
        <f t="shared" si="3"/>
        <v>605.0095238095239</v>
      </c>
      <c r="K9" s="45">
        <f t="shared" si="3"/>
        <v>605.0095238095239</v>
      </c>
      <c r="L9" s="45">
        <f t="shared" si="3"/>
        <v>605.0095238095239</v>
      </c>
      <c r="M9" s="45">
        <f t="shared" si="3"/>
        <v>605.0095238095239</v>
      </c>
      <c r="N9" s="45">
        <f t="shared" si="3"/>
        <v>605.0095238095239</v>
      </c>
      <c r="O9" s="45">
        <f t="shared" si="3"/>
        <v>605.0095238095239</v>
      </c>
      <c r="P9" s="45">
        <f t="shared" si="3"/>
        <v>605.0095238095239</v>
      </c>
      <c r="Q9" s="45">
        <f t="shared" si="3"/>
        <v>605.0095238095239</v>
      </c>
      <c r="R9" s="45">
        <f t="shared" si="3"/>
        <v>605.0095238095239</v>
      </c>
      <c r="S9" s="45">
        <f t="shared" si="3"/>
        <v>605.0095238095239</v>
      </c>
      <c r="T9" s="45">
        <f t="shared" si="3"/>
        <v>605.0095238095239</v>
      </c>
      <c r="U9" s="45">
        <f t="shared" si="3"/>
        <v>605.0095238095239</v>
      </c>
      <c r="V9" s="45">
        <f t="shared" si="3"/>
        <v>605.0095238095239</v>
      </c>
      <c r="W9" s="45">
        <f t="shared" si="3"/>
        <v>605.0095238095239</v>
      </c>
      <c r="X9" s="45">
        <f>AVERAGE($D8:$X8)</f>
        <v>605.0095238095239</v>
      </c>
      <c r="Y9" s="45">
        <f t="shared" ref="Y9:AA9" si="4">AVERAGE($D8:$X8)</f>
        <v>605.0095238095239</v>
      </c>
      <c r="Z9" s="45">
        <f t="shared" si="4"/>
        <v>605.0095238095239</v>
      </c>
      <c r="AA9" s="45">
        <f t="shared" si="4"/>
        <v>605.0095238095239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1.3331195101218396</v>
      </c>
      <c r="E10" s="53">
        <f t="shared" si="5"/>
        <v>1.1125609986462235</v>
      </c>
      <c r="F10" s="53">
        <f t="shared" si="5"/>
        <v>1.1297838680225418</v>
      </c>
      <c r="G10" s="53">
        <f t="shared" si="5"/>
        <v>1.0599667852532819</v>
      </c>
      <c r="H10" s="53">
        <f t="shared" si="5"/>
        <v>1.1628742562100556</v>
      </c>
      <c r="I10" s="53">
        <f t="shared" si="5"/>
        <v>0.95919151213676279</v>
      </c>
      <c r="J10" s="53">
        <f t="shared" si="5"/>
        <v>1.1051561565343322</v>
      </c>
      <c r="K10" s="53">
        <f t="shared" si="5"/>
        <v>1.1521636810124987</v>
      </c>
      <c r="L10" s="53">
        <f t="shared" si="5"/>
        <v>0.93714227245537252</v>
      </c>
      <c r="M10" s="53">
        <f t="shared" si="5"/>
        <v>0.80816909611812471</v>
      </c>
      <c r="N10" s="53">
        <f t="shared" si="5"/>
        <v>0.75246749362465748</v>
      </c>
      <c r="O10" s="53">
        <f t="shared" si="5"/>
        <v>1.270856027453326</v>
      </c>
      <c r="P10" s="53">
        <f t="shared" si="5"/>
        <v>1.1768409784969931</v>
      </c>
      <c r="Q10" s="53">
        <f t="shared" si="5"/>
        <v>1.0152898026005099</v>
      </c>
      <c r="R10" s="53">
        <f t="shared" si="5"/>
        <v>0.98553820482951848</v>
      </c>
      <c r="S10" s="53">
        <f t="shared" si="5"/>
        <v>0.82165648710764083</v>
      </c>
      <c r="T10" s="53">
        <f t="shared" ref="T10:Y10" si="6">IF(T8=0,0,T8/T9)</f>
        <v>0.76889698706041609</v>
      </c>
      <c r="U10" s="53">
        <f t="shared" si="6"/>
        <v>0.80535922299530893</v>
      </c>
      <c r="V10" s="53">
        <f t="shared" si="6"/>
        <v>0.93352249472656845</v>
      </c>
      <c r="W10" s="53">
        <f t="shared" si="6"/>
        <v>0.86187073009476434</v>
      </c>
      <c r="X10" s="53">
        <f t="shared" si="6"/>
        <v>0.84757343449925993</v>
      </c>
      <c r="Y10" s="53">
        <f t="shared" si="6"/>
        <v>0.69388990334666112</v>
      </c>
      <c r="Z10" s="53">
        <f t="shared" ref="Z10:AA10" si="7">IF(Z8=0,0,Z8/Z9)</f>
        <v>0.74355854295878843</v>
      </c>
      <c r="AA10" s="53">
        <f t="shared" si="7"/>
        <v>1.0677683153354531</v>
      </c>
    </row>
    <row r="11" spans="1:27" x14ac:dyDescent="0.25">
      <c r="A11" s="43" t="s">
        <v>251</v>
      </c>
      <c r="B11" s="44"/>
      <c r="C11" s="44"/>
      <c r="D11" s="45">
        <v>156.62</v>
      </c>
      <c r="E11" s="45">
        <v>426.27</v>
      </c>
      <c r="F11" s="45">
        <v>516.47</v>
      </c>
      <c r="G11" s="45">
        <v>476.43</v>
      </c>
      <c r="H11" s="45">
        <v>285.27</v>
      </c>
      <c r="I11" s="45">
        <v>326.12</v>
      </c>
      <c r="J11" s="45">
        <v>380.68</v>
      </c>
      <c r="K11" s="45">
        <v>529.33000000000004</v>
      </c>
      <c r="L11" s="45">
        <v>447.83</v>
      </c>
      <c r="M11" s="45">
        <v>483.08</v>
      </c>
      <c r="N11" s="45">
        <v>509.69</v>
      </c>
      <c r="O11" s="45">
        <v>325.74</v>
      </c>
      <c r="P11" s="45">
        <v>274.63</v>
      </c>
      <c r="Q11" s="45">
        <v>577.76</v>
      </c>
      <c r="R11" s="45">
        <v>505.72</v>
      </c>
      <c r="S11" s="45">
        <v>598.78</v>
      </c>
      <c r="T11" s="45">
        <v>494.45</v>
      </c>
      <c r="U11" s="45">
        <v>580.77</v>
      </c>
      <c r="V11" s="45">
        <v>661.14</v>
      </c>
      <c r="W11" s="45">
        <v>744.49</v>
      </c>
      <c r="X11" s="45">
        <v>608.79</v>
      </c>
      <c r="Y11" s="45">
        <v>659.06</v>
      </c>
      <c r="Z11" s="45">
        <v>559.24</v>
      </c>
      <c r="AA11" s="45">
        <v>740.22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471.90761904761894</v>
      </c>
      <c r="E12" s="45">
        <f t="shared" ref="E12" si="9">AVERAGE($D11:$X11)</f>
        <v>471.90761904761894</v>
      </c>
      <c r="F12" s="45">
        <f t="shared" ref="F12" si="10">AVERAGE($D11:$X11)</f>
        <v>471.90761904761894</v>
      </c>
      <c r="G12" s="45">
        <f t="shared" ref="G12" si="11">AVERAGE($D11:$X11)</f>
        <v>471.90761904761894</v>
      </c>
      <c r="H12" s="45">
        <f t="shared" ref="H12" si="12">AVERAGE($D11:$X11)</f>
        <v>471.90761904761894</v>
      </c>
      <c r="I12" s="45">
        <f t="shared" ref="I12" si="13">AVERAGE($D11:$X11)</f>
        <v>471.90761904761894</v>
      </c>
      <c r="J12" s="45">
        <f t="shared" ref="J12" si="14">AVERAGE($D11:$X11)</f>
        <v>471.90761904761894</v>
      </c>
      <c r="K12" s="45">
        <f t="shared" ref="K12" si="15">AVERAGE($D11:$X11)</f>
        <v>471.90761904761894</v>
      </c>
      <c r="L12" s="45">
        <f t="shared" ref="L12" si="16">AVERAGE($D11:$X11)</f>
        <v>471.90761904761894</v>
      </c>
      <c r="M12" s="45">
        <f t="shared" ref="M12" si="17">AVERAGE($D11:$X11)</f>
        <v>471.90761904761894</v>
      </c>
      <c r="N12" s="45">
        <f t="shared" ref="N12" si="18">AVERAGE($D11:$X11)</f>
        <v>471.90761904761894</v>
      </c>
      <c r="O12" s="45">
        <f t="shared" ref="O12" si="19">AVERAGE($D11:$X11)</f>
        <v>471.90761904761894</v>
      </c>
      <c r="P12" s="45">
        <f t="shared" ref="P12" si="20">AVERAGE($D11:$X11)</f>
        <v>471.90761904761894</v>
      </c>
      <c r="Q12" s="45">
        <f t="shared" ref="Q12" si="21">AVERAGE($D11:$X11)</f>
        <v>471.90761904761894</v>
      </c>
      <c r="R12" s="45">
        <f t="shared" ref="R12" si="22">AVERAGE($D11:$X11)</f>
        <v>471.90761904761894</v>
      </c>
      <c r="S12" s="45">
        <f t="shared" ref="S12" si="23">AVERAGE($D11:$X11)</f>
        <v>471.90761904761894</v>
      </c>
      <c r="T12" s="45">
        <f t="shared" ref="T12" si="24">AVERAGE($D11:$X11)</f>
        <v>471.90761904761894</v>
      </c>
      <c r="U12" s="45">
        <f t="shared" ref="U12" si="25">AVERAGE($D11:$X11)</f>
        <v>471.90761904761894</v>
      </c>
      <c r="V12" s="45">
        <f t="shared" ref="V12" si="26">AVERAGE($D11:$X11)</f>
        <v>471.90761904761894</v>
      </c>
      <c r="W12" s="45">
        <f t="shared" ref="W12" si="27">AVERAGE($D11:$X11)</f>
        <v>471.90761904761894</v>
      </c>
      <c r="X12" s="45">
        <f>AVERAGE($D11:$X11)</f>
        <v>471.90761904761894</v>
      </c>
      <c r="Y12" s="45">
        <f t="shared" ref="Y12:AA12" si="28">AVERAGE($D11:$X11)</f>
        <v>471.90761904761894</v>
      </c>
      <c r="Z12" s="45">
        <f t="shared" si="28"/>
        <v>471.90761904761894</v>
      </c>
      <c r="AA12" s="45">
        <f t="shared" si="28"/>
        <v>471.90761904761894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0.3318869916024727</v>
      </c>
      <c r="E13" s="55">
        <f t="shared" si="29"/>
        <v>0.90329120106235494</v>
      </c>
      <c r="F13" s="55">
        <f t="shared" ref="F13" si="30">IF(F11=0,0,F11/F12)</f>
        <v>1.0944303061737268</v>
      </c>
      <c r="G13" s="55">
        <f t="shared" ref="G13" si="31">IF(G11=0,0,G11/G12)</f>
        <v>1.0095831912218496</v>
      </c>
      <c r="H13" s="55">
        <f t="shared" ref="H13" si="32">IF(H11=0,0,H11/H12)</f>
        <v>0.60450390814990029</v>
      </c>
      <c r="I13" s="55">
        <f t="shared" ref="I13" si="33">IF(I11=0,0,I11/I12)</f>
        <v>0.69106746074191294</v>
      </c>
      <c r="J13" s="55">
        <f t="shared" ref="J13" si="34">IF(J11=0,0,J11/J12)</f>
        <v>0.80668330968732804</v>
      </c>
      <c r="K13" s="55">
        <f t="shared" ref="K13" si="35">IF(K11=0,0,K11/K12)</f>
        <v>1.1216814025343946</v>
      </c>
      <c r="L13" s="55">
        <f t="shared" ref="L13" si="36">IF(L11=0,0,L11/L12)</f>
        <v>0.94897810911336578</v>
      </c>
      <c r="M13" s="55">
        <f t="shared" ref="M13" si="37">IF(M11=0,0,M11/M12)</f>
        <v>1.0236749323414795</v>
      </c>
      <c r="N13" s="55">
        <f t="shared" ref="N13" si="38">IF(N11=0,0,N11/N12)</f>
        <v>1.0800630874081492</v>
      </c>
      <c r="O13" s="55">
        <f t="shared" ref="O13" si="39">IF(O11=0,0,O11/O12)</f>
        <v>0.6902622183922198</v>
      </c>
      <c r="P13" s="55">
        <f t="shared" ref="P13" si="40">IF(P11=0,0,P11/P12)</f>
        <v>0.5819571223584924</v>
      </c>
      <c r="Q13" s="55">
        <f t="shared" ref="Q13" si="41">IF(Q11=0,0,Q11/Q12)</f>
        <v>1.2243074209439704</v>
      </c>
      <c r="R13" s="55">
        <f t="shared" ref="R13" si="42">IF(R11=0,0,R11/R12)</f>
        <v>1.071650423912671</v>
      </c>
      <c r="S13" s="55">
        <f t="shared" ref="S13:Y13" si="43">IF(S11=0,0,S11/S12)</f>
        <v>1.2688500372348908</v>
      </c>
      <c r="T13" s="55">
        <f t="shared" si="43"/>
        <v>1.0477686310678243</v>
      </c>
      <c r="U13" s="55">
        <f t="shared" si="43"/>
        <v>1.2306857879770661</v>
      </c>
      <c r="V13" s="55">
        <f t="shared" si="43"/>
        <v>1.4009945449371652</v>
      </c>
      <c r="W13" s="55">
        <f t="shared" si="43"/>
        <v>1.5776180971659106</v>
      </c>
      <c r="X13" s="55">
        <f t="shared" si="43"/>
        <v>1.2900618159728601</v>
      </c>
      <c r="Y13" s="55">
        <f t="shared" si="43"/>
        <v>1.3965869026020026</v>
      </c>
      <c r="Z13" s="55">
        <f t="shared" ref="Z13:AA13" si="44">IF(Z11=0,0,Z11/Z12)</f>
        <v>1.1850624516905046</v>
      </c>
      <c r="AA13" s="55">
        <f t="shared" si="44"/>
        <v>1.5685697160259378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7588.3904650200084</v>
      </c>
      <c r="E16" s="42">
        <v>7530.8398721075891</v>
      </c>
      <c r="F16" s="42">
        <v>7737.3094254281914</v>
      </c>
      <c r="G16" s="42">
        <v>8022.9940481895628</v>
      </c>
      <c r="H16" s="42">
        <v>8055.7339576865897</v>
      </c>
      <c r="I16" s="42">
        <v>8287.8148431778191</v>
      </c>
      <c r="J16" s="42">
        <v>8481.468955912982</v>
      </c>
      <c r="K16" s="42">
        <v>8908.5901217297396</v>
      </c>
      <c r="L16" s="42">
        <v>9301.4101981220538</v>
      </c>
      <c r="M16" s="42">
        <v>9171.6340032275675</v>
      </c>
      <c r="N16" s="42">
        <v>9740.1405637462576</v>
      </c>
      <c r="O16" s="42">
        <v>9836.7754105113163</v>
      </c>
      <c r="P16" s="42">
        <v>10240.300099163107</v>
      </c>
      <c r="Q16" s="42">
        <v>10884.566437903621</v>
      </c>
      <c r="R16" s="42">
        <v>11715.225630151403</v>
      </c>
      <c r="S16" s="42">
        <v>12842.269173999999</v>
      </c>
      <c r="T16" s="42">
        <v>13365.987919706242</v>
      </c>
      <c r="U16" s="42">
        <v>15099.782214829447</v>
      </c>
      <c r="V16" s="42">
        <v>16185.351402309243</v>
      </c>
      <c r="W16" s="42">
        <v>16846.557722591257</v>
      </c>
      <c r="X16" s="42">
        <v>16263.993099656605</v>
      </c>
      <c r="Y16" s="42">
        <v>18445.30211727244</v>
      </c>
      <c r="Z16" s="42">
        <v>18903.307826298038</v>
      </c>
      <c r="AA16" s="42">
        <v>20911.2</v>
      </c>
    </row>
    <row r="17" spans="1:27" x14ac:dyDescent="0.25">
      <c r="A17" s="46" t="s">
        <v>141</v>
      </c>
      <c r="B17" s="47"/>
      <c r="C17" s="47"/>
      <c r="D17" s="57">
        <v>4333.5236220472443</v>
      </c>
      <c r="E17" s="57">
        <v>4406.3818190920811</v>
      </c>
      <c r="F17" s="57">
        <v>4338</v>
      </c>
      <c r="G17" s="57">
        <v>4590.4849374379864</v>
      </c>
      <c r="H17" s="57">
        <v>4684.8242701027566</v>
      </c>
      <c r="I17" s="57">
        <v>4845.9498069498077</v>
      </c>
      <c r="J17" s="57">
        <v>4985.3671804538189</v>
      </c>
      <c r="K17" s="57">
        <v>5125.2063182444608</v>
      </c>
      <c r="L17" s="57">
        <v>5189.891454415615</v>
      </c>
      <c r="M17" s="57">
        <v>5109.5971823480431</v>
      </c>
      <c r="N17" s="57">
        <v>5234.266122643864</v>
      </c>
      <c r="O17" s="57">
        <v>5432.4543426446762</v>
      </c>
      <c r="P17" s="57">
        <v>5485.6227175629228</v>
      </c>
      <c r="Q17" s="57">
        <v>5678.2769987448855</v>
      </c>
      <c r="R17" s="57">
        <v>5857.9096227679929</v>
      </c>
      <c r="S17" s="57">
        <v>6056.3740859999998</v>
      </c>
      <c r="T17" s="57">
        <v>6228.9130225223889</v>
      </c>
      <c r="U17" s="57">
        <v>6642.1750157554743</v>
      </c>
      <c r="V17" s="57">
        <v>7321.3781099183952</v>
      </c>
      <c r="W17" s="57">
        <v>7736.0128081078501</v>
      </c>
      <c r="X17" s="57">
        <v>6937.0647852251514</v>
      </c>
      <c r="Y17" s="57">
        <v>7709.8625967438129</v>
      </c>
      <c r="Z17" s="57">
        <v>8448.7997132388082</v>
      </c>
      <c r="AA17" s="57">
        <v>9550.4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19519.523573782237</v>
      </c>
      <c r="E20" s="42">
        <f t="shared" ref="E20:S20" si="45">1000000*E16/E$3</f>
        <v>19240.03901768606</v>
      </c>
      <c r="F20" s="42">
        <f t="shared" si="45"/>
        <v>19605.944201003422</v>
      </c>
      <c r="G20" s="42">
        <f t="shared" si="45"/>
        <v>20193.996537064464</v>
      </c>
      <c r="H20" s="42">
        <f t="shared" si="45"/>
        <v>20146.033450338713</v>
      </c>
      <c r="I20" s="42">
        <f t="shared" si="45"/>
        <v>20582.253477251281</v>
      </c>
      <c r="J20" s="42">
        <f t="shared" si="45"/>
        <v>20941.950365094683</v>
      </c>
      <c r="K20" s="42">
        <f t="shared" si="45"/>
        <v>21963.113195065627</v>
      </c>
      <c r="L20" s="42">
        <f t="shared" si="45"/>
        <v>22806.965118289034</v>
      </c>
      <c r="M20" s="42">
        <f t="shared" si="45"/>
        <v>22319.429783531748</v>
      </c>
      <c r="N20" s="42">
        <f t="shared" si="45"/>
        <v>23525.375310659107</v>
      </c>
      <c r="O20" s="42">
        <f t="shared" si="45"/>
        <v>23703.70156922549</v>
      </c>
      <c r="P20" s="42">
        <f t="shared" si="45"/>
        <v>24524.96275658995</v>
      </c>
      <c r="Q20" s="42">
        <f t="shared" si="45"/>
        <v>25825.613665469933</v>
      </c>
      <c r="R20" s="42">
        <f t="shared" si="45"/>
        <v>27362.049416921411</v>
      </c>
      <c r="S20" s="42">
        <f t="shared" si="45"/>
        <v>29266.460441426145</v>
      </c>
      <c r="T20" s="42">
        <f t="shared" ref="T20:Y20" si="46">1000000*T16/T$3</f>
        <v>29726.306714793649</v>
      </c>
      <c r="U20" s="42">
        <f t="shared" si="46"/>
        <v>32870.274209152536</v>
      </c>
      <c r="V20" s="42">
        <f t="shared" si="46"/>
        <v>34086.120926358395</v>
      </c>
      <c r="W20" s="42">
        <f t="shared" si="46"/>
        <v>34173.734852143054</v>
      </c>
      <c r="X20" s="42">
        <f t="shared" si="46"/>
        <v>31589.463246266627</v>
      </c>
      <c r="Y20" s="42">
        <f t="shared" si="46"/>
        <v>35738.052055747045</v>
      </c>
      <c r="Z20" s="42">
        <f t="shared" ref="Z20:AA20" si="47">1000000*Z16/Z$3</f>
        <v>36340.355008704857</v>
      </c>
      <c r="AA20" s="42">
        <f t="shared" si="47"/>
        <v>38577.919789835272</v>
      </c>
    </row>
    <row r="21" spans="1:27" x14ac:dyDescent="0.25">
      <c r="A21" s="46" t="s">
        <v>141</v>
      </c>
      <c r="B21" s="47"/>
      <c r="C21" s="47"/>
      <c r="D21" s="57">
        <f>1000000*D17/D$3</f>
        <v>11147.069577931943</v>
      </c>
      <c r="E21" s="57">
        <f t="shared" ref="E21:S21" si="48">1000000*E17/E$3</f>
        <v>11257.570147010414</v>
      </c>
      <c r="F21" s="57">
        <f t="shared" si="48"/>
        <v>10992.268922894478</v>
      </c>
      <c r="G21" s="57">
        <f t="shared" si="48"/>
        <v>11554.319543710448</v>
      </c>
      <c r="H21" s="57">
        <f t="shared" si="48"/>
        <v>11715.956230703599</v>
      </c>
      <c r="I21" s="57">
        <f t="shared" si="48"/>
        <v>12034.603710624653</v>
      </c>
      <c r="J21" s="57">
        <f t="shared" si="48"/>
        <v>12309.578987735325</v>
      </c>
      <c r="K21" s="57">
        <f t="shared" si="48"/>
        <v>12635.611805856921</v>
      </c>
      <c r="L21" s="57">
        <f t="shared" si="48"/>
        <v>12725.562129542594</v>
      </c>
      <c r="M21" s="57">
        <f t="shared" si="48"/>
        <v>12434.348720567799</v>
      </c>
      <c r="N21" s="57">
        <f t="shared" si="48"/>
        <v>12642.330385805428</v>
      </c>
      <c r="O21" s="57">
        <f t="shared" si="48"/>
        <v>13090.598407776293</v>
      </c>
      <c r="P21" s="57">
        <f t="shared" si="48"/>
        <v>13137.768575349595</v>
      </c>
      <c r="Q21" s="57">
        <f t="shared" si="48"/>
        <v>13472.745000153953</v>
      </c>
      <c r="R21" s="57">
        <f t="shared" si="48"/>
        <v>13681.717931707119</v>
      </c>
      <c r="S21" s="57">
        <f t="shared" si="48"/>
        <v>13801.971458848464</v>
      </c>
      <c r="T21" s="57">
        <f t="shared" ref="T21:Y21" si="49">1000000*T17/T$3</f>
        <v>13853.265476491795</v>
      </c>
      <c r="U21" s="57">
        <f t="shared" si="49"/>
        <v>14459.156496882664</v>
      </c>
      <c r="V21" s="57">
        <f t="shared" si="49"/>
        <v>15418.718654861343</v>
      </c>
      <c r="W21" s="57">
        <f t="shared" si="49"/>
        <v>15692.728144844797</v>
      </c>
      <c r="X21" s="57">
        <f t="shared" si="49"/>
        <v>13473.822309631159</v>
      </c>
      <c r="Y21" s="57">
        <f t="shared" si="49"/>
        <v>14937.975484124607</v>
      </c>
      <c r="Z21" s="57">
        <f t="shared" ref="Z21:AA21" si="50">1000000*Z17/Z$3</f>
        <v>16242.256847206529</v>
      </c>
      <c r="AA21" s="57">
        <f t="shared" si="50"/>
        <v>17619.006329662709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6845.1275104175174</v>
      </c>
      <c r="E23" s="60">
        <v>6753.1505716661477</v>
      </c>
      <c r="F23" s="60">
        <v>6992.4686341406459</v>
      </c>
      <c r="G23" s="60">
        <v>7305.2741405241377</v>
      </c>
      <c r="H23" s="60">
        <v>7229.3658614046963</v>
      </c>
      <c r="I23" s="60">
        <v>7278.0846946787233</v>
      </c>
      <c r="J23" s="60">
        <v>7482.3891591382908</v>
      </c>
      <c r="K23" s="60">
        <v>7899.3815635939318</v>
      </c>
      <c r="L23" s="60">
        <v>8295.3183611319346</v>
      </c>
      <c r="M23" s="60">
        <v>8341.4572596752587</v>
      </c>
      <c r="N23" s="60">
        <v>8821.8451112693419</v>
      </c>
      <c r="O23" s="60">
        <v>8741.6326974155527</v>
      </c>
      <c r="P23" s="60">
        <v>9159.3051059657591</v>
      </c>
      <c r="Q23" s="60">
        <v>9868.0696452092634</v>
      </c>
      <c r="R23" s="60">
        <v>10768.459577252246</v>
      </c>
      <c r="S23" s="60">
        <v>11751.675980000002</v>
      </c>
      <c r="T23" s="60">
        <v>12239.987419459238</v>
      </c>
      <c r="U23" s="60">
        <v>13849.901842392243</v>
      </c>
      <c r="V23" s="60">
        <v>14882.647262896198</v>
      </c>
      <c r="W23" s="60">
        <v>15506.219254743915</v>
      </c>
      <c r="X23" s="60">
        <v>15182.095478394785</v>
      </c>
      <c r="Y23" s="60">
        <v>17149.143751840242</v>
      </c>
      <c r="Z23" s="60">
        <v>17792.934847494103</v>
      </c>
      <c r="AA23" s="60">
        <v>19420.400000000001</v>
      </c>
    </row>
    <row r="24" spans="1:27" x14ac:dyDescent="0.25">
      <c r="A24" s="61" t="s">
        <v>33</v>
      </c>
      <c r="B24" s="62"/>
      <c r="C24" s="62"/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149.90535673581036</v>
      </c>
      <c r="J24" s="63">
        <v>156.17647175617989</v>
      </c>
      <c r="K24" s="63">
        <v>158.92803383897316</v>
      </c>
      <c r="L24" s="63">
        <v>101.19373125937032</v>
      </c>
      <c r="M24" s="63">
        <v>126.65428484150667</v>
      </c>
      <c r="N24" s="63">
        <v>127.2297426507985</v>
      </c>
      <c r="O24" s="63">
        <v>108.71793684906596</v>
      </c>
      <c r="P24" s="63">
        <v>113.36942885156174</v>
      </c>
      <c r="Q24" s="63">
        <v>113.55204164011049</v>
      </c>
      <c r="R24" s="63">
        <v>121.92506199807937</v>
      </c>
      <c r="S24" s="63">
        <v>124.04797600000002</v>
      </c>
      <c r="T24" s="63">
        <v>138.85365265232872</v>
      </c>
      <c r="U24" s="63">
        <v>104.47775545734568</v>
      </c>
      <c r="V24" s="63">
        <v>103.73178935029824</v>
      </c>
      <c r="W24" s="63">
        <v>81.562459950977242</v>
      </c>
      <c r="X24" s="63">
        <v>130.23417796321829</v>
      </c>
      <c r="Y24" s="63">
        <v>164.37592531652146</v>
      </c>
      <c r="Z24" s="63">
        <v>161.0582560112569</v>
      </c>
      <c r="AA24" s="63">
        <v>11.2</v>
      </c>
    </row>
    <row r="25" spans="1:27" x14ac:dyDescent="0.25">
      <c r="A25" s="64" t="s">
        <v>56</v>
      </c>
      <c r="B25" s="65"/>
      <c r="C25" s="65"/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</row>
    <row r="26" spans="1:27" x14ac:dyDescent="0.25">
      <c r="A26" s="67" t="s">
        <v>146</v>
      </c>
      <c r="B26" s="44"/>
      <c r="C26" s="44"/>
      <c r="D26" s="45">
        <v>4743.5810006264128</v>
      </c>
      <c r="E26" s="45">
        <v>4885.140229705853</v>
      </c>
      <c r="F26" s="45">
        <v>4982.1464475203329</v>
      </c>
      <c r="G26" s="45">
        <v>5231.1701116686418</v>
      </c>
      <c r="H26" s="45">
        <v>5325.2227625344931</v>
      </c>
      <c r="I26" s="45">
        <v>5468.7694957323401</v>
      </c>
      <c r="J26" s="45">
        <v>5701.5613372381622</v>
      </c>
      <c r="K26" s="45">
        <v>6144.1201721120187</v>
      </c>
      <c r="L26" s="45">
        <v>6468.2428879310346</v>
      </c>
      <c r="M26" s="45">
        <v>6636.9269262401012</v>
      </c>
      <c r="N26" s="45">
        <v>7047.4784253890739</v>
      </c>
      <c r="O26" s="45">
        <v>7084.1460340552176</v>
      </c>
      <c r="P26" s="45">
        <v>7566.57577710019</v>
      </c>
      <c r="Q26" s="45">
        <v>8220.9486551943937</v>
      </c>
      <c r="R26" s="45">
        <v>9146.0125747934271</v>
      </c>
      <c r="S26" s="45">
        <v>10125.125908000002</v>
      </c>
      <c r="T26" s="45">
        <v>10508.742879559073</v>
      </c>
      <c r="U26" s="45">
        <v>12069.709437716432</v>
      </c>
      <c r="V26" s="45">
        <v>12962.085484983976</v>
      </c>
      <c r="W26" s="45">
        <v>13442.890260628481</v>
      </c>
      <c r="X26" s="45">
        <v>13125.134383897714</v>
      </c>
      <c r="Y26" s="45">
        <v>14952.290777144641</v>
      </c>
      <c r="Z26" s="45">
        <v>15570.779188014734</v>
      </c>
      <c r="AA26" s="45">
        <v>17207.600000000002</v>
      </c>
    </row>
    <row r="27" spans="1:27" x14ac:dyDescent="0.25">
      <c r="A27" s="68" t="s">
        <v>148</v>
      </c>
      <c r="B27" s="69"/>
      <c r="C27" s="69"/>
      <c r="D27" s="70">
        <v>2202.8660565950377</v>
      </c>
      <c r="E27" s="70">
        <v>2337.1071094480822</v>
      </c>
      <c r="F27" s="70">
        <v>2362.2707538236018</v>
      </c>
      <c r="G27" s="70">
        <v>2437.4369398267072</v>
      </c>
      <c r="H27" s="70">
        <v>2440.8949393450303</v>
      </c>
      <c r="I27" s="70">
        <v>2439.7994934528788</v>
      </c>
      <c r="J27" s="70">
        <v>2482.3418097885437</v>
      </c>
      <c r="K27" s="70">
        <v>2805.3775914041225</v>
      </c>
      <c r="L27" s="70">
        <v>3108.6110101199401</v>
      </c>
      <c r="M27" s="70">
        <v>3109.8474939492917</v>
      </c>
      <c r="N27" s="70">
        <v>3209.7455350987229</v>
      </c>
      <c r="O27" s="70">
        <v>3178.5429745963538</v>
      </c>
      <c r="P27" s="70">
        <v>3370.9343777272575</v>
      </c>
      <c r="Q27" s="70">
        <v>3703.5224389207583</v>
      </c>
      <c r="R27" s="70">
        <v>4262.4783951203553</v>
      </c>
      <c r="S27" s="70">
        <v>4615.0489200000011</v>
      </c>
      <c r="T27" s="70">
        <v>4536.1389076858195</v>
      </c>
      <c r="U27" s="70">
        <v>5269.7741070232851</v>
      </c>
      <c r="V27" s="70">
        <v>5756.9314679497456</v>
      </c>
      <c r="W27" s="70">
        <v>5512.1544051629935</v>
      </c>
      <c r="X27" s="70">
        <v>5128.8944039539438</v>
      </c>
      <c r="Y27" s="70">
        <v>5746.4572804267627</v>
      </c>
      <c r="Z27" s="70">
        <v>5872.3825352812164</v>
      </c>
      <c r="AA27" s="70">
        <v>6203.2000000000025</v>
      </c>
    </row>
    <row r="28" spans="1:27" x14ac:dyDescent="0.25">
      <c r="A28" s="68" t="s">
        <v>150</v>
      </c>
      <c r="B28" s="71"/>
      <c r="C28" s="71"/>
      <c r="D28" s="70">
        <v>1511.3645395865676</v>
      </c>
      <c r="E28" s="70">
        <v>1559.5792173370751</v>
      </c>
      <c r="F28" s="70">
        <v>1588.7868304642805</v>
      </c>
      <c r="G28" s="70">
        <v>1747.1558968762063</v>
      </c>
      <c r="H28" s="70">
        <v>1881.4847191128235</v>
      </c>
      <c r="I28" s="70">
        <v>2062.7499632753343</v>
      </c>
      <c r="J28" s="70">
        <v>2256.5579966246401</v>
      </c>
      <c r="K28" s="70">
        <v>2348.0284762738233</v>
      </c>
      <c r="L28" s="70">
        <v>2346.4862818590705</v>
      </c>
      <c r="M28" s="70">
        <v>2550.9627370350349</v>
      </c>
      <c r="N28" s="70">
        <v>2840.7355598503605</v>
      </c>
      <c r="O28" s="70">
        <v>2854.0945434507084</v>
      </c>
      <c r="P28" s="70">
        <v>3135.3038001142081</v>
      </c>
      <c r="Q28" s="70">
        <v>3383.4125217760788</v>
      </c>
      <c r="R28" s="70">
        <v>3677.483036270196</v>
      </c>
      <c r="S28" s="70">
        <v>4188.3599880000002</v>
      </c>
      <c r="T28" s="70">
        <v>4699.0200594309936</v>
      </c>
      <c r="U28" s="70">
        <v>5415.2041822112533</v>
      </c>
      <c r="V28" s="70">
        <v>5776.6782950646111</v>
      </c>
      <c r="W28" s="70">
        <v>6424.3754739325605</v>
      </c>
      <c r="X28" s="70">
        <v>6673.0006948050777</v>
      </c>
      <c r="Y28" s="70">
        <v>7748.0021753814726</v>
      </c>
      <c r="Z28" s="70">
        <v>8037.5434242436795</v>
      </c>
      <c r="AA28" s="70">
        <v>9280.8000000000011</v>
      </c>
    </row>
    <row r="29" spans="1:27" x14ac:dyDescent="0.25">
      <c r="A29" s="68" t="s">
        <v>152</v>
      </c>
      <c r="B29" s="71"/>
      <c r="C29" s="71"/>
      <c r="D29" s="70">
        <v>1029.350404444808</v>
      </c>
      <c r="E29" s="70">
        <v>988.45390292069465</v>
      </c>
      <c r="F29" s="70">
        <v>1031.0888632324513</v>
      </c>
      <c r="G29" s="70">
        <v>1046.5772749657276</v>
      </c>
      <c r="H29" s="70">
        <v>1002.8431040766387</v>
      </c>
      <c r="I29" s="70">
        <v>966.22003900412824</v>
      </c>
      <c r="J29" s="70">
        <v>962.66153082497794</v>
      </c>
      <c r="K29" s="70">
        <v>990.71410443407194</v>
      </c>
      <c r="L29" s="70">
        <v>1013.1455959520238</v>
      </c>
      <c r="M29" s="70">
        <v>976.11669525577463</v>
      </c>
      <c r="N29" s="70">
        <v>996.99733043999152</v>
      </c>
      <c r="O29" s="70">
        <v>1051.5085160081558</v>
      </c>
      <c r="P29" s="70">
        <v>1060.3375992587246</v>
      </c>
      <c r="Q29" s="70">
        <v>1134.0136944975566</v>
      </c>
      <c r="R29" s="70">
        <v>1206.0511434028767</v>
      </c>
      <c r="S29" s="70">
        <v>1321.7170000000003</v>
      </c>
      <c r="T29" s="70">
        <v>1273.583912442261</v>
      </c>
      <c r="U29" s="70">
        <v>1384.7311484818922</v>
      </c>
      <c r="V29" s="70">
        <v>1428.4757219696187</v>
      </c>
      <c r="W29" s="70">
        <v>1506.3603815329252</v>
      </c>
      <c r="X29" s="70">
        <v>1323.2392851386926</v>
      </c>
      <c r="Y29" s="70">
        <v>1457.8313213364049</v>
      </c>
      <c r="Z29" s="70">
        <v>1660.8532284898401</v>
      </c>
      <c r="AA29" s="70">
        <v>1723.6</v>
      </c>
    </row>
    <row r="30" spans="1:27" x14ac:dyDescent="0.25">
      <c r="A30" s="64" t="s">
        <v>154</v>
      </c>
      <c r="B30" s="65"/>
      <c r="C30" s="65"/>
      <c r="D30" s="66">
        <v>56.717874554021243</v>
      </c>
      <c r="E30" s="66">
        <v>65.673547448290378</v>
      </c>
      <c r="F30" s="66">
        <v>73.434135457340261</v>
      </c>
      <c r="G30" s="66">
        <v>56.121805331878136</v>
      </c>
      <c r="H30" s="66">
        <v>74.688733274327063</v>
      </c>
      <c r="I30" s="66">
        <v>42.620150444495138</v>
      </c>
      <c r="J30" s="66">
        <v>89.449434130844821</v>
      </c>
      <c r="K30" s="66">
        <v>89.494977635161419</v>
      </c>
      <c r="L30" s="66">
        <v>67.210761806596494</v>
      </c>
      <c r="M30" s="66">
        <v>128.62378927086024</v>
      </c>
      <c r="N30" s="66">
        <v>116.2993523887023</v>
      </c>
      <c r="O30" s="66">
        <v>29.986254477324096</v>
      </c>
      <c r="P30" s="66">
        <v>-44.319666426039639</v>
      </c>
      <c r="Q30" s="66">
        <v>64.652067134055727</v>
      </c>
      <c r="R30" s="66">
        <v>68.855001530165381</v>
      </c>
      <c r="S30" s="66">
        <v>112.31370800000006</v>
      </c>
      <c r="T30" s="66">
        <v>168.06603312836501</v>
      </c>
      <c r="U30" s="66">
        <v>121.74680594616322</v>
      </c>
      <c r="V30" s="66">
        <v>139.69051773847454</v>
      </c>
      <c r="W30" s="66">
        <v>137.79202232646944</v>
      </c>
      <c r="X30" s="66">
        <v>136.81516036029578</v>
      </c>
      <c r="Y30" s="66">
        <v>160.57919878067787</v>
      </c>
      <c r="Z30" s="66">
        <v>162.12557381119888</v>
      </c>
      <c r="AA30" s="66">
        <v>215.8</v>
      </c>
    </row>
    <row r="31" spans="1:27" x14ac:dyDescent="0.25">
      <c r="A31" s="64" t="s">
        <v>37</v>
      </c>
      <c r="B31" s="65"/>
      <c r="C31" s="65"/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424.3906192429842</v>
      </c>
      <c r="O31" s="66">
        <v>415.97045902904063</v>
      </c>
      <c r="P31" s="66">
        <v>399.43273032872548</v>
      </c>
      <c r="Q31" s="66">
        <v>419.142638623327</v>
      </c>
      <c r="R31" s="66">
        <v>414.08254872785221</v>
      </c>
      <c r="S31" s="66">
        <v>446.28902800000009</v>
      </c>
      <c r="T31" s="66">
        <v>462.97196936263703</v>
      </c>
      <c r="U31" s="66">
        <v>529.17304712162093</v>
      </c>
      <c r="V31" s="66">
        <v>587.28526567536653</v>
      </c>
      <c r="W31" s="66">
        <v>732.99673732431222</v>
      </c>
      <c r="X31" s="66">
        <v>702.54873484590723</v>
      </c>
      <c r="Y31" s="66">
        <v>722.60639451305065</v>
      </c>
      <c r="Z31" s="66">
        <v>699.5200860820263</v>
      </c>
      <c r="AA31" s="66">
        <v>763.2</v>
      </c>
    </row>
    <row r="32" spans="1:27" x14ac:dyDescent="0.25">
      <c r="A32" s="64" t="s">
        <v>58</v>
      </c>
      <c r="B32" s="65"/>
      <c r="C32" s="65"/>
      <c r="D32" s="66">
        <v>2044.8286352370828</v>
      </c>
      <c r="E32" s="66">
        <v>1802.3367945120046</v>
      </c>
      <c r="F32" s="66">
        <v>1936.8880511629718</v>
      </c>
      <c r="G32" s="66">
        <v>2017.9822235236179</v>
      </c>
      <c r="H32" s="66">
        <v>1829.4543655958773</v>
      </c>
      <c r="I32" s="66">
        <v>1616.7896917660764</v>
      </c>
      <c r="J32" s="66">
        <v>1535.2019160131038</v>
      </c>
      <c r="K32" s="66">
        <v>1506.83838000778</v>
      </c>
      <c r="L32" s="66">
        <v>1658.6709801349336</v>
      </c>
      <c r="M32" s="66">
        <v>1449.2522593227898</v>
      </c>
      <c r="N32" s="66">
        <v>1106.4469715977805</v>
      </c>
      <c r="O32" s="66">
        <v>1102.8120130049044</v>
      </c>
      <c r="P32" s="66">
        <v>1124.2468361113206</v>
      </c>
      <c r="Q32" s="66">
        <v>1049.7742426173784</v>
      </c>
      <c r="R32" s="66">
        <v>1017.5843902027206</v>
      </c>
      <c r="S32" s="66">
        <v>943.89936000000012</v>
      </c>
      <c r="T32" s="66">
        <v>961.3528847568333</v>
      </c>
      <c r="U32" s="66">
        <v>1024.794796150682</v>
      </c>
      <c r="V32" s="66">
        <v>1089.8542051480806</v>
      </c>
      <c r="W32" s="66">
        <v>1110.9777745136739</v>
      </c>
      <c r="X32" s="66">
        <v>1087.3630213276506</v>
      </c>
      <c r="Y32" s="66">
        <v>1149.2914560853526</v>
      </c>
      <c r="Z32" s="66">
        <v>1199.4517435748871</v>
      </c>
      <c r="AA32" s="66">
        <v>1222.5999999999999</v>
      </c>
    </row>
    <row r="33" spans="1:27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</row>
    <row r="34" spans="1:27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17.780101493009642</v>
      </c>
      <c r="O43" s="66">
        <v>11.227081060230342</v>
      </c>
      <c r="P43" s="66">
        <v>11.392516134593214</v>
      </c>
      <c r="Q43" s="66">
        <v>10.547053324835353</v>
      </c>
      <c r="R43" s="66">
        <v>13.471630734162789</v>
      </c>
      <c r="S43" s="66">
        <v>14.055332000000002</v>
      </c>
      <c r="T43" s="66">
        <v>11.002065374091618</v>
      </c>
      <c r="U43" s="66">
        <v>93.86962444278636</v>
      </c>
      <c r="V43" s="66">
        <v>87.702729068789182</v>
      </c>
      <c r="W43" s="66">
        <v>78.603009299635531</v>
      </c>
      <c r="X43" s="66">
        <v>99.98475010296724</v>
      </c>
      <c r="Y43" s="66">
        <v>105.19165872837176</v>
      </c>
      <c r="Z43" s="66">
        <v>90.295085875098295</v>
      </c>
      <c r="AA43" s="66">
        <v>94.8</v>
      </c>
    </row>
    <row r="44" spans="1:27" x14ac:dyDescent="0.25">
      <c r="A44" s="73" t="s">
        <v>266</v>
      </c>
      <c r="B44" s="65"/>
      <c r="C44" s="65"/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17.780101493009642</v>
      </c>
      <c r="O44" s="66">
        <v>11.227081060230342</v>
      </c>
      <c r="P44" s="66">
        <v>11.392516134593214</v>
      </c>
      <c r="Q44" s="66">
        <v>10.547053324835353</v>
      </c>
      <c r="R44" s="66">
        <v>13.471630734162789</v>
      </c>
      <c r="S44" s="66">
        <v>14.055332000000002</v>
      </c>
      <c r="T44" s="66">
        <v>11.002065374091618</v>
      </c>
      <c r="U44" s="66">
        <v>12.70508714534428</v>
      </c>
      <c r="V44" s="66">
        <v>13.225498407176687</v>
      </c>
      <c r="W44" s="66">
        <v>13.495094970118151</v>
      </c>
      <c r="X44" s="66">
        <v>14.431978940959475</v>
      </c>
      <c r="Y44" s="66">
        <v>15.075237715849456</v>
      </c>
      <c r="Z44" s="66">
        <v>15.369376319165667</v>
      </c>
      <c r="AA44" s="66">
        <v>13</v>
      </c>
    </row>
    <row r="45" spans="1:27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</row>
    <row r="46" spans="1:27" x14ac:dyDescent="0.25">
      <c r="A46" s="74" t="s">
        <v>12</v>
      </c>
      <c r="B46" s="44"/>
      <c r="C46" s="44"/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17.780101493009642</v>
      </c>
      <c r="O46" s="45">
        <v>11.227081060230342</v>
      </c>
      <c r="P46" s="45">
        <v>11.392516134593214</v>
      </c>
      <c r="Q46" s="45">
        <v>10.547053324835353</v>
      </c>
      <c r="R46" s="45">
        <v>13.471630734162789</v>
      </c>
      <c r="S46" s="45">
        <v>14.055332000000002</v>
      </c>
      <c r="T46" s="45">
        <v>11.002065374091618</v>
      </c>
      <c r="U46" s="45">
        <v>12.70508714534428</v>
      </c>
      <c r="V46" s="45">
        <v>13.225498407176687</v>
      </c>
      <c r="W46" s="45">
        <v>13.495094970118151</v>
      </c>
      <c r="X46" s="45">
        <v>14.431978940959475</v>
      </c>
      <c r="Y46" s="45">
        <v>15.075237715849456</v>
      </c>
      <c r="Z46" s="45">
        <v>15.369376319165667</v>
      </c>
      <c r="AA46" s="45">
        <v>13</v>
      </c>
    </row>
    <row r="47" spans="1:27" x14ac:dyDescent="0.25">
      <c r="A47" s="73" t="s">
        <v>11</v>
      </c>
      <c r="B47" s="65"/>
      <c r="C47" s="65"/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81.164537297442081</v>
      </c>
      <c r="V47" s="66">
        <v>74.477230661612495</v>
      </c>
      <c r="W47" s="66">
        <v>65.107914329517385</v>
      </c>
      <c r="X47" s="66">
        <v>85.552771162007758</v>
      </c>
      <c r="Y47" s="66">
        <v>90.116421012522309</v>
      </c>
      <c r="Z47" s="66">
        <v>74.925709555932627</v>
      </c>
      <c r="AA47" s="66">
        <v>81.8</v>
      </c>
    </row>
    <row r="48" spans="1:27" x14ac:dyDescent="0.25">
      <c r="A48" s="72" t="s">
        <v>4</v>
      </c>
      <c r="B48" s="65"/>
      <c r="C48" s="65"/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</v>
      </c>
      <c r="R48" s="66">
        <v>0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66">
        <v>0</v>
      </c>
      <c r="AA48" s="66">
        <v>0</v>
      </c>
    </row>
    <row r="49" spans="1:27" x14ac:dyDescent="0.25">
      <c r="A49" s="77" t="s">
        <v>10</v>
      </c>
      <c r="B49" s="44"/>
      <c r="C49" s="44"/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</row>
    <row r="50" spans="1:27" x14ac:dyDescent="0.25">
      <c r="A50" s="77" t="s">
        <v>18</v>
      </c>
      <c r="B50" s="44"/>
      <c r="C50" s="44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</row>
    <row r="51" spans="1:27" x14ac:dyDescent="0.25">
      <c r="A51" s="77" t="s">
        <v>9</v>
      </c>
      <c r="B51" s="44"/>
      <c r="C51" s="44"/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</row>
    <row r="52" spans="1:27" x14ac:dyDescent="0.25">
      <c r="A52" s="72" t="s">
        <v>3</v>
      </c>
      <c r="B52" s="65"/>
      <c r="C52" s="65"/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94.584310401338186</v>
      </c>
      <c r="O52" s="66">
        <v>99.906809941037082</v>
      </c>
      <c r="P52" s="66">
        <v>95.724922155301527</v>
      </c>
      <c r="Q52" s="66">
        <v>94.512555768005114</v>
      </c>
      <c r="R52" s="66">
        <v>96.614725467228084</v>
      </c>
      <c r="S52" s="66">
        <v>94.132040000000018</v>
      </c>
      <c r="T52" s="66">
        <v>86.878378298861406</v>
      </c>
      <c r="U52" s="66">
        <v>74.50361782318393</v>
      </c>
      <c r="V52" s="66">
        <v>97.880877612561093</v>
      </c>
      <c r="W52" s="66">
        <v>103.22563871879848</v>
      </c>
      <c r="X52" s="66">
        <v>117.18766900059094</v>
      </c>
      <c r="Y52" s="66">
        <v>129.2003706462061</v>
      </c>
      <c r="Z52" s="66">
        <v>143.44751231221289</v>
      </c>
      <c r="AA52" s="66">
        <v>162.19999999999999</v>
      </c>
    </row>
    <row r="53" spans="1:27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</row>
    <row r="56" spans="1:27" x14ac:dyDescent="0.25">
      <c r="A56" s="73" t="s">
        <v>16</v>
      </c>
      <c r="B56" s="65"/>
      <c r="C56" s="65"/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94.584310401338186</v>
      </c>
      <c r="O56" s="66">
        <v>99.906809941037082</v>
      </c>
      <c r="P56" s="66">
        <v>95.724922155301527</v>
      </c>
      <c r="Q56" s="66">
        <v>94.512555768005114</v>
      </c>
      <c r="R56" s="66">
        <v>96.614725467228084</v>
      </c>
      <c r="S56" s="66">
        <v>94.132040000000018</v>
      </c>
      <c r="T56" s="66">
        <v>86.878378298861406</v>
      </c>
      <c r="U56" s="66">
        <v>74.50361782318393</v>
      </c>
      <c r="V56" s="66">
        <v>97.880877612561093</v>
      </c>
      <c r="W56" s="66">
        <v>103.22563871879848</v>
      </c>
      <c r="X56" s="66">
        <v>117.18766900059094</v>
      </c>
      <c r="Y56" s="66">
        <v>129.2003706462061</v>
      </c>
      <c r="Z56" s="66">
        <v>143.44751231221289</v>
      </c>
      <c r="AA56" s="66">
        <v>162.19999999999999</v>
      </c>
    </row>
    <row r="57" spans="1:27" x14ac:dyDescent="0.25">
      <c r="A57" s="72" t="s">
        <v>2</v>
      </c>
      <c r="B57" s="65"/>
      <c r="C57" s="65"/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140.63768803896971</v>
      </c>
      <c r="O57" s="66">
        <v>142.54129497988649</v>
      </c>
      <c r="P57" s="66">
        <v>144.07364916552638</v>
      </c>
      <c r="Q57" s="66">
        <v>161.21924367962612</v>
      </c>
      <c r="R57" s="66">
        <v>182.2072076065048</v>
      </c>
      <c r="S57" s="66">
        <v>187.10354800000002</v>
      </c>
      <c r="T57" s="66">
        <v>178.18287485166772</v>
      </c>
      <c r="U57" s="66">
        <v>180.70827832941134</v>
      </c>
      <c r="V57" s="66">
        <v>176.1368221047955</v>
      </c>
      <c r="W57" s="66">
        <v>172.59516198624794</v>
      </c>
      <c r="X57" s="66">
        <v>147.09072936625898</v>
      </c>
      <c r="Y57" s="66">
        <v>142.37724509413374</v>
      </c>
      <c r="Z57" s="66">
        <v>162.87269627115839</v>
      </c>
      <c r="AA57" s="66">
        <v>170.2</v>
      </c>
    </row>
    <row r="58" spans="1:27" x14ac:dyDescent="0.25">
      <c r="A58" s="72" t="s">
        <v>269</v>
      </c>
      <c r="B58" s="65"/>
      <c r="C58" s="65"/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44.013038122040257</v>
      </c>
      <c r="O58" s="66">
        <v>47.182163442993335</v>
      </c>
      <c r="P58" s="66">
        <v>57.935112538114275</v>
      </c>
      <c r="Q58" s="66">
        <v>67.391561504142771</v>
      </c>
      <c r="R58" s="66">
        <v>75.250624201939615</v>
      </c>
      <c r="S58" s="66">
        <v>76.981956000000011</v>
      </c>
      <c r="T58" s="66">
        <v>82.958102131081631</v>
      </c>
      <c r="U58" s="66">
        <v>88.072157492969083</v>
      </c>
      <c r="V58" s="66">
        <v>75.818064601510585</v>
      </c>
      <c r="W58" s="66">
        <v>76.235448778562187</v>
      </c>
      <c r="X58" s="66">
        <v>63.154339845638667</v>
      </c>
      <c r="Y58" s="66">
        <v>74.594509586573608</v>
      </c>
      <c r="Z58" s="66">
        <v>82.930593055498079</v>
      </c>
      <c r="AA58" s="66">
        <v>78.400000000000006</v>
      </c>
    </row>
    <row r="59" spans="1:27" x14ac:dyDescent="0.25">
      <c r="A59" s="72" t="s">
        <v>270</v>
      </c>
      <c r="B59" s="65"/>
      <c r="C59" s="65"/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26.807184390202721</v>
      </c>
      <c r="S59" s="66">
        <v>24.629068000000004</v>
      </c>
      <c r="T59" s="66">
        <v>25.165643786715311</v>
      </c>
      <c r="U59" s="66">
        <v>23.18986779926917</v>
      </c>
      <c r="V59" s="66">
        <v>46.075929934680062</v>
      </c>
      <c r="W59" s="66">
        <v>31.251798878168348</v>
      </c>
      <c r="X59" s="66">
        <v>47.221435094819405</v>
      </c>
      <c r="Y59" s="66">
        <v>47.794086980619014</v>
      </c>
      <c r="Z59" s="66">
        <v>188.1681281297852</v>
      </c>
      <c r="AA59" s="66">
        <v>200</v>
      </c>
    </row>
    <row r="60" spans="1:27" x14ac:dyDescent="0.25">
      <c r="A60" s="72" t="s">
        <v>1</v>
      </c>
      <c r="B60" s="65"/>
      <c r="C60" s="65"/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41.244005922309249</v>
      </c>
      <c r="O60" s="66">
        <v>44.339864440403375</v>
      </c>
      <c r="P60" s="66">
        <v>42.096736448557856</v>
      </c>
      <c r="Q60" s="66">
        <v>29.175615041427665</v>
      </c>
      <c r="R60" s="66">
        <v>23.949565749622739</v>
      </c>
      <c r="S60" s="66">
        <v>22.565900000000003</v>
      </c>
      <c r="T60" s="66">
        <v>20.739525532770408</v>
      </c>
      <c r="U60" s="66">
        <v>22.696466356731523</v>
      </c>
      <c r="V60" s="66">
        <v>24.013116923629557</v>
      </c>
      <c r="W60" s="66">
        <v>20.834532585445565</v>
      </c>
      <c r="X60" s="66">
        <v>20.204770517343267</v>
      </c>
      <c r="Y60" s="66">
        <v>23.115364497635831</v>
      </c>
      <c r="Z60" s="66">
        <v>20.812697098870174</v>
      </c>
      <c r="AA60" s="66">
        <v>18.600000000000001</v>
      </c>
    </row>
    <row r="61" spans="1:27" x14ac:dyDescent="0.25">
      <c r="A61" s="72" t="s">
        <v>0</v>
      </c>
      <c r="B61" s="65"/>
      <c r="C61" s="65"/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66">
        <v>0</v>
      </c>
      <c r="AA61" s="66">
        <v>0</v>
      </c>
    </row>
    <row r="62" spans="1:27" x14ac:dyDescent="0.25">
      <c r="A62" s="78" t="s">
        <v>271</v>
      </c>
      <c r="B62" s="79"/>
      <c r="C62" s="79"/>
      <c r="D62" s="80">
        <v>2044.8286352370828</v>
      </c>
      <c r="E62" s="80">
        <v>1802.3367945120046</v>
      </c>
      <c r="F62" s="80">
        <v>1936.8880511629718</v>
      </c>
      <c r="G62" s="80">
        <v>2017.9822235236179</v>
      </c>
      <c r="H62" s="80">
        <v>1829.4543655958773</v>
      </c>
      <c r="I62" s="80">
        <v>1616.7896917660764</v>
      </c>
      <c r="J62" s="80">
        <v>1535.2019160131038</v>
      </c>
      <c r="K62" s="80">
        <v>1506.83838000778</v>
      </c>
      <c r="L62" s="80">
        <v>1658.6709801349336</v>
      </c>
      <c r="M62" s="80">
        <v>1449.2522593227898</v>
      </c>
      <c r="N62" s="80">
        <v>768.18782762011347</v>
      </c>
      <c r="O62" s="80">
        <v>757.61479914035374</v>
      </c>
      <c r="P62" s="80">
        <v>773.02389966922749</v>
      </c>
      <c r="Q62" s="80">
        <v>686.92821329934145</v>
      </c>
      <c r="R62" s="80">
        <v>599.28345205305982</v>
      </c>
      <c r="S62" s="80">
        <v>524.4315160000001</v>
      </c>
      <c r="T62" s="80">
        <v>556.4262947816452</v>
      </c>
      <c r="U62" s="80">
        <v>541.75478390633066</v>
      </c>
      <c r="V62" s="80">
        <v>582.22666490211475</v>
      </c>
      <c r="W62" s="80">
        <v>628.23218426681603</v>
      </c>
      <c r="X62" s="80">
        <v>592.51932740003213</v>
      </c>
      <c r="Y62" s="80">
        <v>627.01822055181253</v>
      </c>
      <c r="Z62" s="80">
        <v>510.92503083226427</v>
      </c>
      <c r="AA62" s="80">
        <v>498.39999999999986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0</v>
      </c>
      <c r="E66" s="83">
        <f t="shared" ref="E66:S66" si="55">E24/E$23</f>
        <v>0</v>
      </c>
      <c r="F66" s="83">
        <f t="shared" si="55"/>
        <v>0</v>
      </c>
      <c r="G66" s="83">
        <f t="shared" si="55"/>
        <v>0</v>
      </c>
      <c r="H66" s="83">
        <f t="shared" si="55"/>
        <v>0</v>
      </c>
      <c r="I66" s="83">
        <f t="shared" si="55"/>
        <v>2.0596814000448733E-2</v>
      </c>
      <c r="J66" s="83">
        <f t="shared" si="55"/>
        <v>2.0872540633019673E-2</v>
      </c>
      <c r="K66" s="83">
        <f t="shared" si="55"/>
        <v>2.011904761904762E-2</v>
      </c>
      <c r="L66" s="83">
        <f t="shared" si="55"/>
        <v>1.2198896637110136E-2</v>
      </c>
      <c r="M66" s="83">
        <f t="shared" si="55"/>
        <v>1.5183712018017034E-2</v>
      </c>
      <c r="N66" s="83">
        <f t="shared" si="55"/>
        <v>1.4422123835326768E-2</v>
      </c>
      <c r="O66" s="83">
        <f t="shared" si="55"/>
        <v>1.2436799921965174E-2</v>
      </c>
      <c r="P66" s="83">
        <f t="shared" si="55"/>
        <v>1.2377514182568333E-2</v>
      </c>
      <c r="Q66" s="83">
        <f t="shared" si="55"/>
        <v>1.1507016642838305E-2</v>
      </c>
      <c r="R66" s="83">
        <f t="shared" si="55"/>
        <v>1.1322423706324634E-2</v>
      </c>
      <c r="S66" s="83">
        <f t="shared" si="55"/>
        <v>1.0555768914248094E-2</v>
      </c>
      <c r="T66" s="83">
        <f t="shared" ref="T66:Y66" si="56">T24/T$23</f>
        <v>1.1344264327557885E-2</v>
      </c>
      <c r="U66" s="83">
        <f t="shared" si="56"/>
        <v>7.5435737123823272E-3</v>
      </c>
      <c r="V66" s="83">
        <f t="shared" si="56"/>
        <v>6.9699823907612918E-3</v>
      </c>
      <c r="W66" s="83">
        <f t="shared" si="56"/>
        <v>5.2599836627503071E-3</v>
      </c>
      <c r="X66" s="83">
        <f t="shared" si="56"/>
        <v>8.5781424671285255E-3</v>
      </c>
      <c r="Y66" s="83">
        <f t="shared" si="56"/>
        <v>9.5850806136535301E-3</v>
      </c>
      <c r="Z66" s="83">
        <f t="shared" ref="Z66:AA66" si="57">Z24/Z$23</f>
        <v>9.0518094621101705E-3</v>
      </c>
      <c r="AA66" s="83">
        <f t="shared" si="57"/>
        <v>5.7671314700006172E-4</v>
      </c>
    </row>
    <row r="67" spans="1:27" x14ac:dyDescent="0.25">
      <c r="A67" s="64" t="s">
        <v>56</v>
      </c>
      <c r="B67" s="65"/>
      <c r="C67" s="65"/>
      <c r="D67" s="83">
        <f t="shared" si="51"/>
        <v>0</v>
      </c>
      <c r="E67" s="83">
        <f t="shared" ref="E67:S67" si="58">E25/E$23</f>
        <v>0</v>
      </c>
      <c r="F67" s="83">
        <f t="shared" si="58"/>
        <v>0</v>
      </c>
      <c r="G67" s="83">
        <f t="shared" si="58"/>
        <v>0</v>
      </c>
      <c r="H67" s="83">
        <f t="shared" si="58"/>
        <v>0</v>
      </c>
      <c r="I67" s="83">
        <f t="shared" si="58"/>
        <v>0</v>
      </c>
      <c r="J67" s="83">
        <f t="shared" si="58"/>
        <v>0</v>
      </c>
      <c r="K67" s="83">
        <f t="shared" si="58"/>
        <v>0</v>
      </c>
      <c r="L67" s="83">
        <f t="shared" si="58"/>
        <v>0</v>
      </c>
      <c r="M67" s="83">
        <f t="shared" si="58"/>
        <v>0</v>
      </c>
      <c r="N67" s="83">
        <f t="shared" si="58"/>
        <v>0</v>
      </c>
      <c r="O67" s="83">
        <f t="shared" si="58"/>
        <v>0</v>
      </c>
      <c r="P67" s="83">
        <f t="shared" si="58"/>
        <v>0</v>
      </c>
      <c r="Q67" s="83">
        <f t="shared" si="58"/>
        <v>0</v>
      </c>
      <c r="R67" s="83">
        <f t="shared" si="58"/>
        <v>0</v>
      </c>
      <c r="S67" s="83">
        <f t="shared" si="58"/>
        <v>0</v>
      </c>
      <c r="T67" s="83">
        <f t="shared" ref="T67:Y67" si="59">T25/T$23</f>
        <v>0</v>
      </c>
      <c r="U67" s="83">
        <f t="shared" si="59"/>
        <v>0</v>
      </c>
      <c r="V67" s="83">
        <f t="shared" si="59"/>
        <v>0</v>
      </c>
      <c r="W67" s="83">
        <f t="shared" si="59"/>
        <v>0</v>
      </c>
      <c r="X67" s="83">
        <f t="shared" si="59"/>
        <v>0</v>
      </c>
      <c r="Y67" s="83">
        <f t="shared" si="59"/>
        <v>0</v>
      </c>
      <c r="Z67" s="83">
        <f t="shared" ref="Z67:AA67" si="60">Z25/Z$23</f>
        <v>0</v>
      </c>
      <c r="AA67" s="83">
        <f t="shared" si="60"/>
        <v>0</v>
      </c>
    </row>
    <row r="68" spans="1:27" x14ac:dyDescent="0.25">
      <c r="A68" s="64" t="s">
        <v>146</v>
      </c>
      <c r="B68" s="65"/>
      <c r="C68" s="65"/>
      <c r="D68" s="83">
        <f t="shared" si="51"/>
        <v>0.69298650659278649</v>
      </c>
      <c r="E68" s="83">
        <f t="shared" ref="E68:S68" si="61">E26/E$23</f>
        <v>0.7233868366865962</v>
      </c>
      <c r="F68" s="83">
        <f t="shared" si="61"/>
        <v>0.71250179417252746</v>
      </c>
      <c r="G68" s="83">
        <f t="shared" si="61"/>
        <v>0.71608128744273469</v>
      </c>
      <c r="H68" s="83">
        <f t="shared" si="61"/>
        <v>0.73660994126250789</v>
      </c>
      <c r="I68" s="83">
        <f t="shared" si="61"/>
        <v>0.75140228853488877</v>
      </c>
      <c r="J68" s="83">
        <f t="shared" si="61"/>
        <v>0.76199743370402062</v>
      </c>
      <c r="K68" s="83">
        <f t="shared" si="61"/>
        <v>0.77779761904761913</v>
      </c>
      <c r="L68" s="83">
        <f t="shared" si="61"/>
        <v>0.77974619012071444</v>
      </c>
      <c r="M68" s="83">
        <f t="shared" si="61"/>
        <v>0.79565556948001237</v>
      </c>
      <c r="N68" s="83">
        <f t="shared" si="61"/>
        <v>0.79886671512588359</v>
      </c>
      <c r="O68" s="83">
        <f t="shared" si="61"/>
        <v>0.8103916372681309</v>
      </c>
      <c r="P68" s="83">
        <f t="shared" si="61"/>
        <v>0.82610806055274089</v>
      </c>
      <c r="Q68" s="83">
        <f t="shared" si="61"/>
        <v>0.83308579598295485</v>
      </c>
      <c r="R68" s="83">
        <f t="shared" si="61"/>
        <v>0.8493334175775572</v>
      </c>
      <c r="S68" s="83">
        <f t="shared" si="61"/>
        <v>0.86158994897679264</v>
      </c>
      <c r="T68" s="83">
        <f t="shared" ref="T68:Y68" si="62">T26/T$23</f>
        <v>0.85855830724565807</v>
      </c>
      <c r="U68" s="83">
        <f t="shared" si="62"/>
        <v>0.87146534142018695</v>
      </c>
      <c r="V68" s="83">
        <f t="shared" si="62"/>
        <v>0.87095294647610455</v>
      </c>
      <c r="W68" s="83">
        <f t="shared" si="62"/>
        <v>0.8669353915214254</v>
      </c>
      <c r="X68" s="83">
        <f t="shared" si="62"/>
        <v>0.8645140193312395</v>
      </c>
      <c r="Y68" s="83">
        <f t="shared" si="62"/>
        <v>0.87189722084755039</v>
      </c>
      <c r="Z68" s="83">
        <f t="shared" ref="Z68:AA68" si="63">Z26/Z$23</f>
        <v>0.87511022332595512</v>
      </c>
      <c r="AA68" s="83">
        <f t="shared" si="63"/>
        <v>0.88605795967127354</v>
      </c>
    </row>
    <row r="69" spans="1:27" x14ac:dyDescent="0.25">
      <c r="A69" s="68" t="s">
        <v>148</v>
      </c>
      <c r="B69" s="69"/>
      <c r="C69" s="69"/>
      <c r="D69" s="84">
        <f t="shared" si="51"/>
        <v>0.32181519675747783</v>
      </c>
      <c r="E69" s="84">
        <f t="shared" ref="E69:S69" si="64">E27/E$23</f>
        <v>0.34607655858493136</v>
      </c>
      <c r="F69" s="84">
        <f t="shared" si="64"/>
        <v>0.33783072580259316</v>
      </c>
      <c r="G69" s="84">
        <f t="shared" si="64"/>
        <v>0.33365441090097492</v>
      </c>
      <c r="H69" s="84">
        <f t="shared" si="64"/>
        <v>0.33763610614538109</v>
      </c>
      <c r="I69" s="84">
        <f t="shared" si="64"/>
        <v>0.33522548799641017</v>
      </c>
      <c r="J69" s="84">
        <f t="shared" si="64"/>
        <v>0.33175791274593669</v>
      </c>
      <c r="K69" s="84">
        <f t="shared" si="64"/>
        <v>0.35513888888888889</v>
      </c>
      <c r="L69" s="84">
        <f t="shared" si="64"/>
        <v>0.37474282176865792</v>
      </c>
      <c r="M69" s="84">
        <f t="shared" si="64"/>
        <v>0.3728182495141576</v>
      </c>
      <c r="N69" s="84">
        <f t="shared" si="64"/>
        <v>0.36384061322936612</v>
      </c>
      <c r="O69" s="84">
        <f t="shared" si="64"/>
        <v>0.363609760855782</v>
      </c>
      <c r="P69" s="84">
        <f t="shared" si="64"/>
        <v>0.36803385614173462</v>
      </c>
      <c r="Q69" s="84">
        <f t="shared" si="64"/>
        <v>0.37530363810502076</v>
      </c>
      <c r="R69" s="84">
        <f t="shared" si="64"/>
        <v>0.39582991091173308</v>
      </c>
      <c r="S69" s="84">
        <f t="shared" si="64"/>
        <v>0.39271410544796187</v>
      </c>
      <c r="T69" s="84">
        <f t="shared" ref="T69:Y69" si="65">T27/T$23</f>
        <v>0.37059996487204117</v>
      </c>
      <c r="U69" s="84">
        <f t="shared" si="65"/>
        <v>0.3804918018186515</v>
      </c>
      <c r="V69" s="84">
        <f t="shared" si="65"/>
        <v>0.38682173717187418</v>
      </c>
      <c r="W69" s="84">
        <f t="shared" si="65"/>
        <v>0.35548023116444877</v>
      </c>
      <c r="X69" s="84">
        <f t="shared" si="65"/>
        <v>0.33782519753302365</v>
      </c>
      <c r="Y69" s="84">
        <f t="shared" si="65"/>
        <v>0.33508712525720835</v>
      </c>
      <c r="Z69" s="84">
        <f t="shared" ref="Z69:AA69" si="66">Z27/Z$23</f>
        <v>0.33004013028847023</v>
      </c>
      <c r="AA69" s="84">
        <f t="shared" si="66"/>
        <v>0.31941669584560578</v>
      </c>
    </row>
    <row r="70" spans="1:27" x14ac:dyDescent="0.25">
      <c r="A70" s="68" t="s">
        <v>150</v>
      </c>
      <c r="B70" s="71"/>
      <c r="C70" s="71"/>
      <c r="D70" s="84">
        <f t="shared" si="51"/>
        <v>0.22079421271356012</v>
      </c>
      <c r="E70" s="84">
        <f t="shared" ref="E70:S70" si="67">E28/E$23</f>
        <v>0.23094098092237461</v>
      </c>
      <c r="F70" s="84">
        <f t="shared" si="67"/>
        <v>0.22721400889909574</v>
      </c>
      <c r="G70" s="84">
        <f t="shared" si="67"/>
        <v>0.23916363209209443</v>
      </c>
      <c r="H70" s="84">
        <f t="shared" si="67"/>
        <v>0.26025584472871638</v>
      </c>
      <c r="I70" s="84">
        <f t="shared" si="67"/>
        <v>0.28341934036347322</v>
      </c>
      <c r="J70" s="84">
        <f t="shared" si="67"/>
        <v>0.30158254918733957</v>
      </c>
      <c r="K70" s="84">
        <f t="shared" si="67"/>
        <v>0.2972420634920635</v>
      </c>
      <c r="L70" s="84">
        <f t="shared" si="67"/>
        <v>0.28286874351364638</v>
      </c>
      <c r="M70" s="84">
        <f t="shared" si="67"/>
        <v>0.30581739588441487</v>
      </c>
      <c r="N70" s="84">
        <f t="shared" si="67"/>
        <v>0.32201149805061785</v>
      </c>
      <c r="O70" s="84">
        <f t="shared" si="67"/>
        <v>0.32649444814748579</v>
      </c>
      <c r="P70" s="84">
        <f t="shared" si="67"/>
        <v>0.34230804235051421</v>
      </c>
      <c r="Q70" s="84">
        <f t="shared" si="67"/>
        <v>0.34286467803950421</v>
      </c>
      <c r="R70" s="84">
        <f t="shared" si="67"/>
        <v>0.34150502306185632</v>
      </c>
      <c r="S70" s="84">
        <f t="shared" si="67"/>
        <v>0.35640533274812086</v>
      </c>
      <c r="T70" s="84">
        <f t="shared" ref="T70:Y70" si="68">T28/T$23</f>
        <v>0.38390726218888516</v>
      </c>
      <c r="U70" s="84">
        <f t="shared" si="68"/>
        <v>0.39099224267685534</v>
      </c>
      <c r="V70" s="84">
        <f t="shared" si="68"/>
        <v>0.38814857283263032</v>
      </c>
      <c r="W70" s="84">
        <f t="shared" si="68"/>
        <v>0.41430959851590587</v>
      </c>
      <c r="X70" s="84">
        <f t="shared" si="68"/>
        <v>0.4395309398693506</v>
      </c>
      <c r="Y70" s="84">
        <f t="shared" si="68"/>
        <v>0.45180110957726677</v>
      </c>
      <c r="Z70" s="84">
        <f t="shared" ref="Z70:AA70" si="69">Z28/Z$23</f>
        <v>0.45172668214292144</v>
      </c>
      <c r="AA70" s="84">
        <f t="shared" si="69"/>
        <v>0.47788922988197979</v>
      </c>
    </row>
    <row r="71" spans="1:27" x14ac:dyDescent="0.25">
      <c r="A71" s="68" t="s">
        <v>152</v>
      </c>
      <c r="B71" s="71"/>
      <c r="C71" s="71"/>
      <c r="D71" s="84">
        <f t="shared" si="51"/>
        <v>0.15037709712174857</v>
      </c>
      <c r="E71" s="84">
        <f t="shared" ref="E71:S71" si="70">E29/E$23</f>
        <v>0.14636929717929001</v>
      </c>
      <c r="F71" s="84">
        <f t="shared" si="70"/>
        <v>0.14745705947083868</v>
      </c>
      <c r="G71" s="84">
        <f t="shared" si="70"/>
        <v>0.14326324444966523</v>
      </c>
      <c r="H71" s="84">
        <f t="shared" si="70"/>
        <v>0.13871799038841037</v>
      </c>
      <c r="I71" s="84">
        <f t="shared" si="70"/>
        <v>0.13275746017500559</v>
      </c>
      <c r="J71" s="84">
        <f t="shared" si="70"/>
        <v>0.12865697177074426</v>
      </c>
      <c r="K71" s="84">
        <f t="shared" si="70"/>
        <v>0.12541666666666662</v>
      </c>
      <c r="L71" s="84">
        <f t="shared" si="70"/>
        <v>0.1221346248384101</v>
      </c>
      <c r="M71" s="84">
        <f t="shared" si="70"/>
        <v>0.11701992408143992</v>
      </c>
      <c r="N71" s="84">
        <f t="shared" si="70"/>
        <v>0.11301460384589969</v>
      </c>
      <c r="O71" s="84">
        <f t="shared" si="70"/>
        <v>0.12028742826486319</v>
      </c>
      <c r="P71" s="84">
        <f t="shared" si="70"/>
        <v>0.11576616206049208</v>
      </c>
      <c r="Q71" s="84">
        <f t="shared" si="70"/>
        <v>0.11491747983842979</v>
      </c>
      <c r="R71" s="84">
        <f t="shared" si="70"/>
        <v>0.1119984836039679</v>
      </c>
      <c r="S71" s="84">
        <f t="shared" si="70"/>
        <v>0.11247051078070995</v>
      </c>
      <c r="T71" s="84">
        <f t="shared" ref="T71:Y71" si="71">T29/T$23</f>
        <v>0.10405108018473175</v>
      </c>
      <c r="U71" s="84">
        <f t="shared" si="71"/>
        <v>9.9981296924680066E-2</v>
      </c>
      <c r="V71" s="84">
        <f t="shared" si="71"/>
        <v>9.5982636471600005E-2</v>
      </c>
      <c r="W71" s="84">
        <f t="shared" si="71"/>
        <v>9.7145561841070635E-2</v>
      </c>
      <c r="X71" s="84">
        <f t="shared" si="71"/>
        <v>8.7157881928865311E-2</v>
      </c>
      <c r="Y71" s="84">
        <f t="shared" si="71"/>
        <v>8.5008986013075313E-2</v>
      </c>
      <c r="Z71" s="84">
        <f t="shared" ref="Z71:AA71" si="72">Z29/Z$23</f>
        <v>9.3343410894563522E-2</v>
      </c>
      <c r="AA71" s="84">
        <f t="shared" si="72"/>
        <v>8.8752033943688066E-2</v>
      </c>
    </row>
    <row r="72" spans="1:27" x14ac:dyDescent="0.25">
      <c r="A72" s="64" t="s">
        <v>154</v>
      </c>
      <c r="B72" s="65"/>
      <c r="C72" s="65"/>
      <c r="D72" s="83">
        <f t="shared" si="51"/>
        <v>8.2858755322969494E-3</v>
      </c>
      <c r="E72" s="83">
        <f t="shared" ref="E72:S72" si="73">E30/E$23</f>
        <v>9.7248753380138678E-3</v>
      </c>
      <c r="F72" s="83">
        <f t="shared" si="73"/>
        <v>1.0501889861729084E-2</v>
      </c>
      <c r="G72" s="83">
        <f t="shared" si="73"/>
        <v>7.6823681428403612E-3</v>
      </c>
      <c r="H72" s="83">
        <f t="shared" si="73"/>
        <v>1.0331298028927634E-2</v>
      </c>
      <c r="I72" s="83">
        <f t="shared" si="73"/>
        <v>5.8559569216962131E-3</v>
      </c>
      <c r="J72" s="83">
        <f t="shared" si="73"/>
        <v>1.19546621043627E-2</v>
      </c>
      <c r="K72" s="83">
        <f t="shared" si="73"/>
        <v>1.132936507936508E-2</v>
      </c>
      <c r="L72" s="83">
        <f t="shared" si="73"/>
        <v>8.102252244050737E-3</v>
      </c>
      <c r="M72" s="83">
        <f t="shared" si="73"/>
        <v>1.541982237236419E-2</v>
      </c>
      <c r="N72" s="83">
        <f t="shared" si="73"/>
        <v>1.3183109760126863E-2</v>
      </c>
      <c r="O72" s="83">
        <f t="shared" si="73"/>
        <v>3.4302807627903968E-3</v>
      </c>
      <c r="P72" s="83">
        <f t="shared" si="73"/>
        <v>-4.8387586081364157E-3</v>
      </c>
      <c r="Q72" s="83">
        <f t="shared" si="73"/>
        <v>6.5516427689019116E-3</v>
      </c>
      <c r="R72" s="83">
        <f t="shared" si="73"/>
        <v>6.3941366020092254E-3</v>
      </c>
      <c r="S72" s="83">
        <f t="shared" si="73"/>
        <v>9.5572502331705746E-3</v>
      </c>
      <c r="T72" s="83">
        <f t="shared" ref="T72:Y72" si="74">T30/T$23</f>
        <v>1.3730899172426614E-2</v>
      </c>
      <c r="U72" s="83">
        <f t="shared" si="74"/>
        <v>8.7904454003794111E-3</v>
      </c>
      <c r="V72" s="83">
        <f t="shared" si="74"/>
        <v>9.3861337483107446E-3</v>
      </c>
      <c r="W72" s="83">
        <f t="shared" si="74"/>
        <v>8.8862423562283792E-3</v>
      </c>
      <c r="X72" s="83">
        <f t="shared" si="74"/>
        <v>9.011612432222784E-3</v>
      </c>
      <c r="Y72" s="83">
        <f t="shared" si="74"/>
        <v>9.3636860886099002E-3</v>
      </c>
      <c r="Z72" s="83">
        <f t="shared" ref="Z72:AA72" si="75">Z30/Z$23</f>
        <v>9.1117949456231556E-3</v>
      </c>
      <c r="AA72" s="83">
        <f t="shared" si="75"/>
        <v>1.1112026528804761E-2</v>
      </c>
    </row>
    <row r="73" spans="1:27" x14ac:dyDescent="0.25">
      <c r="A73" s="64" t="s">
        <v>37</v>
      </c>
      <c r="B73" s="65"/>
      <c r="C73" s="65"/>
      <c r="D73" s="83">
        <f t="shared" si="51"/>
        <v>0</v>
      </c>
      <c r="E73" s="83">
        <f t="shared" ref="E73:S73" si="76">E31/E$23</f>
        <v>0</v>
      </c>
      <c r="F73" s="83">
        <f t="shared" si="76"/>
        <v>0</v>
      </c>
      <c r="G73" s="83">
        <f t="shared" si="76"/>
        <v>0</v>
      </c>
      <c r="H73" s="83">
        <f t="shared" si="76"/>
        <v>0</v>
      </c>
      <c r="I73" s="83">
        <f t="shared" si="76"/>
        <v>0</v>
      </c>
      <c r="J73" s="83">
        <f t="shared" si="76"/>
        <v>0</v>
      </c>
      <c r="K73" s="83">
        <f t="shared" si="76"/>
        <v>0</v>
      </c>
      <c r="L73" s="83">
        <f t="shared" si="76"/>
        <v>0</v>
      </c>
      <c r="M73" s="83">
        <f t="shared" si="76"/>
        <v>0</v>
      </c>
      <c r="N73" s="83">
        <f t="shared" si="76"/>
        <v>4.8106786493094557E-2</v>
      </c>
      <c r="O73" s="83">
        <f t="shared" si="76"/>
        <v>4.7584984799466754E-2</v>
      </c>
      <c r="P73" s="83">
        <f t="shared" si="76"/>
        <v>4.3609501562357794E-2</v>
      </c>
      <c r="Q73" s="83">
        <f t="shared" si="76"/>
        <v>4.2474633205169136E-2</v>
      </c>
      <c r="R73" s="83">
        <f t="shared" si="76"/>
        <v>3.8453276047261009E-2</v>
      </c>
      <c r="S73" s="83">
        <f t="shared" si="76"/>
        <v>3.7976628079223133E-2</v>
      </c>
      <c r="T73" s="83">
        <f t="shared" ref="T73:Y73" si="77">T31/T$23</f>
        <v>3.7824546177768141E-2</v>
      </c>
      <c r="U73" s="83">
        <f t="shared" si="77"/>
        <v>3.8207711010767628E-2</v>
      </c>
      <c r="V73" s="83">
        <f t="shared" si="77"/>
        <v>3.9461075392112695E-2</v>
      </c>
      <c r="W73" s="83">
        <f t="shared" si="77"/>
        <v>4.7271144905297394E-2</v>
      </c>
      <c r="X73" s="83">
        <f t="shared" si="77"/>
        <v>4.6274819957869757E-2</v>
      </c>
      <c r="Y73" s="83">
        <f t="shared" si="77"/>
        <v>4.2136587398744568E-2</v>
      </c>
      <c r="Z73" s="83">
        <f t="shared" ref="Z73:AA73" si="78">Z31/Z$23</f>
        <v>3.9314485894413553E-2</v>
      </c>
      <c r="AA73" s="83">
        <f t="shared" si="78"/>
        <v>3.9298881588432782E-2</v>
      </c>
    </row>
    <row r="74" spans="1:27" x14ac:dyDescent="0.25">
      <c r="A74" s="64" t="s">
        <v>58</v>
      </c>
      <c r="B74" s="65"/>
      <c r="C74" s="65"/>
      <c r="D74" s="83">
        <f t="shared" si="51"/>
        <v>0.29872761787491653</v>
      </c>
      <c r="E74" s="83">
        <f t="shared" ref="E74:S74" si="79">E32/E$23</f>
        <v>0.26688828797539005</v>
      </c>
      <c r="F74" s="83">
        <f t="shared" si="79"/>
        <v>0.27699631596574331</v>
      </c>
      <c r="G74" s="83">
        <f t="shared" si="79"/>
        <v>0.27623634441442496</v>
      </c>
      <c r="H74" s="83">
        <f t="shared" si="79"/>
        <v>0.25305876070856465</v>
      </c>
      <c r="I74" s="83">
        <f t="shared" si="79"/>
        <v>0.22214494054296607</v>
      </c>
      <c r="J74" s="83">
        <f t="shared" si="79"/>
        <v>0.205175363558597</v>
      </c>
      <c r="K74" s="83">
        <f t="shared" si="79"/>
        <v>0.19075396825396837</v>
      </c>
      <c r="L74" s="83">
        <f t="shared" si="79"/>
        <v>0.19995266099812478</v>
      </c>
      <c r="M74" s="83">
        <f t="shared" si="79"/>
        <v>0.17374089612960633</v>
      </c>
      <c r="N74" s="83">
        <f t="shared" si="79"/>
        <v>0.12542126478556798</v>
      </c>
      <c r="O74" s="83">
        <f t="shared" si="79"/>
        <v>0.12615629724764674</v>
      </c>
      <c r="P74" s="83">
        <f t="shared" si="79"/>
        <v>0.12274368231046931</v>
      </c>
      <c r="Q74" s="83">
        <f t="shared" si="79"/>
        <v>0.10638091140013603</v>
      </c>
      <c r="R74" s="83">
        <f t="shared" si="79"/>
        <v>9.4496746066847784E-2</v>
      </c>
      <c r="S74" s="83">
        <f t="shared" si="79"/>
        <v>8.0320403796565534E-2</v>
      </c>
      <c r="T74" s="83">
        <f t="shared" ref="T74:Y74" si="80">T32/T$23</f>
        <v>7.85419830765893E-2</v>
      </c>
      <c r="U74" s="83">
        <f t="shared" si="80"/>
        <v>7.3992928456283774E-2</v>
      </c>
      <c r="V74" s="83">
        <f t="shared" si="80"/>
        <v>7.3229861992710588E-2</v>
      </c>
      <c r="W74" s="83">
        <f t="shared" si="80"/>
        <v>7.1647237554298443E-2</v>
      </c>
      <c r="X74" s="83">
        <f t="shared" si="80"/>
        <v>7.1621405811539418E-2</v>
      </c>
      <c r="Y74" s="83">
        <f t="shared" si="80"/>
        <v>6.7017425051441676E-2</v>
      </c>
      <c r="Z74" s="83">
        <f t="shared" ref="Z74:AA74" si="81">Z32/Z$23</f>
        <v>6.7411686371897997E-2</v>
      </c>
      <c r="AA74" s="83">
        <f t="shared" si="81"/>
        <v>6.2954419064488884E-2</v>
      </c>
    </row>
    <row r="75" spans="1:27" x14ac:dyDescent="0.25">
      <c r="A75" s="85" t="s">
        <v>158</v>
      </c>
      <c r="B75" s="86"/>
      <c r="C75" s="86"/>
      <c r="D75" s="87">
        <f t="shared" si="51"/>
        <v>0</v>
      </c>
      <c r="E75" s="87">
        <f t="shared" ref="E75:S75" si="82">E33/E$23</f>
        <v>0</v>
      </c>
      <c r="F75" s="87">
        <f t="shared" si="82"/>
        <v>0</v>
      </c>
      <c r="G75" s="87">
        <f t="shared" si="82"/>
        <v>0</v>
      </c>
      <c r="H75" s="87">
        <f t="shared" si="82"/>
        <v>0</v>
      </c>
      <c r="I75" s="87">
        <f t="shared" si="82"/>
        <v>0</v>
      </c>
      <c r="J75" s="87">
        <f t="shared" si="82"/>
        <v>0</v>
      </c>
      <c r="K75" s="87">
        <f t="shared" si="82"/>
        <v>0</v>
      </c>
      <c r="L75" s="87">
        <f t="shared" si="82"/>
        <v>0</v>
      </c>
      <c r="M75" s="87">
        <f t="shared" si="82"/>
        <v>0</v>
      </c>
      <c r="N75" s="87">
        <f t="shared" si="82"/>
        <v>0</v>
      </c>
      <c r="O75" s="87">
        <f t="shared" si="82"/>
        <v>0</v>
      </c>
      <c r="P75" s="87">
        <f t="shared" si="82"/>
        <v>0</v>
      </c>
      <c r="Q75" s="87">
        <f t="shared" si="82"/>
        <v>0</v>
      </c>
      <c r="R75" s="87">
        <f t="shared" si="82"/>
        <v>0</v>
      </c>
      <c r="S75" s="87">
        <f t="shared" si="82"/>
        <v>0</v>
      </c>
      <c r="T75" s="87">
        <f t="shared" ref="T75:Y75" si="83">T33/T$23</f>
        <v>0</v>
      </c>
      <c r="U75" s="87">
        <f t="shared" si="83"/>
        <v>0</v>
      </c>
      <c r="V75" s="87">
        <f t="shared" si="83"/>
        <v>0</v>
      </c>
      <c r="W75" s="87">
        <f t="shared" si="83"/>
        <v>0</v>
      </c>
      <c r="X75" s="87">
        <f t="shared" si="83"/>
        <v>0</v>
      </c>
      <c r="Y75" s="87">
        <f t="shared" si="83"/>
        <v>0</v>
      </c>
      <c r="Z75" s="87">
        <f t="shared" ref="Z75:AA75" si="84">Z33/Z$23</f>
        <v>0</v>
      </c>
      <c r="AA75" s="87">
        <f t="shared" si="84"/>
        <v>0</v>
      </c>
    </row>
    <row r="76" spans="1:27" x14ac:dyDescent="0.25">
      <c r="A76" s="88" t="s">
        <v>5</v>
      </c>
      <c r="B76" s="44"/>
      <c r="C76" s="44"/>
      <c r="D76" s="89">
        <f t="shared" si="51"/>
        <v>0</v>
      </c>
      <c r="E76" s="89">
        <f t="shared" ref="E76:S76" si="85">E34/E$23</f>
        <v>0</v>
      </c>
      <c r="F76" s="89">
        <f t="shared" si="85"/>
        <v>0</v>
      </c>
      <c r="G76" s="89">
        <f t="shared" si="85"/>
        <v>0</v>
      </c>
      <c r="H76" s="89">
        <f t="shared" si="85"/>
        <v>0</v>
      </c>
      <c r="I76" s="89">
        <f t="shared" si="85"/>
        <v>0</v>
      </c>
      <c r="J76" s="89">
        <f t="shared" si="85"/>
        <v>0</v>
      </c>
      <c r="K76" s="89">
        <f t="shared" si="85"/>
        <v>0</v>
      </c>
      <c r="L76" s="89">
        <f t="shared" si="85"/>
        <v>0</v>
      </c>
      <c r="M76" s="89">
        <f t="shared" si="85"/>
        <v>0</v>
      </c>
      <c r="N76" s="89">
        <f t="shared" si="85"/>
        <v>0</v>
      </c>
      <c r="O76" s="89">
        <f t="shared" si="85"/>
        <v>0</v>
      </c>
      <c r="P76" s="89">
        <f t="shared" si="85"/>
        <v>0</v>
      </c>
      <c r="Q76" s="89">
        <f t="shared" si="85"/>
        <v>0</v>
      </c>
      <c r="R76" s="89">
        <f t="shared" si="85"/>
        <v>0</v>
      </c>
      <c r="S76" s="89">
        <f t="shared" si="85"/>
        <v>0</v>
      </c>
      <c r="T76" s="89">
        <f t="shared" ref="T76:Y76" si="86">T34/T$23</f>
        <v>0</v>
      </c>
      <c r="U76" s="89">
        <f t="shared" si="86"/>
        <v>0</v>
      </c>
      <c r="V76" s="89">
        <f t="shared" si="86"/>
        <v>0</v>
      </c>
      <c r="W76" s="89">
        <f t="shared" si="86"/>
        <v>0</v>
      </c>
      <c r="X76" s="89">
        <f t="shared" si="86"/>
        <v>0</v>
      </c>
      <c r="Y76" s="89">
        <f t="shared" si="86"/>
        <v>0</v>
      </c>
      <c r="Z76" s="89">
        <f t="shared" ref="Z76:AA76" si="87">Z34/Z$23</f>
        <v>0</v>
      </c>
      <c r="AA76" s="89">
        <f t="shared" si="87"/>
        <v>0</v>
      </c>
    </row>
    <row r="77" spans="1:27" x14ac:dyDescent="0.25">
      <c r="A77" s="88" t="s">
        <v>263</v>
      </c>
      <c r="B77" s="44"/>
      <c r="C77" s="44"/>
      <c r="D77" s="89">
        <f>D37/D$23</f>
        <v>0</v>
      </c>
      <c r="E77" s="89">
        <f t="shared" ref="E77:S77" si="88">E37/E$23</f>
        <v>0</v>
      </c>
      <c r="F77" s="89">
        <f t="shared" si="88"/>
        <v>0</v>
      </c>
      <c r="G77" s="89">
        <f t="shared" si="88"/>
        <v>0</v>
      </c>
      <c r="H77" s="89">
        <f t="shared" si="88"/>
        <v>0</v>
      </c>
      <c r="I77" s="89">
        <f t="shared" si="88"/>
        <v>0</v>
      </c>
      <c r="J77" s="89">
        <f t="shared" si="88"/>
        <v>0</v>
      </c>
      <c r="K77" s="89">
        <f t="shared" si="88"/>
        <v>0</v>
      </c>
      <c r="L77" s="89">
        <f t="shared" si="88"/>
        <v>0</v>
      </c>
      <c r="M77" s="89">
        <f t="shared" si="88"/>
        <v>0</v>
      </c>
      <c r="N77" s="89">
        <f t="shared" si="88"/>
        <v>0</v>
      </c>
      <c r="O77" s="89">
        <f t="shared" si="88"/>
        <v>0</v>
      </c>
      <c r="P77" s="89">
        <f t="shared" si="88"/>
        <v>0</v>
      </c>
      <c r="Q77" s="89">
        <f t="shared" si="88"/>
        <v>0</v>
      </c>
      <c r="R77" s="89">
        <f t="shared" si="88"/>
        <v>0</v>
      </c>
      <c r="S77" s="89">
        <f t="shared" si="88"/>
        <v>0</v>
      </c>
      <c r="T77" s="89">
        <f t="shared" ref="T77:Y77" si="89">T37/T$23</f>
        <v>0</v>
      </c>
      <c r="U77" s="89">
        <f t="shared" si="89"/>
        <v>0</v>
      </c>
      <c r="V77" s="89">
        <f t="shared" si="89"/>
        <v>0</v>
      </c>
      <c r="W77" s="89">
        <f t="shared" si="89"/>
        <v>0</v>
      </c>
      <c r="X77" s="89">
        <f t="shared" si="89"/>
        <v>0</v>
      </c>
      <c r="Y77" s="89">
        <f t="shared" si="89"/>
        <v>0</v>
      </c>
      <c r="Z77" s="89">
        <f t="shared" ref="Z77:AA77" si="90">Z37/Z$23</f>
        <v>0</v>
      </c>
      <c r="AA77" s="89">
        <f t="shared" si="90"/>
        <v>0</v>
      </c>
    </row>
    <row r="78" spans="1:27" x14ac:dyDescent="0.25">
      <c r="A78" s="68" t="s">
        <v>265</v>
      </c>
      <c r="B78" s="44"/>
      <c r="C78" s="44"/>
      <c r="D78" s="89">
        <f>D43/D$23</f>
        <v>0</v>
      </c>
      <c r="E78" s="89">
        <f t="shared" ref="E78:S78" si="91">E43/E$23</f>
        <v>0</v>
      </c>
      <c r="F78" s="89">
        <f t="shared" si="91"/>
        <v>0</v>
      </c>
      <c r="G78" s="89">
        <f t="shared" si="91"/>
        <v>0</v>
      </c>
      <c r="H78" s="89">
        <f t="shared" si="91"/>
        <v>0</v>
      </c>
      <c r="I78" s="89">
        <f t="shared" si="91"/>
        <v>0</v>
      </c>
      <c r="J78" s="89">
        <f t="shared" si="91"/>
        <v>0</v>
      </c>
      <c r="K78" s="89">
        <f t="shared" si="91"/>
        <v>0</v>
      </c>
      <c r="L78" s="89">
        <f t="shared" si="91"/>
        <v>0</v>
      </c>
      <c r="M78" s="89">
        <f t="shared" si="91"/>
        <v>0</v>
      </c>
      <c r="N78" s="89">
        <f t="shared" si="91"/>
        <v>2.0154628956584944E-3</v>
      </c>
      <c r="O78" s="89">
        <f t="shared" si="91"/>
        <v>1.2843231291964038E-3</v>
      </c>
      <c r="P78" s="89">
        <f t="shared" si="91"/>
        <v>1.243818827169857E-3</v>
      </c>
      <c r="Q78" s="89">
        <f t="shared" si="91"/>
        <v>1.0688061296725568E-3</v>
      </c>
      <c r="R78" s="89">
        <f t="shared" si="91"/>
        <v>1.2510267264800657E-3</v>
      </c>
      <c r="S78" s="89">
        <f t="shared" si="91"/>
        <v>1.196027870741208E-3</v>
      </c>
      <c r="T78" s="89">
        <f t="shared" ref="T78:Y78" si="92">T43/T$23</f>
        <v>8.988624740414716E-4</v>
      </c>
      <c r="U78" s="89">
        <f t="shared" si="92"/>
        <v>6.7776382468984061E-3</v>
      </c>
      <c r="V78" s="89">
        <f t="shared" si="92"/>
        <v>5.8929522093451826E-3</v>
      </c>
      <c r="W78" s="89">
        <f t="shared" si="92"/>
        <v>5.0691279420409345E-3</v>
      </c>
      <c r="X78" s="89">
        <f t="shared" si="92"/>
        <v>6.5857015749408729E-3</v>
      </c>
      <c r="Y78" s="89">
        <f t="shared" si="92"/>
        <v>6.1339306644440398E-3</v>
      </c>
      <c r="Z78" s="89">
        <f t="shared" ref="Z78:AA78" si="93">Z43/Z$23</f>
        <v>5.0747719051989415E-3</v>
      </c>
      <c r="AA78" s="89">
        <f t="shared" si="93"/>
        <v>4.8814648513933797E-3</v>
      </c>
    </row>
    <row r="79" spans="1:27" x14ac:dyDescent="0.25">
      <c r="A79" s="88" t="s">
        <v>266</v>
      </c>
      <c r="B79" s="44"/>
      <c r="C79" s="44"/>
      <c r="D79" s="89">
        <f>D44/D$23</f>
        <v>0</v>
      </c>
      <c r="E79" s="89">
        <f t="shared" ref="E79:S79" si="94">E44/E$23</f>
        <v>0</v>
      </c>
      <c r="F79" s="89">
        <f t="shared" si="94"/>
        <v>0</v>
      </c>
      <c r="G79" s="89">
        <f t="shared" si="94"/>
        <v>0</v>
      </c>
      <c r="H79" s="89">
        <f t="shared" si="94"/>
        <v>0</v>
      </c>
      <c r="I79" s="89">
        <f t="shared" si="94"/>
        <v>0</v>
      </c>
      <c r="J79" s="89">
        <f t="shared" si="94"/>
        <v>0</v>
      </c>
      <c r="K79" s="89">
        <f t="shared" si="94"/>
        <v>0</v>
      </c>
      <c r="L79" s="89">
        <f t="shared" si="94"/>
        <v>0</v>
      </c>
      <c r="M79" s="89">
        <f t="shared" si="94"/>
        <v>0</v>
      </c>
      <c r="N79" s="89">
        <f t="shared" si="94"/>
        <v>2.0154628956584944E-3</v>
      </c>
      <c r="O79" s="89">
        <f t="shared" si="94"/>
        <v>1.2843231291964038E-3</v>
      </c>
      <c r="P79" s="89">
        <f t="shared" si="94"/>
        <v>1.243818827169857E-3</v>
      </c>
      <c r="Q79" s="89">
        <f t="shared" si="94"/>
        <v>1.0688061296725568E-3</v>
      </c>
      <c r="R79" s="89">
        <f t="shared" si="94"/>
        <v>1.2510267264800657E-3</v>
      </c>
      <c r="S79" s="89">
        <f t="shared" si="94"/>
        <v>1.196027870741208E-3</v>
      </c>
      <c r="T79" s="89">
        <f t="shared" ref="T79:Y79" si="95">T44/T$23</f>
        <v>8.988624740414716E-4</v>
      </c>
      <c r="U79" s="89">
        <f t="shared" si="95"/>
        <v>9.1734131331213655E-4</v>
      </c>
      <c r="V79" s="89">
        <f t="shared" si="95"/>
        <v>8.8865227896310259E-4</v>
      </c>
      <c r="W79" s="89">
        <f t="shared" si="95"/>
        <v>8.7030208643473891E-4</v>
      </c>
      <c r="X79" s="89">
        <f t="shared" si="95"/>
        <v>9.5059202871548398E-4</v>
      </c>
      <c r="Y79" s="89">
        <f t="shared" si="95"/>
        <v>8.7906649649675719E-4</v>
      </c>
      <c r="Z79" s="89">
        <f t="shared" ref="Z79:AA79" si="96">Z44/Z$23</f>
        <v>8.6379096258705392E-4</v>
      </c>
      <c r="AA79" s="89">
        <f t="shared" si="96"/>
        <v>6.6939918848221453E-4</v>
      </c>
    </row>
    <row r="80" spans="1:27" x14ac:dyDescent="0.25">
      <c r="A80" s="88" t="s">
        <v>11</v>
      </c>
      <c r="B80" s="44"/>
      <c r="C80" s="44"/>
      <c r="D80" s="89">
        <f>D47/D$23</f>
        <v>0</v>
      </c>
      <c r="E80" s="89">
        <f t="shared" ref="E80:S80" si="97">E47/E$23</f>
        <v>0</v>
      </c>
      <c r="F80" s="89">
        <f t="shared" si="97"/>
        <v>0</v>
      </c>
      <c r="G80" s="89">
        <f t="shared" si="97"/>
        <v>0</v>
      </c>
      <c r="H80" s="89">
        <f t="shared" si="97"/>
        <v>0</v>
      </c>
      <c r="I80" s="89">
        <f t="shared" si="97"/>
        <v>0</v>
      </c>
      <c r="J80" s="89">
        <f t="shared" si="97"/>
        <v>0</v>
      </c>
      <c r="K80" s="89">
        <f t="shared" si="97"/>
        <v>0</v>
      </c>
      <c r="L80" s="89">
        <f t="shared" si="97"/>
        <v>0</v>
      </c>
      <c r="M80" s="89">
        <f t="shared" si="97"/>
        <v>0</v>
      </c>
      <c r="N80" s="89">
        <f t="shared" si="97"/>
        <v>0</v>
      </c>
      <c r="O80" s="89">
        <f t="shared" si="97"/>
        <v>0</v>
      </c>
      <c r="P80" s="89">
        <f t="shared" si="97"/>
        <v>0</v>
      </c>
      <c r="Q80" s="89">
        <f t="shared" si="97"/>
        <v>0</v>
      </c>
      <c r="R80" s="89">
        <f t="shared" si="97"/>
        <v>0</v>
      </c>
      <c r="S80" s="89">
        <f t="shared" si="97"/>
        <v>0</v>
      </c>
      <c r="T80" s="89">
        <f t="shared" ref="T80:Y80" si="98">T47/T$23</f>
        <v>0</v>
      </c>
      <c r="U80" s="89">
        <f t="shared" si="98"/>
        <v>5.8602969335862691E-3</v>
      </c>
      <c r="V80" s="89">
        <f t="shared" si="98"/>
        <v>5.0042999303820798E-3</v>
      </c>
      <c r="W80" s="89">
        <f t="shared" si="98"/>
        <v>4.1988258556061959E-3</v>
      </c>
      <c r="X80" s="89">
        <f t="shared" si="98"/>
        <v>5.635109546225388E-3</v>
      </c>
      <c r="Y80" s="89">
        <f t="shared" si="98"/>
        <v>5.2548641679472825E-3</v>
      </c>
      <c r="Z80" s="89">
        <f t="shared" ref="Z80:AA80" si="99">Z47/Z$23</f>
        <v>4.2109809426118883E-3</v>
      </c>
      <c r="AA80" s="89">
        <f t="shared" si="99"/>
        <v>4.2120656629111653E-3</v>
      </c>
    </row>
    <row r="81" spans="1:27" x14ac:dyDescent="0.25">
      <c r="A81" s="68" t="s">
        <v>4</v>
      </c>
      <c r="B81" s="44"/>
      <c r="C81" s="44"/>
      <c r="D81" s="89">
        <f>D48/D$23</f>
        <v>0</v>
      </c>
      <c r="E81" s="89">
        <f t="shared" ref="E81:S81" si="100">E48/E$23</f>
        <v>0</v>
      </c>
      <c r="F81" s="89">
        <f t="shared" si="100"/>
        <v>0</v>
      </c>
      <c r="G81" s="89">
        <f t="shared" si="100"/>
        <v>0</v>
      </c>
      <c r="H81" s="89">
        <f t="shared" si="100"/>
        <v>0</v>
      </c>
      <c r="I81" s="89">
        <f t="shared" si="100"/>
        <v>0</v>
      </c>
      <c r="J81" s="89">
        <f t="shared" si="100"/>
        <v>0</v>
      </c>
      <c r="K81" s="89">
        <f t="shared" si="100"/>
        <v>0</v>
      </c>
      <c r="L81" s="89">
        <f t="shared" si="100"/>
        <v>0</v>
      </c>
      <c r="M81" s="89">
        <f t="shared" si="100"/>
        <v>0</v>
      </c>
      <c r="N81" s="89">
        <f t="shared" si="100"/>
        <v>0</v>
      </c>
      <c r="O81" s="89">
        <f t="shared" si="100"/>
        <v>0</v>
      </c>
      <c r="P81" s="89">
        <f t="shared" si="100"/>
        <v>0</v>
      </c>
      <c r="Q81" s="89">
        <f t="shared" si="100"/>
        <v>0</v>
      </c>
      <c r="R81" s="89">
        <f t="shared" si="100"/>
        <v>0</v>
      </c>
      <c r="S81" s="89">
        <f t="shared" si="100"/>
        <v>0</v>
      </c>
      <c r="T81" s="89">
        <f t="shared" ref="T81:Y81" si="101">T48/T$23</f>
        <v>0</v>
      </c>
      <c r="U81" s="89">
        <f t="shared" si="101"/>
        <v>0</v>
      </c>
      <c r="V81" s="89">
        <f t="shared" si="101"/>
        <v>0</v>
      </c>
      <c r="W81" s="89">
        <f t="shared" si="101"/>
        <v>0</v>
      </c>
      <c r="X81" s="89">
        <f t="shared" si="101"/>
        <v>0</v>
      </c>
      <c r="Y81" s="89">
        <f t="shared" si="101"/>
        <v>0</v>
      </c>
      <c r="Z81" s="89">
        <f t="shared" ref="Z81:AA81" si="102">Z48/Z$23</f>
        <v>0</v>
      </c>
      <c r="AA81" s="89">
        <f t="shared" si="102"/>
        <v>0</v>
      </c>
    </row>
    <row r="82" spans="1:27" x14ac:dyDescent="0.25">
      <c r="A82" s="68" t="s">
        <v>3</v>
      </c>
      <c r="B82" s="44"/>
      <c r="C82" s="44"/>
      <c r="D82" s="89">
        <f>D52/D$23</f>
        <v>0</v>
      </c>
      <c r="E82" s="89">
        <f t="shared" ref="E82:S82" si="103">E52/E$23</f>
        <v>0</v>
      </c>
      <c r="F82" s="89">
        <f t="shared" si="103"/>
        <v>0</v>
      </c>
      <c r="G82" s="89">
        <f t="shared" si="103"/>
        <v>0</v>
      </c>
      <c r="H82" s="89">
        <f t="shared" si="103"/>
        <v>0</v>
      </c>
      <c r="I82" s="89">
        <f t="shared" si="103"/>
        <v>0</v>
      </c>
      <c r="J82" s="89">
        <f t="shared" si="103"/>
        <v>0</v>
      </c>
      <c r="K82" s="89">
        <f t="shared" si="103"/>
        <v>0</v>
      </c>
      <c r="L82" s="89">
        <f t="shared" si="103"/>
        <v>0</v>
      </c>
      <c r="M82" s="89">
        <f t="shared" si="103"/>
        <v>0</v>
      </c>
      <c r="N82" s="89">
        <f t="shared" si="103"/>
        <v>1.0721601797396419E-2</v>
      </c>
      <c r="O82" s="89">
        <f t="shared" si="103"/>
        <v>1.1428850124367996E-2</v>
      </c>
      <c r="P82" s="89">
        <f t="shared" si="103"/>
        <v>1.0451111852683312E-2</v>
      </c>
      <c r="Q82" s="89">
        <f t="shared" si="103"/>
        <v>9.5776133697930421E-3</v>
      </c>
      <c r="R82" s="89">
        <f t="shared" si="103"/>
        <v>8.9720098565742087E-3</v>
      </c>
      <c r="S82" s="89">
        <f t="shared" si="103"/>
        <v>8.0100949141383663E-3</v>
      </c>
      <c r="T82" s="89">
        <f t="shared" ref="T82:Y82" si="104">T52/T$23</f>
        <v>7.0979140191550693E-3</v>
      </c>
      <c r="U82" s="89">
        <f t="shared" si="104"/>
        <v>5.3793607110731115E-3</v>
      </c>
      <c r="V82" s="89">
        <f t="shared" si="104"/>
        <v>6.5768458986854494E-3</v>
      </c>
      <c r="W82" s="89">
        <f t="shared" si="104"/>
        <v>6.6570475383429138E-3</v>
      </c>
      <c r="X82" s="89">
        <f t="shared" si="104"/>
        <v>7.7188072731697302E-3</v>
      </c>
      <c r="Y82" s="89">
        <f t="shared" si="104"/>
        <v>7.5339254551610984E-3</v>
      </c>
      <c r="Z82" s="89">
        <f t="shared" ref="Z82:AA82" si="105">Z52/Z$23</f>
        <v>8.0620489841458365E-3</v>
      </c>
      <c r="AA82" s="89">
        <f t="shared" si="105"/>
        <v>8.3520421824473216E-3</v>
      </c>
    </row>
    <row r="83" spans="1:27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106">E53/E$23</f>
        <v>0</v>
      </c>
      <c r="F83" s="89">
        <f t="shared" si="106"/>
        <v>0</v>
      </c>
      <c r="G83" s="89">
        <f t="shared" si="106"/>
        <v>0</v>
      </c>
      <c r="H83" s="89">
        <f t="shared" si="106"/>
        <v>0</v>
      </c>
      <c r="I83" s="89">
        <f t="shared" si="106"/>
        <v>0</v>
      </c>
      <c r="J83" s="89">
        <f t="shared" si="106"/>
        <v>0</v>
      </c>
      <c r="K83" s="89">
        <f t="shared" si="106"/>
        <v>0</v>
      </c>
      <c r="L83" s="89">
        <f t="shared" si="106"/>
        <v>0</v>
      </c>
      <c r="M83" s="89">
        <f t="shared" si="106"/>
        <v>0</v>
      </c>
      <c r="N83" s="89">
        <f t="shared" si="106"/>
        <v>0</v>
      </c>
      <c r="O83" s="89">
        <f t="shared" si="106"/>
        <v>0</v>
      </c>
      <c r="P83" s="89">
        <f t="shared" si="106"/>
        <v>0</v>
      </c>
      <c r="Q83" s="89">
        <f t="shared" si="106"/>
        <v>0</v>
      </c>
      <c r="R83" s="89">
        <f t="shared" si="106"/>
        <v>0</v>
      </c>
      <c r="S83" s="89">
        <f t="shared" si="106"/>
        <v>0</v>
      </c>
      <c r="T83" s="89">
        <f t="shared" ref="T83:Y83" si="107">T53/T$23</f>
        <v>0</v>
      </c>
      <c r="U83" s="89">
        <f t="shared" si="107"/>
        <v>0</v>
      </c>
      <c r="V83" s="89">
        <f t="shared" si="107"/>
        <v>0</v>
      </c>
      <c r="W83" s="89">
        <f t="shared" si="107"/>
        <v>0</v>
      </c>
      <c r="X83" s="89">
        <f t="shared" si="107"/>
        <v>0</v>
      </c>
      <c r="Y83" s="89">
        <f t="shared" si="107"/>
        <v>0</v>
      </c>
      <c r="Z83" s="89">
        <f t="shared" ref="Z83:AA83" si="108">Z53/Z$23</f>
        <v>0</v>
      </c>
      <c r="AA83" s="89">
        <f t="shared" si="108"/>
        <v>0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0</v>
      </c>
      <c r="E84" s="89">
        <f t="shared" ref="E84:S84" si="110">E56/E$23</f>
        <v>0</v>
      </c>
      <c r="F84" s="89">
        <f t="shared" si="110"/>
        <v>0</v>
      </c>
      <c r="G84" s="89">
        <f t="shared" si="110"/>
        <v>0</v>
      </c>
      <c r="H84" s="89">
        <f t="shared" si="110"/>
        <v>0</v>
      </c>
      <c r="I84" s="89">
        <f t="shared" si="110"/>
        <v>0</v>
      </c>
      <c r="J84" s="89">
        <f t="shared" si="110"/>
        <v>0</v>
      </c>
      <c r="K84" s="89">
        <f t="shared" si="110"/>
        <v>0</v>
      </c>
      <c r="L84" s="89">
        <f t="shared" si="110"/>
        <v>0</v>
      </c>
      <c r="M84" s="89">
        <f t="shared" si="110"/>
        <v>0</v>
      </c>
      <c r="N84" s="89">
        <f t="shared" si="110"/>
        <v>1.0721601797396419E-2</v>
      </c>
      <c r="O84" s="89">
        <f t="shared" si="110"/>
        <v>1.1428850124367996E-2</v>
      </c>
      <c r="P84" s="89">
        <f t="shared" si="110"/>
        <v>1.0451111852683312E-2</v>
      </c>
      <c r="Q84" s="89">
        <f t="shared" si="110"/>
        <v>9.5776133697930421E-3</v>
      </c>
      <c r="R84" s="89">
        <f t="shared" si="110"/>
        <v>8.9720098565742087E-3</v>
      </c>
      <c r="S84" s="89">
        <f t="shared" si="110"/>
        <v>8.0100949141383663E-3</v>
      </c>
      <c r="T84" s="89">
        <f t="shared" ref="T84:Y84" si="111">T56/T$23</f>
        <v>7.0979140191550693E-3</v>
      </c>
      <c r="U84" s="89">
        <f t="shared" si="111"/>
        <v>5.3793607110731115E-3</v>
      </c>
      <c r="V84" s="89">
        <f t="shared" si="111"/>
        <v>6.5768458986854494E-3</v>
      </c>
      <c r="W84" s="89">
        <f t="shared" si="111"/>
        <v>6.6570475383429138E-3</v>
      </c>
      <c r="X84" s="89">
        <f t="shared" si="111"/>
        <v>7.7188072731697302E-3</v>
      </c>
      <c r="Y84" s="89">
        <f t="shared" si="111"/>
        <v>7.5339254551610984E-3</v>
      </c>
      <c r="Z84" s="89">
        <f t="shared" ref="Z84:AA84" si="112">Z56/Z$23</f>
        <v>8.0620489841458365E-3</v>
      </c>
      <c r="AA84" s="89">
        <f t="shared" si="112"/>
        <v>8.3520421824473216E-3</v>
      </c>
    </row>
    <row r="85" spans="1:27" x14ac:dyDescent="0.25">
      <c r="A85" s="68" t="s">
        <v>2</v>
      </c>
      <c r="B85" s="44"/>
      <c r="C85" s="44"/>
      <c r="D85" s="89">
        <f t="shared" si="109"/>
        <v>0</v>
      </c>
      <c r="E85" s="89">
        <f t="shared" ref="E85:S85" si="113">E57/E$23</f>
        <v>0</v>
      </c>
      <c r="F85" s="89">
        <f t="shared" si="113"/>
        <v>0</v>
      </c>
      <c r="G85" s="89">
        <f t="shared" si="113"/>
        <v>0</v>
      </c>
      <c r="H85" s="89">
        <f t="shared" si="113"/>
        <v>0</v>
      </c>
      <c r="I85" s="89">
        <f t="shared" si="113"/>
        <v>0</v>
      </c>
      <c r="J85" s="89">
        <f t="shared" si="113"/>
        <v>0</v>
      </c>
      <c r="K85" s="89">
        <f t="shared" si="113"/>
        <v>0</v>
      </c>
      <c r="L85" s="89">
        <f t="shared" si="113"/>
        <v>0</v>
      </c>
      <c r="M85" s="89">
        <f t="shared" si="113"/>
        <v>0</v>
      </c>
      <c r="N85" s="89">
        <f t="shared" si="113"/>
        <v>1.5941981100905306E-2</v>
      </c>
      <c r="O85" s="89">
        <f t="shared" si="113"/>
        <v>1.6306026564354339E-2</v>
      </c>
      <c r="P85" s="89">
        <f t="shared" si="113"/>
        <v>1.5729757607013926E-2</v>
      </c>
      <c r="Q85" s="89">
        <f t="shared" si="113"/>
        <v>1.6337465124994798E-2</v>
      </c>
      <c r="R85" s="89">
        <f t="shared" si="113"/>
        <v>1.6920452391482908E-2</v>
      </c>
      <c r="S85" s="89">
        <f t="shared" si="113"/>
        <v>1.592143523344489E-2</v>
      </c>
      <c r="T85" s="89">
        <f t="shared" ref="T85:Y85" si="114">T57/T$23</f>
        <v>1.4557439378441766E-2</v>
      </c>
      <c r="U85" s="89">
        <f t="shared" si="114"/>
        <v>1.3047621592255145E-2</v>
      </c>
      <c r="V85" s="89">
        <f t="shared" si="114"/>
        <v>1.1835046480199844E-2</v>
      </c>
      <c r="W85" s="89">
        <f t="shared" si="114"/>
        <v>1.1130705631770609E-2</v>
      </c>
      <c r="X85" s="89">
        <f t="shared" si="114"/>
        <v>9.6884339566682132E-3</v>
      </c>
      <c r="Y85" s="89">
        <f t="shared" si="114"/>
        <v>8.3022946891360399E-3</v>
      </c>
      <c r="Z85" s="89">
        <f t="shared" ref="Z85:AA85" si="115">Z57/Z$23</f>
        <v>9.1537847840822521E-3</v>
      </c>
      <c r="AA85" s="89">
        <f t="shared" si="115"/>
        <v>8.7639801445902228E-3</v>
      </c>
    </row>
    <row r="86" spans="1:27" x14ac:dyDescent="0.25">
      <c r="A86" s="68" t="s">
        <v>269</v>
      </c>
      <c r="B86" s="44"/>
      <c r="C86" s="44"/>
      <c r="D86" s="89">
        <f t="shared" si="109"/>
        <v>0</v>
      </c>
      <c r="E86" s="89">
        <f t="shared" ref="E86:S86" si="116">E58/E$23</f>
        <v>0</v>
      </c>
      <c r="F86" s="89">
        <f t="shared" si="116"/>
        <v>0</v>
      </c>
      <c r="G86" s="89">
        <f t="shared" si="116"/>
        <v>0</v>
      </c>
      <c r="H86" s="89">
        <f t="shared" si="116"/>
        <v>0</v>
      </c>
      <c r="I86" s="89">
        <f t="shared" si="116"/>
        <v>0</v>
      </c>
      <c r="J86" s="89">
        <f t="shared" si="116"/>
        <v>0</v>
      </c>
      <c r="K86" s="89">
        <f t="shared" si="116"/>
        <v>0</v>
      </c>
      <c r="L86" s="89">
        <f t="shared" si="116"/>
        <v>0</v>
      </c>
      <c r="M86" s="89">
        <f t="shared" si="116"/>
        <v>0</v>
      </c>
      <c r="N86" s="89">
        <f t="shared" si="116"/>
        <v>4.9890966761382402E-3</v>
      </c>
      <c r="O86" s="89">
        <f t="shared" si="116"/>
        <v>5.3974085935848863E-3</v>
      </c>
      <c r="P86" s="89">
        <f t="shared" si="116"/>
        <v>6.3252737918272003E-3</v>
      </c>
      <c r="Q86" s="89">
        <f t="shared" si="116"/>
        <v>6.8292547506350375E-3</v>
      </c>
      <c r="R86" s="89">
        <f t="shared" si="116"/>
        <v>6.9880583812472353E-3</v>
      </c>
      <c r="S86" s="89">
        <f t="shared" si="116"/>
        <v>6.55072145717891E-3</v>
      </c>
      <c r="T86" s="89">
        <f t="shared" ref="T86:Y86" si="117">T58/T$23</f>
        <v>6.7776296893242004E-3</v>
      </c>
      <c r="U86" s="89">
        <f t="shared" si="117"/>
        <v>6.359045608785102E-3</v>
      </c>
      <c r="V86" s="89">
        <f t="shared" si="117"/>
        <v>5.0943937098161269E-3</v>
      </c>
      <c r="W86" s="89">
        <f t="shared" si="117"/>
        <v>4.9164433654734375E-3</v>
      </c>
      <c r="X86" s="89">
        <f t="shared" si="117"/>
        <v>4.1597907176589583E-3</v>
      </c>
      <c r="Y86" s="89">
        <f t="shared" si="117"/>
        <v>4.3497512567395097E-3</v>
      </c>
      <c r="Z86" s="89">
        <f t="shared" ref="Z86:AA86" si="118">Z58/Z$23</f>
        <v>4.6608720689593122E-3</v>
      </c>
      <c r="AA86" s="89">
        <f t="shared" si="118"/>
        <v>4.0369920290004328E-3</v>
      </c>
    </row>
    <row r="87" spans="1:27" x14ac:dyDescent="0.25">
      <c r="A87" s="68" t="s">
        <v>270</v>
      </c>
      <c r="B87" s="44"/>
      <c r="C87" s="44"/>
      <c r="D87" s="89">
        <f t="shared" si="109"/>
        <v>0</v>
      </c>
      <c r="E87" s="89">
        <f t="shared" ref="E87:S87" si="119">E59/E$23</f>
        <v>0</v>
      </c>
      <c r="F87" s="89">
        <f t="shared" si="119"/>
        <v>0</v>
      </c>
      <c r="G87" s="89">
        <f t="shared" si="119"/>
        <v>0</v>
      </c>
      <c r="H87" s="89">
        <f t="shared" si="119"/>
        <v>0</v>
      </c>
      <c r="I87" s="89">
        <f t="shared" si="119"/>
        <v>0</v>
      </c>
      <c r="J87" s="89">
        <f t="shared" si="119"/>
        <v>0</v>
      </c>
      <c r="K87" s="89">
        <f t="shared" si="119"/>
        <v>0</v>
      </c>
      <c r="L87" s="89">
        <f t="shared" si="119"/>
        <v>0</v>
      </c>
      <c r="M87" s="89">
        <f t="shared" si="119"/>
        <v>0</v>
      </c>
      <c r="N87" s="89">
        <f t="shared" si="119"/>
        <v>0</v>
      </c>
      <c r="O87" s="89">
        <f t="shared" si="119"/>
        <v>0</v>
      </c>
      <c r="P87" s="89">
        <f t="shared" si="119"/>
        <v>0</v>
      </c>
      <c r="Q87" s="89">
        <f t="shared" si="119"/>
        <v>0</v>
      </c>
      <c r="R87" s="89">
        <f t="shared" si="119"/>
        <v>2.4894168193593225E-3</v>
      </c>
      <c r="S87" s="89">
        <f t="shared" si="119"/>
        <v>2.0957919569868874E-3</v>
      </c>
      <c r="T87" s="89">
        <f t="shared" ref="T87:Y87" si="120">T59/T$23</f>
        <v>2.0560187624626765E-3</v>
      </c>
      <c r="U87" s="89">
        <f t="shared" si="120"/>
        <v>1.67437055245322E-3</v>
      </c>
      <c r="V87" s="89">
        <f t="shared" si="120"/>
        <v>3.09594987509726E-3</v>
      </c>
      <c r="W87" s="89">
        <f t="shared" si="120"/>
        <v>2.0154364106909741E-3</v>
      </c>
      <c r="X87" s="89">
        <f t="shared" si="120"/>
        <v>3.1103371179570637E-3</v>
      </c>
      <c r="Y87" s="89">
        <f t="shared" si="120"/>
        <v>2.786966374078608E-3</v>
      </c>
      <c r="Z87" s="89">
        <f t="shared" ref="Z87:AA87" si="121">Z59/Z$23</f>
        <v>1.057544074334011E-2</v>
      </c>
      <c r="AA87" s="89">
        <f t="shared" si="121"/>
        <v>1.0298449053572531E-2</v>
      </c>
    </row>
    <row r="88" spans="1:27" x14ac:dyDescent="0.25">
      <c r="A88" s="68" t="s">
        <v>1</v>
      </c>
      <c r="B88" s="44"/>
      <c r="C88" s="44"/>
      <c r="D88" s="89">
        <f t="shared" si="109"/>
        <v>0</v>
      </c>
      <c r="E88" s="89">
        <f t="shared" ref="E88:S88" si="122">E60/E$23</f>
        <v>0</v>
      </c>
      <c r="F88" s="89">
        <f t="shared" si="122"/>
        <v>0</v>
      </c>
      <c r="G88" s="89">
        <f t="shared" si="122"/>
        <v>0</v>
      </c>
      <c r="H88" s="89">
        <f t="shared" si="122"/>
        <v>0</v>
      </c>
      <c r="I88" s="89">
        <f t="shared" si="122"/>
        <v>0</v>
      </c>
      <c r="J88" s="89">
        <f t="shared" si="122"/>
        <v>0</v>
      </c>
      <c r="K88" s="89">
        <f t="shared" si="122"/>
        <v>0</v>
      </c>
      <c r="L88" s="89">
        <f t="shared" si="122"/>
        <v>0</v>
      </c>
      <c r="M88" s="89">
        <f t="shared" si="122"/>
        <v>0</v>
      </c>
      <c r="N88" s="89">
        <f t="shared" si="122"/>
        <v>4.6752131104209338E-3</v>
      </c>
      <c r="O88" s="89">
        <f t="shared" si="122"/>
        <v>5.0722634975857968E-3</v>
      </c>
      <c r="P88" s="89">
        <f t="shared" si="122"/>
        <v>4.5960622516154478E-3</v>
      </c>
      <c r="Q88" s="89">
        <f t="shared" si="122"/>
        <v>2.956567605457852E-3</v>
      </c>
      <c r="R88" s="89">
        <f t="shared" si="122"/>
        <v>2.2240475137423393E-3</v>
      </c>
      <c r="S88" s="89">
        <f t="shared" si="122"/>
        <v>1.9202282328413891E-3</v>
      </c>
      <c r="T88" s="89">
        <f t="shared" ref="T88:Y88" si="123">T60/T$23</f>
        <v>1.6944074223310501E-3</v>
      </c>
      <c r="U88" s="89">
        <f t="shared" si="123"/>
        <v>1.6387456470818747E-3</v>
      </c>
      <c r="V88" s="89">
        <f t="shared" si="123"/>
        <v>1.6134976862279371E-3</v>
      </c>
      <c r="W88" s="89">
        <f t="shared" si="123"/>
        <v>1.3436242737939828E-3</v>
      </c>
      <c r="X88" s="89">
        <f t="shared" si="123"/>
        <v>1.3308288402016776E-3</v>
      </c>
      <c r="Y88" s="89">
        <f t="shared" si="123"/>
        <v>1.3479019612950276E-3</v>
      </c>
      <c r="Z88" s="89">
        <f t="shared" ref="Z88:AA88" si="124">Z60/Z$23</f>
        <v>1.1697169285033021E-3</v>
      </c>
      <c r="AA88" s="89">
        <f t="shared" si="124"/>
        <v>9.5775576198224544E-4</v>
      </c>
    </row>
    <row r="89" spans="1:27" x14ac:dyDescent="0.25">
      <c r="A89" s="68" t="s">
        <v>0</v>
      </c>
      <c r="B89" s="44"/>
      <c r="C89" s="44"/>
      <c r="D89" s="89">
        <f t="shared" si="109"/>
        <v>0</v>
      </c>
      <c r="E89" s="89">
        <f t="shared" ref="E89:S89" si="125">E61/E$23</f>
        <v>0</v>
      </c>
      <c r="F89" s="89">
        <f t="shared" si="125"/>
        <v>0</v>
      </c>
      <c r="G89" s="89">
        <f t="shared" si="125"/>
        <v>0</v>
      </c>
      <c r="H89" s="89">
        <f t="shared" si="125"/>
        <v>0</v>
      </c>
      <c r="I89" s="89">
        <f t="shared" si="125"/>
        <v>0</v>
      </c>
      <c r="J89" s="89">
        <f t="shared" si="125"/>
        <v>0</v>
      </c>
      <c r="K89" s="89">
        <f t="shared" si="125"/>
        <v>0</v>
      </c>
      <c r="L89" s="89">
        <f t="shared" si="125"/>
        <v>0</v>
      </c>
      <c r="M89" s="89">
        <f t="shared" si="125"/>
        <v>0</v>
      </c>
      <c r="N89" s="89">
        <f t="shared" si="125"/>
        <v>0</v>
      </c>
      <c r="O89" s="89">
        <f t="shared" si="125"/>
        <v>0</v>
      </c>
      <c r="P89" s="89">
        <f t="shared" si="125"/>
        <v>0</v>
      </c>
      <c r="Q89" s="89">
        <f t="shared" si="125"/>
        <v>0</v>
      </c>
      <c r="R89" s="89">
        <f t="shared" si="125"/>
        <v>0</v>
      </c>
      <c r="S89" s="89">
        <f t="shared" si="125"/>
        <v>0</v>
      </c>
      <c r="T89" s="89">
        <f t="shared" ref="T89:Y89" si="126">T61/T$23</f>
        <v>0</v>
      </c>
      <c r="U89" s="89">
        <f t="shared" si="126"/>
        <v>0</v>
      </c>
      <c r="V89" s="89">
        <f t="shared" si="126"/>
        <v>0</v>
      </c>
      <c r="W89" s="89">
        <f t="shared" si="126"/>
        <v>0</v>
      </c>
      <c r="X89" s="89">
        <f t="shared" si="126"/>
        <v>0</v>
      </c>
      <c r="Y89" s="89">
        <f t="shared" si="126"/>
        <v>0</v>
      </c>
      <c r="Z89" s="89">
        <f t="shared" ref="Z89:AA89" si="127">Z61/Z$23</f>
        <v>0</v>
      </c>
      <c r="AA89" s="89">
        <f t="shared" si="127"/>
        <v>0</v>
      </c>
    </row>
    <row r="90" spans="1:27" x14ac:dyDescent="0.25">
      <c r="A90" s="90" t="s">
        <v>272</v>
      </c>
      <c r="B90" s="47"/>
      <c r="C90" s="47"/>
      <c r="D90" s="91">
        <f t="shared" si="109"/>
        <v>0.29872761787491653</v>
      </c>
      <c r="E90" s="91">
        <f t="shared" ref="E90:S90" si="128">E62/E$23</f>
        <v>0.26688828797539005</v>
      </c>
      <c r="F90" s="91">
        <f t="shared" si="128"/>
        <v>0.27699631596574331</v>
      </c>
      <c r="G90" s="91">
        <f t="shared" si="128"/>
        <v>0.27623634441442496</v>
      </c>
      <c r="H90" s="91">
        <f t="shared" si="128"/>
        <v>0.25305876070856465</v>
      </c>
      <c r="I90" s="91">
        <f t="shared" si="128"/>
        <v>0.22214494054296607</v>
      </c>
      <c r="J90" s="91">
        <f t="shared" si="128"/>
        <v>0.205175363558597</v>
      </c>
      <c r="K90" s="91">
        <f t="shared" si="128"/>
        <v>0.19075396825396837</v>
      </c>
      <c r="L90" s="91">
        <f t="shared" si="128"/>
        <v>0.19995266099812478</v>
      </c>
      <c r="M90" s="91">
        <f t="shared" si="128"/>
        <v>0.17374089612960633</v>
      </c>
      <c r="N90" s="91">
        <f t="shared" si="128"/>
        <v>8.7077909205048584E-2</v>
      </c>
      <c r="O90" s="91">
        <f t="shared" si="128"/>
        <v>8.6667425338557313E-2</v>
      </c>
      <c r="P90" s="91">
        <f t="shared" si="128"/>
        <v>8.4397657980159579E-2</v>
      </c>
      <c r="Q90" s="91">
        <f t="shared" si="128"/>
        <v>6.9611204419582753E-2</v>
      </c>
      <c r="R90" s="91">
        <f t="shared" si="128"/>
        <v>5.5651734377961705E-2</v>
      </c>
      <c r="S90" s="91">
        <f t="shared" si="128"/>
        <v>4.4626104131233885E-2</v>
      </c>
      <c r="T90" s="91">
        <f t="shared" ref="T90:Y90" si="129">T62/T$23</f>
        <v>4.5459711330833062E-2</v>
      </c>
      <c r="U90" s="91">
        <f t="shared" si="129"/>
        <v>3.911614609773692E-2</v>
      </c>
      <c r="V90" s="91">
        <f t="shared" si="129"/>
        <v>3.9121176133338799E-2</v>
      </c>
      <c r="W90" s="91">
        <f t="shared" si="129"/>
        <v>4.0514852392185607E-2</v>
      </c>
      <c r="X90" s="91">
        <f t="shared" si="129"/>
        <v>3.9027506330942902E-2</v>
      </c>
      <c r="Y90" s="91">
        <f t="shared" si="129"/>
        <v>3.6562654650587348E-2</v>
      </c>
      <c r="Z90" s="91">
        <f t="shared" ref="Z90:AA90" si="130">Z62/Z$23</f>
        <v>2.8715050957668246E-2</v>
      </c>
      <c r="AA90" s="91">
        <f t="shared" si="130"/>
        <v>2.5663735041502742E-2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-7.5840315779358569E-3</v>
      </c>
      <c r="F93" s="92">
        <f t="shared" ref="F93:F94" si="132">IF(E16=0,"",F16/E16-1)</f>
        <v>2.7416537441635969E-2</v>
      </c>
      <c r="G93" s="92">
        <f t="shared" ref="G93:G94" si="133">IF(F16=0,"",G16/F16-1)</f>
        <v>3.6922993130207082E-2</v>
      </c>
      <c r="H93" s="92">
        <f t="shared" ref="H93:H94" si="134">IF(G16=0,"",H16/G16-1)</f>
        <v>4.0807595394409812E-3</v>
      </c>
      <c r="I93" s="92">
        <f t="shared" ref="I93:I94" si="135">IF(H16=0,"",I16/H16-1)</f>
        <v>2.880940293091272E-2</v>
      </c>
      <c r="J93" s="92">
        <f t="shared" ref="J93:J94" si="136">IF(I16=0,"",J16/I16-1)</f>
        <v>2.3366124412705913E-2</v>
      </c>
      <c r="K93" s="92">
        <f t="shared" ref="K93:K94" si="137">IF(J16=0,"",K16/J16-1)</f>
        <v>5.0359338463295877E-2</v>
      </c>
      <c r="L93" s="92">
        <f t="shared" ref="L93:L94" si="138">IF(K16=0,"",L16/K16-1)</f>
        <v>4.4094527980825138E-2</v>
      </c>
      <c r="M93" s="92">
        <f t="shared" ref="M93:M94" si="139">IF(L16=0,"",M16/L16-1)</f>
        <v>-1.3952313910495895E-2</v>
      </c>
      <c r="N93" s="92">
        <f t="shared" ref="N93:N94" si="140">IF(M16=0,"",N16/M16-1)</f>
        <v>6.1985308214286494E-2</v>
      </c>
      <c r="O93" s="92">
        <f t="shared" ref="O93:O94" si="141">IF(N16=0,"",O16/N16-1)</f>
        <v>9.9212989928239015E-3</v>
      </c>
      <c r="P93" s="92">
        <f t="shared" ref="P93:P94" si="142">IF(O16=0,"",P16/O16-1)</f>
        <v>4.1022049585537346E-2</v>
      </c>
      <c r="Q93" s="92">
        <f t="shared" ref="Q93:Q94" si="143">IF(P16=0,"",Q16/P16-1)</f>
        <v>6.2914790826605449E-2</v>
      </c>
      <c r="R93" s="92">
        <f t="shared" ref="R93:R94" si="144">IF(Q16=0,"",R16/Q16-1)</f>
        <v>7.6315321973244199E-2</v>
      </c>
      <c r="S93" s="92">
        <f t="shared" ref="S93:S94" si="145">IF(R16=0,"",S16/R16-1)</f>
        <v>9.6203315192490368E-2</v>
      </c>
      <c r="T93" s="92">
        <f t="shared" ref="T93:T94" si="146">IF(S16=0,"",T16/S16-1)</f>
        <v>4.0780857230943601E-2</v>
      </c>
      <c r="U93" s="92">
        <f t="shared" ref="U93:U94" si="147">IF(T16=0,"",U16/T16-1)</f>
        <v>0.12971688329651809</v>
      </c>
      <c r="V93" s="92">
        <f t="shared" ref="V93:V94" si="148">IF(U16=0,"",V16/U16-1)</f>
        <v>7.189303607396802E-2</v>
      </c>
      <c r="W93" s="92">
        <f t="shared" ref="W93:W94" si="149">IF(V16=0,"",W16/V16-1)</f>
        <v>4.0852144871422302E-2</v>
      </c>
      <c r="X93" s="92">
        <f t="shared" ref="X93:X94" si="150">IF(W16=0,"",X16/W16-1)</f>
        <v>-3.4580632585458737E-2</v>
      </c>
      <c r="Y93" s="92">
        <f t="shared" ref="Y93:Y94" si="151">IF(X16=0,"",Y16/X16-1)</f>
        <v>0.13411890943693838</v>
      </c>
      <c r="Z93" s="92">
        <f t="shared" ref="Z93:Z94" si="152">IF(Y16=0,"",Z16/Y16-1)</f>
        <v>2.4830480201065042E-2</v>
      </c>
      <c r="AA93" s="92">
        <f t="shared" ref="AA93:AA94" si="153">IF(Z16=0,"",AA16/Z16-1)</f>
        <v>0.10621909097351789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1.6812691795231816E-2</v>
      </c>
      <c r="F94" s="93">
        <f t="shared" si="132"/>
        <v>-1.5518813824937916E-2</v>
      </c>
      <c r="G94" s="93">
        <f t="shared" si="133"/>
        <v>5.8203074559240786E-2</v>
      </c>
      <c r="H94" s="93">
        <f t="shared" si="134"/>
        <v>2.0551060280228794E-2</v>
      </c>
      <c r="I94" s="93">
        <f t="shared" si="135"/>
        <v>3.4393080200533666E-2</v>
      </c>
      <c r="J94" s="93">
        <f t="shared" si="136"/>
        <v>2.8769875681350587E-2</v>
      </c>
      <c r="K94" s="93">
        <f t="shared" si="137"/>
        <v>2.8049917434148197E-2</v>
      </c>
      <c r="L94" s="93">
        <f t="shared" si="138"/>
        <v>1.2620981898990413E-2</v>
      </c>
      <c r="M94" s="93">
        <f t="shared" si="139"/>
        <v>-1.5471281581285634E-2</v>
      </c>
      <c r="N94" s="93">
        <f t="shared" si="140"/>
        <v>2.4398976249343285E-2</v>
      </c>
      <c r="O94" s="93">
        <f t="shared" si="141"/>
        <v>3.7863611699724853E-2</v>
      </c>
      <c r="P94" s="93">
        <f t="shared" si="142"/>
        <v>9.7871738195525193E-3</v>
      </c>
      <c r="Q94" s="93">
        <f t="shared" si="143"/>
        <v>3.5119856231664581E-2</v>
      </c>
      <c r="R94" s="93">
        <f t="shared" si="144"/>
        <v>3.1635058321884069E-2</v>
      </c>
      <c r="S94" s="93">
        <f t="shared" si="145"/>
        <v>3.3879741411617648E-2</v>
      </c>
      <c r="T94" s="93">
        <f t="shared" si="146"/>
        <v>2.8488817578364634E-2</v>
      </c>
      <c r="U94" s="93">
        <f t="shared" si="147"/>
        <v>6.6345763978212569E-2</v>
      </c>
      <c r="V94" s="93">
        <f t="shared" si="148"/>
        <v>0.10225612733055467</v>
      </c>
      <c r="W94" s="93">
        <f t="shared" si="149"/>
        <v>5.6633422282581281E-2</v>
      </c>
      <c r="X94" s="93">
        <f t="shared" si="150"/>
        <v>-0.10327646071699215</v>
      </c>
      <c r="Y94" s="93">
        <f t="shared" si="151"/>
        <v>0.11140126774721759</v>
      </c>
      <c r="Z94" s="93">
        <f t="shared" si="152"/>
        <v>9.5843098008916217E-2</v>
      </c>
      <c r="AA94" s="93">
        <f t="shared" si="153"/>
        <v>0.1303854185388067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-1.4318205822992924E-2</v>
      </c>
      <c r="F95" s="92">
        <f t="shared" ref="F95:F96" si="155">IF(E20=0,"",F20/E20-1)</f>
        <v>1.901790235357681E-2</v>
      </c>
      <c r="G95" s="92">
        <f t="shared" ref="G95:G96" si="156">IF(F20=0,"",G20/F20-1)</f>
        <v>2.9993573889236513E-2</v>
      </c>
      <c r="H95" s="92">
        <f t="shared" ref="H95:H96" si="157">IF(G20=0,"",H20/G20-1)</f>
        <v>-2.3751161211560401E-3</v>
      </c>
      <c r="I95" s="92">
        <f t="shared" ref="I95:I96" si="158">IF(H20=0,"",I20/H20-1)</f>
        <v>2.1652898968319345E-2</v>
      </c>
      <c r="J95" s="92">
        <f t="shared" ref="J95:J96" si="159">IF(I20=0,"",J20/I20-1)</f>
        <v>1.7476069286628926E-2</v>
      </c>
      <c r="K95" s="92">
        <f t="shared" ref="K95:K96" si="160">IF(J20=0,"",K20/J20-1)</f>
        <v>4.8761591550373629E-2</v>
      </c>
      <c r="L95" s="92">
        <f t="shared" ref="L95:L96" si="161">IF(K20=0,"",L20/K20-1)</f>
        <v>3.8421325598458012E-2</v>
      </c>
      <c r="M95" s="92">
        <f t="shared" ref="M95:M96" si="162">IF(L20=0,"",M20/L20-1)</f>
        <v>-2.1376598430728033E-2</v>
      </c>
      <c r="N95" s="92">
        <f t="shared" ref="N95:N96" si="163">IF(M20=0,"",N20/M20-1)</f>
        <v>5.4031197876621251E-2</v>
      </c>
      <c r="O95" s="92">
        <f t="shared" ref="O95:O96" si="164">IF(N20=0,"",O20/N20-1)</f>
        <v>7.5801663612815595E-3</v>
      </c>
      <c r="P95" s="92">
        <f t="shared" ref="P95:P96" si="165">IF(O20=0,"",P20/O20-1)</f>
        <v>3.4646959461837934E-2</v>
      </c>
      <c r="Q95" s="92">
        <f t="shared" ref="Q95:Q96" si="166">IF(P20=0,"",Q20/P20-1)</f>
        <v>5.3033756739569116E-2</v>
      </c>
      <c r="R95" s="92">
        <f t="shared" ref="R95:R96" si="167">IF(Q20=0,"",R20/Q20-1)</f>
        <v>5.9492710274132499E-2</v>
      </c>
      <c r="S95" s="92">
        <f t="shared" ref="S95:S96" si="168">IF(R20=0,"",S20/R20-1)</f>
        <v>6.9600452637403443E-2</v>
      </c>
      <c r="T95" s="92">
        <f t="shared" ref="T95:T96" si="169">IF(S20=0,"",T20/S20-1)</f>
        <v>1.5712397961066715E-2</v>
      </c>
      <c r="U95" s="92">
        <f t="shared" ref="U95:U96" si="170">IF(T20=0,"",U20/T20-1)</f>
        <v>0.10576381131108548</v>
      </c>
      <c r="V95" s="92">
        <f t="shared" ref="V95:V96" si="171">IF(U20=0,"",V20/U20-1)</f>
        <v>3.6989247776561429E-2</v>
      </c>
      <c r="W95" s="92">
        <f t="shared" ref="W95:W96" si="172">IF(V20=0,"",W20/V20-1)</f>
        <v>2.5703695053462816E-3</v>
      </c>
      <c r="X95" s="92">
        <f t="shared" ref="X95:X96" si="173">IF(W20=0,"",X20/W20-1)</f>
        <v>-7.5621573616627025E-2</v>
      </c>
      <c r="Y95" s="92">
        <f t="shared" ref="Y95:Y96" si="174">IF(X20=0,"",Y20/X20-1)</f>
        <v>0.1313282462933496</v>
      </c>
      <c r="Z95" s="92">
        <f t="shared" ref="Z95:Z96" si="175">IF(Y20=0,"",Z20/Y20-1)</f>
        <v>1.6853267548502471E-2</v>
      </c>
      <c r="AA95" s="92">
        <f t="shared" ref="AA95:AA96" si="176">IF(Z20=0,"",AA20/Z20-1)</f>
        <v>6.1572452459378368E-2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9.9129702480040827E-3</v>
      </c>
      <c r="F96" s="93">
        <f t="shared" si="155"/>
        <v>-2.3566473106666819E-2</v>
      </c>
      <c r="G96" s="93">
        <f t="shared" si="156"/>
        <v>5.1131447452612999E-2</v>
      </c>
      <c r="H96" s="93">
        <f t="shared" si="157"/>
        <v>1.3989286550512459E-2</v>
      </c>
      <c r="I96" s="93">
        <f t="shared" si="158"/>
        <v>2.71977356048827E-2</v>
      </c>
      <c r="J96" s="93">
        <f t="shared" si="159"/>
        <v>2.2848718887844344E-2</v>
      </c>
      <c r="K96" s="93">
        <f t="shared" si="160"/>
        <v>2.6486106344208782E-2</v>
      </c>
      <c r="L96" s="93">
        <f t="shared" si="161"/>
        <v>7.1187944887622923E-3</v>
      </c>
      <c r="M96" s="93">
        <f t="shared" si="162"/>
        <v>-2.2884129283274435E-2</v>
      </c>
      <c r="N96" s="93">
        <f t="shared" si="163"/>
        <v>1.6726381888711561E-2</v>
      </c>
      <c r="O96" s="93">
        <f t="shared" si="164"/>
        <v>3.5457705050500277E-2</v>
      </c>
      <c r="P96" s="93">
        <f t="shared" si="165"/>
        <v>3.6033622072830784E-3</v>
      </c>
      <c r="Q96" s="93">
        <f t="shared" si="166"/>
        <v>2.5497208516282788E-2</v>
      </c>
      <c r="R96" s="93">
        <f t="shared" si="167"/>
        <v>1.5510790974725408E-2</v>
      </c>
      <c r="S96" s="93">
        <f t="shared" si="168"/>
        <v>8.7893587443912402E-3</v>
      </c>
      <c r="T96" s="93">
        <f t="shared" si="169"/>
        <v>3.7164268739626749E-3</v>
      </c>
      <c r="U96" s="93">
        <f t="shared" si="170"/>
        <v>4.3736332160748015E-2</v>
      </c>
      <c r="V96" s="93">
        <f t="shared" si="171"/>
        <v>6.6363633188807114E-2</v>
      </c>
      <c r="W96" s="93">
        <f t="shared" si="172"/>
        <v>1.7771223155243376E-2</v>
      </c>
      <c r="X96" s="93">
        <f t="shared" si="173"/>
        <v>-0.14139707351921271</v>
      </c>
      <c r="Y96" s="93">
        <f t="shared" si="174"/>
        <v>0.10866650463743044</v>
      </c>
      <c r="Z96" s="93">
        <f t="shared" si="175"/>
        <v>8.7313127837708171E-2</v>
      </c>
      <c r="AA96" s="93">
        <f t="shared" si="176"/>
        <v>8.4763434995978715E-2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-1.3436848124653844E-2</v>
      </c>
      <c r="F97" s="89">
        <f t="shared" ref="F97:F106" si="178">IF(E23=0,"",F23/E23-1)</f>
        <v>3.5437987045423336E-2</v>
      </c>
      <c r="G97" s="89">
        <f t="shared" ref="G97:G106" si="179">IF(F23=0,"",G23/F23-1)</f>
        <v>4.4734631322652207E-2</v>
      </c>
      <c r="H97" s="89">
        <f t="shared" ref="H97:H106" si="180">IF(G23=0,"",H23/G23-1)</f>
        <v>-1.0390887139793969E-2</v>
      </c>
      <c r="I97" s="89">
        <f t="shared" ref="I97:I106" si="181">IF(H23=0,"",I23/H23-1)</f>
        <v>6.739018913694883E-3</v>
      </c>
      <c r="J97" s="89">
        <f t="shared" ref="J97:J106" si="182">IF(I23=0,"",J23/I23-1)</f>
        <v>2.807118535030817E-2</v>
      </c>
      <c r="K97" s="89">
        <f t="shared" ref="K97:K106" si="183">IF(J23=0,"",K23/J23-1)</f>
        <v>5.5729847190100434E-2</v>
      </c>
      <c r="L97" s="89">
        <f t="shared" ref="L97:L106" si="184">IF(K23=0,"",L23/K23-1)</f>
        <v>5.0122505711430065E-2</v>
      </c>
      <c r="M97" s="89">
        <f t="shared" ref="M97:M106" si="185">IF(L23=0,"",M23/L23-1)</f>
        <v>5.5620407240197789E-3</v>
      </c>
      <c r="N97" s="89">
        <f t="shared" ref="N97:N106" si="186">IF(M23=0,"",N23/M23-1)</f>
        <v>5.7590398972179768E-2</v>
      </c>
      <c r="O97" s="89">
        <f t="shared" ref="O97:O106" si="187">IF(N23=0,"",O23/N23-1)</f>
        <v>-9.0924758757465751E-3</v>
      </c>
      <c r="P97" s="89">
        <f t="shared" ref="P97:P106" si="188">IF(O23=0,"",P23/O23-1)</f>
        <v>4.7779679495535188E-2</v>
      </c>
      <c r="Q97" s="89">
        <f t="shared" ref="Q97:Q106" si="189">IF(P23=0,"",Q23/P23-1)</f>
        <v>7.7381911732786524E-2</v>
      </c>
      <c r="R97" s="89">
        <f t="shared" ref="R97:R106" si="190">IF(Q23=0,"",R23/Q23-1)</f>
        <v>9.1242762203254557E-2</v>
      </c>
      <c r="S97" s="89">
        <f t="shared" ref="S97:S106" si="191">IF(R23=0,"",S23/R23-1)</f>
        <v>9.1305204397548634E-2</v>
      </c>
      <c r="T97" s="89">
        <f t="shared" ref="T97:T106" si="192">IF(S23=0,"",T23/S23-1)</f>
        <v>4.1552493473295593E-2</v>
      </c>
      <c r="U97" s="89">
        <f t="shared" ref="U97:U106" si="193">IF(T23=0,"",U23/T23-1)</f>
        <v>0.13152909131046564</v>
      </c>
      <c r="V97" s="89">
        <f t="shared" ref="V97:V106" si="194">IF(U23=0,"",V23/U23-1)</f>
        <v>7.4566984824606664E-2</v>
      </c>
      <c r="W97" s="89">
        <f t="shared" ref="W97:W106" si="195">IF(V23=0,"",W23/V23-1)</f>
        <v>4.1899265690609866E-2</v>
      </c>
      <c r="X97" s="89">
        <f t="shared" ref="X97:X106" si="196">IF(W23=0,"",X23/W23-1)</f>
        <v>-2.0902824281293975E-2</v>
      </c>
      <c r="Y97" s="89">
        <f t="shared" ref="Y97:Y106" si="197">IF(X23=0,"",Y23/X23-1)</f>
        <v>0.12956368745307301</v>
      </c>
      <c r="Z97" s="89">
        <f t="shared" ref="Z97:Z108" si="198">IF(Y23=0,"",Z23/Y23-1)</f>
        <v>3.7540713692179484E-2</v>
      </c>
      <c r="AA97" s="89">
        <f t="shared" ref="AA97:AA108" si="199">IF(Z23=0,"",AA23/Z23-1)</f>
        <v>9.1466931478991098E-2</v>
      </c>
    </row>
    <row r="98" spans="1:27" x14ac:dyDescent="0.25">
      <c r="A98" s="64" t="s">
        <v>33</v>
      </c>
      <c r="B98" s="65"/>
      <c r="C98" s="65"/>
      <c r="D98" s="83"/>
      <c r="E98" s="83" t="str">
        <f t="shared" si="177"/>
        <v/>
      </c>
      <c r="F98" s="83" t="str">
        <f t="shared" si="178"/>
        <v/>
      </c>
      <c r="G98" s="83" t="str">
        <f t="shared" si="179"/>
        <v/>
      </c>
      <c r="H98" s="83" t="str">
        <f t="shared" si="180"/>
        <v/>
      </c>
      <c r="I98" s="83" t="str">
        <f t="shared" si="181"/>
        <v/>
      </c>
      <c r="J98" s="83">
        <f t="shared" si="182"/>
        <v>4.1833828736498102E-2</v>
      </c>
      <c r="K98" s="83">
        <f t="shared" si="183"/>
        <v>1.7618288157315698E-2</v>
      </c>
      <c r="L98" s="83">
        <f t="shared" si="184"/>
        <v>-0.36327324503428748</v>
      </c>
      <c r="M98" s="83">
        <f t="shared" si="185"/>
        <v>0.25160208310609899</v>
      </c>
      <c r="N98" s="83">
        <f t="shared" si="186"/>
        <v>4.543532104041681E-3</v>
      </c>
      <c r="O98" s="83">
        <f t="shared" si="187"/>
        <v>-0.14549904303855288</v>
      </c>
      <c r="P98" s="83">
        <f t="shared" si="188"/>
        <v>4.2784954693846577E-2</v>
      </c>
      <c r="Q98" s="83">
        <f t="shared" si="189"/>
        <v>1.6107762947967785E-3</v>
      </c>
      <c r="R98" s="83">
        <f t="shared" si="190"/>
        <v>7.3737294697933775E-2</v>
      </c>
      <c r="S98" s="83">
        <f t="shared" si="191"/>
        <v>1.7411629464285872E-2</v>
      </c>
      <c r="T98" s="83">
        <f t="shared" si="192"/>
        <v>0.11935443954626623</v>
      </c>
      <c r="U98" s="83">
        <f t="shared" si="193"/>
        <v>-0.24756926835087134</v>
      </c>
      <c r="V98" s="83">
        <f t="shared" si="194"/>
        <v>-7.1399515024227478E-3</v>
      </c>
      <c r="W98" s="83">
        <f t="shared" si="195"/>
        <v>-0.21371779604086494</v>
      </c>
      <c r="X98" s="83">
        <f t="shared" si="196"/>
        <v>0.59674166327860845</v>
      </c>
      <c r="Y98" s="83">
        <f t="shared" si="197"/>
        <v>0.26215658506283757</v>
      </c>
      <c r="Z98" s="83">
        <f t="shared" si="198"/>
        <v>-2.0183425881107997E-2</v>
      </c>
      <c r="AA98" s="83">
        <f t="shared" si="199"/>
        <v>-0.93045994488343897</v>
      </c>
    </row>
    <row r="99" spans="1:27" x14ac:dyDescent="0.25">
      <c r="A99" s="64" t="s">
        <v>56</v>
      </c>
      <c r="B99" s="65"/>
      <c r="C99" s="65"/>
      <c r="D99" s="83"/>
      <c r="E99" s="83" t="str">
        <f t="shared" si="177"/>
        <v/>
      </c>
      <c r="F99" s="83" t="str">
        <f t="shared" si="178"/>
        <v/>
      </c>
      <c r="G99" s="83" t="str">
        <f t="shared" si="179"/>
        <v/>
      </c>
      <c r="H99" s="83" t="str">
        <f t="shared" si="180"/>
        <v/>
      </c>
      <c r="I99" s="83" t="str">
        <f t="shared" si="181"/>
        <v/>
      </c>
      <c r="J99" s="83" t="str">
        <f t="shared" si="182"/>
        <v/>
      </c>
      <c r="K99" s="83" t="str">
        <f t="shared" si="183"/>
        <v/>
      </c>
      <c r="L99" s="83" t="str">
        <f t="shared" si="184"/>
        <v/>
      </c>
      <c r="M99" s="83" t="str">
        <f t="shared" si="185"/>
        <v/>
      </c>
      <c r="N99" s="83" t="str">
        <f t="shared" si="186"/>
        <v/>
      </c>
      <c r="O99" s="83" t="str">
        <f t="shared" si="187"/>
        <v/>
      </c>
      <c r="P99" s="83" t="str">
        <f t="shared" si="188"/>
        <v/>
      </c>
      <c r="Q99" s="83" t="str">
        <f t="shared" si="189"/>
        <v/>
      </c>
      <c r="R99" s="83" t="str">
        <f t="shared" si="190"/>
        <v/>
      </c>
      <c r="S99" s="83" t="str">
        <f t="shared" si="191"/>
        <v/>
      </c>
      <c r="T99" s="83" t="str">
        <f t="shared" si="192"/>
        <v/>
      </c>
      <c r="U99" s="83" t="str">
        <f t="shared" si="193"/>
        <v/>
      </c>
      <c r="V99" s="83" t="str">
        <f t="shared" si="194"/>
        <v/>
      </c>
      <c r="W99" s="83" t="str">
        <f t="shared" si="195"/>
        <v/>
      </c>
      <c r="X99" s="83" t="str">
        <f t="shared" si="196"/>
        <v/>
      </c>
      <c r="Y99" s="83" t="str">
        <f t="shared" si="197"/>
        <v/>
      </c>
      <c r="Z99" s="83" t="str">
        <f t="shared" si="198"/>
        <v/>
      </c>
      <c r="AA99" s="83" t="str">
        <f t="shared" si="199"/>
        <v/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2.9842270862613374E-2</v>
      </c>
      <c r="F100" s="83">
        <f t="shared" si="178"/>
        <v>1.9857407004326921E-2</v>
      </c>
      <c r="G100" s="83">
        <f t="shared" si="179"/>
        <v>4.9983208396503498E-2</v>
      </c>
      <c r="H100" s="83">
        <f t="shared" si="180"/>
        <v>1.7979275928354355E-2</v>
      </c>
      <c r="I100" s="83">
        <f t="shared" si="181"/>
        <v>2.6956005335169619E-2</v>
      </c>
      <c r="J100" s="83">
        <f t="shared" si="182"/>
        <v>4.2567499267885722E-2</v>
      </c>
      <c r="K100" s="83">
        <f t="shared" si="183"/>
        <v>7.7620639101680267E-2</v>
      </c>
      <c r="L100" s="83">
        <f t="shared" si="184"/>
        <v>5.2753316461842559E-2</v>
      </c>
      <c r="M100" s="83">
        <f t="shared" si="185"/>
        <v>2.6078803970674969E-2</v>
      </c>
      <c r="N100" s="83">
        <f t="shared" si="186"/>
        <v>6.1858674008567816E-2</v>
      </c>
      <c r="O100" s="83">
        <f t="shared" si="187"/>
        <v>5.2029401798585617E-3</v>
      </c>
      <c r="P100" s="83">
        <f t="shared" si="188"/>
        <v>6.8099915039274261E-2</v>
      </c>
      <c r="Q100" s="83">
        <f t="shared" si="189"/>
        <v>8.6482035913077793E-2</v>
      </c>
      <c r="R100" s="83">
        <f t="shared" si="190"/>
        <v>0.11252520340393235</v>
      </c>
      <c r="S100" s="83">
        <f t="shared" si="191"/>
        <v>0.10705357391537262</v>
      </c>
      <c r="T100" s="83">
        <f t="shared" si="192"/>
        <v>3.7887624810272191E-2</v>
      </c>
      <c r="U100" s="83">
        <f t="shared" si="193"/>
        <v>0.14853979929356242</v>
      </c>
      <c r="V100" s="83">
        <f t="shared" si="194"/>
        <v>7.3935172331404564E-2</v>
      </c>
      <c r="W100" s="83">
        <f t="shared" si="195"/>
        <v>3.7093165000454231E-2</v>
      </c>
      <c r="X100" s="83">
        <f t="shared" si="196"/>
        <v>-2.3637467134683843E-2</v>
      </c>
      <c r="Y100" s="83">
        <f t="shared" si="197"/>
        <v>0.13921049033132449</v>
      </c>
      <c r="Z100" s="83">
        <f t="shared" si="198"/>
        <v>4.1364124072244879E-2</v>
      </c>
      <c r="AA100" s="83">
        <f t="shared" si="199"/>
        <v>0.10512131680893488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6.0939271569030673E-2</v>
      </c>
      <c r="F101" s="84">
        <f t="shared" si="178"/>
        <v>1.0767005189360912E-2</v>
      </c>
      <c r="G101" s="84">
        <f t="shared" si="179"/>
        <v>3.1819462642646013E-2</v>
      </c>
      <c r="H101" s="84">
        <f t="shared" si="180"/>
        <v>1.4187031720989118E-3</v>
      </c>
      <c r="I101" s="84">
        <f t="shared" si="181"/>
        <v>-4.4878862850417089E-4</v>
      </c>
      <c r="J101" s="84">
        <f t="shared" si="182"/>
        <v>1.7436808413898719E-2</v>
      </c>
      <c r="K101" s="84">
        <f t="shared" si="183"/>
        <v>0.13013348135287472</v>
      </c>
      <c r="L101" s="84">
        <f t="shared" si="184"/>
        <v>0.10809005520146253</v>
      </c>
      <c r="M101" s="84">
        <f t="shared" si="185"/>
        <v>3.9776087304788099E-4</v>
      </c>
      <c r="N101" s="84">
        <f t="shared" si="186"/>
        <v>3.2123131871835797E-2</v>
      </c>
      <c r="O101" s="84">
        <f t="shared" si="187"/>
        <v>-9.721194456435156E-3</v>
      </c>
      <c r="P101" s="84">
        <f t="shared" si="188"/>
        <v>6.052817428253765E-2</v>
      </c>
      <c r="Q101" s="84">
        <f t="shared" si="189"/>
        <v>9.866346357585809E-2</v>
      </c>
      <c r="R101" s="84">
        <f t="shared" si="190"/>
        <v>0.15092549469269101</v>
      </c>
      <c r="S101" s="84">
        <f t="shared" si="191"/>
        <v>8.271491188864788E-2</v>
      </c>
      <c r="T101" s="84">
        <f t="shared" si="192"/>
        <v>-1.7098412970708354E-2</v>
      </c>
      <c r="U101" s="84">
        <f t="shared" si="193"/>
        <v>0.16173120229947746</v>
      </c>
      <c r="V101" s="84">
        <f t="shared" si="194"/>
        <v>9.2443689432000875E-2</v>
      </c>
      <c r="W101" s="84">
        <f t="shared" si="195"/>
        <v>-4.2518668868908094E-2</v>
      </c>
      <c r="X101" s="84">
        <f t="shared" si="196"/>
        <v>-6.952998284120393E-2</v>
      </c>
      <c r="Y101" s="84">
        <f t="shared" si="197"/>
        <v>0.1204085769433525</v>
      </c>
      <c r="Z101" s="84">
        <f t="shared" si="198"/>
        <v>2.1913545809062684E-2</v>
      </c>
      <c r="AA101" s="84">
        <f t="shared" si="199"/>
        <v>5.6334454155743119E-2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3.1901421852663425E-2</v>
      </c>
      <c r="F102" s="84">
        <f t="shared" si="178"/>
        <v>1.8727880445262857E-2</v>
      </c>
      <c r="G102" s="84">
        <f t="shared" si="179"/>
        <v>9.9679241654871076E-2</v>
      </c>
      <c r="H102" s="84">
        <f t="shared" si="180"/>
        <v>7.6884279460572413E-2</v>
      </c>
      <c r="I102" s="84">
        <f t="shared" si="181"/>
        <v>9.6341597846185456E-2</v>
      </c>
      <c r="J102" s="84">
        <f t="shared" si="182"/>
        <v>9.3956144370288985E-2</v>
      </c>
      <c r="K102" s="84">
        <f t="shared" si="183"/>
        <v>4.0535399394123539E-2</v>
      </c>
      <c r="L102" s="84">
        <f t="shared" si="184"/>
        <v>-6.5680396568279509E-4</v>
      </c>
      <c r="M102" s="84">
        <f t="shared" si="185"/>
        <v>8.7141551500553582E-2</v>
      </c>
      <c r="N102" s="84">
        <f t="shared" si="186"/>
        <v>0.11359351456153632</v>
      </c>
      <c r="O102" s="84">
        <f t="shared" si="187"/>
        <v>4.7026494789439433E-3</v>
      </c>
      <c r="P102" s="84">
        <f t="shared" si="188"/>
        <v>9.8528360705075757E-2</v>
      </c>
      <c r="Q102" s="84">
        <f t="shared" si="189"/>
        <v>7.9133869468353657E-2</v>
      </c>
      <c r="R102" s="84">
        <f t="shared" si="190"/>
        <v>8.6915359153352245E-2</v>
      </c>
      <c r="S102" s="84">
        <f t="shared" si="191"/>
        <v>0.13892027419056419</v>
      </c>
      <c r="T102" s="84">
        <f t="shared" si="192"/>
        <v>0.12192363428503694</v>
      </c>
      <c r="U102" s="84">
        <f t="shared" si="193"/>
        <v>0.15241137805804184</v>
      </c>
      <c r="V102" s="84">
        <f t="shared" si="194"/>
        <v>6.6751705141753881E-2</v>
      </c>
      <c r="W102" s="84">
        <f t="shared" si="195"/>
        <v>0.11212277121634395</v>
      </c>
      <c r="X102" s="84">
        <f t="shared" si="196"/>
        <v>3.8700294196896579E-2</v>
      </c>
      <c r="Y102" s="84">
        <f t="shared" si="197"/>
        <v>0.16109716299194776</v>
      </c>
      <c r="Z102" s="84">
        <f t="shared" si="198"/>
        <v>3.7369794471947326E-2</v>
      </c>
      <c r="AA102" s="84">
        <f t="shared" si="199"/>
        <v>0.15468116439735557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-3.9730398266245692E-2</v>
      </c>
      <c r="F103" s="84">
        <f t="shared" si="178"/>
        <v>4.3132977861464639E-2</v>
      </c>
      <c r="G103" s="84">
        <f t="shared" si="179"/>
        <v>1.5021413076580226E-2</v>
      </c>
      <c r="H103" s="84">
        <f t="shared" si="180"/>
        <v>-4.1787808636033152E-2</v>
      </c>
      <c r="I103" s="84">
        <f t="shared" si="181"/>
        <v>-3.6519237080690603E-2</v>
      </c>
      <c r="J103" s="84">
        <f t="shared" si="182"/>
        <v>-3.6829169707740528E-3</v>
      </c>
      <c r="K103" s="84">
        <f t="shared" si="183"/>
        <v>2.9140640516769789E-2</v>
      </c>
      <c r="L103" s="84">
        <f t="shared" si="184"/>
        <v>2.2641740354312878E-2</v>
      </c>
      <c r="M103" s="84">
        <f t="shared" si="185"/>
        <v>-3.6548449545846462E-2</v>
      </c>
      <c r="N103" s="84">
        <f t="shared" si="186"/>
        <v>2.139153575151731E-2</v>
      </c>
      <c r="O103" s="84">
        <f t="shared" si="187"/>
        <v>5.4675357600112662E-2</v>
      </c>
      <c r="P103" s="84">
        <f t="shared" si="188"/>
        <v>8.3965874894544879E-3</v>
      </c>
      <c r="Q103" s="84">
        <f t="shared" si="189"/>
        <v>6.9483620396313839E-2</v>
      </c>
      <c r="R103" s="84">
        <f t="shared" si="190"/>
        <v>6.3524320080841301E-2</v>
      </c>
      <c r="S103" s="84">
        <f t="shared" si="191"/>
        <v>9.590460340742446E-2</v>
      </c>
      <c r="T103" s="84">
        <f t="shared" si="192"/>
        <v>-3.6417090464705648E-2</v>
      </c>
      <c r="U103" s="84">
        <f t="shared" si="193"/>
        <v>8.7271231171954788E-2</v>
      </c>
      <c r="V103" s="84">
        <f t="shared" si="194"/>
        <v>3.1590661866517822E-2</v>
      </c>
      <c r="W103" s="84">
        <f t="shared" si="195"/>
        <v>5.4522914436317516E-2</v>
      </c>
      <c r="X103" s="84">
        <f t="shared" si="196"/>
        <v>-0.12156526329236184</v>
      </c>
      <c r="Y103" s="84">
        <f t="shared" si="197"/>
        <v>0.10171405709406933</v>
      </c>
      <c r="Z103" s="84">
        <f t="shared" si="198"/>
        <v>0.13926296148399642</v>
      </c>
      <c r="AA103" s="84">
        <f t="shared" si="199"/>
        <v>3.7779841369374623E-2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0.15789859836407061</v>
      </c>
      <c r="F104" s="83">
        <f t="shared" si="178"/>
        <v>0.11816916110950704</v>
      </c>
      <c r="G104" s="83">
        <f t="shared" si="179"/>
        <v>-0.23575316870883967</v>
      </c>
      <c r="H104" s="83">
        <f t="shared" si="180"/>
        <v>0.33083269208203103</v>
      </c>
      <c r="I104" s="83">
        <f t="shared" si="181"/>
        <v>-0.42936305683544018</v>
      </c>
      <c r="J104" s="83">
        <f t="shared" si="182"/>
        <v>1.0987592300345388</v>
      </c>
      <c r="K104" s="83">
        <f t="shared" si="183"/>
        <v>5.091536325425583E-4</v>
      </c>
      <c r="L104" s="83">
        <f t="shared" si="184"/>
        <v>-0.24899962453099433</v>
      </c>
      <c r="M104" s="83">
        <f t="shared" si="185"/>
        <v>0.91373800584174125</v>
      </c>
      <c r="N104" s="83">
        <f t="shared" si="186"/>
        <v>-9.5817709554526731E-2</v>
      </c>
      <c r="O104" s="83">
        <f t="shared" si="187"/>
        <v>-0.74216318611042364</v>
      </c>
      <c r="P104" s="83">
        <f t="shared" si="188"/>
        <v>-2.4779994100148324</v>
      </c>
      <c r="Q104" s="83">
        <f t="shared" si="189"/>
        <v>-2.458767006785727</v>
      </c>
      <c r="R104" s="83">
        <f t="shared" si="190"/>
        <v>6.5008507576330032E-2</v>
      </c>
      <c r="S104" s="83">
        <f t="shared" si="191"/>
        <v>0.63116266798419018</v>
      </c>
      <c r="T104" s="83">
        <f t="shared" si="192"/>
        <v>0.49639822352196683</v>
      </c>
      <c r="U104" s="83">
        <f t="shared" si="193"/>
        <v>-0.27560135929920004</v>
      </c>
      <c r="V104" s="83">
        <f t="shared" si="194"/>
        <v>0.14738548295259646</v>
      </c>
      <c r="W104" s="83">
        <f t="shared" si="195"/>
        <v>-1.3590725002246895E-2</v>
      </c>
      <c r="X104" s="83">
        <f t="shared" si="196"/>
        <v>-7.0893942165910495E-3</v>
      </c>
      <c r="Y104" s="83">
        <f t="shared" si="197"/>
        <v>0.17369448208663951</v>
      </c>
      <c r="Z104" s="83">
        <f t="shared" si="198"/>
        <v>9.6299834739683732E-3</v>
      </c>
      <c r="AA104" s="83">
        <f t="shared" si="199"/>
        <v>0.33106699286879282</v>
      </c>
    </row>
    <row r="105" spans="1:27" x14ac:dyDescent="0.25">
      <c r="A105" s="64" t="s">
        <v>37</v>
      </c>
      <c r="B105" s="65"/>
      <c r="C105" s="65"/>
      <c r="D105" s="83"/>
      <c r="E105" s="83" t="str">
        <f t="shared" si="177"/>
        <v/>
      </c>
      <c r="F105" s="83" t="str">
        <f t="shared" si="178"/>
        <v/>
      </c>
      <c r="G105" s="83" t="str">
        <f t="shared" si="179"/>
        <v/>
      </c>
      <c r="H105" s="83" t="str">
        <f t="shared" si="180"/>
        <v/>
      </c>
      <c r="I105" s="83" t="str">
        <f t="shared" si="181"/>
        <v/>
      </c>
      <c r="J105" s="83" t="str">
        <f t="shared" si="182"/>
        <v/>
      </c>
      <c r="K105" s="83" t="str">
        <f t="shared" si="183"/>
        <v/>
      </c>
      <c r="L105" s="83" t="str">
        <f t="shared" si="184"/>
        <v/>
      </c>
      <c r="M105" s="83" t="str">
        <f t="shared" si="185"/>
        <v/>
      </c>
      <c r="N105" s="83" t="str">
        <f t="shared" si="186"/>
        <v/>
      </c>
      <c r="O105" s="83">
        <f t="shared" si="187"/>
        <v>-1.9840589853195145E-2</v>
      </c>
      <c r="P105" s="83">
        <f t="shared" si="188"/>
        <v>-3.9756978750167815E-2</v>
      </c>
      <c r="Q105" s="83">
        <f t="shared" si="189"/>
        <v>4.9344750187048092E-2</v>
      </c>
      <c r="R105" s="83">
        <f t="shared" si="190"/>
        <v>-1.2072477073901688E-2</v>
      </c>
      <c r="S105" s="83">
        <f t="shared" si="191"/>
        <v>7.7777919815971153E-2</v>
      </c>
      <c r="T105" s="83">
        <f t="shared" si="192"/>
        <v>3.7381473251538067E-2</v>
      </c>
      <c r="U105" s="83">
        <f t="shared" si="193"/>
        <v>0.14299154622713206</v>
      </c>
      <c r="V105" s="83">
        <f t="shared" si="194"/>
        <v>0.10981704164609418</v>
      </c>
      <c r="W105" s="83">
        <f t="shared" si="195"/>
        <v>0.24811021179184589</v>
      </c>
      <c r="X105" s="83">
        <f t="shared" si="196"/>
        <v>-4.1539069586517652E-2</v>
      </c>
      <c r="Y105" s="83">
        <f t="shared" si="197"/>
        <v>2.8549848106327769E-2</v>
      </c>
      <c r="Z105" s="83">
        <f t="shared" si="198"/>
        <v>-3.1948663347466932E-2</v>
      </c>
      <c r="AA105" s="83">
        <f t="shared" si="199"/>
        <v>9.1033717522882585E-2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-0.11858785452550313</v>
      </c>
      <c r="F106" s="83">
        <f t="shared" si="178"/>
        <v>7.4653781169350175E-2</v>
      </c>
      <c r="G106" s="83">
        <f t="shared" si="179"/>
        <v>4.1868280570967586E-2</v>
      </c>
      <c r="H106" s="83">
        <f t="shared" si="180"/>
        <v>-9.3423943843544022E-2</v>
      </c>
      <c r="I106" s="83">
        <f t="shared" si="181"/>
        <v>-0.11624486394911149</v>
      </c>
      <c r="J106" s="83">
        <f t="shared" si="182"/>
        <v>-5.0462825294149138E-2</v>
      </c>
      <c r="K106" s="83">
        <f t="shared" si="183"/>
        <v>-1.8475443333853758E-2</v>
      </c>
      <c r="L106" s="83">
        <f t="shared" si="184"/>
        <v>0.10076236585264686</v>
      </c>
      <c r="M106" s="83">
        <f t="shared" si="185"/>
        <v>-0.12625693903145729</v>
      </c>
      <c r="N106" s="83">
        <f t="shared" si="186"/>
        <v>-0.23653941922105137</v>
      </c>
      <c r="O106" s="83">
        <f t="shared" si="187"/>
        <v>-3.2852533254503768E-3</v>
      </c>
      <c r="P106" s="83">
        <f t="shared" si="188"/>
        <v>1.9436515792035314E-2</v>
      </c>
      <c r="Q106" s="83">
        <f t="shared" si="189"/>
        <v>-6.6242208651915768E-2</v>
      </c>
      <c r="R106" s="83">
        <f t="shared" si="190"/>
        <v>-3.0663595188237469E-2</v>
      </c>
      <c r="S106" s="83">
        <f t="shared" si="191"/>
        <v>-7.2411714362128787E-2</v>
      </c>
      <c r="T106" s="83">
        <f t="shared" si="192"/>
        <v>1.8490874659384371E-2</v>
      </c>
      <c r="U106" s="83">
        <f t="shared" si="193"/>
        <v>6.5992324358495891E-2</v>
      </c>
      <c r="V106" s="83">
        <f t="shared" si="194"/>
        <v>6.3485303830360662E-2</v>
      </c>
      <c r="W106" s="83">
        <f t="shared" si="195"/>
        <v>1.9382013911414253E-2</v>
      </c>
      <c r="X106" s="83">
        <f t="shared" si="196"/>
        <v>-2.1255828629299645E-2</v>
      </c>
      <c r="Y106" s="83">
        <f t="shared" si="197"/>
        <v>5.6952860767776059E-2</v>
      </c>
      <c r="Z106" s="83">
        <f t="shared" si="198"/>
        <v>4.3644531788644469E-2</v>
      </c>
      <c r="AA106" s="83">
        <f t="shared" si="199"/>
        <v>1.9299031035730385E-2</v>
      </c>
    </row>
    <row r="107" spans="1:27" x14ac:dyDescent="0.25">
      <c r="A107" s="85" t="s">
        <v>158</v>
      </c>
      <c r="B107" s="86"/>
      <c r="C107" s="86"/>
      <c r="D107" s="87"/>
      <c r="E107" s="87" t="str">
        <f t="shared" ref="E107:E108" si="200">IF(D33=0,"",E33/D33-1)</f>
        <v/>
      </c>
      <c r="F107" s="87" t="str">
        <f t="shared" ref="F107:F108" si="201">IF(E33=0,"",F33/E33-1)</f>
        <v/>
      </c>
      <c r="G107" s="87" t="str">
        <f t="shared" ref="G107:G108" si="202">IF(F33=0,"",G33/F33-1)</f>
        <v/>
      </c>
      <c r="H107" s="87" t="str">
        <f t="shared" ref="H107:H108" si="203">IF(G33=0,"",H33/G33-1)</f>
        <v/>
      </c>
      <c r="I107" s="87" t="str">
        <f t="shared" ref="I107:I108" si="204">IF(H33=0,"",I33/H33-1)</f>
        <v/>
      </c>
      <c r="J107" s="87" t="str">
        <f t="shared" ref="J107:J108" si="205">IF(I33=0,"",J33/I33-1)</f>
        <v/>
      </c>
      <c r="K107" s="87" t="str">
        <f t="shared" ref="K107:K108" si="206">IF(J33=0,"",K33/J33-1)</f>
        <v/>
      </c>
      <c r="L107" s="87" t="str">
        <f t="shared" ref="L107:L108" si="207">IF(K33=0,"",L33/K33-1)</f>
        <v/>
      </c>
      <c r="M107" s="87" t="str">
        <f t="shared" ref="M107:M108" si="208">IF(L33=0,"",M33/L33-1)</f>
        <v/>
      </c>
      <c r="N107" s="87" t="str">
        <f t="shared" ref="N107:N108" si="209">IF(M33=0,"",N33/M33-1)</f>
        <v/>
      </c>
      <c r="O107" s="87" t="str">
        <f t="shared" ref="O107:O108" si="210">IF(N33=0,"",O33/N33-1)</f>
        <v/>
      </c>
      <c r="P107" s="87" t="str">
        <f t="shared" ref="P107:P108" si="211">IF(O33=0,"",P33/O33-1)</f>
        <v/>
      </c>
      <c r="Q107" s="87" t="str">
        <f t="shared" ref="Q107:Q108" si="212">IF(P33=0,"",Q33/P33-1)</f>
        <v/>
      </c>
      <c r="R107" s="87" t="str">
        <f t="shared" ref="R107:R108" si="213">IF(Q33=0,"",R33/Q33-1)</f>
        <v/>
      </c>
      <c r="S107" s="87" t="str">
        <f t="shared" ref="S107:S108" si="214">IF(R33=0,"",S33/R33-1)</f>
        <v/>
      </c>
      <c r="T107" s="87" t="str">
        <f t="shared" ref="T107:T108" si="215">IF(S33=0,"",T33/S33-1)</f>
        <v/>
      </c>
      <c r="U107" s="87" t="str">
        <f t="shared" ref="U107:U108" si="216">IF(T33=0,"",U33/T33-1)</f>
        <v/>
      </c>
      <c r="V107" s="87" t="str">
        <f t="shared" ref="V107:V108" si="217">IF(U33=0,"",V33/U33-1)</f>
        <v/>
      </c>
      <c r="W107" s="87" t="str">
        <f t="shared" ref="W107:W108" si="218">IF(V33=0,"",W33/V33-1)</f>
        <v/>
      </c>
      <c r="X107" s="87" t="str">
        <f t="shared" ref="X107:X108" si="219">IF(W33=0,"",X33/W33-1)</f>
        <v/>
      </c>
      <c r="Y107" s="87" t="str">
        <f t="shared" ref="Y107:Y108" si="220">IF(X33=0,"",Y33/X33-1)</f>
        <v/>
      </c>
      <c r="Z107" s="87" t="str">
        <f t="shared" si="198"/>
        <v/>
      </c>
      <c r="AA107" s="87" t="str">
        <f t="shared" si="199"/>
        <v/>
      </c>
    </row>
    <row r="108" spans="1:27" x14ac:dyDescent="0.25">
      <c r="A108" s="88" t="s">
        <v>5</v>
      </c>
      <c r="B108" s="44"/>
      <c r="C108" s="44"/>
      <c r="D108" s="89"/>
      <c r="E108" s="89" t="str">
        <f t="shared" si="200"/>
        <v/>
      </c>
      <c r="F108" s="89" t="str">
        <f t="shared" si="201"/>
        <v/>
      </c>
      <c r="G108" s="89" t="str">
        <f t="shared" si="202"/>
        <v/>
      </c>
      <c r="H108" s="89" t="str">
        <f t="shared" si="203"/>
        <v/>
      </c>
      <c r="I108" s="89" t="str">
        <f t="shared" si="204"/>
        <v/>
      </c>
      <c r="J108" s="89" t="str">
        <f t="shared" si="205"/>
        <v/>
      </c>
      <c r="K108" s="89" t="str">
        <f t="shared" si="206"/>
        <v/>
      </c>
      <c r="L108" s="89" t="str">
        <f t="shared" si="207"/>
        <v/>
      </c>
      <c r="M108" s="89" t="str">
        <f t="shared" si="208"/>
        <v/>
      </c>
      <c r="N108" s="89" t="str">
        <f t="shared" si="209"/>
        <v/>
      </c>
      <c r="O108" s="89" t="str">
        <f t="shared" si="210"/>
        <v/>
      </c>
      <c r="P108" s="89" t="str">
        <f t="shared" si="211"/>
        <v/>
      </c>
      <c r="Q108" s="89" t="str">
        <f t="shared" si="212"/>
        <v/>
      </c>
      <c r="R108" s="89" t="str">
        <f t="shared" si="213"/>
        <v/>
      </c>
      <c r="S108" s="89" t="str">
        <f t="shared" si="214"/>
        <v/>
      </c>
      <c r="T108" s="89" t="str">
        <f t="shared" si="215"/>
        <v/>
      </c>
      <c r="U108" s="89" t="str">
        <f t="shared" si="216"/>
        <v/>
      </c>
      <c r="V108" s="89" t="str">
        <f t="shared" si="217"/>
        <v/>
      </c>
      <c r="W108" s="89" t="str">
        <f t="shared" si="218"/>
        <v/>
      </c>
      <c r="X108" s="89" t="str">
        <f t="shared" si="219"/>
        <v/>
      </c>
      <c r="Y108" s="89" t="str">
        <f t="shared" si="220"/>
        <v/>
      </c>
      <c r="Z108" s="89" t="str">
        <f t="shared" si="198"/>
        <v/>
      </c>
      <c r="AA108" s="89" t="str">
        <f t="shared" si="199"/>
        <v/>
      </c>
    </row>
    <row r="109" spans="1:27" x14ac:dyDescent="0.25">
      <c r="A109" s="88" t="s">
        <v>263</v>
      </c>
      <c r="B109" s="44"/>
      <c r="C109" s="44"/>
      <c r="D109" s="89"/>
      <c r="E109" s="89" t="str">
        <f t="shared" ref="E109" si="221">IF(D37=0,"",E37/D37-1)</f>
        <v/>
      </c>
      <c r="F109" s="89" t="str">
        <f t="shared" ref="F109" si="222">IF(E37=0,"",F37/E37-1)</f>
        <v/>
      </c>
      <c r="G109" s="89" t="str">
        <f t="shared" ref="G109" si="223">IF(F37=0,"",G37/F37-1)</f>
        <v/>
      </c>
      <c r="H109" s="89" t="str">
        <f t="shared" ref="H109" si="224">IF(G37=0,"",H37/G37-1)</f>
        <v/>
      </c>
      <c r="I109" s="89" t="str">
        <f t="shared" ref="I109" si="225">IF(H37=0,"",I37/H37-1)</f>
        <v/>
      </c>
      <c r="J109" s="89" t="str">
        <f t="shared" ref="J109" si="226">IF(I37=0,"",J37/I37-1)</f>
        <v/>
      </c>
      <c r="K109" s="89" t="str">
        <f t="shared" ref="K109" si="227">IF(J37=0,"",K37/J37-1)</f>
        <v/>
      </c>
      <c r="L109" s="89" t="str">
        <f t="shared" ref="L109" si="228">IF(K37=0,"",L37/K37-1)</f>
        <v/>
      </c>
      <c r="M109" s="89" t="str">
        <f t="shared" ref="M109" si="229">IF(L37=0,"",M37/L37-1)</f>
        <v/>
      </c>
      <c r="N109" s="89" t="str">
        <f t="shared" ref="N109" si="230">IF(M37=0,"",N37/M37-1)</f>
        <v/>
      </c>
      <c r="O109" s="89" t="str">
        <f t="shared" ref="O109" si="231">IF(N37=0,"",O37/N37-1)</f>
        <v/>
      </c>
      <c r="P109" s="89" t="str">
        <f t="shared" ref="P109" si="232">IF(O37=0,"",P37/O37-1)</f>
        <v/>
      </c>
      <c r="Q109" s="89" t="str">
        <f t="shared" ref="Q109" si="233">IF(P37=0,"",Q37/P37-1)</f>
        <v/>
      </c>
      <c r="R109" s="89" t="str">
        <f t="shared" ref="R109" si="234">IF(Q37=0,"",R37/Q37-1)</f>
        <v/>
      </c>
      <c r="S109" s="89" t="str">
        <f t="shared" ref="S109" si="235">IF(R37=0,"",S37/R37-1)</f>
        <v/>
      </c>
      <c r="T109" s="89" t="str">
        <f t="shared" ref="T109" si="236">IF(S37=0,"",T37/S37-1)</f>
        <v/>
      </c>
      <c r="U109" s="89" t="str">
        <f t="shared" ref="U109" si="237">IF(T37=0,"",U37/T37-1)</f>
        <v/>
      </c>
      <c r="V109" s="89" t="str">
        <f t="shared" ref="V109" si="238">IF(U37=0,"",V37/U37-1)</f>
        <v/>
      </c>
      <c r="W109" s="89" t="str">
        <f t="shared" ref="W109" si="239">IF(V37=0,"",W37/V37-1)</f>
        <v/>
      </c>
      <c r="X109" s="89" t="str">
        <f t="shared" ref="X109" si="240">IF(W37=0,"",X37/W37-1)</f>
        <v/>
      </c>
      <c r="Y109" s="89" t="str">
        <f t="shared" ref="Y109" si="241">IF(X37=0,"",Y37/X37-1)</f>
        <v/>
      </c>
      <c r="Z109" s="89" t="str">
        <f t="shared" ref="Z109" si="242">IF(Y37=0,"",Z37/Y37-1)</f>
        <v/>
      </c>
      <c r="AA109" s="89" t="str">
        <f t="shared" ref="AA109" si="243">IF(Z37=0,"",AA37/Z37-1)</f>
        <v/>
      </c>
    </row>
    <row r="110" spans="1:27" x14ac:dyDescent="0.25">
      <c r="A110" s="68" t="s">
        <v>265</v>
      </c>
      <c r="B110" s="44"/>
      <c r="C110" s="44"/>
      <c r="D110" s="89"/>
      <c r="E110" s="89" t="str">
        <f t="shared" ref="E110:E111" si="244">IF(D43=0,"",E43/D43-1)</f>
        <v/>
      </c>
      <c r="F110" s="89" t="str">
        <f t="shared" ref="F110:F111" si="245">IF(E43=0,"",F43/E43-1)</f>
        <v/>
      </c>
      <c r="G110" s="89" t="str">
        <f t="shared" ref="G110:G111" si="246">IF(F43=0,"",G43/F43-1)</f>
        <v/>
      </c>
      <c r="H110" s="89" t="str">
        <f t="shared" ref="H110:H111" si="247">IF(G43=0,"",H43/G43-1)</f>
        <v/>
      </c>
      <c r="I110" s="89" t="str">
        <f t="shared" ref="I110:I111" si="248">IF(H43=0,"",I43/H43-1)</f>
        <v/>
      </c>
      <c r="J110" s="89" t="str">
        <f t="shared" ref="J110:J111" si="249">IF(I43=0,"",J43/I43-1)</f>
        <v/>
      </c>
      <c r="K110" s="89" t="str">
        <f t="shared" ref="K110:K111" si="250">IF(J43=0,"",K43/J43-1)</f>
        <v/>
      </c>
      <c r="L110" s="89" t="str">
        <f t="shared" ref="L110:L111" si="251">IF(K43=0,"",L43/K43-1)</f>
        <v/>
      </c>
      <c r="M110" s="89" t="str">
        <f t="shared" ref="M110:M111" si="252">IF(L43=0,"",M43/L43-1)</f>
        <v/>
      </c>
      <c r="N110" s="89" t="str">
        <f t="shared" ref="N110:N111" si="253">IF(M43=0,"",N43/M43-1)</f>
        <v/>
      </c>
      <c r="O110" s="89">
        <f t="shared" ref="O110:O111" si="254">IF(N43=0,"",O43/N43-1)</f>
        <v>-0.36855922534276087</v>
      </c>
      <c r="P110" s="89">
        <f t="shared" ref="P110:P111" si="255">IF(O43=0,"",P43/O43-1)</f>
        <v>1.4735359393537539E-2</v>
      </c>
      <c r="Q110" s="89">
        <f t="shared" ref="Q110:Q111" si="256">IF(P43=0,"",Q43/P43-1)</f>
        <v>-7.421212309637415E-2</v>
      </c>
      <c r="R110" s="89">
        <f t="shared" ref="R110:R111" si="257">IF(Q43=0,"",R43/Q43-1)</f>
        <v>0.27728857712711807</v>
      </c>
      <c r="S110" s="89">
        <f t="shared" ref="S110:S111" si="258">IF(R43=0,"",S43/R43-1)</f>
        <v>4.3328181818181877E-2</v>
      </c>
      <c r="T110" s="89">
        <f t="shared" ref="T110:T111" si="259">IF(S43=0,"",T43/S43-1)</f>
        <v>-0.21723191070181647</v>
      </c>
      <c r="U110" s="89">
        <f t="shared" ref="U110:U111" si="260">IF(T43=0,"",U43/T43-1)</f>
        <v>7.5320002427759327</v>
      </c>
      <c r="V110" s="89">
        <f t="shared" ref="V110:V111" si="261">IF(U43=0,"",V43/U43-1)</f>
        <v>-6.5696389120592502E-2</v>
      </c>
      <c r="W110" s="89">
        <f t="shared" ref="W110:W111" si="262">IF(V43=0,"",W43/V43-1)</f>
        <v>-0.10375640377184081</v>
      </c>
      <c r="X110" s="89">
        <f t="shared" ref="X110:X111" si="263">IF(W43=0,"",X43/W43-1)</f>
        <v>0.27202191104190776</v>
      </c>
      <c r="Y110" s="89">
        <f t="shared" ref="Y110:Y111" si="264">IF(X43=0,"",Y43/X43-1)</f>
        <v>5.207702794718494E-2</v>
      </c>
      <c r="Z110" s="89">
        <f t="shared" ref="Z110:Z111" si="265">IF(Y43=0,"",Z43/Y43-1)</f>
        <v>-0.14161363204415034</v>
      </c>
      <c r="AA110" s="89">
        <f t="shared" ref="AA110:AA111" si="266">IF(Z43=0,"",AA43/Z43-1)</f>
        <v>4.989102209984253E-2</v>
      </c>
    </row>
    <row r="111" spans="1:27" x14ac:dyDescent="0.25">
      <c r="A111" s="88" t="s">
        <v>266</v>
      </c>
      <c r="B111" s="44"/>
      <c r="C111" s="44"/>
      <c r="D111" s="89"/>
      <c r="E111" s="89" t="str">
        <f t="shared" si="244"/>
        <v/>
      </c>
      <c r="F111" s="89" t="str">
        <f t="shared" si="245"/>
        <v/>
      </c>
      <c r="G111" s="89" t="str">
        <f t="shared" si="246"/>
        <v/>
      </c>
      <c r="H111" s="89" t="str">
        <f t="shared" si="247"/>
        <v/>
      </c>
      <c r="I111" s="89" t="str">
        <f t="shared" si="248"/>
        <v/>
      </c>
      <c r="J111" s="89" t="str">
        <f t="shared" si="249"/>
        <v/>
      </c>
      <c r="K111" s="89" t="str">
        <f t="shared" si="250"/>
        <v/>
      </c>
      <c r="L111" s="89" t="str">
        <f t="shared" si="251"/>
        <v/>
      </c>
      <c r="M111" s="89" t="str">
        <f t="shared" si="252"/>
        <v/>
      </c>
      <c r="N111" s="89" t="str">
        <f t="shared" si="253"/>
        <v/>
      </c>
      <c r="O111" s="89">
        <f t="shared" si="254"/>
        <v>-0.36855922534276087</v>
      </c>
      <c r="P111" s="89">
        <f t="shared" si="255"/>
        <v>1.4735359393537539E-2</v>
      </c>
      <c r="Q111" s="89">
        <f t="shared" si="256"/>
        <v>-7.421212309637415E-2</v>
      </c>
      <c r="R111" s="89">
        <f t="shared" si="257"/>
        <v>0.27728857712711807</v>
      </c>
      <c r="S111" s="89">
        <f t="shared" si="258"/>
        <v>4.3328181818181877E-2</v>
      </c>
      <c r="T111" s="89">
        <f t="shared" si="259"/>
        <v>-0.21723191070181647</v>
      </c>
      <c r="U111" s="89">
        <f t="shared" si="260"/>
        <v>0.1547910972482538</v>
      </c>
      <c r="V111" s="89">
        <f t="shared" si="261"/>
        <v>4.096085732265986E-2</v>
      </c>
      <c r="W111" s="89">
        <f t="shared" si="262"/>
        <v>2.038460514994056E-2</v>
      </c>
      <c r="X111" s="89">
        <f t="shared" si="263"/>
        <v>6.9424036875312289E-2</v>
      </c>
      <c r="Y111" s="89">
        <f t="shared" si="264"/>
        <v>4.4571765072657143E-2</v>
      </c>
      <c r="Z111" s="89">
        <f t="shared" si="265"/>
        <v>1.9511374139524529E-2</v>
      </c>
      <c r="AA111" s="89">
        <f t="shared" si="266"/>
        <v>-0.15416216442114483</v>
      </c>
    </row>
    <row r="112" spans="1:27" x14ac:dyDescent="0.25">
      <c r="A112" s="88" t="s">
        <v>11</v>
      </c>
      <c r="B112" s="44"/>
      <c r="C112" s="44"/>
      <c r="D112" s="89"/>
      <c r="E112" s="89" t="str">
        <f t="shared" ref="E112:E113" si="267">IF(D47=0,"",E47/D47-1)</f>
        <v/>
      </c>
      <c r="F112" s="89" t="str">
        <f t="shared" ref="F112:F113" si="268">IF(E47=0,"",F47/E47-1)</f>
        <v/>
      </c>
      <c r="G112" s="89" t="str">
        <f t="shared" ref="G112:G113" si="269">IF(F47=0,"",G47/F47-1)</f>
        <v/>
      </c>
      <c r="H112" s="89" t="str">
        <f t="shared" ref="H112:H113" si="270">IF(G47=0,"",H47/G47-1)</f>
        <v/>
      </c>
      <c r="I112" s="89" t="str">
        <f t="shared" ref="I112:I113" si="271">IF(H47=0,"",I47/H47-1)</f>
        <v/>
      </c>
      <c r="J112" s="89" t="str">
        <f t="shared" ref="J112:J113" si="272">IF(I47=0,"",J47/I47-1)</f>
        <v/>
      </c>
      <c r="K112" s="89" t="str">
        <f t="shared" ref="K112:K113" si="273">IF(J47=0,"",K47/J47-1)</f>
        <v/>
      </c>
      <c r="L112" s="89" t="str">
        <f t="shared" ref="L112:L113" si="274">IF(K47=0,"",L47/K47-1)</f>
        <v/>
      </c>
      <c r="M112" s="89" t="str">
        <f t="shared" ref="M112:M113" si="275">IF(L47=0,"",M47/L47-1)</f>
        <v/>
      </c>
      <c r="N112" s="89" t="str">
        <f t="shared" ref="N112:N113" si="276">IF(M47=0,"",N47/M47-1)</f>
        <v/>
      </c>
      <c r="O112" s="89" t="str">
        <f t="shared" ref="O112:O113" si="277">IF(N47=0,"",O47/N47-1)</f>
        <v/>
      </c>
      <c r="P112" s="89" t="str">
        <f t="shared" ref="P112:P113" si="278">IF(O47=0,"",P47/O47-1)</f>
        <v/>
      </c>
      <c r="Q112" s="89" t="str">
        <f t="shared" ref="Q112:Q113" si="279">IF(P47=0,"",Q47/P47-1)</f>
        <v/>
      </c>
      <c r="R112" s="89" t="str">
        <f t="shared" ref="R112:R113" si="280">IF(Q47=0,"",R47/Q47-1)</f>
        <v/>
      </c>
      <c r="S112" s="89" t="str">
        <f t="shared" ref="S112:S113" si="281">IF(R47=0,"",S47/R47-1)</f>
        <v/>
      </c>
      <c r="T112" s="89" t="str">
        <f t="shared" ref="T112:T113" si="282">IF(S47=0,"",T47/S47-1)</f>
        <v/>
      </c>
      <c r="U112" s="89" t="str">
        <f t="shared" ref="U112:U113" si="283">IF(T47=0,"",U47/T47-1)</f>
        <v/>
      </c>
      <c r="V112" s="89">
        <f t="shared" ref="V112:V113" si="284">IF(U47=0,"",V47/U47-1)</f>
        <v>-8.2391976329794669E-2</v>
      </c>
      <c r="W112" s="89">
        <f t="shared" ref="W112:W113" si="285">IF(V47=0,"",W47/V47-1)</f>
        <v>-0.12580108375222254</v>
      </c>
      <c r="X112" s="89">
        <f t="shared" ref="X112:X113" si="286">IF(W47=0,"",X47/W47-1)</f>
        <v>0.31401492496007477</v>
      </c>
      <c r="Y112" s="89">
        <f t="shared" ref="Y112:Y113" si="287">IF(X47=0,"",Y47/X47-1)</f>
        <v>5.3343097932766703E-2</v>
      </c>
      <c r="Z112" s="89">
        <f t="shared" ref="Z112:Z113" si="288">IF(Y47=0,"",Z47/Y47-1)</f>
        <v>-0.16856762936112191</v>
      </c>
      <c r="AA112" s="89">
        <f t="shared" ref="AA112:AA113" si="289">IF(Z47=0,"",AA47/Z47-1)</f>
        <v>9.1748086001583351E-2</v>
      </c>
    </row>
    <row r="113" spans="1:27" x14ac:dyDescent="0.25">
      <c r="A113" s="68" t="s">
        <v>4</v>
      </c>
      <c r="B113" s="44"/>
      <c r="C113" s="44"/>
      <c r="D113" s="89"/>
      <c r="E113" s="89" t="str">
        <f t="shared" si="267"/>
        <v/>
      </c>
      <c r="F113" s="89" t="str">
        <f t="shared" si="268"/>
        <v/>
      </c>
      <c r="G113" s="89" t="str">
        <f t="shared" si="269"/>
        <v/>
      </c>
      <c r="H113" s="89" t="str">
        <f t="shared" si="270"/>
        <v/>
      </c>
      <c r="I113" s="89" t="str">
        <f t="shared" si="271"/>
        <v/>
      </c>
      <c r="J113" s="89" t="str">
        <f t="shared" si="272"/>
        <v/>
      </c>
      <c r="K113" s="89" t="str">
        <f t="shared" si="273"/>
        <v/>
      </c>
      <c r="L113" s="89" t="str">
        <f t="shared" si="274"/>
        <v/>
      </c>
      <c r="M113" s="89" t="str">
        <f t="shared" si="275"/>
        <v/>
      </c>
      <c r="N113" s="89" t="str">
        <f t="shared" si="276"/>
        <v/>
      </c>
      <c r="O113" s="89" t="str">
        <f t="shared" si="277"/>
        <v/>
      </c>
      <c r="P113" s="89" t="str">
        <f t="shared" si="278"/>
        <v/>
      </c>
      <c r="Q113" s="89" t="str">
        <f t="shared" si="279"/>
        <v/>
      </c>
      <c r="R113" s="89" t="str">
        <f t="shared" si="280"/>
        <v/>
      </c>
      <c r="S113" s="89" t="str">
        <f t="shared" si="281"/>
        <v/>
      </c>
      <c r="T113" s="89" t="str">
        <f t="shared" si="282"/>
        <v/>
      </c>
      <c r="U113" s="89" t="str">
        <f t="shared" si="283"/>
        <v/>
      </c>
      <c r="V113" s="89" t="str">
        <f t="shared" si="284"/>
        <v/>
      </c>
      <c r="W113" s="89" t="str">
        <f t="shared" si="285"/>
        <v/>
      </c>
      <c r="X113" s="89" t="str">
        <f t="shared" si="286"/>
        <v/>
      </c>
      <c r="Y113" s="89" t="str">
        <f t="shared" si="287"/>
        <v/>
      </c>
      <c r="Z113" s="89" t="str">
        <f t="shared" si="288"/>
        <v/>
      </c>
      <c r="AA113" s="89" t="str">
        <f t="shared" si="289"/>
        <v/>
      </c>
    </row>
    <row r="114" spans="1:27" x14ac:dyDescent="0.25">
      <c r="A114" s="68" t="s">
        <v>3</v>
      </c>
      <c r="B114" s="44"/>
      <c r="C114" s="44"/>
      <c r="D114" s="89"/>
      <c r="E114" s="89" t="str">
        <f t="shared" ref="E114:E115" si="290">IF(D52=0,"",E52/D52-1)</f>
        <v/>
      </c>
      <c r="F114" s="89" t="str">
        <f t="shared" ref="F114:F115" si="291">IF(E52=0,"",F52/E52-1)</f>
        <v/>
      </c>
      <c r="G114" s="89" t="str">
        <f t="shared" ref="G114:G115" si="292">IF(F52=0,"",G52/F52-1)</f>
        <v/>
      </c>
      <c r="H114" s="89" t="str">
        <f t="shared" ref="H114:H115" si="293">IF(G52=0,"",H52/G52-1)</f>
        <v/>
      </c>
      <c r="I114" s="89" t="str">
        <f t="shared" ref="I114:I115" si="294">IF(H52=0,"",I52/H52-1)</f>
        <v/>
      </c>
      <c r="J114" s="89" t="str">
        <f t="shared" ref="J114:J115" si="295">IF(I52=0,"",J52/I52-1)</f>
        <v/>
      </c>
      <c r="K114" s="89" t="str">
        <f t="shared" ref="K114:K115" si="296">IF(J52=0,"",K52/J52-1)</f>
        <v/>
      </c>
      <c r="L114" s="89" t="str">
        <f t="shared" ref="L114:L115" si="297">IF(K52=0,"",L52/K52-1)</f>
        <v/>
      </c>
      <c r="M114" s="89" t="str">
        <f t="shared" ref="M114:M115" si="298">IF(L52=0,"",M52/L52-1)</f>
        <v/>
      </c>
      <c r="N114" s="89" t="str">
        <f t="shared" ref="N114:N115" si="299">IF(M52=0,"",N52/M52-1)</f>
        <v/>
      </c>
      <c r="O114" s="89">
        <f t="shared" ref="O114:O115" si="300">IF(N52=0,"",O52/N52-1)</f>
        <v>5.6272541578138879E-2</v>
      </c>
      <c r="P114" s="89">
        <f t="shared" ref="P114:P115" si="301">IF(O52=0,"",P52/O52-1)</f>
        <v>-4.1857885245296322E-2</v>
      </c>
      <c r="Q114" s="89">
        <f t="shared" ref="Q114:Q115" si="302">IF(P52=0,"",Q52/P52-1)</f>
        <v>-1.2665107058844161E-2</v>
      </c>
      <c r="R114" s="89">
        <f t="shared" ref="R114:R115" si="303">IF(Q52=0,"",R52/Q52-1)</f>
        <v>2.2242226782894781E-2</v>
      </c>
      <c r="S114" s="89">
        <f t="shared" ref="S114:S115" si="304">IF(R52=0,"",S52/R52-1)</f>
        <v>-2.5696760563380106E-2</v>
      </c>
      <c r="T114" s="89">
        <f t="shared" ref="T114:T115" si="305">IF(S52=0,"",T52/S52-1)</f>
        <v>-7.7058371423147864E-2</v>
      </c>
      <c r="U114" s="89">
        <f t="shared" ref="U114:U115" si="306">IF(T52=0,"",U52/T52-1)</f>
        <v>-0.14243774708948098</v>
      </c>
      <c r="V114" s="89">
        <f t="shared" ref="V114:V115" si="307">IF(U52=0,"",V52/U52-1)</f>
        <v>0.31377348473006172</v>
      </c>
      <c r="W114" s="89">
        <f t="shared" ref="W114:W115" si="308">IF(V52=0,"",W52/V52-1)</f>
        <v>5.4604752599311412E-2</v>
      </c>
      <c r="X114" s="89">
        <f t="shared" ref="X114:X115" si="309">IF(W52=0,"",X52/W52-1)</f>
        <v>0.13525738813616894</v>
      </c>
      <c r="Y114" s="89">
        <f t="shared" ref="Y114:Y115" si="310">IF(X52=0,"",Y52/X52-1)</f>
        <v>0.10250823954484978</v>
      </c>
      <c r="Z114" s="89">
        <f t="shared" ref="Z114:Z115" si="311">IF(Y52=0,"",Z52/Y52-1)</f>
        <v>0.11027167797389881</v>
      </c>
      <c r="AA114" s="89">
        <f t="shared" ref="AA114:AA115" si="312">IF(Z52=0,"",AA52/Z52-1)</f>
        <v>0.13072717250733756</v>
      </c>
    </row>
    <row r="115" spans="1:27" x14ac:dyDescent="0.25">
      <c r="A115" s="88" t="s">
        <v>21</v>
      </c>
      <c r="B115" s="44"/>
      <c r="C115" s="44"/>
      <c r="D115" s="89"/>
      <c r="E115" s="89" t="str">
        <f t="shared" si="290"/>
        <v/>
      </c>
      <c r="F115" s="89" t="str">
        <f t="shared" si="291"/>
        <v/>
      </c>
      <c r="G115" s="89" t="str">
        <f t="shared" si="292"/>
        <v/>
      </c>
      <c r="H115" s="89" t="str">
        <f t="shared" si="293"/>
        <v/>
      </c>
      <c r="I115" s="89" t="str">
        <f t="shared" si="294"/>
        <v/>
      </c>
      <c r="J115" s="89" t="str">
        <f t="shared" si="295"/>
        <v/>
      </c>
      <c r="K115" s="89" t="str">
        <f t="shared" si="296"/>
        <v/>
      </c>
      <c r="L115" s="89" t="str">
        <f t="shared" si="297"/>
        <v/>
      </c>
      <c r="M115" s="89" t="str">
        <f t="shared" si="298"/>
        <v/>
      </c>
      <c r="N115" s="89" t="str">
        <f t="shared" si="299"/>
        <v/>
      </c>
      <c r="O115" s="89" t="str">
        <f t="shared" si="300"/>
        <v/>
      </c>
      <c r="P115" s="89" t="str">
        <f t="shared" si="301"/>
        <v/>
      </c>
      <c r="Q115" s="89" t="str">
        <f t="shared" si="302"/>
        <v/>
      </c>
      <c r="R115" s="89" t="str">
        <f t="shared" si="303"/>
        <v/>
      </c>
      <c r="S115" s="89" t="str">
        <f t="shared" si="304"/>
        <v/>
      </c>
      <c r="T115" s="89" t="str">
        <f t="shared" si="305"/>
        <v/>
      </c>
      <c r="U115" s="89" t="str">
        <f t="shared" si="306"/>
        <v/>
      </c>
      <c r="V115" s="89" t="str">
        <f t="shared" si="307"/>
        <v/>
      </c>
      <c r="W115" s="89" t="str">
        <f t="shared" si="308"/>
        <v/>
      </c>
      <c r="X115" s="89" t="str">
        <f t="shared" si="309"/>
        <v/>
      </c>
      <c r="Y115" s="89" t="str">
        <f t="shared" si="310"/>
        <v/>
      </c>
      <c r="Z115" s="89" t="str">
        <f t="shared" si="311"/>
        <v/>
      </c>
      <c r="AA115" s="89" t="str">
        <f t="shared" si="312"/>
        <v/>
      </c>
    </row>
    <row r="116" spans="1:27" x14ac:dyDescent="0.25">
      <c r="A116" s="88" t="s">
        <v>16</v>
      </c>
      <c r="B116" s="44"/>
      <c r="C116" s="44"/>
      <c r="D116" s="89"/>
      <c r="E116" s="89" t="str">
        <f t="shared" ref="E116:E122" si="313">IF(D56=0,"",E56/D56-1)</f>
        <v/>
      </c>
      <c r="F116" s="89" t="str">
        <f t="shared" ref="F116:F122" si="314">IF(E56=0,"",F56/E56-1)</f>
        <v/>
      </c>
      <c r="G116" s="89" t="str">
        <f t="shared" ref="G116:G122" si="315">IF(F56=0,"",G56/F56-1)</f>
        <v/>
      </c>
      <c r="H116" s="89" t="str">
        <f t="shared" ref="H116:H122" si="316">IF(G56=0,"",H56/G56-1)</f>
        <v/>
      </c>
      <c r="I116" s="89" t="str">
        <f t="shared" ref="I116:I122" si="317">IF(H56=0,"",I56/H56-1)</f>
        <v/>
      </c>
      <c r="J116" s="89" t="str">
        <f t="shared" ref="J116:J122" si="318">IF(I56=0,"",J56/I56-1)</f>
        <v/>
      </c>
      <c r="K116" s="89" t="str">
        <f t="shared" ref="K116:K122" si="319">IF(J56=0,"",K56/J56-1)</f>
        <v/>
      </c>
      <c r="L116" s="89" t="str">
        <f t="shared" ref="L116:L122" si="320">IF(K56=0,"",L56/K56-1)</f>
        <v/>
      </c>
      <c r="M116" s="89" t="str">
        <f t="shared" ref="M116:M122" si="321">IF(L56=0,"",M56/L56-1)</f>
        <v/>
      </c>
      <c r="N116" s="89" t="str">
        <f t="shared" ref="N116:N122" si="322">IF(M56=0,"",N56/M56-1)</f>
        <v/>
      </c>
      <c r="O116" s="89">
        <f t="shared" ref="O116:O122" si="323">IF(N56=0,"",O56/N56-1)</f>
        <v>5.6272541578138879E-2</v>
      </c>
      <c r="P116" s="89">
        <f t="shared" ref="P116:P122" si="324">IF(O56=0,"",P56/O56-1)</f>
        <v>-4.1857885245296322E-2</v>
      </c>
      <c r="Q116" s="89">
        <f t="shared" ref="Q116:Q122" si="325">IF(P56=0,"",Q56/P56-1)</f>
        <v>-1.2665107058844161E-2</v>
      </c>
      <c r="R116" s="89">
        <f t="shared" ref="R116:R122" si="326">IF(Q56=0,"",R56/Q56-1)</f>
        <v>2.2242226782894781E-2</v>
      </c>
      <c r="S116" s="89">
        <f t="shared" ref="S116:S122" si="327">IF(R56=0,"",S56/R56-1)</f>
        <v>-2.5696760563380106E-2</v>
      </c>
      <c r="T116" s="89">
        <f t="shared" ref="T116:T122" si="328">IF(S56=0,"",T56/S56-1)</f>
        <v>-7.7058371423147864E-2</v>
      </c>
      <c r="U116" s="89">
        <f t="shared" ref="U116:U122" si="329">IF(T56=0,"",U56/T56-1)</f>
        <v>-0.14243774708948098</v>
      </c>
      <c r="V116" s="89">
        <f t="shared" ref="V116:V122" si="330">IF(U56=0,"",V56/U56-1)</f>
        <v>0.31377348473006172</v>
      </c>
      <c r="W116" s="89">
        <f t="shared" ref="W116:W122" si="331">IF(V56=0,"",W56/V56-1)</f>
        <v>5.4604752599311412E-2</v>
      </c>
      <c r="X116" s="89">
        <f t="shared" ref="X116:X122" si="332">IF(W56=0,"",X56/W56-1)</f>
        <v>0.13525738813616894</v>
      </c>
      <c r="Y116" s="89">
        <f t="shared" ref="Y116:Y122" si="333">IF(X56=0,"",Y56/X56-1)</f>
        <v>0.10250823954484978</v>
      </c>
      <c r="Z116" s="89">
        <f t="shared" ref="Z116:Z122" si="334">IF(Y56=0,"",Z56/Y56-1)</f>
        <v>0.11027167797389881</v>
      </c>
      <c r="AA116" s="89">
        <f t="shared" ref="AA116:AA122" si="335">IF(Z56=0,"",AA56/Z56-1)</f>
        <v>0.13072717250733756</v>
      </c>
    </row>
    <row r="117" spans="1:27" x14ac:dyDescent="0.25">
      <c r="A117" s="68" t="s">
        <v>2</v>
      </c>
      <c r="B117" s="44"/>
      <c r="C117" s="44"/>
      <c r="D117" s="89"/>
      <c r="E117" s="89" t="str">
        <f t="shared" si="313"/>
        <v/>
      </c>
      <c r="F117" s="89" t="str">
        <f t="shared" si="314"/>
        <v/>
      </c>
      <c r="G117" s="89" t="str">
        <f t="shared" si="315"/>
        <v/>
      </c>
      <c r="H117" s="89" t="str">
        <f t="shared" si="316"/>
        <v/>
      </c>
      <c r="I117" s="89" t="str">
        <f t="shared" si="317"/>
        <v/>
      </c>
      <c r="J117" s="89" t="str">
        <f t="shared" si="318"/>
        <v/>
      </c>
      <c r="K117" s="89" t="str">
        <f t="shared" si="319"/>
        <v/>
      </c>
      <c r="L117" s="89" t="str">
        <f t="shared" si="320"/>
        <v/>
      </c>
      <c r="M117" s="89" t="str">
        <f t="shared" si="321"/>
        <v/>
      </c>
      <c r="N117" s="89" t="str">
        <f t="shared" si="322"/>
        <v/>
      </c>
      <c r="O117" s="89">
        <f t="shared" si="323"/>
        <v>1.3535539210437708E-2</v>
      </c>
      <c r="P117" s="89">
        <f t="shared" si="324"/>
        <v>1.0750247399226476E-2</v>
      </c>
      <c r="Q117" s="89">
        <f t="shared" si="325"/>
        <v>0.11900576277068642</v>
      </c>
      <c r="R117" s="89">
        <f t="shared" si="326"/>
        <v>0.13018274647526473</v>
      </c>
      <c r="S117" s="89">
        <f t="shared" si="327"/>
        <v>2.6872374906646845E-2</v>
      </c>
      <c r="T117" s="89">
        <f t="shared" si="328"/>
        <v>-4.7677733766610886E-2</v>
      </c>
      <c r="U117" s="89">
        <f t="shared" si="329"/>
        <v>1.4173098732669809E-2</v>
      </c>
      <c r="V117" s="89">
        <f t="shared" si="330"/>
        <v>-2.5297436658007322E-2</v>
      </c>
      <c r="W117" s="89">
        <f t="shared" si="331"/>
        <v>-2.0107437367300696E-2</v>
      </c>
      <c r="X117" s="89">
        <f t="shared" si="332"/>
        <v>-0.14777026381551239</v>
      </c>
      <c r="Y117" s="89">
        <f t="shared" si="333"/>
        <v>-3.2044740633439761E-2</v>
      </c>
      <c r="Z117" s="89">
        <f t="shared" si="334"/>
        <v>0.14395173304184894</v>
      </c>
      <c r="AA117" s="89">
        <f t="shared" si="335"/>
        <v>4.4987919378719932E-2</v>
      </c>
    </row>
    <row r="118" spans="1:27" x14ac:dyDescent="0.25">
      <c r="A118" s="68" t="s">
        <v>269</v>
      </c>
      <c r="B118" s="44"/>
      <c r="C118" s="44"/>
      <c r="D118" s="89"/>
      <c r="E118" s="89" t="str">
        <f t="shared" si="313"/>
        <v/>
      </c>
      <c r="F118" s="89" t="str">
        <f t="shared" si="314"/>
        <v/>
      </c>
      <c r="G118" s="89" t="str">
        <f t="shared" si="315"/>
        <v/>
      </c>
      <c r="H118" s="89" t="str">
        <f t="shared" si="316"/>
        <v/>
      </c>
      <c r="I118" s="89" t="str">
        <f t="shared" si="317"/>
        <v/>
      </c>
      <c r="J118" s="89" t="str">
        <f t="shared" si="318"/>
        <v/>
      </c>
      <c r="K118" s="89" t="str">
        <f t="shared" si="319"/>
        <v/>
      </c>
      <c r="L118" s="89" t="str">
        <f t="shared" si="320"/>
        <v/>
      </c>
      <c r="M118" s="89" t="str">
        <f t="shared" si="321"/>
        <v/>
      </c>
      <c r="N118" s="89" t="str">
        <f t="shared" si="322"/>
        <v/>
      </c>
      <c r="O118" s="89">
        <f t="shared" si="323"/>
        <v>7.2004239111275625E-2</v>
      </c>
      <c r="P118" s="89">
        <f t="shared" si="324"/>
        <v>0.2279028410410413</v>
      </c>
      <c r="Q118" s="89">
        <f t="shared" si="325"/>
        <v>0.16322483122488629</v>
      </c>
      <c r="R118" s="89">
        <f t="shared" si="326"/>
        <v>0.11661790471072142</v>
      </c>
      <c r="S118" s="89">
        <f t="shared" si="327"/>
        <v>2.3007540687161043E-2</v>
      </c>
      <c r="T118" s="89">
        <f t="shared" si="328"/>
        <v>7.7630479161657329E-2</v>
      </c>
      <c r="U118" s="89">
        <f t="shared" si="329"/>
        <v>6.1646243471273676E-2</v>
      </c>
      <c r="V118" s="89">
        <f t="shared" si="330"/>
        <v>-0.13913696723549385</v>
      </c>
      <c r="W118" s="89">
        <f t="shared" si="331"/>
        <v>5.505075594389286E-3</v>
      </c>
      <c r="X118" s="89">
        <f t="shared" si="332"/>
        <v>-0.1715882721556431</v>
      </c>
      <c r="Y118" s="89">
        <f t="shared" si="333"/>
        <v>0.18114621685377297</v>
      </c>
      <c r="Z118" s="89">
        <f t="shared" si="334"/>
        <v>0.11175197095772438</v>
      </c>
      <c r="AA118" s="89">
        <f t="shared" si="335"/>
        <v>-5.4631142604589233E-2</v>
      </c>
    </row>
    <row r="119" spans="1:27" x14ac:dyDescent="0.25">
      <c r="A119" s="68" t="s">
        <v>270</v>
      </c>
      <c r="B119" s="44"/>
      <c r="C119" s="44"/>
      <c r="D119" s="89"/>
      <c r="E119" s="89" t="str">
        <f t="shared" si="313"/>
        <v/>
      </c>
      <c r="F119" s="89" t="str">
        <f t="shared" si="314"/>
        <v/>
      </c>
      <c r="G119" s="89" t="str">
        <f t="shared" si="315"/>
        <v/>
      </c>
      <c r="H119" s="89" t="str">
        <f t="shared" si="316"/>
        <v/>
      </c>
      <c r="I119" s="89" t="str">
        <f t="shared" si="317"/>
        <v/>
      </c>
      <c r="J119" s="89" t="str">
        <f t="shared" si="318"/>
        <v/>
      </c>
      <c r="K119" s="89" t="str">
        <f t="shared" si="319"/>
        <v/>
      </c>
      <c r="L119" s="89" t="str">
        <f t="shared" si="320"/>
        <v/>
      </c>
      <c r="M119" s="89" t="str">
        <f t="shared" si="321"/>
        <v/>
      </c>
      <c r="N119" s="89" t="str">
        <f t="shared" si="322"/>
        <v/>
      </c>
      <c r="O119" s="89" t="str">
        <f t="shared" si="323"/>
        <v/>
      </c>
      <c r="P119" s="89" t="str">
        <f t="shared" si="324"/>
        <v/>
      </c>
      <c r="Q119" s="89" t="str">
        <f t="shared" si="325"/>
        <v/>
      </c>
      <c r="R119" s="89" t="str">
        <f t="shared" si="326"/>
        <v/>
      </c>
      <c r="S119" s="89">
        <f t="shared" si="327"/>
        <v>-8.1251218274111525E-2</v>
      </c>
      <c r="T119" s="89">
        <f t="shared" si="328"/>
        <v>2.1786280614244369E-2</v>
      </c>
      <c r="U119" s="89">
        <f t="shared" si="329"/>
        <v>-7.8510846143706958E-2</v>
      </c>
      <c r="V119" s="89">
        <f t="shared" si="330"/>
        <v>0.98689920673597586</v>
      </c>
      <c r="W119" s="89">
        <f t="shared" si="331"/>
        <v>-0.32173265037791465</v>
      </c>
      <c r="X119" s="89">
        <f t="shared" si="332"/>
        <v>0.51099894373782773</v>
      </c>
      <c r="Y119" s="89">
        <f t="shared" si="333"/>
        <v>1.2126947955938716E-2</v>
      </c>
      <c r="Z119" s="89">
        <f t="shared" si="334"/>
        <v>2.9370587454906145</v>
      </c>
      <c r="AA119" s="89">
        <f t="shared" si="335"/>
        <v>6.287925584323184E-2</v>
      </c>
    </row>
    <row r="120" spans="1:27" x14ac:dyDescent="0.25">
      <c r="A120" s="68" t="s">
        <v>1</v>
      </c>
      <c r="B120" s="44"/>
      <c r="C120" s="44"/>
      <c r="D120" s="89"/>
      <c r="E120" s="89" t="str">
        <f t="shared" si="313"/>
        <v/>
      </c>
      <c r="F120" s="89" t="str">
        <f t="shared" si="314"/>
        <v/>
      </c>
      <c r="G120" s="89" t="str">
        <f t="shared" si="315"/>
        <v/>
      </c>
      <c r="H120" s="89" t="str">
        <f t="shared" si="316"/>
        <v/>
      </c>
      <c r="I120" s="89" t="str">
        <f t="shared" si="317"/>
        <v/>
      </c>
      <c r="J120" s="89" t="str">
        <f t="shared" si="318"/>
        <v/>
      </c>
      <c r="K120" s="89" t="str">
        <f t="shared" si="319"/>
        <v/>
      </c>
      <c r="L120" s="89" t="str">
        <f t="shared" si="320"/>
        <v/>
      </c>
      <c r="M120" s="89" t="str">
        <f t="shared" si="321"/>
        <v/>
      </c>
      <c r="N120" s="89" t="str">
        <f t="shared" si="322"/>
        <v/>
      </c>
      <c r="O120" s="89">
        <f t="shared" si="323"/>
        <v>7.5062022925846517E-2</v>
      </c>
      <c r="P120" s="89">
        <f t="shared" si="324"/>
        <v>-5.0589419254099877E-2</v>
      </c>
      <c r="Q120" s="89">
        <f t="shared" si="325"/>
        <v>-0.30693879139347968</v>
      </c>
      <c r="R120" s="89">
        <f t="shared" si="326"/>
        <v>-0.17912387740187286</v>
      </c>
      <c r="S120" s="89">
        <f t="shared" si="327"/>
        <v>-5.777414772727274E-2</v>
      </c>
      <c r="T120" s="89">
        <f t="shared" si="328"/>
        <v>-8.0935148486415143E-2</v>
      </c>
      <c r="U120" s="89">
        <f t="shared" si="329"/>
        <v>9.4358032485794441E-2</v>
      </c>
      <c r="V120" s="89">
        <f t="shared" si="330"/>
        <v>5.8011258061214876E-2</v>
      </c>
      <c r="W120" s="89">
        <f t="shared" si="331"/>
        <v>-0.13236866951895687</v>
      </c>
      <c r="X120" s="89">
        <f t="shared" si="332"/>
        <v>-3.0226839288068907E-2</v>
      </c>
      <c r="Y120" s="89">
        <f t="shared" si="333"/>
        <v>0.14405479031767188</v>
      </c>
      <c r="Z120" s="89">
        <f t="shared" si="334"/>
        <v>-9.9616313599604545E-2</v>
      </c>
      <c r="AA120" s="89">
        <f t="shared" si="335"/>
        <v>-0.10631476969845921</v>
      </c>
    </row>
    <row r="121" spans="1:27" x14ac:dyDescent="0.25">
      <c r="A121" s="68" t="s">
        <v>0</v>
      </c>
      <c r="B121" s="44"/>
      <c r="C121" s="44"/>
      <c r="D121" s="89"/>
      <c r="E121" s="89" t="str">
        <f t="shared" si="313"/>
        <v/>
      </c>
      <c r="F121" s="89" t="str">
        <f t="shared" si="314"/>
        <v/>
      </c>
      <c r="G121" s="89" t="str">
        <f t="shared" si="315"/>
        <v/>
      </c>
      <c r="H121" s="89" t="str">
        <f t="shared" si="316"/>
        <v/>
      </c>
      <c r="I121" s="89" t="str">
        <f t="shared" si="317"/>
        <v/>
      </c>
      <c r="J121" s="89" t="str">
        <f t="shared" si="318"/>
        <v/>
      </c>
      <c r="K121" s="89" t="str">
        <f t="shared" si="319"/>
        <v/>
      </c>
      <c r="L121" s="89" t="str">
        <f t="shared" si="320"/>
        <v/>
      </c>
      <c r="M121" s="89" t="str">
        <f t="shared" si="321"/>
        <v/>
      </c>
      <c r="N121" s="89" t="str">
        <f t="shared" si="322"/>
        <v/>
      </c>
      <c r="O121" s="89" t="str">
        <f t="shared" si="323"/>
        <v/>
      </c>
      <c r="P121" s="89" t="str">
        <f t="shared" si="324"/>
        <v/>
      </c>
      <c r="Q121" s="89" t="str">
        <f t="shared" si="325"/>
        <v/>
      </c>
      <c r="R121" s="89" t="str">
        <f t="shared" si="326"/>
        <v/>
      </c>
      <c r="S121" s="89" t="str">
        <f t="shared" si="327"/>
        <v/>
      </c>
      <c r="T121" s="89" t="str">
        <f t="shared" si="328"/>
        <v/>
      </c>
      <c r="U121" s="89" t="str">
        <f t="shared" si="329"/>
        <v/>
      </c>
      <c r="V121" s="89" t="str">
        <f t="shared" si="330"/>
        <v/>
      </c>
      <c r="W121" s="89" t="str">
        <f t="shared" si="331"/>
        <v/>
      </c>
      <c r="X121" s="89" t="str">
        <f t="shared" si="332"/>
        <v/>
      </c>
      <c r="Y121" s="89" t="str">
        <f t="shared" si="333"/>
        <v/>
      </c>
      <c r="Z121" s="89" t="str">
        <f t="shared" si="334"/>
        <v/>
      </c>
      <c r="AA121" s="89" t="str">
        <f t="shared" si="335"/>
        <v/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-0.11858785452550313</v>
      </c>
      <c r="F122" s="91">
        <f t="shared" si="314"/>
        <v>7.4653781169350175E-2</v>
      </c>
      <c r="G122" s="91">
        <f t="shared" si="315"/>
        <v>4.1868280570967586E-2</v>
      </c>
      <c r="H122" s="91">
        <f t="shared" si="316"/>
        <v>-9.3423943843544022E-2</v>
      </c>
      <c r="I122" s="91">
        <f t="shared" si="317"/>
        <v>-0.11624486394911149</v>
      </c>
      <c r="J122" s="91">
        <f t="shared" si="318"/>
        <v>-5.0462825294149138E-2</v>
      </c>
      <c r="K122" s="91">
        <f t="shared" si="319"/>
        <v>-1.8475443333853758E-2</v>
      </c>
      <c r="L122" s="91">
        <f t="shared" si="320"/>
        <v>0.10076236585264686</v>
      </c>
      <c r="M122" s="91">
        <f t="shared" si="321"/>
        <v>-0.12625693903145729</v>
      </c>
      <c r="N122" s="91">
        <f t="shared" si="322"/>
        <v>-0.46994194925107502</v>
      </c>
      <c r="O122" s="91">
        <f t="shared" si="323"/>
        <v>-1.3763598041530489E-2</v>
      </c>
      <c r="P122" s="91">
        <f t="shared" si="324"/>
        <v>2.0338964532316428E-2</v>
      </c>
      <c r="Q122" s="91">
        <f t="shared" si="325"/>
        <v>-0.11137519345356062</v>
      </c>
      <c r="R122" s="91">
        <f t="shared" si="326"/>
        <v>-0.12758940388446216</v>
      </c>
      <c r="S122" s="91">
        <f t="shared" si="327"/>
        <v>-0.12490239100817424</v>
      </c>
      <c r="T122" s="91">
        <f t="shared" si="328"/>
        <v>6.1008497402442741E-2</v>
      </c>
      <c r="U122" s="91">
        <f t="shared" si="329"/>
        <v>-2.6367393153251317E-2</v>
      </c>
      <c r="V122" s="91">
        <f t="shared" si="330"/>
        <v>7.4705165875898816E-2</v>
      </c>
      <c r="W122" s="91">
        <f t="shared" si="331"/>
        <v>7.901651047266256E-2</v>
      </c>
      <c r="X122" s="91">
        <f t="shared" si="332"/>
        <v>-5.6846589145162829E-2</v>
      </c>
      <c r="Y122" s="91">
        <f t="shared" si="333"/>
        <v>5.822408072857499E-2</v>
      </c>
      <c r="Z122" s="91">
        <f t="shared" si="334"/>
        <v>-0.18515122194914768</v>
      </c>
      <c r="AA122" s="91">
        <f t="shared" si="335"/>
        <v>-2.4514420074236543E-2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2025-11-06T10:28:11Z</dcterms:created>
  <dcterms:modified xsi:type="dcterms:W3CDTF">2025-11-06T10:28:11Z</dcterms:modified>
</cp:coreProperties>
</file>