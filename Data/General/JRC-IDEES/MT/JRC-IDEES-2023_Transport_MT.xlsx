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M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X27" i="9"/>
  <c r="Y40" i="3"/>
  <c r="X25" i="9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48" i="13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Y44" i="12"/>
  <c r="X54" i="3"/>
  <c r="Y53" i="3"/>
  <c r="X4" i="12"/>
  <c r="Y45" i="3"/>
  <c r="X45" i="3"/>
  <c r="X83" i="3"/>
  <c r="Y76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4" i="3"/>
  <c r="Y44" i="3"/>
  <c r="X44" i="3"/>
  <c r="Y42" i="3"/>
  <c r="Y31" i="3"/>
  <c r="Y30" i="3"/>
  <c r="Y25" i="3"/>
  <c r="Y10" i="3"/>
  <c r="Y41" i="12" l="1"/>
  <c r="Y55" i="3"/>
  <c r="Y207" i="3" s="1"/>
  <c r="X90" i="8"/>
  <c r="X75" i="3"/>
  <c r="X227" i="3" s="1"/>
  <c r="X29" i="9"/>
  <c r="Y57" i="8"/>
  <c r="Y79" i="8" s="1"/>
  <c r="Y75" i="3"/>
  <c r="Y29" i="9"/>
  <c r="X91" i="8"/>
  <c r="X41" i="12"/>
  <c r="Y54" i="3"/>
  <c r="Y91" i="8"/>
  <c r="X55" i="3"/>
  <c r="X207" i="3" s="1"/>
  <c r="X31" i="9"/>
  <c r="Y53" i="9"/>
  <c r="Y44" i="11"/>
  <c r="Y43" i="9"/>
  <c r="X46" i="3"/>
  <c r="X43" i="3" s="1"/>
  <c r="X53" i="3"/>
  <c r="Y15" i="14"/>
  <c r="Y21" i="14" s="1"/>
  <c r="X19" i="12"/>
  <c r="Y69" i="11"/>
  <c r="X3" i="20"/>
  <c r="X22" i="20" s="1"/>
  <c r="Y7" i="18"/>
  <c r="Y21" i="18" s="1"/>
  <c r="Y39" i="12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2" i="15" s="1"/>
  <c r="X13" i="14"/>
  <c r="X19" i="14" s="1"/>
  <c r="Y15" i="3"/>
  <c r="Y197" i="3" s="1"/>
  <c r="X23" i="3"/>
  <c r="X235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X26" i="8"/>
  <c r="X25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60" i="3" s="1"/>
  <c r="Y10" i="19"/>
  <c r="Y25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X69" i="12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8" i="11"/>
  <c r="Y80" i="11" s="1"/>
  <c r="Y101" i="11"/>
  <c r="X4" i="10"/>
  <c r="X22" i="10" s="1"/>
  <c r="X23" i="10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1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23" i="15"/>
  <c r="X15" i="15"/>
  <c r="X37" i="13"/>
  <c r="X27" i="13"/>
  <c r="X10" i="13"/>
  <c r="X30" i="12"/>
  <c r="X20" i="12"/>
  <c r="X70" i="12" s="1"/>
  <c r="X5" i="12"/>
  <c r="X19" i="13" s="1"/>
  <c r="X40" i="12"/>
  <c r="X117" i="11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08" i="8"/>
  <c r="X17" i="8"/>
  <c r="X21" i="8"/>
  <c r="X123" i="8" s="1"/>
  <c r="X97" i="8"/>
  <c r="X101" i="8"/>
  <c r="X22" i="3" l="1"/>
  <c r="X52" i="3"/>
  <c r="X204" i="3" s="1"/>
  <c r="Y52" i="3"/>
  <c r="X21" i="20"/>
  <c r="Y73" i="3"/>
  <c r="X24" i="19"/>
  <c r="Y10" i="17"/>
  <c r="Y227" i="3"/>
  <c r="Y11" i="20"/>
  <c r="X4" i="8"/>
  <c r="X94" i="8" s="1"/>
  <c r="Y3" i="16"/>
  <c r="Y27" i="16" s="1"/>
  <c r="X96" i="8"/>
  <c r="Y206" i="3"/>
  <c r="Y3" i="12"/>
  <c r="Y55" i="12" s="1"/>
  <c r="X80" i="11"/>
  <c r="Y96" i="11"/>
  <c r="X23" i="20"/>
  <c r="X122" i="11"/>
  <c r="Y23" i="18"/>
  <c r="X3" i="16"/>
  <c r="X28" i="16" s="1"/>
  <c r="Y20" i="14"/>
  <c r="Y3" i="19"/>
  <c r="Y28" i="19" s="1"/>
  <c r="X10" i="20"/>
  <c r="X20" i="19"/>
  <c r="X3" i="19"/>
  <c r="X28" i="19" s="1"/>
  <c r="Y13" i="18"/>
  <c r="X86" i="3"/>
  <c r="X238" i="3" s="1"/>
  <c r="Y20" i="16"/>
  <c r="Y57" i="3"/>
  <c r="Y209" i="3" s="1"/>
  <c r="X21" i="15"/>
  <c r="X198" i="3"/>
  <c r="Y25" i="14"/>
  <c r="X43" i="11"/>
  <c r="X13" i="11"/>
  <c r="X116" i="11"/>
  <c r="Y27" i="14"/>
  <c r="X25" i="14"/>
  <c r="X41" i="9"/>
  <c r="X36" i="8"/>
  <c r="X192" i="3"/>
  <c r="Y22" i="13"/>
  <c r="X89" i="3"/>
  <c r="X181" i="3" s="1"/>
  <c r="X118" i="11"/>
  <c r="Y22" i="18"/>
  <c r="X112" i="8"/>
  <c r="Y36" i="8"/>
  <c r="X233" i="3"/>
  <c r="X22" i="17"/>
  <c r="X13" i="20"/>
  <c r="X44" i="10"/>
  <c r="Y13" i="15"/>
  <c r="X205" i="3"/>
  <c r="Y18" i="15"/>
  <c r="Y13" i="3"/>
  <c r="Y43" i="11"/>
  <c r="X100" i="8"/>
  <c r="Y17" i="15"/>
  <c r="Y198" i="3"/>
  <c r="X111" i="8"/>
  <c r="X76" i="11"/>
  <c r="X41" i="3"/>
  <c r="X39" i="3" s="1"/>
  <c r="X61" i="8"/>
  <c r="X11" i="9"/>
  <c r="X46" i="9" s="1"/>
  <c r="X113" i="8"/>
  <c r="X224" i="3"/>
  <c r="Y111" i="11"/>
  <c r="Y42" i="13"/>
  <c r="Y12" i="14"/>
  <c r="Y24" i="14" s="1"/>
  <c r="X13" i="3"/>
  <c r="X195" i="3" s="1"/>
  <c r="X37" i="9"/>
  <c r="X3" i="12"/>
  <c r="X51" i="12" s="1"/>
  <c r="Y23" i="10"/>
  <c r="Y22" i="10"/>
  <c r="Y117" i="11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56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38" i="10"/>
  <c r="X8" i="10"/>
  <c r="X60" i="10" s="1"/>
  <c r="Y44" i="10"/>
  <c r="Y55" i="10"/>
  <c r="Y33" i="10"/>
  <c r="Y81" i="3"/>
  <c r="X106" i="8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X49" i="12"/>
  <c r="Y240" i="3"/>
  <c r="Y122" i="3"/>
  <c r="Y32" i="12"/>
  <c r="Y22" i="12"/>
  <c r="Y72" i="12" s="1"/>
  <c r="Y42" i="12"/>
  <c r="Y41" i="9"/>
  <c r="Y30" i="9"/>
  <c r="Y52" i="9"/>
  <c r="Y51" i="3"/>
  <c r="X18" i="15"/>
  <c r="X107" i="8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Y204" i="3"/>
  <c r="X13" i="18"/>
  <c r="X17" i="18"/>
  <c r="X19" i="18"/>
  <c r="Y27" i="19"/>
  <c r="Y23" i="19"/>
  <c r="Y19" i="19"/>
  <c r="X109" i="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62" i="10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12" i="3"/>
  <c r="X59" i="3"/>
  <c r="X153" i="3" s="1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Y86" i="3"/>
  <c r="Y22" i="17"/>
  <c r="Y53" i="12"/>
  <c r="Y49" i="12"/>
  <c r="X23" i="18"/>
  <c r="X27" i="16" l="1"/>
  <c r="X105" i="8"/>
  <c r="Y17" i="12"/>
  <c r="Y67" i="12" s="1"/>
  <c r="X23" i="16"/>
  <c r="X23" i="19"/>
  <c r="Y9" i="17"/>
  <c r="X19" i="19"/>
  <c r="X19" i="16"/>
  <c r="X27" i="19"/>
  <c r="X9" i="17"/>
  <c r="Y19" i="16"/>
  <c r="Y28" i="16"/>
  <c r="Y9" i="20"/>
  <c r="Y23" i="16"/>
  <c r="Y52" i="12"/>
  <c r="Y48" i="12"/>
  <c r="Y29" i="19"/>
  <c r="Y47" i="12"/>
  <c r="Y54" i="12"/>
  <c r="Y50" i="12"/>
  <c r="Y51" i="12"/>
  <c r="Y195" i="3"/>
  <c r="X209" i="3"/>
  <c r="Y18" i="14"/>
  <c r="Y56" i="3"/>
  <c r="Y208" i="3" s="1"/>
  <c r="X95" i="11"/>
  <c r="X225" i="3"/>
  <c r="X183" i="3"/>
  <c r="X182" i="3"/>
  <c r="X29" i="19"/>
  <c r="X9" i="20"/>
  <c r="Y225" i="3"/>
  <c r="Y95" i="11"/>
  <c r="X193" i="3"/>
  <c r="Y37" i="12"/>
  <c r="X10" i="9"/>
  <c r="X57" i="9" s="1"/>
  <c r="X35" i="9"/>
  <c r="X24" i="9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191" i="3"/>
  <c r="X211" i="3"/>
  <c r="X151" i="3"/>
  <c r="X60" i="9"/>
  <c r="X64" i="9"/>
  <c r="X62" i="9"/>
  <c r="X58" i="9"/>
  <c r="X61" i="9"/>
  <c r="X63" i="9"/>
  <c r="X59" i="9"/>
  <c r="X65" i="9"/>
  <c r="X152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45" i="9" l="1"/>
  <c r="X56" i="9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4" i="1"/>
  <c r="B26" i="1"/>
  <c r="B25" i="1"/>
  <c r="S242" i="3" l="1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L20" i="19"/>
  <c r="L10" i="20"/>
  <c r="Q25" i="19"/>
  <c r="Q21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E13" i="18" l="1"/>
  <c r="R25" i="19"/>
  <c r="W23" i="20"/>
  <c r="M22" i="20"/>
  <c r="E17" i="20"/>
  <c r="F20" i="19"/>
  <c r="F24" i="19"/>
  <c r="I22" i="18"/>
  <c r="N29" i="3"/>
  <c r="N123" i="3" s="1"/>
  <c r="E18" i="18"/>
  <c r="E19" i="18"/>
  <c r="J11" i="20"/>
  <c r="M23" i="20"/>
  <c r="P10" i="20"/>
  <c r="R21" i="19"/>
  <c r="W24" i="19"/>
  <c r="N13" i="20"/>
  <c r="G18" i="18"/>
  <c r="U19" i="18"/>
  <c r="K23" i="18"/>
  <c r="H25" i="19"/>
  <c r="F22" i="20"/>
  <c r="H20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U121" i="3" l="1"/>
  <c r="Q9" i="20"/>
  <c r="U122" i="3"/>
  <c r="F183" i="3"/>
  <c r="N241" i="3"/>
  <c r="N27" i="19"/>
  <c r="N121" i="3"/>
  <c r="E23" i="19"/>
  <c r="E27" i="19"/>
  <c r="F182" i="3"/>
  <c r="N19" i="19"/>
  <c r="W9" i="20"/>
  <c r="N9" i="20"/>
  <c r="M9" i="20"/>
  <c r="N29" i="19"/>
  <c r="M29" i="19"/>
  <c r="M28" i="19"/>
  <c r="W29" i="19"/>
  <c r="M23" i="19"/>
  <c r="M19" i="19"/>
  <c r="Q23" i="19"/>
  <c r="H27" i="19"/>
  <c r="H1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E36" i="8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V77" i="8" s="1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6" i="1"/>
  <c r="B8" i="1"/>
  <c r="B9" i="1"/>
  <c r="B13" i="1"/>
  <c r="B20" i="1"/>
  <c r="B4" i="1"/>
  <c r="B21" i="1"/>
  <c r="B11" i="1"/>
  <c r="B7" i="1"/>
  <c r="B12" i="1"/>
  <c r="B17" i="1"/>
  <c r="B18" i="1"/>
  <c r="B15" i="1"/>
  <c r="B22" i="1"/>
  <c r="B6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 s="1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 s="1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 s="1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 s="1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268" i="4" s="1"/>
  <c r="X184" i="4"/>
  <c r="X187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X265" i="4" l="1"/>
  <c r="D131" i="5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7" i="4" l="1"/>
  <c r="Y268" i="4"/>
  <c r="Y265" i="4"/>
  <c r="Y184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 s="1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<sst xmlns="http://schemas.openxmlformats.org/spreadsheetml/2006/main" count="2657" uniqueCount="1169">
  <si>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</si>
  <si>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</si>
  <si>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</si>
  <si>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</si>
  <si>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</si>
  <si>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</si>
  <si>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</si>
  <si>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</si>
  <si>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</si>
  <si>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</si>
  <si>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</si>
  <si>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</si>
  <si>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</si>
  <si>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</si>
  <si>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</si>
  <si>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</si>
  <si>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</si>
  <si>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</si>
  <si>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</si>
  <si>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</si>
  <si>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</si>
  <si>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</si>
  <si>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</si>
  <si>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</si>
  <si>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</si>
  <si>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</si>
  <si>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</si>
  <si>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</si>
  <si>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</si>
  <si>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</si>
  <si>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</si>
  <si>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</si>
  <si>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</si>
  <si>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</si>
  <si>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</si>
  <si>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</si>
  <si>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</si>
  <si>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</si>
  <si>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</si>
  <si>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</si>
  <si>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</si>
  <si>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</si>
  <si>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</si>
  <si>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</si>
  <si>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</si>
  <si>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</si>
  <si>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</si>
  <si>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</si>
  <si>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</si>
  <si>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</si>
  <si>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</si>
  <si>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</si>
  <si>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</si>
  <si>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</si>
  <si>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</si>
  <si>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</si>
  <si>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</si>
  <si>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</si>
  <si>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</si>
  <si>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</si>
  <si>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</si>
  <si>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</si>
  <si>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</si>
  <si>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</si>
  <si>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</si>
  <si>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</si>
  <si>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</si>
  <si>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</si>
  <si>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</si>
  <si>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</si>
  <si>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</si>
  <si>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</si>
  <si>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</si>
  <si>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</si>
  <si>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</si>
  <si>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</si>
  <si>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</si>
  <si>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</si>
  <si>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</si>
  <si>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</si>
  <si>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</si>
  <si>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</si>
  <si>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</si>
  <si>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</si>
  <si>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</si>
  <si>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</si>
  <si>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</si>
  <si>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</si>
  <si>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</si>
  <si>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</si>
  <si>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</si>
  <si>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</si>
  <si>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</si>
  <si>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</si>
  <si>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</si>
  <si>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</si>
  <si>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</si>
  <si>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</si>
  <si>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</si>
  <si>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</si>
  <si>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</si>
  <si>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</si>
  <si>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</si>
  <si>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</si>
  <si>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</si>
  <si>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</si>
  <si>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</si>
  <si>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</si>
  <si>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</si>
  <si>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</si>
  <si>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</si>
  <si>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</si>
  <si>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</si>
  <si>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</si>
  <si>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</si>
  <si>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</si>
  <si>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</si>
  <si>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</si>
  <si>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</si>
  <si>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</si>
  <si>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</si>
  <si>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</si>
  <si>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</si>
  <si>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</si>
  <si>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</si>
  <si>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</si>
  <si>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</si>
  <si>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</si>
  <si>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</si>
  <si>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</si>
  <si>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</si>
  <si>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</si>
  <si>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</si>
  <si>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</si>
  <si>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</si>
  <si>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</si>
  <si>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</si>
  <si>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</si>
  <si>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</si>
  <si>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</si>
  <si>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</si>
  <si>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</si>
  <si>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</si>
  <si>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</si>
  <si>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</si>
  <si>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</si>
  <si>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</si>
  <si>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</si>
  <si>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</si>
  <si>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</si>
  <si>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</si>
  <si>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</si>
  <si>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</si>
  <si>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</si>
  <si>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</si>
  <si>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</si>
  <si>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</si>
  <si>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</si>
  <si>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</si>
  <si>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</si>
  <si>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</si>
  <si>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</si>
  <si>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</si>
  <si>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</si>
  <si>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</si>
  <si>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</si>
  <si>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</si>
  <si>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</si>
  <si>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</si>
  <si>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</si>
  <si>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</si>
  <si>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</si>
  <si>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</si>
  <si>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</si>
  <si>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</si>
  <si>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</si>
  <si>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</si>
  <si>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</si>
  <si>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</si>
  <si>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</si>
  <si>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</si>
  <si>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</si>
  <si>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</si>
  <si>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</si>
  <si>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</si>
  <si>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</si>
  <si>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</si>
  <si>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MT</t>
  </si>
  <si>
    <t>Malta</t>
  </si>
  <si>
    <t>Aviation - MT - Malta</t>
  </si>
  <si>
    <t>Activity.Mpkm.MT.Tr.Avia.Passenger</t>
  </si>
  <si>
    <t>Activity.Mpkm.MT.Tr.Avia.Passenger.Domestic</t>
  </si>
  <si>
    <t>Activity.Mpkm.MT.Tr.Avia.Passenger.IntraEEAwCHUK</t>
  </si>
  <si>
    <t>Activity.Mpkm.MT.Tr.Avia.Passenger.ExtraEEAwCHUK</t>
  </si>
  <si>
    <t>Activity.Mtkm.MT.Tr.Avia.Freight</t>
  </si>
  <si>
    <t>Activity.Mtkm.MT.Tr.Avia.Freight.Domestic</t>
  </si>
  <si>
    <t>Activity.Mtkm.MT.Tr.Avia.Freight.IntraEEAwCHUK</t>
  </si>
  <si>
    <t>Activity.Mtkm.MT.Tr.Avia.Freight.ExtraEEAwCHUK</t>
  </si>
  <si>
    <t>VehicleKm.Mkm.MT.Tr.Avia</t>
  </si>
  <si>
    <t>VehicleKm.Mkm.MT.Tr.Avia.Passenger</t>
  </si>
  <si>
    <t>VehicleKm.Mkm.MT.Tr.Avia.Passenger.Domestic</t>
  </si>
  <si>
    <t>VehicleKm.Mkm.MT.Tr.Avia.Passenger.IntraEEAwCHUK</t>
  </si>
  <si>
    <t>VehicleKm.Mkm.MT.Tr.Avia.Passenger.ExtraEEAwCHUK</t>
  </si>
  <si>
    <t>VehicleKm.Mkm.MT.Tr.Avia.Freight</t>
  </si>
  <si>
    <t>VehicleKm.Mkm.MT.Tr.Avia.Freight.Domestic</t>
  </si>
  <si>
    <t>VehicleKm.Mkm.MT.Tr.Avia.Freight.IntraEEAwCHUK</t>
  </si>
  <si>
    <t>VehicleKm.Mkm.MT.Tr.Avia.Freight.ExtraEEAwCHUK</t>
  </si>
  <si>
    <t>Flights.number.MT.Tr.Avia</t>
  </si>
  <si>
    <t>Flights.number.MT.Tr.Avia.Passenger</t>
  </si>
  <si>
    <t>Flights.number.MT.Tr.Avia.Passenger.Domestic</t>
  </si>
  <si>
    <t>Flights.number.MT.Tr.Avia.Passenger.IntraEEAwCHUK</t>
  </si>
  <si>
    <t>Flights.number.MT.Tr.Avia.Passenger.ExtraEEAwCHUK</t>
  </si>
  <si>
    <t>Flights.number.MT.Tr.Avia.Freight</t>
  </si>
  <si>
    <t>Flights.number.MT.Tr.Avia.Freight.Domestic</t>
  </si>
  <si>
    <t>Flights.number.MT.Tr.Avia.Freight.IntraEEAwCHUK</t>
  </si>
  <si>
    <t>Flights.number.MT.Tr.Avia.Freight.ExtraEEAwCHUK</t>
  </si>
  <si>
    <t>VolCarried.passenger.MT.Tr.Avia.Passenger</t>
  </si>
  <si>
    <t>VolCarried.passenger.MT.Tr.Avia.Passenger.Domestic</t>
  </si>
  <si>
    <t>VolCarried.passenger.MT.Tr.Avia.Passenger.IntraEEAwCHUK</t>
  </si>
  <si>
    <t>VolCarried.passenger.MT.Tr.Avia.Passenger.ExtraEEAwCHUK</t>
  </si>
  <si>
    <t>VolCarried.t.MT.Tr.Avia.Freight</t>
  </si>
  <si>
    <t>VolCarried.t.MT.Tr.Avia.Freight.Domestic</t>
  </si>
  <si>
    <t>VolCarried.t.MT.Tr.Avia.Freight.IntraEEAwCHUK</t>
  </si>
  <si>
    <t>VolCarried.t.MT.Tr.Avia.Freight.ExtraEEAwCHUK</t>
  </si>
  <si>
    <t>Stock.number.MT.Tr.Avia</t>
  </si>
  <si>
    <t>Stock.number.MT.Tr.Avia.Passenger</t>
  </si>
  <si>
    <t>Stock.number.MT.Tr.Avia.Passenger.Domestic</t>
  </si>
  <si>
    <t>Stock.number.MT.Tr.Avia.Passenger.IntraEEAwCHUK</t>
  </si>
  <si>
    <t>Stock.number.MT.Tr.Avia.Passenger.ExtraEEAwCHUK</t>
  </si>
  <si>
    <t>Stock.number.MT.Tr.Avia.Freight</t>
  </si>
  <si>
    <t>Stock.number.MT.Tr.Avia.Freight.Domestic</t>
  </si>
  <si>
    <t>Stock.number.MT.Tr.Avia.Freight.IntraEEAwCHUK</t>
  </si>
  <si>
    <t>Stock.number.MT.Tr.Avia.Freight.ExtraEEAwCHUK</t>
  </si>
  <si>
    <t>StockNew.number.MT.Tr.Avia</t>
  </si>
  <si>
    <t>StockNew.number.MT.Tr.Avia.Passenger</t>
  </si>
  <si>
    <t>StockNew.number.MT.Tr.Avia.Passenger.Domestic</t>
  </si>
  <si>
    <t>StockNew.number.MT.Tr.Avia.Passenger.IntraEEAwCHUK</t>
  </si>
  <si>
    <t>StockNew.number.MT.Tr.Avia.Passenger.ExtraEEAwCHUK</t>
  </si>
  <si>
    <t>StockNew.number.MT.Tr.Avia.Freight</t>
  </si>
  <si>
    <t>StockNew.number.MT.Tr.Avia.Freight.Domestic</t>
  </si>
  <si>
    <t>StockNew.number.MT.Tr.Avia.Freight.IntraEEAwCHUK</t>
  </si>
  <si>
    <t>StockNew.number.MT.Tr.Avia.Freight.ExtraEEAwCHUK</t>
  </si>
  <si>
    <t>Load.passenger_per_movement.MT.Tr.Avia.Passenger</t>
  </si>
  <si>
    <t>Load.passenger_per_movement.MT.Tr.Avia.Passenger.Domestic</t>
  </si>
  <si>
    <t>Load.passenger_per_movement.MT.Tr.Avia.Passenger.IntraEEAwCHUK</t>
  </si>
  <si>
    <t>Load.passenger_per_movement.MT.Tr.Avia.Passenger.ExtraEEAwCHUK</t>
  </si>
  <si>
    <t>Load.t_per_movement.MT.Tr.Avia.Freight</t>
  </si>
  <si>
    <t>Load.t_per_movement.MT.Tr.Avia.Freight.Domestic</t>
  </si>
  <si>
    <t>Load.t_per_movement.MT.Tr.Avia.Freight.IntraEEAwCHUK</t>
  </si>
  <si>
    <t>Load.t_per_movement.MT.Tr.Avia.Freight.ExtraEEAwCHUK</t>
  </si>
  <si>
    <t>VehicleKm_per_flight.km.MT.Tr.Avia</t>
  </si>
  <si>
    <t>VehicleKm_per_flight.km.MT.Tr.Avia.Passenger</t>
  </si>
  <si>
    <t>VehicleKm_per_flight.km.MT.Tr.Avia.Passenger.Domestic</t>
  </si>
  <si>
    <t>VehicleKm_per_flight.km.MT.Tr.Avia.Passenger.IntraEEAwCHUK</t>
  </si>
  <si>
    <t>VehicleKm_per_flight.km.MT.Tr.Avia.Passenger.ExtraEEAwCHUK</t>
  </si>
  <si>
    <t>VehicleKm_per_flight.km.MT.Tr.Avia.Freight</t>
  </si>
  <si>
    <t>VehicleKm_per_flight.km.MT.Tr.Avia.Freight.Domestic</t>
  </si>
  <si>
    <t>VehicleKm_per_flight.km.MT.Tr.Avia.Freight.IntraEEAwCHUK</t>
  </si>
  <si>
    <t>VehicleKm_per_flight.km.MT.Tr.Avia.Freight.ExtraEEAwCHUK</t>
  </si>
  <si>
    <t>Activity_per_flight.pkm.MT.Tr.Avia.Passenger</t>
  </si>
  <si>
    <t>Activity_per_flight.pkm.MT.Tr.Avia.Passenger.Domestic</t>
  </si>
  <si>
    <t>Activity_per_flight.pkm.MT.Tr.Avia.Passenger.IntraEEAwCHUK</t>
  </si>
  <si>
    <t>Activity_per_flight.pkm.MT.Tr.Avia.Passenger.ExtraEEAwCHUK</t>
  </si>
  <si>
    <t>Activity_per_flight.tkm.MT.Tr.Avia.Freight</t>
  </si>
  <si>
    <t>Activity_per_flight.tkm.MT.Tr.Avia.Freight.Domestic</t>
  </si>
  <si>
    <t>Activity_per_flight.tkm.MT.Tr.Avia.Freight.IntraEEAwCHUK</t>
  </si>
  <si>
    <t>Activity_per_flight.tkm.MT.Tr.Avia.Freight.ExtraEEAwCHUK</t>
  </si>
  <si>
    <t>Flights_per_vehicle.number.MT.Tr.Avia</t>
  </si>
  <si>
    <t>Flights_per_vehicle.number.MT.Tr.Avia.Passenger</t>
  </si>
  <si>
    <t>Flights_per_vehicle.number.MT.Tr.Avia.Passenger.Domestic</t>
  </si>
  <si>
    <t>Flights_per_vehicle.number.MT.Tr.Avia.Passenger.IntraEEAwCHUK</t>
  </si>
  <si>
    <t>Flights_per_vehicle.number.MT.Tr.Avia.Passenger.ExtraEEAwCHUK</t>
  </si>
  <si>
    <t>Flights_per_vehicle.number.MT.Tr.Avia.Freight</t>
  </si>
  <si>
    <t>Flights_per_vehicle.number.MT.Tr.Avia.Freight.Domestic</t>
  </si>
  <si>
    <t>Flights_per_vehicle.number.MT.Tr.Avia.Freight.IntraEEAwCHUK</t>
  </si>
  <si>
    <t>Flights_per_vehicle.number.MT.Tr.Avia.Freight.ExtraEEAwCHUK</t>
  </si>
  <si>
    <t>Aviation / energy consumption - MT - Malta</t>
  </si>
  <si>
    <t>FEC.ktoe.MT.Tr.Avia</t>
  </si>
  <si>
    <t>FEC.ktoe.MT.Tr.Avia.Domestic</t>
  </si>
  <si>
    <t>FEC.ktoe.MT.Tr.Avia.International</t>
  </si>
  <si>
    <t>FEC.ktoe.MT.Tr.Avia.Passenger</t>
  </si>
  <si>
    <t>FEC.ktoe.MT.Tr.Avia.Passenger.Domestic</t>
  </si>
  <si>
    <t>FEC.ktoe.MT.Tr.Avia.Passenger.IntraEEAwCHUK</t>
  </si>
  <si>
    <t>FEC.ktoe.MT.Tr.Avia.Passenger.ExtraEEAwCHUK</t>
  </si>
  <si>
    <t>FEC.ktoe.MT.Tr.Avia.Freight</t>
  </si>
  <si>
    <t>FEC.ktoe.MT.Tr.Avia.Freight.Domestic</t>
  </si>
  <si>
    <t>FEC.ktoe.MT.Tr.Avia.Freight.IntraEEAwCHUK</t>
  </si>
  <si>
    <t>FEC.ktoe.MT.Tr.Avia.Freight.ExtraEEAwCHUK</t>
  </si>
  <si>
    <t>Eff.kgoe_per_100km.MT.Tr.Avia</t>
  </si>
  <si>
    <t>Eff.kgoe_per_100km.MT.Tr.Avia.Passenger</t>
  </si>
  <si>
    <t>Eff.kgoe_per_100km.MT.Tr.Avia.Passenger.Domestic</t>
  </si>
  <si>
    <t>Eff.kgoe_per_100km.MT.Tr.Avia.Passenger.IntraEEAwCHUK</t>
  </si>
  <si>
    <t>Eff.kgoe_per_100km.MT.Tr.Avia.Passenger.ExtraEEAwCHUK</t>
  </si>
  <si>
    <t>Eff.kgoe_per_100km.MT.Tr.Avia.Freight</t>
  </si>
  <si>
    <t>Eff.kgoe_per_100km.MT.Tr.Avia.Freight.Domestic</t>
  </si>
  <si>
    <t>Eff.kgoe_per_100km.MT.Tr.Avia.Freight.IntraEEAwCHUK</t>
  </si>
  <si>
    <t>Eff.kgoe_per_100km.MT.Tr.Avia.Freight.ExtraEEAwCHUK</t>
  </si>
  <si>
    <t>Eff.kgoe_per_kpkm.MT.Tr.Avia.Passenger</t>
  </si>
  <si>
    <t>Eff.kgoe_per_kpkm.MT.Tr.Avia.Passenger.Domestic</t>
  </si>
  <si>
    <t>Eff.kgoe_per_kpkm.MT.Tr.Avia.Passenger.IntraEEAwCHUK</t>
  </si>
  <si>
    <t>Eff.kgoe_per_kpkm.MT.Tr.Avia.Passenger.ExtraEEAwCHUK</t>
  </si>
  <si>
    <t>Eff.kgoe_per_ktkm.MT.Tr.Avia.Freight</t>
  </si>
  <si>
    <t>Eff.kgoe_per_ktkm.MT.Tr.Avia.Freight.Domestic</t>
  </si>
  <si>
    <t>Eff.kgoe_per_ktkm.MT.Tr.Avia.Freight.IntraEEAwCHUK</t>
  </si>
  <si>
    <t>Eff.kgoe_per_ktkm.MT.Tr.Avia.Freight.ExtraEEAwCHUK</t>
  </si>
  <si>
    <t>FEC_per_flight.kgoe.MT.Tr.Avia</t>
  </si>
  <si>
    <t>FEC_per_flight.kgoe.MT.Tr.Avia.Passenger</t>
  </si>
  <si>
    <t>FEC_per_flight.kgoe.MT.Tr.Avia.Passenger.Domestic</t>
  </si>
  <si>
    <t>FEC_per_flight.kgoe.MT.Tr.Avia.Passenger.IntraEEAwCHUK</t>
  </si>
  <si>
    <t>FEC_per_flight.kgoe.MT.Tr.Avia.Passenger.ExtraEEAwCHUK</t>
  </si>
  <si>
    <t>FEC_per_flight.kgoe.MT.Tr.Avia.Freight</t>
  </si>
  <si>
    <t>FEC_per_flight.kgoe.MT.Tr.Avia.Freight.Domestic</t>
  </si>
  <si>
    <t>FEC_per_flight.kgoe.MT.Tr.Avia.Freight.IntraEEAwCHUK</t>
  </si>
  <si>
    <t>FEC_per_flight.kgoe.MT.Tr.Avia.Freight.ExtraEEAwCHUK</t>
  </si>
  <si>
    <t>Eff_theor.kgoe_per_100km.MT.Tr.Avia</t>
  </si>
  <si>
    <t>Eff_theor.kgoe_per_100km.MT.Tr.Avia.Passenger</t>
  </si>
  <si>
    <t>Eff_theor.kgoe_per_100km.MT.Tr.Avia.Passenger.Domestic</t>
  </si>
  <si>
    <t>Eff_theor.kgoe_per_100km.MT.Tr.Avia.Passenger.IntraEEAwCHUK</t>
  </si>
  <si>
    <t>Eff_theor.kgoe_per_100km.MT.Tr.Avia.Passenger.ExtraEEAwCHUK</t>
  </si>
  <si>
    <t>Eff_theor.kgoe_per_100km.MT.Tr.Avia.Freight</t>
  </si>
  <si>
    <t>Eff_theor.kgoe_per_100km.MT.Tr.Avia.Freight.Domestic</t>
  </si>
  <si>
    <t>Eff_theor.kgoe_per_100km.MT.Tr.Avia.Freight.IntraEEAwCHUK</t>
  </si>
  <si>
    <t>Eff_theor.kgoe_per_100km.MT.Tr.Avia.Freight.ExtraEEAwCHUK</t>
  </si>
  <si>
    <t>Aviation / CO2 emissions - MT - Malta</t>
  </si>
  <si>
    <t>EMI.ktCO2.MT.Tr.Avia</t>
  </si>
  <si>
    <t>EMI.ktCO2.MT.Tr.Avia.Domestic</t>
  </si>
  <si>
    <t>EMI.ktCO2.MT.Tr.Avia.International</t>
  </si>
  <si>
    <t>EMI.ktCO2.MT.Tr.Avia.Passenger</t>
  </si>
  <si>
    <t>EMI.ktCO2.MT.Tr.Avia.Passenger.Domestic</t>
  </si>
  <si>
    <t>EMI.ktCO2.MT.Tr.Avia.Passenger.IntraEEAwCHUK</t>
  </si>
  <si>
    <t>EMI.ktCO2.MT.Tr.Avia.Passenger.ExtraEEAwCHUK</t>
  </si>
  <si>
    <t>EMI.ktCO2.MT.Tr.Avia.Freight</t>
  </si>
  <si>
    <t>EMI.ktCO2.MT.Tr.Avia.Freight.Domestic</t>
  </si>
  <si>
    <t>EMI.ktCO2.MT.Tr.Avia.Freight.IntraEEAwCHUK</t>
  </si>
  <si>
    <t>EMI.ktCO2.MT.Tr.Avia.Freight.ExtraEEAwCHUK</t>
  </si>
  <si>
    <t>EMIint.gCO2_per_km.MT.Tr.Avia</t>
  </si>
  <si>
    <t>EMIint.gCO2_per_km.MT.Tr.Avia.Passenger</t>
  </si>
  <si>
    <t>EMIint.gCO2_per_km.MT.Tr.Avia.Passenger.Domestic</t>
  </si>
  <si>
    <t>EMIint.gCO2_per_km.MT.Tr.Avia.Passenger.IntraEEAwCHUK</t>
  </si>
  <si>
    <t>EMIint.gCO2_per_km.MT.Tr.Avia.Passenger.ExtraEEAwCHUK</t>
  </si>
  <si>
    <t>EMIint.gCO2_per_km.MT.Tr.Avia.Freight</t>
  </si>
  <si>
    <t>EMIint.gCO2_per_km.MT.Tr.Avia.Freight.Domestic</t>
  </si>
  <si>
    <t>EMIint.gCO2_per_km.MT.Tr.Avia.Freight.IntraEEAwCHUK</t>
  </si>
  <si>
    <t>EMIint.gCO2_per_km.MT.Tr.Avia.Freight.ExtraEEAwCHUK</t>
  </si>
  <si>
    <t>EMIint.gCO2_per_pkm.MT.Tr.Avia.Passenger</t>
  </si>
  <si>
    <t>EMIint.gCO2_per_pkm.MT.Tr.Avia.Passenger.Domestic</t>
  </si>
  <si>
    <t>EMIint.gCO2_per_pkm.MT.Tr.Avia.Passenger.IntraEEAwCHUK</t>
  </si>
  <si>
    <t>EMIint.gCO2_per_pkm.MT.Tr.Avia.Passenger.ExtraEEAwCHUK</t>
  </si>
  <si>
    <t>EMIint.gCO2_per_tkm.MT.Tr.Avia.Freight</t>
  </si>
  <si>
    <t>EMIint.gCO2_per_tkm.MT.Tr.Avia.Freight.Domestic</t>
  </si>
  <si>
    <t>EMIint.gCO2_per_tkm.MT.Tr.Avia.Freight.IntraEEAwCHUK</t>
  </si>
  <si>
    <t>EMIint.gCO2_per_tkm.MT.Tr.Avia.Freight.ExtraEEAwCHUK</t>
  </si>
  <si>
    <t>EMI_per_flight.kgCO2.MT.Tr.Avia</t>
  </si>
  <si>
    <t>EMI_per_flight.kgCO2.MT.Tr.Avia.Passenger</t>
  </si>
  <si>
    <t>EMI_per_flight.kgCO2.MT.Tr.Avia.Passenger.Domestic</t>
  </si>
  <si>
    <t>EMI_per_flight.kgCO2.MT.Tr.Avia.Passenger.IntraEEAwCHUK</t>
  </si>
  <si>
    <t>EMI_per_flight.kgCO2.MT.Tr.Avia.Passenger.ExtraEEAwCHUK</t>
  </si>
  <si>
    <t>EMI_per_flight.kgCO2.MT.Tr.Avia.Freight</t>
  </si>
  <si>
    <t>EMI_per_flight.kgCO2.MT.Tr.Avia.Freight.Domestic</t>
  </si>
  <si>
    <t>EMI_per_flight.kgCO2.MT.Tr.Avia.Freight.IntraEEAwCHUK</t>
  </si>
  <si>
    <t>EMI_per_flight.kgCO2.MT.Tr.Avia.Freight.ExtraEEAwCHUK</t>
  </si>
  <si>
    <t>Aviation / passenger transport specific data - MT - Malta</t>
  </si>
  <si>
    <t>TrCap.seats.MT.Tr.Avia.Passenger</t>
  </si>
  <si>
    <t>TrCap.seats.MT.Tr.Avia.Passenger.Domestic</t>
  </si>
  <si>
    <t>TrCap.seats.MT.Tr.Avia.Passenger.IntraEEAwCHUK</t>
  </si>
  <si>
    <t>TrCap.seats.MT.Tr.Avia.Passenger.ExtraEEAwCHUK</t>
  </si>
  <si>
    <t>TrCap_per_flight.seats.MT.Tr.Avia.Passenger</t>
  </si>
  <si>
    <t>TrCap_per_flight.seats.MT.Tr.Avia.Passenger.Domestic</t>
  </si>
  <si>
    <t>TrCap_per_flight.seats.MT.Tr.Avia.Passenger.IntraEEAwCHUK</t>
  </si>
  <si>
    <t>TrCap_per_flight.seats.MT.Tr.Avia.Passenger.ExtraEEAwCHUK</t>
  </si>
  <si>
    <t>Transport overview - MT - Malta</t>
  </si>
  <si>
    <t>Activity.Mpkm.MT.Tr</t>
  </si>
  <si>
    <t>Activity.Mpkm.MT.Tr.Road.Passenger</t>
  </si>
  <si>
    <t>Activity.Mpkm.MT.Tr.Road.Passenger.P2W</t>
  </si>
  <si>
    <t>Activity.Mpkm.MT.Tr.Road.Passenger.Car</t>
  </si>
  <si>
    <t>Activity.Mpkm.MT.Tr.Road.Passenger.Bus</t>
  </si>
  <si>
    <t>Activity.Mpkm.MT.Tr.Rail.Passenger</t>
  </si>
  <si>
    <t>Activity.Mpkm.MT.Tr.Rail.Passenger.MTU</t>
  </si>
  <si>
    <t>Activity.Mpkm.MT.Tr.Rail.Passenger.CPT</t>
  </si>
  <si>
    <t>Activity.Mpkm.MT.Tr.Rail.Passenger.HST</t>
  </si>
  <si>
    <t>Activity.Mtkm.MT.Tr</t>
  </si>
  <si>
    <t>Activity.Mtkm.MT.Tr.Road.Freight</t>
  </si>
  <si>
    <t>Activity.Mtkm.MT.Tr.Road.Freight.LCV</t>
  </si>
  <si>
    <t>Activity.Mtkm.MT.Tr.Road.Freight.HGV_All</t>
  </si>
  <si>
    <t>Activity.Mtkm.MT.Tr.Rail.Freight</t>
  </si>
  <si>
    <t>Activity.Mtkm.MT.Tr.DNavi.Freight</t>
  </si>
  <si>
    <t>Activity.Mtkm.MT.Tr.DNavi.Freight.DCS</t>
  </si>
  <si>
    <t>Activity.Mtkm.MT.Tr.DNavi.Freight.IWW</t>
  </si>
  <si>
    <t>Activity.Mtkm.MT.MBunk.Freight</t>
  </si>
  <si>
    <t>Activity.Mtkm.MT.MBunk.Freight.IntraEEA</t>
  </si>
  <si>
    <t>Activity.Mtkm.MT.MBunk.Freight.ExtraEEA</t>
  </si>
  <si>
    <t>FEC.ktoe.MT.Tr.Road.Passenger</t>
  </si>
  <si>
    <t>FEC.ktoe.MT.Tr.Road.Passenger.P2W</t>
  </si>
  <si>
    <t>FEC.ktoe.MT.Tr.Road.Passenger.Car</t>
  </si>
  <si>
    <t>FEC.ktoe.MT.Tr.Road.Passenger.Bus</t>
  </si>
  <si>
    <t>FEC.ktoe.MT.Tr.Rail.Passenger</t>
  </si>
  <si>
    <t>FEC.ktoe.MT.Tr.Rail.Passenger.MTU</t>
  </si>
  <si>
    <t>FEC.ktoe.MT.Tr.Rail.Passenger.CPT</t>
  </si>
  <si>
    <t>FEC.ktoe.MT.Tr.Rail.Passenger.HST</t>
  </si>
  <si>
    <t>FEC.ktoe.MT.Tr.Road.Freight</t>
  </si>
  <si>
    <t>FEC.ktoe.MT.Tr.Road.Freight.LCV</t>
  </si>
  <si>
    <t>FEC.ktoe.MT.Tr.Road.Freight.HGV_All</t>
  </si>
  <si>
    <t>FEC.ktoe.MT.Tr.Rail.Freight</t>
  </si>
  <si>
    <t>EMI.ktCO2.MT.Tr.Road.Passenger</t>
  </si>
  <si>
    <t>EMI.ktCO2.MT.Tr.Road.Passenger.P2W</t>
  </si>
  <si>
    <t>EMI.ktCO2.MT.Tr.Road.Passenger.Car</t>
  </si>
  <si>
    <t>EMI.ktCO2.MT.Tr.Road.Passenger.Bus</t>
  </si>
  <si>
    <t>EMI.ktCO2.MT.Tr.Rail.Passenger</t>
  </si>
  <si>
    <t>EMI.ktCO2.MT.Tr.Rail.Passenger.MTU</t>
  </si>
  <si>
    <t>EMI.ktCO2.MT.Tr.Rail.Passenger.CPT</t>
  </si>
  <si>
    <t>EMI.ktCO2.MT.Tr.Rail.Passenger.HST</t>
  </si>
  <si>
    <t>EMI.ktCO2.MT.Tr.Road.Freight</t>
  </si>
  <si>
    <t>EMI.ktCO2.MT.Tr.Road.Freight.LCV</t>
  </si>
  <si>
    <t>EMI.ktCO2.MT.Tr.Road.Freight.HGV_All</t>
  </si>
  <si>
    <t>EMI.ktCO2.MT.Tr.Rail.Freight</t>
  </si>
  <si>
    <t>Eff.kgoe_per_kpkm.MT.Tr</t>
  </si>
  <si>
    <t>Eff.kgoe_per_kpkm.MT.Tr.Road.Passenger</t>
  </si>
  <si>
    <t>Eff.kgoe_per_kpkm.MT.Tr.Road.Passenger.P2W</t>
  </si>
  <si>
    <t>Eff.kgoe_per_kpkm.MT.Tr.Road.Passenger.Car</t>
  </si>
  <si>
    <t>Eff.kgoe_per_kpkm.MT.Tr.Road.Passenger.Bus</t>
  </si>
  <si>
    <t>Eff.kgoe_per_kpkm.MT.Tr.Rail.Passenger</t>
  </si>
  <si>
    <t>Eff.kgoe_per_kpkm.MT.Tr.Rail.Passenger.MTU</t>
  </si>
  <si>
    <t>Eff.kgoe_per_kpkm.MT.Tr.Rail.Passenger.CPT</t>
  </si>
  <si>
    <t>Eff.kgoe_per_kpkm.MT.Tr.Rail.Passenger.HST</t>
  </si>
  <si>
    <t>Eff.kgoe_per_ktkm.MT.Tr</t>
  </si>
  <si>
    <t>Eff.kgoe_per_ktkm.MT.Tr.Road.Freight</t>
  </si>
  <si>
    <t>Eff.kgoe_per_ktkm.MT.Tr.Road.Freight.LCV</t>
  </si>
  <si>
    <t>Eff.kgoe_per_ktkm.MT.Tr.Road.Freight.HGV_All</t>
  </si>
  <si>
    <t>Eff.kgoe_per_ktkm.MT.Tr.Rail.Freight</t>
  </si>
  <si>
    <t>Eff.kgoe_per_ktkm.MT.Tr.DNavi.Freight</t>
  </si>
  <si>
    <t>Eff.kgoe_per_ktkm.MT.Tr.DNavi.Freight.DCS</t>
  </si>
  <si>
    <t>Eff.kgoe_per_ktkm.MT.Tr.DNavi.Freight.IWW</t>
  </si>
  <si>
    <t>Eff.kgoe_per_ktkm.MT.MBunk.Freight</t>
  </si>
  <si>
    <t>Eff.kgoe_per_ktkm.MT.MBunk.Freight.IntraEEA</t>
  </si>
  <si>
    <t>Eff.kgoe_per_ktkm.MT.MBunk.Freight.ExtraEEA</t>
  </si>
  <si>
    <t>EMIint.gCO2_per_pkm.MT.Tr</t>
  </si>
  <si>
    <t>EMIint.gCO2_per_pkm.MT.Tr.Road.Passenger</t>
  </si>
  <si>
    <t>EMIint.gCO2_per_pkm.MT.Tr.Road.Passenger.P2W</t>
  </si>
  <si>
    <t>EMIint.gCO2_per_pkm.MT.Tr.Road.Passenger.Car</t>
  </si>
  <si>
    <t>EMIint.gCO2_per_pkm.MT.Tr.Road.Passenger.Bus</t>
  </si>
  <si>
    <t>EMIint.gCO2_per_pkm.MT.Tr.Rail.Passenger</t>
  </si>
  <si>
    <t>EMIint.gCO2_per_pkm.MT.Tr.Rail.Passenger.MTU</t>
  </si>
  <si>
    <t>EMIint.gCO2_per_pkm.MT.Tr.Rail.Passenger.CPT</t>
  </si>
  <si>
    <t>EMIint.gCO2_per_pkm.MT.Tr.Rail.Passenger.HST</t>
  </si>
  <si>
    <t>EMIint.gCO2_per_tkm.MT.Tr</t>
  </si>
  <si>
    <t>EMIint.gCO2_per_tkm.MT.Tr.Road.Freight</t>
  </si>
  <si>
    <t>EMIint.gCO2_per_tkm.MT.Tr.Road.Freight.LCV</t>
  </si>
  <si>
    <t>EMIint.gCO2_per_tkm.MT.Tr.Road.Freight.HGV_All</t>
  </si>
  <si>
    <t>EMIint.gCO2_per_tkm.MT.Tr.Rail.Freight</t>
  </si>
  <si>
    <t>EMIint.gCO2_per_tkm.MT.Tr.DNavi.Freight</t>
  </si>
  <si>
    <t>EMIint.gCO2_per_tkm.MT.Tr.DNavi.Freight.DCS</t>
  </si>
  <si>
    <t>EMIint.gCO2_per_tkm.MT.Tr.DNavi.Freight.IWW</t>
  </si>
  <si>
    <t>EMIint.gCO2_per_tkm.MT.MBunk.Freight</t>
  </si>
  <si>
    <t>EMIint.gCO2_per_tkm.MT.MBunk.Freight.IntraEEA</t>
  </si>
  <si>
    <t>EMIint.gCO2_per_tkm.MT.MBunk.Freight.ExtraEEA</t>
  </si>
  <si>
    <t>Road transport - MT - Malta</t>
  </si>
  <si>
    <t>Activity.Mpkm.MT.Tr.Road.Passenger.Car.ICE.Gasoline</t>
  </si>
  <si>
    <t>Activity.Mpkm.MT.Tr.Road.Passenger.Car.ICE.Diesel</t>
  </si>
  <si>
    <t>Activity.Mpkm.MT.Tr.Road.Passenger.Car.ICE.LPG</t>
  </si>
  <si>
    <t>Activity.Mpkm.MT.Tr.Road.Passenger.Car.ICE.NGas</t>
  </si>
  <si>
    <t>Activity.Mpkm.MT.Tr.Road.Passenger.Car.PHEV.Gasoline</t>
  </si>
  <si>
    <t>Activity.Mpkm.MT.Tr.Road.Passenger.Car.BEV</t>
  </si>
  <si>
    <t>Activity.Mpkm.MT.Tr.Road.Passenger.Bus.ICE.Gasoline</t>
  </si>
  <si>
    <t>Activity.Mpkm.MT.Tr.Road.Passenger.Bus.ICE.Diesel</t>
  </si>
  <si>
    <t>Activity.Mpkm.MT.Tr.Road.Passenger.Bus.ICE.LPG</t>
  </si>
  <si>
    <t>Activity.Mpkm.MT.Tr.Road.Passenger.Bus.ICE.NGas</t>
  </si>
  <si>
    <t>Activity.Mpkm.MT.Tr.Road.Passenger.Bus.BEV</t>
  </si>
  <si>
    <t>Activity.Mtkm.MT.Tr.Road.Freight.LCV.ICE.Gasoline</t>
  </si>
  <si>
    <t>Activity.Mtkm.MT.Tr.Road.Freight.LCV.ICE.Diesel</t>
  </si>
  <si>
    <t>Activity.Mtkm.MT.Tr.Road.Freight.LCV.ICE.LPG</t>
  </si>
  <si>
    <t>Activity.Mtkm.MT.Tr.Road.Freight.LCV.ICE.NGas</t>
  </si>
  <si>
    <t>Activity.Mtkm.MT.Tr.Road.Freight.LCV.BEV</t>
  </si>
  <si>
    <t>Activity.Mtkm.MT.Tr.Road.Freight.HGV_Domestic</t>
  </si>
  <si>
    <t>Activity.Mtkm.MT.Tr.Road.Freight.HGV_International</t>
  </si>
  <si>
    <t>VehicleKm.Mkm.MT.Tr.Road</t>
  </si>
  <si>
    <t>VehicleKm.Mkm.MT.Tr.Road.Passenger</t>
  </si>
  <si>
    <t>VehicleKm.Mkm.MT.Tr.Road.Passenger.P2W</t>
  </si>
  <si>
    <t>VehicleKm.Mkm.MT.Tr.Road.Passenger.Car</t>
  </si>
  <si>
    <t>VehicleKm.Mkm.MT.Tr.Road.Passenger.Car.ICE.Gasoline</t>
  </si>
  <si>
    <t>VehicleKm.Mkm.MT.Tr.Road.Passenger.Car.ICE.Diesel</t>
  </si>
  <si>
    <t>VehicleKm.Mkm.MT.Tr.Road.Passenger.Car.ICE.LPG</t>
  </si>
  <si>
    <t>VehicleKm.Mkm.MT.Tr.Road.Passenger.Car.ICE.NGas</t>
  </si>
  <si>
    <t>VehicleKm.Mkm.MT.Tr.Road.Passenger.Car.PHEV.Gasoline</t>
  </si>
  <si>
    <t>VehicleKm.Mkm.MT.Tr.Road.Passenger.Car.BEV</t>
  </si>
  <si>
    <t>VehicleKm.Mkm.MT.Tr.Road.Passenger.Bus</t>
  </si>
  <si>
    <t>VehicleKm.Mkm.MT.Tr.Road.Passenger.Bus.ICE.Gasoline</t>
  </si>
  <si>
    <t>VehicleKm.Mkm.MT.Tr.Road.Passenger.Bus.ICE.Diesel</t>
  </si>
  <si>
    <t>VehicleKm.Mkm.MT.Tr.Road.Passenger.Bus.ICE.LPG</t>
  </si>
  <si>
    <t>VehicleKm.Mkm.MT.Tr.Road.Passenger.Bus.ICE.NGas</t>
  </si>
  <si>
    <t>VehicleKm.Mkm.MT.Tr.Road.Passenger.Bus.BEV</t>
  </si>
  <si>
    <t>VehicleKm.Mkm.MT.Tr.Road.Freight</t>
  </si>
  <si>
    <t>VehicleKm.Mkm.MT.Tr.Road.Freight.LCV</t>
  </si>
  <si>
    <t>VehicleKm.Mkm.MT.Tr.Road.Freight.LCV.ICE.Gasoline</t>
  </si>
  <si>
    <t>VehicleKm.Mkm.MT.Tr.Road.Freight.LCV.ICE.Diesel</t>
  </si>
  <si>
    <t>VehicleKm.Mkm.MT.Tr.Road.Freight.LCV.ICE.LPG</t>
  </si>
  <si>
    <t>VehicleKm.Mkm.MT.Tr.Road.Freight.LCV.ICE.NGas</t>
  </si>
  <si>
    <t>VehicleKm.Mkm.MT.Tr.Road.Freight.LCV.BEV</t>
  </si>
  <si>
    <t>VehicleKm.Mkm.MT.Tr.Road.Freight.HGV_All</t>
  </si>
  <si>
    <t>VehicleKm.Mkm.MT.Tr.Road.Freight.HGV_Domestic</t>
  </si>
  <si>
    <t>VehicleKm.Mkm.MT.Tr.Road.Freight.HGV_International</t>
  </si>
  <si>
    <t>Stock.number.MT.Tr.Road</t>
  </si>
  <si>
    <t>Stock.number.MT.Tr.Road.Passenger</t>
  </si>
  <si>
    <t>Stock.number.MT.Tr.Road.Passenger.P2W</t>
  </si>
  <si>
    <t>Stock.number.MT.Tr.Road.Passenger.Car</t>
  </si>
  <si>
    <t>Stock.number.MT.Tr.Road.Passenger.Car.ICE.Gasoline</t>
  </si>
  <si>
    <t>Stock.number.MT.Tr.Road.Passenger.Car.ICE.Diesel</t>
  </si>
  <si>
    <t>Stock.number.MT.Tr.Road.Passenger.Car.ICE.LPG</t>
  </si>
  <si>
    <t>Stock.number.MT.Tr.Road.Passenger.Car.ICE.NGas</t>
  </si>
  <si>
    <t>Stock.number.MT.Tr.Road.Passenger.Car.PHEV.Gasoline</t>
  </si>
  <si>
    <t>Stock.number.MT.Tr.Road.Passenger.Car.BEV</t>
  </si>
  <si>
    <t>Stock.number.MT.Tr.Road.Passenger.Bus</t>
  </si>
  <si>
    <t>Stock.number.MT.Tr.Road.Passenger.Bus.ICE.Gasoline</t>
  </si>
  <si>
    <t>Stock.number.MT.Tr.Road.Passenger.Bus.ICE.Diesel</t>
  </si>
  <si>
    <t>Stock.number.MT.Tr.Road.Passenger.Bus.ICE.LPG</t>
  </si>
  <si>
    <t>Stock.number.MT.Tr.Road.Passenger.Bus.ICE.NGas</t>
  </si>
  <si>
    <t>Stock.number.MT.Tr.Road.Passenger.Bus.BEV</t>
  </si>
  <si>
    <t>Stock.number.MT.Tr.Road.Freight</t>
  </si>
  <si>
    <t>Stock.number.MT.Tr.Road.Freight.LCV</t>
  </si>
  <si>
    <t>Stock.number.MT.Tr.Road.Freight.LCV.ICE.Gasoline</t>
  </si>
  <si>
    <t>Stock.number.MT.Tr.Road.Freight.LCV.ICE.Diesel</t>
  </si>
  <si>
    <t>Stock.number.MT.Tr.Road.Freight.LCV.ICE.LPG</t>
  </si>
  <si>
    <t>Stock.number.MT.Tr.Road.Freight.LCV.ICE.NGas</t>
  </si>
  <si>
    <t>Stock.number.MT.Tr.Road.Freight.LCV.BEV</t>
  </si>
  <si>
    <t>Stock.number.MT.Tr.Road.Freight.HGV_All</t>
  </si>
  <si>
    <t>Stock.number.MT.Tr.Road.Freight.HGV_Domestic</t>
  </si>
  <si>
    <t>Stock.number.MT.Tr.Road.Freight.HGV_International</t>
  </si>
  <si>
    <t>StockNew.number.MT.Tr.Road</t>
  </si>
  <si>
    <t>StockNew.number.MT.Tr.Road.Passenger</t>
  </si>
  <si>
    <t>StockNew.number.MT.Tr.Road.Passenger.P2W</t>
  </si>
  <si>
    <t>StockNew.number.MT.Tr.Road.Passenger.Car</t>
  </si>
  <si>
    <t>StockNew.number.MT.Tr.Road.Passenger.Car.ICE.Gasoline</t>
  </si>
  <si>
    <t>StockNew.number.MT.Tr.Road.Passenger.Car.ICE.Diesel</t>
  </si>
  <si>
    <t>StockNew.number.MT.Tr.Road.Passenger.Car.ICE.LPG</t>
  </si>
  <si>
    <t>StockNew.number.MT.Tr.Road.Passenger.Car.ICE.NGas</t>
  </si>
  <si>
    <t>StockNew.number.MT.Tr.Road.Passenger.Car.PHEV.Gasoline</t>
  </si>
  <si>
    <t>StockNew.number.MT.Tr.Road.Passenger.Car.BEV</t>
  </si>
  <si>
    <t>StockNew.number.MT.Tr.Road.Passenger.Bus</t>
  </si>
  <si>
    <t>StockNew.number.MT.Tr.Road.Passenger.Bus.ICE.Gasoline</t>
  </si>
  <si>
    <t>StockNew.number.MT.Tr.Road.Passenger.Bus.ICE.Diesel</t>
  </si>
  <si>
    <t>StockNew.number.MT.Tr.Road.Passenger.Bus.ICE.LPG</t>
  </si>
  <si>
    <t>StockNew.number.MT.Tr.Road.Passenger.Bus.ICE.NGas</t>
  </si>
  <si>
    <t>StockNew.number.MT.Tr.Road.Passenger.Bus.BEV</t>
  </si>
  <si>
    <t>StockNew.number.MT.Tr.Road.Freight</t>
  </si>
  <si>
    <t>StockNew.number.MT.Tr.Road.Freight.LCV</t>
  </si>
  <si>
    <t>StockNew.number.MT.Tr.Road.Freight.LCV.ICE.Gasoline</t>
  </si>
  <si>
    <t>StockNew.number.MT.Tr.Road.Freight.LCV.ICE.Diesel</t>
  </si>
  <si>
    <t>StockNew.number.MT.Tr.Road.Freight.LCV.ICE.LPG</t>
  </si>
  <si>
    <t>StockNew.number.MT.Tr.Road.Freight.LCV.ICE.NGas</t>
  </si>
  <si>
    <t>StockNew.number.MT.Tr.Road.Freight.LCV.BEV</t>
  </si>
  <si>
    <t>StockNew.number.MT.Tr.Road.Freight.HGV_All</t>
  </si>
  <si>
    <t>StockNew.number.MT.Tr.Road.Freight.HGV_Domestic</t>
  </si>
  <si>
    <t>StockNew.number.MT.Tr.Road.Freight.HGV_International</t>
  </si>
  <si>
    <t>Load.passenger_per_movement.MT.Tr.Road.Passenger</t>
  </si>
  <si>
    <t>Load.passenger_per_movement.MT.Tr.Road.Passenger.P2W</t>
  </si>
  <si>
    <t>Load.passenger_per_movement.MT.Tr.Road.Passenger.Car</t>
  </si>
  <si>
    <t>Load.passenger_per_movement.MT.Tr.Road.Passenger.Car.ICE.Gasoline</t>
  </si>
  <si>
    <t>Load.passenger_per_movement.MT.Tr.Road.Passenger.Car.ICE.Diesel</t>
  </si>
  <si>
    <t>Load.passenger_per_movement.MT.Tr.Road.Passenger.Car.ICE.LPG</t>
  </si>
  <si>
    <t>Load.passenger_per_movement.MT.Tr.Road.Passenger.Car.ICE.NGas</t>
  </si>
  <si>
    <t>Load.passenger_per_movement.MT.Tr.Road.Passenger.Car.PHEV.Gasoline</t>
  </si>
  <si>
    <t>Load.passenger_per_movement.MT.Tr.Road.Passenger.Car.BEV</t>
  </si>
  <si>
    <t>Load.passenger_per_movement.MT.Tr.Road.Passenger.Bus</t>
  </si>
  <si>
    <t>Load.passenger_per_movement.MT.Tr.Road.Passenger.Bus.ICE.Gasoline</t>
  </si>
  <si>
    <t>Load.passenger_per_movement.MT.Tr.Road.Passenger.Bus.ICE.Diesel</t>
  </si>
  <si>
    <t>Load.passenger_per_movement.MT.Tr.Road.Passenger.Bus.ICE.LPG</t>
  </si>
  <si>
    <t>Load.passenger_per_movement.MT.Tr.Road.Passenger.Bus.ICE.NGas</t>
  </si>
  <si>
    <t>Load.passenger_per_movement.MT.Tr.Road.Passenger.Bus.BEV</t>
  </si>
  <si>
    <t>Load.t_per_movement.MT.Tr.Road.Freight</t>
  </si>
  <si>
    <t>Load.t_per_movement.MT.Tr.Road.Freight.LCV</t>
  </si>
  <si>
    <t>Load.t_per_movement.MT.Tr.Road.Freight.LCV.ICE.Gasoline</t>
  </si>
  <si>
    <t>Load.t_per_movement.MT.Tr.Road.Freight.LCV.ICE.Diesel</t>
  </si>
  <si>
    <t>Load.t_per_movement.MT.Tr.Road.Freight.LCV.ICE.LPG</t>
  </si>
  <si>
    <t>Load.t_per_movement.MT.Tr.Road.Freight.LCV.ICE.NGas</t>
  </si>
  <si>
    <t>Load.t_per_movement.MT.Tr.Road.Freight.LCV.BEV</t>
  </si>
  <si>
    <t>Load.t_per_movement.MT.Tr.Road.Freight.HGV_All</t>
  </si>
  <si>
    <t>Load.t_per_movement.MT.Tr.Road.Freight.HGV_Domestic</t>
  </si>
  <si>
    <t>Load.t_per_movement.MT.Tr.Road.Freight.HGV_International</t>
  </si>
  <si>
    <t>VehicleKm_per_vehicle.km.MT.Tr.Road</t>
  </si>
  <si>
    <t>VehicleKm_per_vehicle.km.MT.Tr.Road.Passenger</t>
  </si>
  <si>
    <t>VehicleKm_per_vehicle.km.MT.Tr.Road.Passenger.P2W</t>
  </si>
  <si>
    <t>VehicleKm_per_vehicle.km.MT.Tr.Road.Passenger.Car</t>
  </si>
  <si>
    <t>VehicleKm_per_vehicle.km.MT.Tr.Road.Passenger.Car.ICE.Gasoline</t>
  </si>
  <si>
    <t>VehicleKm_per_vehicle.km.MT.Tr.Road.Passenger.Car.ICE.Diesel</t>
  </si>
  <si>
    <t>VehicleKm_per_vehicle.km.MT.Tr.Road.Passenger.Car.ICE.LPG</t>
  </si>
  <si>
    <t>VehicleKm_per_vehicle.km.MT.Tr.Road.Passenger.Car.ICE.NGas</t>
  </si>
  <si>
    <t>VehicleKm_per_vehicle.km.MT.Tr.Road.Passenger.Car.PHEV.Gasoline</t>
  </si>
  <si>
    <t>VehicleKm_per_vehicle.km.MT.Tr.Road.Passenger.Car.BEV</t>
  </si>
  <si>
    <t>VehicleKm_per_vehicle.km.MT.Tr.Road.Passenger.Bus</t>
  </si>
  <si>
    <t>VehicleKm_per_vehicle.km.MT.Tr.Road.Passenger.Bus.ICE.Gasoline</t>
  </si>
  <si>
    <t>VehicleKm_per_vehicle.km.MT.Tr.Road.Passenger.Bus.ICE.Diesel</t>
  </si>
  <si>
    <t>VehicleKm_per_vehicle.km.MT.Tr.Road.Passenger.Bus.ICE.LPG</t>
  </si>
  <si>
    <t>VehicleKm_per_vehicle.km.MT.Tr.Road.Passenger.Bus.ICE.NGas</t>
  </si>
  <si>
    <t>VehicleKm_per_vehicle.km.MT.Tr.Road.Passenger.Bus.BEV</t>
  </si>
  <si>
    <t>VehicleKm_per_vehicle.km.MT.Tr.Road.Freight</t>
  </si>
  <si>
    <t>VehicleKm_per_vehicle.km.MT.Tr.Road.Freight.LCV</t>
  </si>
  <si>
    <t>VehicleKm_per_vehicle.km.MT.Tr.Road.Freight.LCV.ICE.Gasoline</t>
  </si>
  <si>
    <t>VehicleKm_per_vehicle.km.MT.Tr.Road.Freight.LCV.ICE.Diesel</t>
  </si>
  <si>
    <t>VehicleKm_per_vehicle.km.MT.Tr.Road.Freight.LCV.ICE.LPG</t>
  </si>
  <si>
    <t>VehicleKm_per_vehicle.km.MT.Tr.Road.Freight.LCV.ICE.NGas</t>
  </si>
  <si>
    <t>VehicleKm_per_vehicle.km.MT.Tr.Road.Freight.LCV.BEV</t>
  </si>
  <si>
    <t>VehicleKm_per_vehicle.km.MT.Tr.Road.Freight.HGV_All</t>
  </si>
  <si>
    <t>VehicleKm_per_vehicle.km.MT.Tr.Road.Freight.HGV_Domestic</t>
  </si>
  <si>
    <t>VehicleKm_per_vehicle.km.MT.Tr.Road.Freight.HGV_International</t>
  </si>
  <si>
    <t>Activity_per_vehicle.pkm.MT.Tr.Road.Passenger</t>
  </si>
  <si>
    <t>Activity_per_vehicle.pkm.MT.Tr.Road.Passenger.P2W</t>
  </si>
  <si>
    <t>Activity_per_vehicle.pkm.MT.Tr.Road.Passenger.Car</t>
  </si>
  <si>
    <t>Activity_per_vehicle.pkm.MT.Tr.Road.Passenger.Car.ICE.Gasoline</t>
  </si>
  <si>
    <t>Activity_per_vehicle.pkm.MT.Tr.Road.Passenger.Car.ICE.Diesel</t>
  </si>
  <si>
    <t>Activity_per_vehicle.pkm.MT.Tr.Road.Passenger.Car.ICE.LPG</t>
  </si>
  <si>
    <t>Activity_per_vehicle.pkm.MT.Tr.Road.Passenger.Car.ICE.NGas</t>
  </si>
  <si>
    <t>Activity_per_vehicle.pkm.MT.Tr.Road.Passenger.Car.PHEV.Gasoline</t>
  </si>
  <si>
    <t>Activity_per_vehicle.pkm.MT.Tr.Road.Passenger.Car.BEV</t>
  </si>
  <si>
    <t>Activity_per_vehicle.pkm.MT.Tr.Road.Passenger.Bus</t>
  </si>
  <si>
    <t>Activity_per_vehicle.pkm.MT.Tr.Road.Passenger.Bus.ICE.Gasoline</t>
  </si>
  <si>
    <t>Activity_per_vehicle.pkm.MT.Tr.Road.Passenger.Bus.ICE.Diesel</t>
  </si>
  <si>
    <t>Activity_per_vehicle.pkm.MT.Tr.Road.Passenger.Bus.ICE.LPG</t>
  </si>
  <si>
    <t>Activity_per_vehicle.pkm.MT.Tr.Road.Passenger.Bus.ICE.NGas</t>
  </si>
  <si>
    <t>Activity_per_vehicle.pkm.MT.Tr.Road.Passenger.Bus.BEV</t>
  </si>
  <si>
    <t>Activity_per_vehicle.tkm.MT.Tr.Road.Freight</t>
  </si>
  <si>
    <t>Activity_per_vehicle.tkm.MT.Tr.Road.Freight.LCV</t>
  </si>
  <si>
    <t>Activity_per_vehicle.tkm.MT.Tr.Road.Freight.LCV.ICE.Gasoline</t>
  </si>
  <si>
    <t>Activity_per_vehicle.tkm.MT.Tr.Road.Freight.LCV.ICE.Diesel</t>
  </si>
  <si>
    <t>Activity_per_vehicle.tkm.MT.Tr.Road.Freight.LCV.ICE.LPG</t>
  </si>
  <si>
    <t>Activity_per_vehicle.tkm.MT.Tr.Road.Freight.LCV.ICE.NGas</t>
  </si>
  <si>
    <t>Activity_per_vehicle.tkm.MT.Tr.Road.Freight.LCV.BEV</t>
  </si>
  <si>
    <t>Activity_per_vehicle.tkm.MT.Tr.Road.Freight.HGV_All</t>
  </si>
  <si>
    <t>Activity_per_vehicle.tkm.MT.Tr.Road.Freight.HGV_Domestic</t>
  </si>
  <si>
    <t>Activity_per_vehicle.tkm.MT.Tr.Road.Freight.HGV_International</t>
  </si>
  <si>
    <t>Road transport / energy consumption - MT - Malta</t>
  </si>
  <si>
    <t>FEC.ktoe.MT.ES.Tr.Road</t>
  </si>
  <si>
    <t>FEC.ktoe.MT.ES.Tr.Road.LPG</t>
  </si>
  <si>
    <t>FEC.ktoe.MT.ES.Tr.Road.Gasoline</t>
  </si>
  <si>
    <t>FEC.ktoe.MT.ES.Tr.Road.Diesel</t>
  </si>
  <si>
    <t>FEC.ktoe.MT.ES.Tr.Road.NG</t>
  </si>
  <si>
    <t>FEC.ktoe.MT.ES.Tr.Road.Biogas</t>
  </si>
  <si>
    <t>FEC.ktoe.MT.ES.Tr.Road.Biogasoline</t>
  </si>
  <si>
    <t>FEC.ktoe.MT.ES.Tr.Road.Biodiesel</t>
  </si>
  <si>
    <t>FEC.ktoe.MT.ES.Tr.Road.OthLiqBio</t>
  </si>
  <si>
    <t>FEC.ktoe.MT.ES.Tr.Road.Elec</t>
  </si>
  <si>
    <t>FEC.ktoe.MT.Tr.Road</t>
  </si>
  <si>
    <t>FEC.ktoe.MT.Tr.Road.Passenger.P2W.Total.Total.Biogasoline</t>
  </si>
  <si>
    <t>FEC.ktoe.MT.Tr.Road.Passenger.Car.ICE.Gasoline</t>
  </si>
  <si>
    <t>FEC.ktoe.MT.Tr.Road.Passenger.Car.ICE.Gasoline.Biogasoline</t>
  </si>
  <si>
    <t>FEC.ktoe.MT.Tr.Road.Passenger.Car.ICE.Diesel</t>
  </si>
  <si>
    <t>FEC.ktoe.MT.Tr.Road.Passenger.Car.ICE.Diesel.BioDiesel_OthLiqBio</t>
  </si>
  <si>
    <t>FEC.ktoe.MT.Tr.Road.Passenger.Car.ICE.LPG</t>
  </si>
  <si>
    <t>FEC.ktoe.MT.Tr.Road.Passenger.Car.ICE.NGas</t>
  </si>
  <si>
    <t>FEC.ktoe.MT.Tr.Road.Passenger.Car.ICE.NGas.Biogas</t>
  </si>
  <si>
    <t>FEC.ktoe.MT.Tr.Road.Passenger.Car.PHEV.Gasoline</t>
  </si>
  <si>
    <t>FEC.ktoe.MT.Tr.Road.Passenger.Car.PHEV.Gasoline.Biogasoline</t>
  </si>
  <si>
    <t>FEC.ktoe.MT.Tr.Road.Passenger.Car.PHEV.Gasoline.Elec</t>
  </si>
  <si>
    <t>FEC.ktoe.MT.Tr.Road.Passenger.Car.BEV</t>
  </si>
  <si>
    <t>FEC.ktoe.MT.Tr.Road.Passenger.Bus.ICE.Gasoline</t>
  </si>
  <si>
    <t>FEC.ktoe.MT.Tr.Road.Passenger.Bus.ICE.Gasoline.Biogasoline</t>
  </si>
  <si>
    <t>FEC.ktoe.MT.Tr.Road.Passenger.Bus.ICE.Diesel</t>
  </si>
  <si>
    <t>FEC.ktoe.MT.Tr.Road.Passenger.Bus.ICE.Diesel.BioDiesel_OthLiqBio</t>
  </si>
  <si>
    <t>FEC.ktoe.MT.Tr.Road.Passenger.Bus.ICE.LPG</t>
  </si>
  <si>
    <t>FEC.ktoe.MT.Tr.Road.Passenger.Bus.ICE.NGas</t>
  </si>
  <si>
    <t>FEC.ktoe.MT.Tr.Road.Passenger.Bus.ICE.NGas.Biogas</t>
  </si>
  <si>
    <t>FEC.ktoe.MT.Tr.Road.Passenger.Bus.BEV</t>
  </si>
  <si>
    <t>FEC.ktoe.MT.Tr.Road.Freight.LCV.ICE.Gasoline</t>
  </si>
  <si>
    <t>FEC.ktoe.MT.Tr.Road.Freight.LCV.ICE.Gasoline.Biogasoline</t>
  </si>
  <si>
    <t>FEC.ktoe.MT.Tr.Road.Freight.LCV.ICE.Diesel</t>
  </si>
  <si>
    <t>FEC.ktoe.MT.Tr.Road.Freight.LCV.ICE.Diesel.BioDiesel_OthLiqBio</t>
  </si>
  <si>
    <t>FEC.ktoe.MT.Tr.Road.Freight.LCV.ICE.LPG</t>
  </si>
  <si>
    <t>FEC.ktoe.MT.Tr.Road.Freight.LCV.ICE.NGas</t>
  </si>
  <si>
    <t>FEC.ktoe.MT.Tr.Road.Freight.LCV.ICE.NGas.Biogas</t>
  </si>
  <si>
    <t>FEC.ktoe.MT.Tr.Road.Freight.LCV.BEV</t>
  </si>
  <si>
    <t>FEC.ktoe.MT.Tr.Road.Freight.HGV_Domestic</t>
  </si>
  <si>
    <t>FEC.ktoe.MT.Tr.Road.Freight.HGV_Domestic.Total.Total.BioDiesel_OthLiqBio</t>
  </si>
  <si>
    <t>FEC.ktoe.MT.Tr.Road.Freight.HGV_International</t>
  </si>
  <si>
    <t>FEC.ktoe.MT.Tr.Road.Freight.HGV_International.Total.Total.BioDiesel_OthLiqBio</t>
  </si>
  <si>
    <t>Eff.kgoe_per_100km.MT.Tr.Road</t>
  </si>
  <si>
    <t>Eff.kgoe_per_100km.MT.Tr.Road.Passenger</t>
  </si>
  <si>
    <t>Eff.kgoe_per_100km.MT.Tr.Road.Passenger.P2W</t>
  </si>
  <si>
    <t>Eff.kgoe_per_100km.MT.Tr.Road.Passenger.Car</t>
  </si>
  <si>
    <t>Eff.kgoe_per_100km.MT.Tr.Road.Passenger.Car.ICE.Gasoline</t>
  </si>
  <si>
    <t>Eff.kgoe_per_100km.MT.Tr.Road.Passenger.Car.ICE.Diesel</t>
  </si>
  <si>
    <t>Eff.kgoe_per_100km.MT.Tr.Road.Passenger.Car.ICE.LPG</t>
  </si>
  <si>
    <t>Eff.kgoe_per_100km.MT.Tr.Road.Passenger.Car.ICE.NGas</t>
  </si>
  <si>
    <t>Eff.kgoe_per_100km.MT.Tr.Road.Passenger.Car.PHEV.Gasoline</t>
  </si>
  <si>
    <t>Eff.kgoe_per_100km.MT.Tr.Road.Passenger.Car.BEV</t>
  </si>
  <si>
    <t>Eff.kgoe_per_100km.MT.Tr.Road.Passenger.Bus</t>
  </si>
  <si>
    <t>Eff.kgoe_per_100km.MT.Tr.Road.Passenger.Bus.ICE.Gasoline</t>
  </si>
  <si>
    <t>Eff.kgoe_per_100km.MT.Tr.Road.Passenger.Bus.ICE.Diesel</t>
  </si>
  <si>
    <t>Eff.kgoe_per_100km.MT.Tr.Road.Passenger.Bus.ICE.LPG</t>
  </si>
  <si>
    <t>Eff.kgoe_per_100km.MT.Tr.Road.Passenger.Bus.ICE.NGas</t>
  </si>
  <si>
    <t>Eff.kgoe_per_100km.MT.Tr.Road.Passenger.Bus.BEV</t>
  </si>
  <si>
    <t>Eff.kgoe_per_100km.MT.Tr.Road.Freight</t>
  </si>
  <si>
    <t>Eff.kgoe_per_100km.MT.Tr.Road.Freight.LCV</t>
  </si>
  <si>
    <t>Eff.kgoe_per_100km.MT.Tr.Road.Freight.LCV.ICE.Gasoline</t>
  </si>
  <si>
    <t>Eff.kgoe_per_100km.MT.Tr.Road.Freight.LCV.ICE.Diesel</t>
  </si>
  <si>
    <t>Eff.kgoe_per_100km.MT.Tr.Road.Freight.LCV.ICE.LPG</t>
  </si>
  <si>
    <t>Eff.kgoe_per_100km.MT.Tr.Road.Freight.LCV.ICE.NGas</t>
  </si>
  <si>
    <t>Eff.kgoe_per_100km.MT.Tr.Road.Freight.LCV.BEV</t>
  </si>
  <si>
    <t>Eff.kgoe_per_100km.MT.Tr.Road.Freight.HGV_All</t>
  </si>
  <si>
    <t>Eff.kgoe_per_100km.MT.Tr.Road.Freight.HGV_Domestic</t>
  </si>
  <si>
    <t>Eff.kgoe_per_100km.MT.Tr.Road.Freight.HGV_International</t>
  </si>
  <si>
    <t>Eff.kgoe_per_kpkm.MT.Tr.Road.Passenger.Car.ICE.Gasoline</t>
  </si>
  <si>
    <t>Eff.kgoe_per_kpkm.MT.Tr.Road.Passenger.Car.ICE.Diesel</t>
  </si>
  <si>
    <t>Eff.kgoe_per_kpkm.MT.Tr.Road.Passenger.Car.ICE.LPG</t>
  </si>
  <si>
    <t>Eff.kgoe_per_kpkm.MT.Tr.Road.Passenger.Car.ICE.NGas</t>
  </si>
  <si>
    <t>Eff.kgoe_per_kpkm.MT.Tr.Road.Passenger.Car.PHEV.Gasoline</t>
  </si>
  <si>
    <t>Eff.kgoe_per_kpkm.MT.Tr.Road.Passenger.Car.BEV</t>
  </si>
  <si>
    <t>Eff.kgoe_per_kpkm.MT.Tr.Road.Passenger.Bus.ICE.Gasoline</t>
  </si>
  <si>
    <t>Eff.kgoe_per_kpkm.MT.Tr.Road.Passenger.Bus.ICE.Diesel</t>
  </si>
  <si>
    <t>Eff.kgoe_per_kpkm.MT.Tr.Road.Passenger.Bus.ICE.LPG</t>
  </si>
  <si>
    <t>Eff.kgoe_per_kpkm.MT.Tr.Road.Passenger.Bus.ICE.NGas</t>
  </si>
  <si>
    <t>Eff.kgoe_per_kpkm.MT.Tr.Road.Passenger.Bus.BEV</t>
  </si>
  <si>
    <t>Eff.kgoe_per_ktkm.MT.Tr.Road.Freight.LCV.ICE.Gasoline</t>
  </si>
  <si>
    <t>Eff.kgoe_per_ktkm.MT.Tr.Road.Freight.LCV.ICE.Diesel</t>
  </si>
  <si>
    <t>Eff.kgoe_per_ktkm.MT.Tr.Road.Freight.LCV.ICE.LPG</t>
  </si>
  <si>
    <t>Eff.kgoe_per_ktkm.MT.Tr.Road.Freight.LCV.ICE.NGas</t>
  </si>
  <si>
    <t>Eff.kgoe_per_ktkm.MT.Tr.Road.Freight.LCV.BEV</t>
  </si>
  <si>
    <t>Eff.kgoe_per_ktkm.MT.Tr.Road.Freight.HGV_Domestic</t>
  </si>
  <si>
    <t>Eff.kgoe_per_ktkm.MT.Tr.Road.Freight.HGV_International</t>
  </si>
  <si>
    <t>FEC_per_vehicle.kgoe.MT.Tr.Road.Passenger.P2W</t>
  </si>
  <si>
    <t>FEC_per_vehicle.kgoe.MT.Tr.Road.Passenger.Car</t>
  </si>
  <si>
    <t>FEC_per_vehicle.kgoe.MT.Tr.Road.Passenger.Car.ICE.Gasoline</t>
  </si>
  <si>
    <t>FEC_per_vehicle.kgoe.MT.Tr.Road.Passenger.Car.ICE.Diesel</t>
  </si>
  <si>
    <t>FEC_per_vehicle.kgoe.MT.Tr.Road.Passenger.Car.ICE.LPG</t>
  </si>
  <si>
    <t>FEC_per_vehicle.kgoe.MT.Tr.Road.Passenger.Car.ICE.NGas</t>
  </si>
  <si>
    <t>FEC_per_vehicle.kgoe.MT.Tr.Road.Passenger.Car.PHEV.Gasoline</t>
  </si>
  <si>
    <t>FEC_per_vehicle.kgoe.MT.Tr.Road.Passenger.Car.BEV</t>
  </si>
  <si>
    <t>FEC_per_vehicle.kgoe.MT.Tr.Road.Passenger.Bus</t>
  </si>
  <si>
    <t>FEC_per_vehicle.kgoe.MT.Tr.Road.Passenger.Bus.ICE.Gasoline</t>
  </si>
  <si>
    <t>FEC_per_vehicle.kgoe.MT.Tr.Road.Passenger.Bus.ICE.Diesel</t>
  </si>
  <si>
    <t>FEC_per_vehicle.kgoe.MT.Tr.Road.Passenger.Bus.ICE.LPG</t>
  </si>
  <si>
    <t>FEC_per_vehicle.kgoe.MT.Tr.Road.Passenger.Bus.ICE.NGas</t>
  </si>
  <si>
    <t>FEC_per_vehicle.kgoe.MT.Tr.Road.Passenger.Bus.BEV</t>
  </si>
  <si>
    <t>FEC_per_vehicle.kgoe.MT.Tr.Road.Freight.LCV</t>
  </si>
  <si>
    <t>FEC_per_vehicle.kgoe.MT.Tr.Road.Freight.LCV.ICE.Gasoline</t>
  </si>
  <si>
    <t>FEC_per_vehicle.kgoe.MT.Tr.Road.Freight.LCV.ICE.Diesel</t>
  </si>
  <si>
    <t>FEC_per_vehicle.kgoe.MT.Tr.Road.Freight.LCV.ICE.LPG</t>
  </si>
  <si>
    <t>FEC_per_vehicle.kgoe.MT.Tr.Road.Freight.LCV.ICE.NGas</t>
  </si>
  <si>
    <t>FEC_per_vehicle.kgoe.MT.Tr.Road.Freight.LCV.BEV</t>
  </si>
  <si>
    <t>FEC_per_vehicle.kgoe.MT.Tr.Road.Freight.HGV_All</t>
  </si>
  <si>
    <t>FEC_per_vehicle.kgoe.MT.Tr.Road.Freight.HGV_Domestic</t>
  </si>
  <si>
    <t>FEC_per_vehicle.kgoe.MT.Tr.Road.Freight.HGV_International</t>
  </si>
  <si>
    <t>Road transport / CO2 emissions - MT - Malta</t>
  </si>
  <si>
    <t>EMI.ktCO2.MT.ES.Tr.Road</t>
  </si>
  <si>
    <t>EMI.ktCO2.MT.ES.Tr.Road.LPG</t>
  </si>
  <si>
    <t>EMI.ktCO2.MT.ES.Tr.Road.Gasoline</t>
  </si>
  <si>
    <t>EMI.ktCO2.MT.ES.Tr.Road.Diesel</t>
  </si>
  <si>
    <t>EMI.ktCO2.MT.ES.Tr.Road.NG</t>
  </si>
  <si>
    <t>EMI.ktCO2.MT.ES.Tr.Road.Biogas</t>
  </si>
  <si>
    <t>EMI.ktCO2.MT.ES.Tr.Road.Biogasoline</t>
  </si>
  <si>
    <t>EMI.ktCO2.MT.ES.Tr.Road.Biodiesel</t>
  </si>
  <si>
    <t>EMI.ktCO2.MT.ES.Tr.Road.OthLiqBio</t>
  </si>
  <si>
    <t>EMI.ktCO2.MT.ES.Tr.Road.Elec</t>
  </si>
  <si>
    <t>EMI.ktCO2.MT.Tr.Road</t>
  </si>
  <si>
    <t>EMI.ktCO2.MT.Tr.Road.Passenger.Car.ICE.Gasoline</t>
  </si>
  <si>
    <t>EMI.ktCO2.MT.Tr.Road.Passenger.Car.ICE.Diesel</t>
  </si>
  <si>
    <t>EMI.ktCO2.MT.Tr.Road.Passenger.Car.ICE.LPG</t>
  </si>
  <si>
    <t>EMI.ktCO2.MT.Tr.Road.Passenger.Car.ICE.NGas</t>
  </si>
  <si>
    <t>EMI.ktCO2.MT.Tr.Road.Passenger.Car.PHEV.Gasoline</t>
  </si>
  <si>
    <t>EMI.ktCO2.MT.Tr.Road.Passenger.Car.BEV</t>
  </si>
  <si>
    <t>EMI.ktCO2.MT.Tr.Road.Passenger.Bus.ICE.Gasoline</t>
  </si>
  <si>
    <t>EMI.ktCO2.MT.Tr.Road.Passenger.Bus.ICE.Diesel</t>
  </si>
  <si>
    <t>EMI.ktCO2.MT.Tr.Road.Passenger.Bus.ICE.LPG</t>
  </si>
  <si>
    <t>EMI.ktCO2.MT.Tr.Road.Passenger.Bus.ICE.NGas</t>
  </si>
  <si>
    <t>EMI.ktCO2.MT.Tr.Road.Passenger.Bus.BEV</t>
  </si>
  <si>
    <t>EMI.ktCO2.MT.Tr.Road.Freight.LCV.ICE.Gasoline</t>
  </si>
  <si>
    <t>EMI.ktCO2.MT.Tr.Road.Freight.LCV.ICE.Diesel</t>
  </si>
  <si>
    <t>EMI.ktCO2.MT.Tr.Road.Freight.LCV.ICE.LPG</t>
  </si>
  <si>
    <t>EMI.ktCO2.MT.Tr.Road.Freight.LCV.ICE.NGas</t>
  </si>
  <si>
    <t>EMI.ktCO2.MT.Tr.Road.Freight.LCV.BEV</t>
  </si>
  <si>
    <t>EMI.ktCO2.MT.Tr.Road.Freight.HGV_Domestic</t>
  </si>
  <si>
    <t>EMI.ktCO2.MT.Tr.Road.Freight.HGV_International</t>
  </si>
  <si>
    <t>EMIint.gCO2_per_km.MT.Tr.Road</t>
  </si>
  <si>
    <t>EMIint.gCO2_per_km.MT.Tr.Road.Passenger</t>
  </si>
  <si>
    <t>EMIint.gCO2_per_km.MT.Tr.Road.Passenger.P2W</t>
  </si>
  <si>
    <t>EMIint.gCO2_per_km.MT.Tr.Road.Passenger.Car</t>
  </si>
  <si>
    <t>EMIint.gCO2_per_km.MT.Tr.Road.Passenger.Car.ICE.Gasoline</t>
  </si>
  <si>
    <t>EMIint.gCO2_per_km.MT.Tr.Road.Passenger.Car.ICE.Diesel</t>
  </si>
  <si>
    <t>EMIint.gCO2_per_km.MT.Tr.Road.Passenger.Car.ICE.LPG</t>
  </si>
  <si>
    <t>EMIint.gCO2_per_km.MT.Tr.Road.Passenger.Car.ICE.NGas</t>
  </si>
  <si>
    <t>EMIint.gCO2_per_km.MT.Tr.Road.Passenger.Car.PHEV.Gasoline</t>
  </si>
  <si>
    <t>EMIint.gCO2_per_km.MT.Tr.Road.Passenger.Car.BEV</t>
  </si>
  <si>
    <t>EMIint.gCO2_per_km.MT.Tr.Road.Passenger.Bus</t>
  </si>
  <si>
    <t>EMIint.gCO2_per_km.MT.Tr.Road.Passenger.Bus.ICE.Gasoline</t>
  </si>
  <si>
    <t>EMIint.gCO2_per_km.MT.Tr.Road.Passenger.Bus.ICE.Diesel</t>
  </si>
  <si>
    <t>EMIint.gCO2_per_km.MT.Tr.Road.Passenger.Bus.ICE.LPG</t>
  </si>
  <si>
    <t>EMIint.gCO2_per_km.MT.Tr.Road.Passenger.Bus.ICE.NGas</t>
  </si>
  <si>
    <t>EMIint.gCO2_per_km.MT.Tr.Road.Passenger.Bus.BEV</t>
  </si>
  <si>
    <t>EMIint.gCO2_per_km.MT.Tr.Road.Freight</t>
  </si>
  <si>
    <t>EMIint.gCO2_per_km.MT.Tr.Road.Freight.LCV</t>
  </si>
  <si>
    <t>EMIint.gCO2_per_km.MT.Tr.Road.Freight.LCV.ICE.Gasoline</t>
  </si>
  <si>
    <t>EMIint.gCO2_per_km.MT.Tr.Road.Freight.LCV.ICE.Diesel</t>
  </si>
  <si>
    <t>EMIint.gCO2_per_km.MT.Tr.Road.Freight.LCV.ICE.LPG</t>
  </si>
  <si>
    <t>EMIint.gCO2_per_km.MT.Tr.Road.Freight.LCV.ICE.NGas</t>
  </si>
  <si>
    <t>EMIint.gCO2_per_km.MT.Tr.Road.Freight.LCV.BEV</t>
  </si>
  <si>
    <t>EMIint.gCO2_per_km.MT.Tr.Road.Freight.HGV_All</t>
  </si>
  <si>
    <t>EMIint.gCO2_per_km.MT.Tr.Road.Freight.HGV_Domestic</t>
  </si>
  <si>
    <t>EMIint.gCO2_per_km.MT.Tr.Road.Freight.HGV_International</t>
  </si>
  <si>
    <t>EMIint.gCO2_per_pkm.MT.Tr.Road.Passenger.Car.ICE.Gasoline</t>
  </si>
  <si>
    <t>EMIint.gCO2_per_pkm.MT.Tr.Road.Passenger.Car.ICE.Diesel</t>
  </si>
  <si>
    <t>EMIint.gCO2_per_pkm.MT.Tr.Road.Passenger.Car.ICE.LPG</t>
  </si>
  <si>
    <t>EMIint.gCO2_per_pkm.MT.Tr.Road.Passenger.Car.ICE.NGas</t>
  </si>
  <si>
    <t>EMIint.gCO2_per_pkm.MT.Tr.Road.Passenger.Car.PHEV.Gasoline</t>
  </si>
  <si>
    <t>EMIint.gCO2_per_pkm.MT.Tr.Road.Passenger.Car.BEV</t>
  </si>
  <si>
    <t>EMIint.gCO2_per_pkm.MT.Tr.Road.Passenger.Bus.ICE.Gasoline</t>
  </si>
  <si>
    <t>EMIint.gCO2_per_pkm.MT.Tr.Road.Passenger.Bus.ICE.Diesel</t>
  </si>
  <si>
    <t>EMIint.gCO2_per_pkm.MT.Tr.Road.Passenger.Bus.ICE.LPG</t>
  </si>
  <si>
    <t>EMIint.gCO2_per_pkm.MT.Tr.Road.Passenger.Bus.ICE.NGas</t>
  </si>
  <si>
    <t>EMIint.gCO2_per_pkm.MT.Tr.Road.Passenger.Bus.BEV</t>
  </si>
  <si>
    <t>EMIint.gCO2_per_tkm.MT.Tr.Road.Freight.LCV.ICE.Gasoline</t>
  </si>
  <si>
    <t>EMIint.gCO2_per_tkm.MT.Tr.Road.Freight.LCV.ICE.Diesel</t>
  </si>
  <si>
    <t>EMIint.gCO2_per_tkm.MT.Tr.Road.Freight.LCV.ICE.LPG</t>
  </si>
  <si>
    <t>EMIint.gCO2_per_tkm.MT.Tr.Road.Freight.LCV.ICE.NGas</t>
  </si>
  <si>
    <t>EMIint.gCO2_per_tkm.MT.Tr.Road.Freight.LCV.BEV</t>
  </si>
  <si>
    <t>EMIint.gCO2_per_tkm.MT.Tr.Road.Freight.HGV_Domestic</t>
  </si>
  <si>
    <t>EMIint.gCO2_per_tkm.MT.Tr.Road.Freight.HGV_International</t>
  </si>
  <si>
    <t>EMI_per_vehicle.kgCO2.MT.Tr.Road.Passenger.P2W</t>
  </si>
  <si>
    <t>EMI_per_vehicle.kgCO2.MT.Tr.Road.Passenger.Car</t>
  </si>
  <si>
    <t>EMI_per_vehicle.kgCO2.MT.Tr.Road.Passenger.Car.ICE.Gasoline</t>
  </si>
  <si>
    <t>EMI_per_vehicle.kgCO2.MT.Tr.Road.Passenger.Car.ICE.Diesel</t>
  </si>
  <si>
    <t>EMI_per_vehicle.kgCO2.MT.Tr.Road.Passenger.Car.ICE.LPG</t>
  </si>
  <si>
    <t>EMI_per_vehicle.kgCO2.MT.Tr.Road.Passenger.Car.ICE.NGas</t>
  </si>
  <si>
    <t>EMI_per_vehicle.kgCO2.MT.Tr.Road.Passenger.Car.PHEV.Gasoline</t>
  </si>
  <si>
    <t>EMI_per_vehicle.kgCO2.MT.Tr.Road.Passenger.Car.BEV</t>
  </si>
  <si>
    <t>EMI_per_vehicle.kgCO2.MT.Tr.Road.Passenger.Bus</t>
  </si>
  <si>
    <t>EMI_per_vehicle.kgCO2.MT.Tr.Road.Passenger.Bus.ICE.Gasoline</t>
  </si>
  <si>
    <t>EMI_per_vehicle.kgCO2.MT.Tr.Road.Passenger.Bus.ICE.Diesel</t>
  </si>
  <si>
    <t>EMI_per_vehicle.kgCO2.MT.Tr.Road.Passenger.Bus.ICE.LPG</t>
  </si>
  <si>
    <t>EMI_per_vehicle.kgCO2.MT.Tr.Road.Passenger.Bus.ICE.NGas</t>
  </si>
  <si>
    <t>EMI_per_vehicle.kgCO2.MT.Tr.Road.Passenger.Bus.BEV</t>
  </si>
  <si>
    <t>EMI_per_vehicle.kgCO2.MT.Tr.Road.Freight.LCV</t>
  </si>
  <si>
    <t>EMI_per_vehicle.kgCO2.MT.Tr.Road.Freight.LCV.ICE.Gasoline</t>
  </si>
  <si>
    <t>EMI_per_vehicle.kgCO2.MT.Tr.Road.Freight.LCV.ICE.Diesel</t>
  </si>
  <si>
    <t>EMI_per_vehicle.kgCO2.MT.Tr.Road.Freight.LCV.ICE.LPG</t>
  </si>
  <si>
    <t>EMI_per_vehicle.kgCO2.MT.Tr.Road.Freight.LCV.ICE.NGas</t>
  </si>
  <si>
    <t>EMI_per_vehicle.kgCO2.MT.Tr.Road.Freight.LCV.BEV</t>
  </si>
  <si>
    <t>EMI_per_vehicle.kgCO2.MT.Tr.Road.Freight.HGV_All</t>
  </si>
  <si>
    <t>EMI_per_vehicle.kgCO2.MT.Tr.Road.Freight.HGV_Domestic</t>
  </si>
  <si>
    <t>EMI_per_vehicle.kgCO2.MT.Tr.Road.Freight.HGV_International</t>
  </si>
  <si>
    <t>Road transport / technologies - MT - Malta</t>
  </si>
  <si>
    <t>Stock.number.MT.Tr.Road.Freight.HGV_all</t>
  </si>
  <si>
    <t>StockVin.number.MT.Tr.Road</t>
  </si>
  <si>
    <t>StockVin.number.MT.Tr.Road.Passenger</t>
  </si>
  <si>
    <t>StockVin.number.MT.Tr.Road.Passenger.P2W</t>
  </si>
  <si>
    <t>StockVin.number.MT.Tr.Road.Passenger.Car</t>
  </si>
  <si>
    <t>StockVin.number.MT.Tr.Road.Passenger.Car.ICE.Gasoline</t>
  </si>
  <si>
    <t>StockVin.number.MT.Tr.Road.Passenger.Car.ICE.Diesel</t>
  </si>
  <si>
    <t>StockVin.number.MT.Tr.Road.Passenger.Car.ICE.LPG</t>
  </si>
  <si>
    <t>StockVin.number.MT.Tr.Road.Passenger.Car.ICE.NGas</t>
  </si>
  <si>
    <t>StockVin.number.MT.Tr.Road.Passenger.Car.PHEV.Gasoline</t>
  </si>
  <si>
    <t>StockVin.number.MT.Tr.Road.Passenger.Car.BEV</t>
  </si>
  <si>
    <t>StockVin.number.MT.Tr.Road.Passenger.Bus</t>
  </si>
  <si>
    <t>StockVin.number.MT.Tr.Road.Passenger.Bus.ICE.Gasoline</t>
  </si>
  <si>
    <t>StockVin.number.MT.Tr.Road.Passenger.Bus.ICE.Diesel</t>
  </si>
  <si>
    <t>StockVin.number.MT.Tr.Road.Passenger.Bus.ICE.LPG</t>
  </si>
  <si>
    <t>StockVin.number.MT.Tr.Road.Passenger.Bus.ICE.NGas</t>
  </si>
  <si>
    <t>StockVin.number.MT.Tr.Road.Passenger.Bus.BEV</t>
  </si>
  <si>
    <t>StockVin.number.MT.Tr.Road.Freight</t>
  </si>
  <si>
    <t>StockVin.number.MT.Tr.Road.Freight.LCV</t>
  </si>
  <si>
    <t>StockVin.number.MT.Tr.Road.Freight.LCV.ICE.Gasoline</t>
  </si>
  <si>
    <t>StockVin.number.MT.Tr.Road.Freight.LCV.ICE.Diesel</t>
  </si>
  <si>
    <t>StockVin.number.MT.Tr.Road.Freight.LCV.ICE.LPG</t>
  </si>
  <si>
    <t>StockVin.number.MT.Tr.Road.Freight.LCV.ICE.NGas</t>
  </si>
  <si>
    <t>StockVin.number.MT.Tr.Road.Freight.LCV.BEV</t>
  </si>
  <si>
    <t>StockVin.number.MT.Tr.Road.Freight.HGV_All</t>
  </si>
  <si>
    <t>StockVin.number.MT.Tr.Road.Freight.HGV_Domestic</t>
  </si>
  <si>
    <t>StockVin.number.MT.Tr.Road.Freight.HGV_International</t>
  </si>
  <si>
    <t>Eff_test_stock.kgoe_per_100km.MT.Tr.Road.Passenger.P2W</t>
  </si>
  <si>
    <t>Eff_test_stock.kgoe_per_100km.MT.Tr.Road.Passenger.Car</t>
  </si>
  <si>
    <t>Eff_test_stock.kgoe_per_100km.MT.Tr.Road.Passenger.Car.ICE.Gasoline</t>
  </si>
  <si>
    <t>Eff_test_stock.kgoe_per_100km.MT.Tr.Road.Passenger.Car.ICE.Diesel</t>
  </si>
  <si>
    <t>Eff_test_stock.kgoe_per_100km.MT.Tr.Road.Passenger.Car.ICE.LPG</t>
  </si>
  <si>
    <t>Eff_test_stock.kgoe_per_100km.MT.Tr.Road.Passenger.Car.ICE.NGas</t>
  </si>
  <si>
    <t>Eff_test_stock.kgoe_per_100km.MT.Tr.Road.Passenger.Car.PHEV.Gasoline</t>
  </si>
  <si>
    <t>Eff_test_stock.kgoe_per_100km.MT.Tr.Road.Passenger.Car.BEV</t>
  </si>
  <si>
    <t>Eff_test_stock.kgoe_per_100km.MT.Tr.Road.Passenger.Bus</t>
  </si>
  <si>
    <t>Eff_test_stock.kgoe_per_100km.MT.Tr.Road.Passenger.Bus.ICE.Gasoline</t>
  </si>
  <si>
    <t>Eff_test_stock.kgoe_per_100km.MT.Tr.Road.Passenger.Bus.ICE.Diesel</t>
  </si>
  <si>
    <t>Eff_test_stock.kgoe_per_100km.MT.Tr.Road.Passenger.Bus.ICE.LPG</t>
  </si>
  <si>
    <t>Eff_test_stock.kgoe_per_100km.MT.Tr.Road.Passenger.Bus.ICE.NGas</t>
  </si>
  <si>
    <t>Eff_test_stock.kgoe_per_100km.MT.Tr.Road.Passenger.Bus.BEV</t>
  </si>
  <si>
    <t>Eff_test_stock.kgoe_per_100km.MT.Tr.Road.Freight.LCV</t>
  </si>
  <si>
    <t>Eff_test_stock.kgoe_per_100km.MT.Tr.Road.Freight.LCV.ICE.Gasoline</t>
  </si>
  <si>
    <t>Eff_test_stock.kgoe_per_100km.MT.Tr.Road.Freight.LCV.ICE.Diesel</t>
  </si>
  <si>
    <t>Eff_test_stock.kgoe_per_100km.MT.Tr.Road.Freight.LCV.ICE.LPG</t>
  </si>
  <si>
    <t>Eff_test_stock.kgoe_per_100km.MT.Tr.Road.Freight.LCV.ICE.NGas</t>
  </si>
  <si>
    <t>Eff_test_stock.kgoe_per_100km.MT.Tr.Road.Freight.LCV.BEV</t>
  </si>
  <si>
    <t>Eff_test_stock.kgoe_per_100km.MT.Tr.Road.Freight.HGV_All</t>
  </si>
  <si>
    <t>Eff_test_stock.kgoe_per_100km.MT.Tr.Road.Freight.HGV_Domestic</t>
  </si>
  <si>
    <t>Eff_test_stock.kgoe_per_100km.MT.Tr.Road.Freight.HGV_International</t>
  </si>
  <si>
    <t>Eff_test_new.kgoe_per_100km.MT.Tr.Road.Passenger.P2W</t>
  </si>
  <si>
    <t>Eff_test_new.kgoe_per_100km.MT.Tr.Road.Passenger.Car</t>
  </si>
  <si>
    <t>Eff_test_new.kgoe_per_100km.MT.Tr.Road.Passenger.Car.ICE.Gasoline</t>
  </si>
  <si>
    <t>Eff_test_new.kgoe_per_100km.MT.Tr.Road.Passenger.Car.ICE.Diesel</t>
  </si>
  <si>
    <t>Eff_test_new.kgoe_per_100km.MT.Tr.Road.Passenger.Car.ICE.LPG</t>
  </si>
  <si>
    <t>Eff_test_new.kgoe_per_100km.MT.Tr.Road.Passenger.Car.ICE.NGas</t>
  </si>
  <si>
    <t>Eff_test_new.kgoe_per_100km.MT.Tr.Road.Passenger.Car.PHEV.Gasoline</t>
  </si>
  <si>
    <t>Eff_test_new.kgoe_per_100km.MT.Tr.Road.Passenger.Car.BEV</t>
  </si>
  <si>
    <t>Eff_test_new.kgoe_per_100km.MT.Tr.Road.Passenger.Bus</t>
  </si>
  <si>
    <t>Eff_test_new.kgoe_per_100km.MT.Tr.Road.Passenger.Bus.ICE.Gasoline</t>
  </si>
  <si>
    <t>Eff_test_new.kgoe_per_100km.MT.Tr.Road.Passenger.Bus.ICE.Diesel</t>
  </si>
  <si>
    <t>Eff_test_new.kgoe_per_100km.MT.Tr.Road.Passenger.Bus.ICE.LPG</t>
  </si>
  <si>
    <t>Eff_test_new.kgoe_per_100km.MT.Tr.Road.Passenger.Bus.ICE.NGas</t>
  </si>
  <si>
    <t>Eff_test_new.kgoe_per_100km.MT.Tr.Road.Passenger.Bus.BEV</t>
  </si>
  <si>
    <t>Eff_test_new.kgoe_per_100km.MT.Tr.Road.Freight.LCV</t>
  </si>
  <si>
    <t>Eff_test_new.kgoe_per_100km.MT.Tr.Road.Freight.LCV.ICE.Gasoline</t>
  </si>
  <si>
    <t>Eff_test_new.kgoe_per_100km.MT.Tr.Road.Freight.LCV.ICE.Diesel</t>
  </si>
  <si>
    <t>Eff_test_new.kgoe_per_100km.MT.Tr.Road.Freight.LCV.ICE.LPG</t>
  </si>
  <si>
    <t>Eff_test_new.kgoe_per_100km.MT.Tr.Road.Freight.LCV.ICE.NGas</t>
  </si>
  <si>
    <t>Eff_test_new.kgoe_per_100km.MT.Tr.Road.Freight.LCV.BEV</t>
  </si>
  <si>
    <t>Eff_test_new.kgoe_per_100km.MT.Tr.Road.Freight.HGV_All</t>
  </si>
  <si>
    <t>Eff_test_new.kgoe_per_100km.MT.Tr.Road.Freight.HGV_Domestic</t>
  </si>
  <si>
    <t>Eff_test_new.kgoe_per_100km.MT.Tr.Road.Freight.HGV_International</t>
  </si>
  <si>
    <t>EMIint_test_stock.gCO2_per_km.MT.Tr.Road.Passenger.P2W</t>
  </si>
  <si>
    <t>EMIint_test_stock.gCO2_per_km.MT.Tr.Road.Passenger.Car</t>
  </si>
  <si>
    <t>EMIint_test_stock.gCO2_per_km.MT.Tr.Road.Passenger.Car.ICE.Gasoline</t>
  </si>
  <si>
    <t>EMIint_test_stock.gCO2_per_km.MT.Tr.Road.Passenger.Car.ICE.Diesel</t>
  </si>
  <si>
    <t>EMIint_test_stock.gCO2_per_km.MT.Tr.Road.Passenger.Car.ICE.LPG</t>
  </si>
  <si>
    <t>EMIint_test_stock.gCO2_per_km.MT.Tr.Road.Passenger.Car.ICE.NGas</t>
  </si>
  <si>
    <t>EMIint_test_stock.gCO2_per_km.MT.Tr.Road.Passenger.Car.PHEV.Gasoline</t>
  </si>
  <si>
    <t>EMIint_test_stock.gCO2_per_km.MT.Tr.Road.Passenger.Car.BEV</t>
  </si>
  <si>
    <t>EMIint_test_stock.gCO2_per_km.MT.Tr.Road.Passenger.Bus</t>
  </si>
  <si>
    <t>EMIint_test_stock.gCO2_per_km.MT.Tr.Road.Passenger.Bus.ICE.Gasoline</t>
  </si>
  <si>
    <t>EMIint_test_stock.gCO2_per_km.MT.Tr.Road.Passenger.Bus.ICE.Diesel</t>
  </si>
  <si>
    <t>EMIint_test_stock.gCO2_per_km.MT.Tr.Road.Passenger.Bus.ICE.LPG</t>
  </si>
  <si>
    <t>EMIint_test_stock.gCO2_per_km.MT.Tr.Road.Passenger.Bus.ICE.NGas</t>
  </si>
  <si>
    <t>EMIint_test_stock.gCO2_per_km.MT.Tr.Road.Passenger.Bus.BEV</t>
  </si>
  <si>
    <t>EMIint_test_stock.gCO2_per_km.MT.Tr.Road.Freight.LCV</t>
  </si>
  <si>
    <t>EMIint_test_stock.gCO2_per_km.MT.Tr.Road.Freight.LCV.ICE.Gasoline</t>
  </si>
  <si>
    <t>EMIint_test_stock.gCO2_per_km.MT.Tr.Road.Freight.LCV.ICE.Diesel</t>
  </si>
  <si>
    <t>EMIint_test_stock.gCO2_per_km.MT.Tr.Road.Freight.LCV.ICE.LPG</t>
  </si>
  <si>
    <t>EMIint_test_stock.gCO2_per_km.MT.Tr.Road.Freight.LCV.ICE.NGas</t>
  </si>
  <si>
    <t>EMIint_test_stock.gCO2_per_km.MT.Tr.Road.Freight.LCV.BEV</t>
  </si>
  <si>
    <t>EMIint_test_stock.gCO2_per_km.MT.Tr.Road.Freight.HGV_All</t>
  </si>
  <si>
    <t>EMIint_test_stock.gCO2_per_km.MT.Tr.Road.Freight.HGV_Domestic</t>
  </si>
  <si>
    <t>EMIint_test_stock.gCO2_per_km.MT.Tr.Road.Freight.HGV_International</t>
  </si>
  <si>
    <t>EMIint_test_new.gCO2_per_km.MT.Tr.Road.Passenger.P2W</t>
  </si>
  <si>
    <t>EMIint_test_new.gCO2_per_km.MT.Tr.Road.Passenger.Car</t>
  </si>
  <si>
    <t>EMIint_test_new.gCO2_per_km.MT.Tr.Road.Passenger.Car.ICE.Gasoline</t>
  </si>
  <si>
    <t>EMIint_test_new.gCO2_per_km.MT.Tr.Road.Passenger.Car.ICE.Diesel</t>
  </si>
  <si>
    <t>EMIint_test_new.gCO2_per_km.MT.Tr.Road.Passenger.Car.ICE.LPG</t>
  </si>
  <si>
    <t>EMIint_test_new.gCO2_per_km.MT.Tr.Road.Passenger.Car.ICE.NGas</t>
  </si>
  <si>
    <t>EMIint_test_new.gCO2_per_km.MT.Tr.Road.Passenger.Car.PHEV.Gasoline</t>
  </si>
  <si>
    <t>EMIint_test_new.gCO2_per_km.MT.Tr.Road.Passenger.Car.BEV</t>
  </si>
  <si>
    <t>EMIint_test_new.gCO2_per_km.MT.Tr.Road.Passenger.Bus</t>
  </si>
  <si>
    <t>EMIint_test_new.gCO2_per_km.MT.Tr.Road.Passenger.Bus.ICE.Gasoline</t>
  </si>
  <si>
    <t>EMIint_test_new.gCO2_per_km.MT.Tr.Road.Passenger.Bus.ICE.Diesel</t>
  </si>
  <si>
    <t>EMIint_test_new.gCO2_per_km.MT.Tr.Road.Passenger.Bus.ICE.LPG</t>
  </si>
  <si>
    <t>EMIint_test_new.gCO2_per_km.MT.Tr.Road.Passenger.Bus.ICE.NGas</t>
  </si>
  <si>
    <t>EMIint_test_new.gCO2_per_km.MT.Tr.Road.Passenger.Bus.BEV</t>
  </si>
  <si>
    <t>EMIint_test_new.gCO2_per_km.MT.Tr.Road.Freight.LCV</t>
  </si>
  <si>
    <t>EMIint_test_new.gCO2_per_km.MT.Tr.Road.Freight.LCV.ICE.Gasoline</t>
  </si>
  <si>
    <t>EMIint_test_new.gCO2_per_km.MT.Tr.Road.Freight.LCV.ICE.Diesel</t>
  </si>
  <si>
    <t>EMIint_test_new.gCO2_per_km.MT.Tr.Road.Freight.LCV.ICE.LPG</t>
  </si>
  <si>
    <t>EMIint_test_new.gCO2_per_km.MT.Tr.Road.Freight.LCV.ICE.NGas</t>
  </si>
  <si>
    <t>EMIint_test_new.gCO2_per_km.MT.Tr.Road.Freight.LCV.BEV</t>
  </si>
  <si>
    <t>EMIint_test_new.gCO2_per_km.MT.Tr.Road.Freight.HGV_All</t>
  </si>
  <si>
    <t>EMIint_test_new.gCO2_per_km.MT.Tr.Road.Freight.HGV_Domestic</t>
  </si>
  <si>
    <t>EMIint_test_new.gCO2_per_km.MT.Tr.Road.Freight.HGV_International</t>
  </si>
  <si>
    <t>FEC.ktoe.MT.MBunk</t>
  </si>
  <si>
    <t>FEC.ktoe.MT.MBunk.IntraEEA</t>
  </si>
  <si>
    <t>FEC.ktoe.MT.MBunk.ExtraEEA</t>
  </si>
  <si>
    <t>EMI.ktCO2.MT.MBunk</t>
  </si>
  <si>
    <t>EMI.ktCO2.MT.MBunk.IntraEEA</t>
  </si>
  <si>
    <t>EMI.ktCO2.MT.MBunk.ExtraEEA</t>
  </si>
  <si>
    <t>International maritime bunkers - MT - Malta</t>
  </si>
  <si>
    <t>VehicleKm.Mkm.MT.MBunk.Freight</t>
  </si>
  <si>
    <t>VehicleKm.Mkm.MT.MBunk.Freight.IntraEEA</t>
  </si>
  <si>
    <t>VehicleKm.Mkm.MT.MBunk.Freight.ExtraEEA</t>
  </si>
  <si>
    <t>Load.t_per_movement.MT.MBunk.Freight</t>
  </si>
  <si>
    <t>Load.t_per_movement.MT.MBunk.Freight.IntraEEA</t>
  </si>
  <si>
    <t>Load.t_per_movement.MT.MBunk.Freight.ExtraEEA</t>
  </si>
  <si>
    <t>International maritime bunkers / energy consumption - MT - Malta</t>
  </si>
  <si>
    <t>FEC.ktoe.MT.ES.MBunk</t>
  </si>
  <si>
    <t>FEC.ktoe.MT.ES.MBunk.IntraEEA</t>
  </si>
  <si>
    <t>FEC.ktoe.MT.ES.MBunk.IntraEEA.Diesel</t>
  </si>
  <si>
    <t>FEC.ktoe.MT.ES.MBunk.IntraEEA.RFO_Other</t>
  </si>
  <si>
    <t>FEC.ktoe.MT.ES.MBunk.IntraEEA.LiqBio</t>
  </si>
  <si>
    <t>FEC.ktoe.MT.ES.MBunk.IntraEEA.NG</t>
  </si>
  <si>
    <t>FEC.ktoe.MT.ES.MBunk.IntraEEA.Biogas</t>
  </si>
  <si>
    <t>FEC.ktoe.MT.ES.MBunk.ExtraEEA</t>
  </si>
  <si>
    <t>FEC.ktoe.MT.ES.MBunk.ExtraEEA.Diesel</t>
  </si>
  <si>
    <t>FEC.ktoe.MT.ES.MBunk.ExtraEEA.RFO_Other</t>
  </si>
  <si>
    <t>FEC.ktoe.MT.ES.MBunk.ExtraEEA.LiqBio</t>
  </si>
  <si>
    <t>FEC.ktoe.MT.ES.MBunk.ExtraEEA.NG</t>
  </si>
  <si>
    <t>FEC.ktoe.MT.ES.MBunk.ExtraEEA.Biogas</t>
  </si>
  <si>
    <t>Eff.kgoe_per_100km.MT.MBunk.Freight</t>
  </si>
  <si>
    <t>Eff.kgoe_per_100km.MT.MBunk.Freight.IntraEEA</t>
  </si>
  <si>
    <t>Eff.kgoe_per_100km.MT.MBunk.Freight.ExtraEEA</t>
  </si>
  <si>
    <t>International maritime bunkers / CO2 emissions - MT - Malta</t>
  </si>
  <si>
    <t>EMI.ktCO2.MT.ES.MBunk</t>
  </si>
  <si>
    <t>EMI.ktCO2.MT.ES.MBunk.IntraEEA</t>
  </si>
  <si>
    <t>EMI.ktCO2.MT.ES.MBunk.ExtraEEA</t>
  </si>
  <si>
    <t>EMIint.gCO2_per_km.MT.MBunk.Freight</t>
  </si>
  <si>
    <t>EMIint.gCO2_per_km.MT.MBunk.Freight.IntraEEA</t>
  </si>
  <si>
    <t>EMIint.gCO2_per_km.MT.MBunk.Freight.ExtraEEA</t>
  </si>
  <si>
    <t>FEC.ktoe.MT.Tr.DNavi</t>
  </si>
  <si>
    <t>FEC.ktoe.MT.Tr.Dnavi.DCS</t>
  </si>
  <si>
    <t>FEC.ktoe.MT.Tr.Dnavi.IWW</t>
  </si>
  <si>
    <t>EMI.ktCO2.MT.Tr.DNavi</t>
  </si>
  <si>
    <t>EMI.ktCO2.MT.Tr.Dnavi.DCS</t>
  </si>
  <si>
    <t>EMI.ktCO2.MT.Tr.Dnavi.IWW</t>
  </si>
  <si>
    <t>Domestic navigation - MT - Malta</t>
  </si>
  <si>
    <t>VehicleKm.Mkm.MT.Tr.DNavi.Freight</t>
  </si>
  <si>
    <t>VehicleKm.Mkm.MT.Tr.DNavi.Freight.DCS</t>
  </si>
  <si>
    <t>VehicleKm.Mkm.MT.Tr.DNavi.Freight.IWW</t>
  </si>
  <si>
    <t>Load.t_per_movement.MT.Tr.DNavi.Freight</t>
  </si>
  <si>
    <t>Load.t_per_movement.MT.Tr.DNavi.Freight.DCS</t>
  </si>
  <si>
    <t>Load.t_per_movement.MT.Tr.DNavi.Freight.IWW</t>
  </si>
  <si>
    <t>Domestic navigation / energy consumption - MT - Malta</t>
  </si>
  <si>
    <t>FEC.ktoe.MT.ES.Tr.DNavi</t>
  </si>
  <si>
    <t>FEC.ktoe.MT.ES.Tr.DNavi.DCS</t>
  </si>
  <si>
    <t>FEC.ktoe.MT.ES.Tr.DNavi.DCS.Diesel</t>
  </si>
  <si>
    <t>FEC.ktoe.MT.ES.Tr.DNavi.DCS.RFO_Other</t>
  </si>
  <si>
    <t>FEC.ktoe.MT.ES.Tr.DNavi.DCS.LiqBio</t>
  </si>
  <si>
    <t>FEC.ktoe.MT.ES.Tr.DNavi.DCS.NG</t>
  </si>
  <si>
    <t>FEC.ktoe.MT.ES.Tr.DNavi.DCS.Biogas</t>
  </si>
  <si>
    <t>FEC.ktoe.MT.ES.Tr.DNavi.IWW</t>
  </si>
  <si>
    <t>FEC.ktoe.MT.ES.Tr.DNavi.IWW.Diesel</t>
  </si>
  <si>
    <t>FEC.ktoe.MT.ES.Tr.DNavi.IWW.RFO_Other</t>
  </si>
  <si>
    <t>FEC.ktoe.MT.ES.Tr.DNavi.IWW.LiqBio</t>
  </si>
  <si>
    <t>FEC.ktoe.MT.ES.Tr.DNavi.IWW.NG</t>
  </si>
  <si>
    <t>FEC.ktoe.MT.ES.Tr.DNavi.IWW.Biogas</t>
  </si>
  <si>
    <t>Eff.kgoe_per_100km.MT.Tr.DNavi.Freight</t>
  </si>
  <si>
    <t>Eff.kgoe_per_100km.MT.Tr.DNavi.Freight.DCS</t>
  </si>
  <si>
    <t>Eff.kgoe_per_100km.MT.Tr.DNavi.Freight.IWW</t>
  </si>
  <si>
    <t>Domestic navigation / CO2 emissions - MT - Malta</t>
  </si>
  <si>
    <t>EMI.ktCO2.MT.ES.Tr.DNavi</t>
  </si>
  <si>
    <t>EMI.ktCO2.MT.ES.Tr.DNavi.DCS</t>
  </si>
  <si>
    <t>EMI.ktCO2.MT.ES.Tr.DNavi.IWW</t>
  </si>
  <si>
    <t>EMIint.gCO2_per_km.MT.Tr.DNavi.Freight</t>
  </si>
  <si>
    <t>EMIint.gCO2_per_km.MT.Tr.DNavi.Freight.DCS</t>
  </si>
  <si>
    <t>EMIint.gCO2_per_km.MT.Tr.DNavi.Freight.IWW</t>
  </si>
  <si>
    <t>Rail, metro and tram - MT - Malta</t>
  </si>
  <si>
    <t>Activity.Mpkm.MT.Tr.Rail.Passenger.CPT.Diesel</t>
  </si>
  <si>
    <t>Activity.Mpkm.MT.Tr.Rail.Passenger.CPT.Elc</t>
  </si>
  <si>
    <t>Activity.Mtkm.MT.Tr.Rail.Freight.Diesel</t>
  </si>
  <si>
    <t>Activity.Mtkm.MT.Tr.Rail.Freight.Elc</t>
  </si>
  <si>
    <t>VehicleKm.Mkm.MT.Tr.Rail</t>
  </si>
  <si>
    <t>VehicleKm.Mkm.MT.Tr.Rail.Passenger</t>
  </si>
  <si>
    <t>VehicleKm.Mkm.MT.Tr.Rail.Passenger.MTU</t>
  </si>
  <si>
    <t>VehicleKm.Mkm.MT.Tr.Rail.Passenger.CPT</t>
  </si>
  <si>
    <t>VehicleKm.Mkm.MT.Tr.Rail.Passenger.CPT.Diesel</t>
  </si>
  <si>
    <t>VehicleKm.Mkm.MT.Tr.Rail.Passenger.CPT.Elc</t>
  </si>
  <si>
    <t>VehicleKm.Mkm.MT.Tr.Rail.Passenger.HST</t>
  </si>
  <si>
    <t>VehicleKm.Mkm.MT.Tr.Rail.Freight</t>
  </si>
  <si>
    <t>VehicleKm.Mkm.MT.Tr.Rail.Freight.Diesel</t>
  </si>
  <si>
    <t>VehicleKm.Mkm.MT.Tr.Rail.Freight.Elc</t>
  </si>
  <si>
    <t>Stock.number.MT.Tr.Rail</t>
  </si>
  <si>
    <t>Stock.number.MT.Tr.Rail.Passenger</t>
  </si>
  <si>
    <t>Stock.number.MT.Tr.Rail.Passenger.MTU</t>
  </si>
  <si>
    <t>Stock.number.MT.Tr.Rail.Passenger.CPT</t>
  </si>
  <si>
    <t>Stock.number.MT.Tr.Rail.Passenger.CPT.Diesel</t>
  </si>
  <si>
    <t>Stock.number.MT.Tr.Rail.Passenger.CPT.Elc</t>
  </si>
  <si>
    <t>Stock.number.MT.Tr.Rail.Passenger.HST</t>
  </si>
  <si>
    <t>Stock.number.MT.Tr.Rail.Freight</t>
  </si>
  <si>
    <t>Stock.number.MT.Tr.Rail.Freight.Diesel</t>
  </si>
  <si>
    <t>Stock.number.MT.Tr.Rail.Freight.Elc</t>
  </si>
  <si>
    <t>StockNew.number.MT.Tr.Rail</t>
  </si>
  <si>
    <t>StockNew.number.MT.Tr.Rail.Passenger</t>
  </si>
  <si>
    <t>StockNew.number.MT.Tr.Rail.Passenger.MTU</t>
  </si>
  <si>
    <t>StockNew.number.MT.Tr.Rail.Passenger.CPT</t>
  </si>
  <si>
    <t>StockNew.number.MT.Tr.Rail.Passenger.CPT.Diesel</t>
  </si>
  <si>
    <t>StockNew.number.MT.Tr.Rail.Passenger.CPT.Elc</t>
  </si>
  <si>
    <t>StockNew.number.MT.Tr.Rail.Passenger.HST</t>
  </si>
  <si>
    <t>StockNew.number.MT.Tr.Rail.Freight</t>
  </si>
  <si>
    <t>StockNew.number.MT.Tr.Rail.Freight.Diesel</t>
  </si>
  <si>
    <t>StockNew.number.MT.Tr.Rail.Freight.Elc</t>
  </si>
  <si>
    <t>Load.passenger_per_movement.MT.Tr.Rail.Passenger</t>
  </si>
  <si>
    <t>Load.passenger_per_movement.MT.Tr.Rail.Passenger.MTU</t>
  </si>
  <si>
    <t>Load.passenger_per_movement.MT.Tr.Rail.Passenger.CPT</t>
  </si>
  <si>
    <t>Load.passenger_per_movement.MT.Tr.Rail.Passenger.CPT.Diesel</t>
  </si>
  <si>
    <t>Load.passenger_per_movement.MT.Tr.Rail.Passenger.CPT.Elc</t>
  </si>
  <si>
    <t>Load.passenger_per_movement.MT.Tr.Rail.Passenger.HST</t>
  </si>
  <si>
    <t>Load.t_per_movement.MT.Tr.Rail.Freight</t>
  </si>
  <si>
    <t>Load.t_per_movement.MT.Tr.Rail.Freight.Diesel</t>
  </si>
  <si>
    <t>Load.t_per_movement.MT.Tr.Rail.Freight.Elc</t>
  </si>
  <si>
    <t>TrCap.seats.MT.Tr.Rail.Passenger</t>
  </si>
  <si>
    <t>TrCap.seats.MT.Tr.Rail.Passenger.MTU</t>
  </si>
  <si>
    <t>TrCap.seats.MT.Tr.Rail.Passenger.CPT</t>
  </si>
  <si>
    <t>TrCap.seats.MT.Tr.Rail.Passenger.CPT.Diesel</t>
  </si>
  <si>
    <t>TrCap.seats.MT.Tr.Rail.Passenger.CPT.Elc</t>
  </si>
  <si>
    <t>TrCap.seats.MT.Tr.Rail.Passenger.HST</t>
  </si>
  <si>
    <t>TrCap.t.MT.Tr.Rail.Freight</t>
  </si>
  <si>
    <t>TrCap.t.MT.Tr.Rail.Freight.Diesel</t>
  </si>
  <si>
    <t>TrCap.t.MT.Tr.Rail.Freight.Elc</t>
  </si>
  <si>
    <t>VehicleKm_per_vehicle.km.MT.Tr.Rail</t>
  </si>
  <si>
    <t>VehicleKm_per_vehicle.km.MT.Tr.Rail.Passenger</t>
  </si>
  <si>
    <t>VehicleKm_per_vehicle.km.MT.Tr.Rail.Passenger.MTU</t>
  </si>
  <si>
    <t>VehicleKm_per_vehicle.km.MT.Tr.Rail.Passenger.CPT</t>
  </si>
  <si>
    <t>VehicleKm_per_vehicle.km.MT.Tr.Rail.Passenger.CPT.Diesel</t>
  </si>
  <si>
    <t>VehicleKm_per_vehicle.km.MT.Tr.Rail.Passenger.CPT.Elc</t>
  </si>
  <si>
    <t>VehicleKm_per_vehicle.km.MT.Tr.Rail.Passenger.HST</t>
  </si>
  <si>
    <t>VehicleKm_per_vehicle.km.MT.Tr.Rail.Freight</t>
  </si>
  <si>
    <t>VehicleKm_per_vehicle.km.MT.Tr.Rail.Freight.Diesel</t>
  </si>
  <si>
    <t>VehicleKm_per_vehicle.km.MT.Tr.Rail.Freight.Elc</t>
  </si>
  <si>
    <t>Activity_per_vehicle.pkm.MT.Tr.Rail.Passenger</t>
  </si>
  <si>
    <t>Activity_per_vehicle.pkm.MT.Tr.Rail.Passenger.MTU</t>
  </si>
  <si>
    <t>Activity_per_vehicle.pkm.MT.Tr.Rail.Passenger.CPT</t>
  </si>
  <si>
    <t>Activity_per_vehicle.pkm.MT.Tr.Rail.Passenger.CPT.Diesel</t>
  </si>
  <si>
    <t>Activity_per_vehicle.pkm.MT.Tr.Rail.Passenger.CPT.Elc</t>
  </si>
  <si>
    <t>Activity_per_vehicle.pkm.MT.Tr.Rail.Passenger.HST</t>
  </si>
  <si>
    <t>Activity_per_vehicle.tkm.MT.Tr.Rail.Freight</t>
  </si>
  <si>
    <t>Activity_per_vehicle.tkm.MT.Tr.Rail.Freight.Diesel</t>
  </si>
  <si>
    <t>Activity_per_vehicle.tkm.MT.Tr.Rail.Freight.Elc</t>
  </si>
  <si>
    <t>Rail, metro and tram / energy consumption - MT - Malta</t>
  </si>
  <si>
    <t>FEC.ktoe.MT.ES.Tr.Rail</t>
  </si>
  <si>
    <t>FEC.ktoe.MT.ES.Tr.Rail.Diesel</t>
  </si>
  <si>
    <t>FEC.ktoe.MT.ES.Tr.Rail.LiqBio</t>
  </si>
  <si>
    <t>FEC.ktoe.MT.ES.Tr.Rail.Elec</t>
  </si>
  <si>
    <t>FEC.ktoe.MT.Tr.Rail</t>
  </si>
  <si>
    <t>FEC.ktoe.MT.Tr.Rail.Passenger.CPT.Diesel</t>
  </si>
  <si>
    <t>FEC.ktoe.MT.Tr.Rail.Passenger.CPT.Elc</t>
  </si>
  <si>
    <t>FEC.ktoe.MT.Tr.Rail.Freight.Diesel</t>
  </si>
  <si>
    <t>FEC.ktoe.MT.Tr.Rail.Freight.Elc</t>
  </si>
  <si>
    <t>Eff.kgoe_per_100km.MT.Tr.Rail</t>
  </si>
  <si>
    <t>Eff.kgoe_per_100km.MT.Tr.Rail.Passenger</t>
  </si>
  <si>
    <t>Eff.kgoe_per_100km.MT.Tr.Rail.Passenger.MTU</t>
  </si>
  <si>
    <t>Eff.kgoe_per_100km.MT.Tr.Rail.Passenger.CPT</t>
  </si>
  <si>
    <t>Eff.kgoe_per_100km.MT.Tr.Rail.Passenger.CPT.Diesel</t>
  </si>
  <si>
    <t>Eff.kgoe_per_100km.MT.Tr.Rail.Passenger.CPT.Elc</t>
  </si>
  <si>
    <t>Eff.kgoe_per_100km.MT.Tr.Rail.Passenger.HST</t>
  </si>
  <si>
    <t>Eff.kgoe_per_100km.MT.Tr.Rail.Freight</t>
  </si>
  <si>
    <t>Eff.kgoe_per_100km.MT.Tr.Rail.Freight.Diesel</t>
  </si>
  <si>
    <t>Eff.kgoe_per_100km.MT.Tr.Rail.Freight.Elc</t>
  </si>
  <si>
    <t>Eff.kgoe_per_kpkm.MT.Tr.Rail.Passenger.CPT.Diesel</t>
  </si>
  <si>
    <t>Eff.kgoe_per_kpkm.MT.Tr.Rail.Passenger.CPT.Elc</t>
  </si>
  <si>
    <t>Eff.kgoe_per_ktkm.MT.Tr.Rail.Freight.Diesel</t>
  </si>
  <si>
    <t>Eff.kgoe_per_ktkm.MT.Tr.Rail.Freight.Elc</t>
  </si>
  <si>
    <t>FEC_per_vehicle.kgoe.MT.Tr.Rail</t>
  </si>
  <si>
    <t>FEC_per_vehicle.kgoe.MT.Tr.Rail.Passenger</t>
  </si>
  <si>
    <t>FEC_per_vehicle.kgoe.MT.Tr.Rail.Passenger.MTU</t>
  </si>
  <si>
    <t>FEC_per_vehicle.kgoe.MT.Tr.Rail.Passenger.CPT</t>
  </si>
  <si>
    <t>FEC_per_vehicle.kgoe.MT.Tr.Rail.Passenger.CPT.Diesel</t>
  </si>
  <si>
    <t>FEC_per_vehicle.kgoe.MT.Tr.Rail.Passenger.CPT.Elc</t>
  </si>
  <si>
    <t>FEC_per_vehicle.kgoe.MT.Tr.Rail.Passenger.HST</t>
  </si>
  <si>
    <t>FEC_per_vehicle.kgoe.MT.Tr.Rail.Freight</t>
  </si>
  <si>
    <t>FEC_per_vehicle.kgoe.MT.Tr.Rail.Freight.Diesel</t>
  </si>
  <si>
    <t>FEC_per_vehicle.kgoe.MT.Tr.Rail.Freight.Elc</t>
  </si>
  <si>
    <t>Rail, metro and tram / CO2 emissions - MT - Malta</t>
  </si>
  <si>
    <t>EMI.ktCO2.MT.ES.Tr.Rail</t>
  </si>
  <si>
    <t>EMI.ktCO2.MT.ES.Tr.Rail.Diesel</t>
  </si>
  <si>
    <t>EMI.ktCO2.MT.ES.Tr.Rail.Elec</t>
  </si>
  <si>
    <t>EMI.ktCO2.MT.Tr.Rail</t>
  </si>
  <si>
    <t>EMI.ktCO2.MT.Tr.Rail.Passenger.CPT.Diesel</t>
  </si>
  <si>
    <t>EMI.ktCO2.MT.Tr.Rail.Passenger.CPT.Elc</t>
  </si>
  <si>
    <t>EMI.ktCO2.MT.Tr.Rail.Freight.Diesel</t>
  </si>
  <si>
    <t>EMI.ktCO2.MT.Tr.Rail.Freight.Elc</t>
  </si>
  <si>
    <t>EMIint.gCO2_per_km.MT.Tr.Rail</t>
  </si>
  <si>
    <t>EMIint.gCO2_per_km.MT.Tr.Rail.Passenger</t>
  </si>
  <si>
    <t>EMIint.gCO2_per_km.MT.Tr.Rail.Passenger.MTU</t>
  </si>
  <si>
    <t>EMIint.gCO2_per_km.MT.Tr.Rail.Passenger.CPT</t>
  </si>
  <si>
    <t>EMIint.gCO2_per_km.MT.Tr.Rail.Passenger.CPT.Diesel</t>
  </si>
  <si>
    <t>EMIint.gCO2_per_km.MT.Tr.Rail.Passenger.CPT.Elc</t>
  </si>
  <si>
    <t>EMIint.gCO2_per_km.MT.Tr.Rail.Passenger.HST</t>
  </si>
  <si>
    <t>EMIint.gCO2_per_km.MT.Tr.Rail.Freight</t>
  </si>
  <si>
    <t>EMIint.gCO2_per_km.MT.Tr.Rail.Freight.Diesel</t>
  </si>
  <si>
    <t>EMIint.gCO2_per_km.MT.Tr.Rail.Freight.Elc</t>
  </si>
  <si>
    <t>EMIint.gCO2_per_pkm.MT.Tr.Rail.Passenger.CPT.Diesel</t>
  </si>
  <si>
    <t>EMIint.gCO2_per_pkm.MT.Tr.Rail.Passenger.CPT.Elc</t>
  </si>
  <si>
    <t>EMIint.gCO2_per_tkm.MT.Tr.Rail.Freight.Diesel</t>
  </si>
  <si>
    <t>EMIint.gCO2_per_tkm.MT.Tr.Rail.Freight.Elc</t>
  </si>
  <si>
    <t>EMI_per_vehicle.tCO2.MT.Tr.Rail</t>
  </si>
  <si>
    <t>EMI_per_vehicle.tCO2.MT.Tr.Rail.Passenger</t>
  </si>
  <si>
    <t>EMI_per_vehicle.tCO2.MT.Tr.Rail.Passenger.MTU</t>
  </si>
  <si>
    <t>EMI_per_vehicle.tCO2.MT.Tr.Rail.Passenger.CPT</t>
  </si>
  <si>
    <t>EMI_per_vehicle.tCO2.MT.Tr.Rail.Passenger.CPT.Diesel</t>
  </si>
  <si>
    <t>EMI_per_vehicle.tCO2.MT.Tr.Rail.Passenger.CPT.Elc</t>
  </si>
  <si>
    <t>EMI_per_vehicle.tCO2.MT.Tr.Rail.Passenger.HST</t>
  </si>
  <si>
    <t>EMI_per_vehicle.tCO2.MT.Tr.Rail.Freight</t>
  </si>
  <si>
    <t>EMI_per_vehicle.tCO2.MT.Tr.Rail.Freight.Diesel</t>
  </si>
  <si>
    <t>EMI_per_vehicle.tCO2.MT.Tr.Rail.Freight.Elc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</si>
</sst>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45967.478090277778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5215.8906378497959</v>
      </c>
      <c r="C4" s="28">
        <f t="shared" si="0"/>
        <v>5028.7899594907085</v>
      </c>
      <c r="D4" s="28">
        <f t="shared" si="0"/>
        <v>4826.8828099241291</v>
      </c>
      <c r="E4" s="28">
        <f t="shared" si="0"/>
        <v>4843.8853113635178</v>
      </c>
      <c r="F4" s="28">
        <f t="shared" si="0"/>
        <v>4985.3123966869935</v>
      </c>
      <c r="G4" s="28">
        <f t="shared" si="0"/>
        <v>5039.798990425742</v>
      </c>
      <c r="H4" s="28">
        <f t="shared" si="0"/>
        <v>4970.1496010051724</v>
      </c>
      <c r="I4" s="28">
        <f t="shared" si="0"/>
        <v>5209.708280951545</v>
      </c>
      <c r="J4" s="28">
        <f t="shared" si="0"/>
        <v>5358.9288373944355</v>
      </c>
      <c r="K4" s="28">
        <f t="shared" si="0"/>
        <v>5180.9582887920151</v>
      </c>
      <c r="L4" s="28">
        <f t="shared" si="0"/>
        <v>5483.824115848206</v>
      </c>
      <c r="M4" s="28">
        <f t="shared" si="0"/>
        <v>5790.070808092566</v>
      </c>
      <c r="N4" s="28">
        <f t="shared" si="0"/>
        <v>5872.902230101141</v>
      </c>
      <c r="O4" s="28">
        <f t="shared" si="0"/>
        <v>6238.594648341752</v>
      </c>
      <c r="P4" s="28">
        <f t="shared" si="0"/>
        <v>6512.7514382073568</v>
      </c>
      <c r="Q4" s="28">
        <f t="shared" si="0"/>
        <v>6855.1505388832802</v>
      </c>
      <c r="R4" s="28">
        <f t="shared" ref="R4:V4" si="1">R5+R9+R13</f>
        <v>7437.2100464605737</v>
      </c>
      <c r="S4" s="28">
        <f t="shared" si="1"/>
        <v>8101.5714512361155</v>
      </c>
      <c r="T4" s="28">
        <f t="shared" si="1"/>
        <v>8830.332661139737</v>
      </c>
      <c r="U4" s="28">
        <f t="shared" si="1"/>
        <v>9438.5706119002407</v>
      </c>
      <c r="V4" s="28">
        <f t="shared" si="1"/>
        <v>4321.6884241726848</v>
      </c>
      <c r="W4" s="28">
        <f t="shared" ref="W4:Y4" si="2">W5+W9+W13</f>
        <v>5059.1029728478152</v>
      </c>
      <c r="X4" s="28">
        <f t="shared" si="2"/>
        <v>7791.4138217934478</v>
      </c>
      <c r="Y4" s="28">
        <f t="shared" si="2"/>
        <v>9338.6829434242791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2291.8961961278264</v>
      </c>
      <c r="C5" s="137">
        <f t="shared" si="3"/>
        <v>2302.9963189187183</v>
      </c>
      <c r="D5" s="137">
        <f t="shared" si="3"/>
        <v>2364.260838622854</v>
      </c>
      <c r="E5" s="137">
        <f t="shared" si="3"/>
        <v>2425.1575749927074</v>
      </c>
      <c r="F5" s="137">
        <f t="shared" si="3"/>
        <v>2482.8853665230863</v>
      </c>
      <c r="G5" s="137">
        <f t="shared" si="3"/>
        <v>2520.827496970036</v>
      </c>
      <c r="H5" s="137">
        <f t="shared" si="3"/>
        <v>2581.5894502794622</v>
      </c>
      <c r="I5" s="137">
        <f t="shared" si="3"/>
        <v>2637.9406807240889</v>
      </c>
      <c r="J5" s="137">
        <f t="shared" si="3"/>
        <v>2697.1373538741605</v>
      </c>
      <c r="K5" s="137">
        <f t="shared" si="3"/>
        <v>2721.9586775084804</v>
      </c>
      <c r="L5" s="137">
        <f t="shared" si="3"/>
        <v>2737.8711032092456</v>
      </c>
      <c r="M5" s="137">
        <f t="shared" si="3"/>
        <v>2745.4120493660544</v>
      </c>
      <c r="N5" s="137">
        <f t="shared" si="3"/>
        <v>2757.3135128134222</v>
      </c>
      <c r="O5" s="137">
        <f t="shared" si="3"/>
        <v>2802.874989623298</v>
      </c>
      <c r="P5" s="137">
        <f t="shared" si="3"/>
        <v>2952.1513110831997</v>
      </c>
      <c r="Q5" s="137">
        <f t="shared" si="3"/>
        <v>3093.0684721114208</v>
      </c>
      <c r="R5" s="137">
        <f t="shared" ref="R5:V5" si="4">R6+R7+R8</f>
        <v>3193.266890291623</v>
      </c>
      <c r="S5" s="137">
        <f t="shared" si="4"/>
        <v>3225.2520855609264</v>
      </c>
      <c r="T5" s="137">
        <f t="shared" si="4"/>
        <v>3288.9302298531707</v>
      </c>
      <c r="U5" s="137">
        <f t="shared" si="4"/>
        <v>3376.7759239253769</v>
      </c>
      <c r="V5" s="137">
        <f t="shared" si="4"/>
        <v>2809.0062432253785</v>
      </c>
      <c r="W5" s="137">
        <f t="shared" ref="W5:Y5" si="5">W6+W7+W8</f>
        <v>3003.0479066330722</v>
      </c>
      <c r="X5" s="137">
        <f t="shared" si="5"/>
        <v>3272.9569482039997</v>
      </c>
      <c r="Y5" s="137">
        <f t="shared" si="5"/>
        <v>3473.3328724771254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31.896196127826524</v>
      </c>
      <c r="C6" s="102">
        <f>TrRoad_act!C$5</f>
        <v>32.996318918718025</v>
      </c>
      <c r="D6" s="102">
        <f>TrRoad_act!D$5</f>
        <v>34.260838622853925</v>
      </c>
      <c r="E6" s="102">
        <f>TrRoad_act!E$5</f>
        <v>35.157574992707161</v>
      </c>
      <c r="F6" s="102">
        <f>TrRoad_act!F$5</f>
        <v>32.885366523086454</v>
      </c>
      <c r="G6" s="102">
        <f>TrRoad_act!G$5</f>
        <v>30.82749697003571</v>
      </c>
      <c r="H6" s="102">
        <f>TrRoad_act!H$5</f>
        <v>31.589450279462547</v>
      </c>
      <c r="I6" s="102">
        <f>TrRoad_act!I$5</f>
        <v>32.940680724089084</v>
      </c>
      <c r="J6" s="102">
        <f>TrRoad_act!J$5</f>
        <v>37.137353874160787</v>
      </c>
      <c r="K6" s="102">
        <f>TrRoad_act!K$5</f>
        <v>37.070105269604163</v>
      </c>
      <c r="L6" s="102">
        <f>TrRoad_act!L$5</f>
        <v>37.871103209245206</v>
      </c>
      <c r="M6" s="102">
        <f>TrRoad_act!M$5</f>
        <v>40.015743006003092</v>
      </c>
      <c r="N6" s="102">
        <f>TrRoad_act!N$5</f>
        <v>40.412719907214459</v>
      </c>
      <c r="O6" s="102">
        <f>TrRoad_act!O$5</f>
        <v>43.165602922553362</v>
      </c>
      <c r="P6" s="102">
        <f>TrRoad_act!P$5</f>
        <v>47.096125951277962</v>
      </c>
      <c r="Q6" s="102">
        <f>TrRoad_act!Q$5</f>
        <v>48.930270910826124</v>
      </c>
      <c r="R6" s="102">
        <f>TrRoad_act!R$5</f>
        <v>53.284445601172884</v>
      </c>
      <c r="S6" s="102">
        <f>TrRoad_act!S$5</f>
        <v>50.843695566852851</v>
      </c>
      <c r="T6" s="102">
        <f>TrRoad_act!T$5</f>
        <v>48.958964746139515</v>
      </c>
      <c r="U6" s="102">
        <f>TrRoad_act!U$5</f>
        <v>52.452838343033086</v>
      </c>
      <c r="V6" s="102">
        <f>TrRoad_act!V$5</f>
        <v>47.478501589309701</v>
      </c>
      <c r="W6" s="102">
        <f>TrRoad_act!W$5</f>
        <v>50.221701933334714</v>
      </c>
      <c r="X6" s="102">
        <f>TrRoad_act!X$5</f>
        <v>52.423445581003989</v>
      </c>
      <c r="Y6" s="102">
        <f>TrRoad_act!Y$5</f>
        <v>57.6798425540618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1800</v>
      </c>
      <c r="C7" s="102">
        <f>TrRoad_act!C$6</f>
        <v>1800.0000000000002</v>
      </c>
      <c r="D7" s="102">
        <f>TrRoad_act!D$6</f>
        <v>1850</v>
      </c>
      <c r="E7" s="102">
        <f>TrRoad_act!E$6</f>
        <v>1900.0000000000002</v>
      </c>
      <c r="F7" s="102">
        <f>TrRoad_act!F$6</f>
        <v>1950</v>
      </c>
      <c r="G7" s="102">
        <f>TrRoad_act!G$6</f>
        <v>2000</v>
      </c>
      <c r="H7" s="102">
        <f>TrRoad_act!H$6</f>
        <v>2049.9999999999995</v>
      </c>
      <c r="I7" s="102">
        <f>TrRoad_act!I$6</f>
        <v>2100</v>
      </c>
      <c r="J7" s="102">
        <f>TrRoad_act!J$6</f>
        <v>2149.9999999999995</v>
      </c>
      <c r="K7" s="102">
        <f>TrRoad_act!K$6</f>
        <v>2200</v>
      </c>
      <c r="L7" s="102">
        <f>TrRoad_act!L$6</f>
        <v>2200.0000000000005</v>
      </c>
      <c r="M7" s="102">
        <f>TrRoad_act!M$6</f>
        <v>2229.7181531995434</v>
      </c>
      <c r="N7" s="102">
        <f>TrRoad_act!N$6</f>
        <v>2240.4488975013951</v>
      </c>
      <c r="O7" s="102">
        <f>TrRoad_act!O$6</f>
        <v>2291.2353623027689</v>
      </c>
      <c r="P7" s="102">
        <f>TrRoad_act!P$6</f>
        <v>2413.5009155436642</v>
      </c>
      <c r="Q7" s="102">
        <f>TrRoad_act!Q$6</f>
        <v>2504.2317396135668</v>
      </c>
      <c r="R7" s="102">
        <f>TrRoad_act!R$6</f>
        <v>2593.9190716426601</v>
      </c>
      <c r="S7" s="102">
        <f>TrRoad_act!S$6</f>
        <v>2618.2962299592714</v>
      </c>
      <c r="T7" s="102">
        <f>TrRoad_act!T$6</f>
        <v>2671.9139301479654</v>
      </c>
      <c r="U7" s="102">
        <f>TrRoad_act!U$6</f>
        <v>2720.8325236161963</v>
      </c>
      <c r="V7" s="102">
        <f>TrRoad_act!V$6</f>
        <v>2376.5231368112977</v>
      </c>
      <c r="W7" s="102">
        <f>TrRoad_act!W$6</f>
        <v>2536.8676166241589</v>
      </c>
      <c r="X7" s="102">
        <f>TrRoad_act!X$6</f>
        <v>2669.2956758175596</v>
      </c>
      <c r="Y7" s="102">
        <f>TrRoad_act!Y$6</f>
        <v>2802.4922006795291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460</v>
      </c>
      <c r="C8" s="102">
        <f>TrRoad_act!C$13</f>
        <v>470</v>
      </c>
      <c r="D8" s="102">
        <f>TrRoad_act!D$13</f>
        <v>480</v>
      </c>
      <c r="E8" s="102">
        <f>TrRoad_act!E$13</f>
        <v>490</v>
      </c>
      <c r="F8" s="102">
        <f>TrRoad_act!F$13</f>
        <v>500</v>
      </c>
      <c r="G8" s="102">
        <f>TrRoad_act!G$13</f>
        <v>490.00000000000006</v>
      </c>
      <c r="H8" s="102">
        <f>TrRoad_act!H$13</f>
        <v>500</v>
      </c>
      <c r="I8" s="102">
        <f>TrRoad_act!I$13</f>
        <v>504.99999999999994</v>
      </c>
      <c r="J8" s="102">
        <f>TrRoad_act!J$13</f>
        <v>510</v>
      </c>
      <c r="K8" s="102">
        <f>TrRoad_act!K$13</f>
        <v>484.88857223887641</v>
      </c>
      <c r="L8" s="102">
        <f>TrRoad_act!L$13</f>
        <v>500</v>
      </c>
      <c r="M8" s="102">
        <f>TrRoad_act!M$13</f>
        <v>475.67815316050809</v>
      </c>
      <c r="N8" s="102">
        <f>TrRoad_act!N$13</f>
        <v>476.45189540481243</v>
      </c>
      <c r="O8" s="102">
        <f>TrRoad_act!O$13</f>
        <v>468.47402439797605</v>
      </c>
      <c r="P8" s="102">
        <f>TrRoad_act!P$13</f>
        <v>491.55426958825763</v>
      </c>
      <c r="Q8" s="102">
        <f>TrRoad_act!Q$13</f>
        <v>539.90646158702805</v>
      </c>
      <c r="R8" s="102">
        <f>TrRoad_act!R$13</f>
        <v>546.06337304778992</v>
      </c>
      <c r="S8" s="102">
        <f>TrRoad_act!S$13</f>
        <v>556.11216003480183</v>
      </c>
      <c r="T8" s="102">
        <f>TrRoad_act!T$13</f>
        <v>568.05733495906577</v>
      </c>
      <c r="U8" s="102">
        <f>TrRoad_act!U$13</f>
        <v>603.49056196614765</v>
      </c>
      <c r="V8" s="102">
        <f>TrRoad_act!V$13</f>
        <v>385.00460482477075</v>
      </c>
      <c r="W8" s="102">
        <f>TrRoad_act!W$13</f>
        <v>415.95858807557846</v>
      </c>
      <c r="X8" s="102">
        <f>TrRoad_act!X$13</f>
        <v>551.23782680543604</v>
      </c>
      <c r="Y8" s="102">
        <f>TrRoad_act!Y$13</f>
        <v>613.16082924353452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0</v>
      </c>
      <c r="C9" s="110">
        <f t="shared" si="6"/>
        <v>0</v>
      </c>
      <c r="D9" s="110">
        <f t="shared" si="6"/>
        <v>0</v>
      </c>
      <c r="E9" s="110">
        <f t="shared" si="6"/>
        <v>0</v>
      </c>
      <c r="F9" s="110">
        <f t="shared" si="6"/>
        <v>0</v>
      </c>
      <c r="G9" s="110">
        <f t="shared" si="6"/>
        <v>0</v>
      </c>
      <c r="H9" s="110">
        <f t="shared" si="6"/>
        <v>0</v>
      </c>
      <c r="I9" s="110">
        <f t="shared" si="6"/>
        <v>0</v>
      </c>
      <c r="J9" s="110">
        <f t="shared" si="6"/>
        <v>0</v>
      </c>
      <c r="K9" s="110">
        <f t="shared" si="6"/>
        <v>0</v>
      </c>
      <c r="L9" s="110">
        <f t="shared" si="6"/>
        <v>0</v>
      </c>
      <c r="M9" s="110">
        <f t="shared" si="6"/>
        <v>0</v>
      </c>
      <c r="N9" s="110">
        <f t="shared" si="6"/>
        <v>0</v>
      </c>
      <c r="O9" s="110">
        <f t="shared" si="6"/>
        <v>0</v>
      </c>
      <c r="P9" s="110">
        <f t="shared" si="6"/>
        <v>0</v>
      </c>
      <c r="Q9" s="110">
        <f t="shared" si="6"/>
        <v>0</v>
      </c>
      <c r="R9" s="110">
        <f t="shared" ref="R9:V9" si="7">R10+R11+R12</f>
        <v>0</v>
      </c>
      <c r="S9" s="110">
        <f t="shared" si="7"/>
        <v>0</v>
      </c>
      <c r="T9" s="110">
        <f t="shared" si="7"/>
        <v>0</v>
      </c>
      <c r="U9" s="110">
        <f t="shared" si="7"/>
        <v>0</v>
      </c>
      <c r="V9" s="110">
        <f t="shared" si="7"/>
        <v>0</v>
      </c>
      <c r="W9" s="110">
        <f t="shared" ref="W9:Y9" si="8">W10+W11+W12</f>
        <v>0</v>
      </c>
      <c r="X9" s="110">
        <f t="shared" si="8"/>
        <v>0</v>
      </c>
      <c r="Y9" s="110">
        <f t="shared" si="8"/>
        <v>0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X10" s="102">
        <f>TrRail_act!X$5</f>
        <v>0</v>
      </c>
      <c r="Y10" s="102">
        <f>TrRail_act!Y$5</f>
        <v>0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0</v>
      </c>
      <c r="C11" s="102">
        <f>TrRail_act!C$6</f>
        <v>0</v>
      </c>
      <c r="D11" s="102">
        <f>TrRail_act!D$6</f>
        <v>0</v>
      </c>
      <c r="E11" s="102">
        <f>TrRail_act!E$6</f>
        <v>0</v>
      </c>
      <c r="F11" s="102">
        <f>TrRail_act!F$6</f>
        <v>0</v>
      </c>
      <c r="G11" s="102">
        <f>TrRail_act!G$6</f>
        <v>0</v>
      </c>
      <c r="H11" s="102">
        <f>TrRail_act!H$6</f>
        <v>0</v>
      </c>
      <c r="I11" s="102">
        <f>TrRail_act!I$6</f>
        <v>0</v>
      </c>
      <c r="J11" s="102">
        <f>TrRail_act!J$6</f>
        <v>0</v>
      </c>
      <c r="K11" s="102">
        <f>TrRail_act!K$6</f>
        <v>0</v>
      </c>
      <c r="L11" s="102">
        <f>TrRail_act!L$6</f>
        <v>0</v>
      </c>
      <c r="M11" s="102">
        <f>TrRail_act!M$6</f>
        <v>0</v>
      </c>
      <c r="N11" s="102">
        <f>TrRail_act!N$6</f>
        <v>0</v>
      </c>
      <c r="O11" s="102">
        <f>TrRail_act!O$6</f>
        <v>0</v>
      </c>
      <c r="P11" s="102">
        <f>TrRail_act!P$6</f>
        <v>0</v>
      </c>
      <c r="Q11" s="102">
        <f>TrRail_act!Q$6</f>
        <v>0</v>
      </c>
      <c r="R11" s="102">
        <f>TrRail_act!R$6</f>
        <v>0</v>
      </c>
      <c r="S11" s="102">
        <f>TrRail_act!S$6</f>
        <v>0</v>
      </c>
      <c r="T11" s="102">
        <f>TrRail_act!T$6</f>
        <v>0</v>
      </c>
      <c r="U11" s="102">
        <f>TrRail_act!U$6</f>
        <v>0</v>
      </c>
      <c r="V11" s="102">
        <f>TrRail_act!V$6</f>
        <v>0</v>
      </c>
      <c r="W11" s="102">
        <f>TrRail_act!W$6</f>
        <v>0</v>
      </c>
      <c r="X11" s="102">
        <f>TrRail_act!X$6</f>
        <v>0</v>
      </c>
      <c r="Y11" s="102">
        <f>TrRail_act!Y$6</f>
        <v>0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2923.9944417219699</v>
      </c>
      <c r="C13" s="110">
        <f t="shared" ref="C13:V13" si="10">C14+C15+C16</f>
        <v>2725.7936405719897</v>
      </c>
      <c r="D13" s="110">
        <f t="shared" si="10"/>
        <v>2462.6219713012747</v>
      </c>
      <c r="E13" s="110">
        <f t="shared" si="10"/>
        <v>2418.7277363708104</v>
      </c>
      <c r="F13" s="110">
        <f t="shared" si="10"/>
        <v>2502.4270301639076</v>
      </c>
      <c r="G13" s="110">
        <f t="shared" si="10"/>
        <v>2518.971493455706</v>
      </c>
      <c r="H13" s="110">
        <f t="shared" si="10"/>
        <v>2388.5601507257097</v>
      </c>
      <c r="I13" s="110">
        <f t="shared" si="10"/>
        <v>2571.7676002274557</v>
      </c>
      <c r="J13" s="110">
        <f t="shared" si="10"/>
        <v>2661.7914835202751</v>
      </c>
      <c r="K13" s="110">
        <f t="shared" si="10"/>
        <v>2458.9996112835347</v>
      </c>
      <c r="L13" s="110">
        <f t="shared" si="10"/>
        <v>2745.9530126389604</v>
      </c>
      <c r="M13" s="110">
        <f t="shared" si="10"/>
        <v>3044.6587587265117</v>
      </c>
      <c r="N13" s="110">
        <f t="shared" si="10"/>
        <v>3115.5887172877192</v>
      </c>
      <c r="O13" s="110">
        <f t="shared" si="10"/>
        <v>3435.7196587184535</v>
      </c>
      <c r="P13" s="110">
        <f t="shared" si="10"/>
        <v>3560.6001271241566</v>
      </c>
      <c r="Q13" s="110">
        <f t="shared" si="10"/>
        <v>3762.0820667718594</v>
      </c>
      <c r="R13" s="110">
        <f t="shared" si="10"/>
        <v>4243.9431561689507</v>
      </c>
      <c r="S13" s="110">
        <f t="shared" si="10"/>
        <v>4876.3193656751891</v>
      </c>
      <c r="T13" s="110">
        <f t="shared" si="10"/>
        <v>5541.4024312865668</v>
      </c>
      <c r="U13" s="110">
        <f t="shared" si="10"/>
        <v>6061.7946879748633</v>
      </c>
      <c r="V13" s="110">
        <f t="shared" si="10"/>
        <v>1512.6821809473065</v>
      </c>
      <c r="W13" s="110">
        <f t="shared" ref="W13:Y13" si="11">W14+W15+W16</f>
        <v>2056.055066214743</v>
      </c>
      <c r="X13" s="110">
        <f t="shared" si="11"/>
        <v>4518.4568735894482</v>
      </c>
      <c r="Y13" s="110">
        <f t="shared" si="11"/>
        <v>5865.3500709471527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2769.7336377311171</v>
      </c>
      <c r="C15" s="102">
        <f>TrAvia_act!C$6</f>
        <v>2580.7053885311452</v>
      </c>
      <c r="D15" s="102">
        <f>TrAvia_act!D$6</f>
        <v>2345.9910023833841</v>
      </c>
      <c r="E15" s="102">
        <f>TrAvia_act!E$6</f>
        <v>2304.1347572183513</v>
      </c>
      <c r="F15" s="102">
        <f>TrAvia_act!F$6</f>
        <v>2389.1348275423379</v>
      </c>
      <c r="G15" s="102">
        <f>TrAvia_act!G$6</f>
        <v>2410.2054285983704</v>
      </c>
      <c r="H15" s="102">
        <f>TrAvia_act!H$6</f>
        <v>2289.5079739743624</v>
      </c>
      <c r="I15" s="102">
        <f>TrAvia_act!I$6</f>
        <v>2478.6318630779783</v>
      </c>
      <c r="J15" s="102">
        <f>TrAvia_act!J$6</f>
        <v>2564.3055776925517</v>
      </c>
      <c r="K15" s="102">
        <f>TrAvia_act!K$6</f>
        <v>2376.2471202942952</v>
      </c>
      <c r="L15" s="102">
        <f>TrAvia_act!L$6</f>
        <v>2638.5259500260004</v>
      </c>
      <c r="M15" s="102">
        <f>TrAvia_act!M$6</f>
        <v>2885.9380061419288</v>
      </c>
      <c r="N15" s="102">
        <f>TrAvia_act!N$6</f>
        <v>2969.9517582190028</v>
      </c>
      <c r="O15" s="102">
        <f>TrAvia_act!O$6</f>
        <v>3206.5524900081186</v>
      </c>
      <c r="P15" s="102">
        <f>TrAvia_act!P$6</f>
        <v>3385.8540587216175</v>
      </c>
      <c r="Q15" s="102">
        <f>TrAvia_act!Q$6</f>
        <v>3609.2313762433491</v>
      </c>
      <c r="R15" s="102">
        <f>TrAvia_act!R$6</f>
        <v>3964.993497956415</v>
      </c>
      <c r="S15" s="102">
        <f>TrAvia_act!S$6</f>
        <v>4666.5530616754704</v>
      </c>
      <c r="T15" s="102">
        <f>TrAvia_act!T$6</f>
        <v>5259.4467544205199</v>
      </c>
      <c r="U15" s="102">
        <f>TrAvia_act!U$6</f>
        <v>5555.7540255335571</v>
      </c>
      <c r="V15" s="102">
        <f>TrAvia_act!V$6</f>
        <v>1380.6556735191132</v>
      </c>
      <c r="W15" s="102">
        <f>TrAvia_act!W$6</f>
        <v>1913.5375609966027</v>
      </c>
      <c r="X15" s="102">
        <f>TrAvia_act!X$6</f>
        <v>4236.8300091478004</v>
      </c>
      <c r="Y15" s="102">
        <f>TrAvia_act!Y$6</f>
        <v>5488.4900577335102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154.26080399085288</v>
      </c>
      <c r="C16" s="102">
        <f>TrAvia_act!C$7</f>
        <v>145.08825204084431</v>
      </c>
      <c r="D16" s="102">
        <f>TrAvia_act!D$7</f>
        <v>116.63096891789084</v>
      </c>
      <c r="E16" s="102">
        <f>TrAvia_act!E$7</f>
        <v>114.59297915245919</v>
      </c>
      <c r="F16" s="102">
        <f>TrAvia_act!F$7</f>
        <v>113.29220262156947</v>
      </c>
      <c r="G16" s="102">
        <f>TrAvia_act!G$7</f>
        <v>108.76606485733559</v>
      </c>
      <c r="H16" s="102">
        <f>TrAvia_act!H$7</f>
        <v>99.052176751347517</v>
      </c>
      <c r="I16" s="102">
        <f>TrAvia_act!I$7</f>
        <v>93.135737149477151</v>
      </c>
      <c r="J16" s="102">
        <f>TrAvia_act!J$7</f>
        <v>97.48590582772357</v>
      </c>
      <c r="K16" s="102">
        <f>TrAvia_act!K$7</f>
        <v>82.752490989239647</v>
      </c>
      <c r="L16" s="102">
        <f>TrAvia_act!L$7</f>
        <v>107.42706261295997</v>
      </c>
      <c r="M16" s="102">
        <f>TrAvia_act!M$7</f>
        <v>158.72075258458304</v>
      </c>
      <c r="N16" s="102">
        <f>TrAvia_act!N$7</f>
        <v>145.63695906871615</v>
      </c>
      <c r="O16" s="102">
        <f>TrAvia_act!O$7</f>
        <v>229.16716871033503</v>
      </c>
      <c r="P16" s="102">
        <f>TrAvia_act!P$7</f>
        <v>174.74606840253932</v>
      </c>
      <c r="Q16" s="102">
        <f>TrAvia_act!Q$7</f>
        <v>152.85069052851034</v>
      </c>
      <c r="R16" s="102">
        <f>TrAvia_act!R$7</f>
        <v>278.94965821253578</v>
      </c>
      <c r="S16" s="102">
        <f>TrAvia_act!S$7</f>
        <v>209.7663039997189</v>
      </c>
      <c r="T16" s="102">
        <f>TrAvia_act!T$7</f>
        <v>281.95567686604664</v>
      </c>
      <c r="U16" s="102">
        <f>TrAvia_act!U$7</f>
        <v>506.04066244130655</v>
      </c>
      <c r="V16" s="102">
        <f>TrAvia_act!V$7</f>
        <v>132.0265074281933</v>
      </c>
      <c r="W16" s="102">
        <f>TrAvia_act!W$7</f>
        <v>142.5175052181404</v>
      </c>
      <c r="X16" s="102">
        <f>TrAvia_act!X$7</f>
        <v>281.6268644416478</v>
      </c>
      <c r="Y16" s="102">
        <f>TrAvia_act!Y$7</f>
        <v>376.86001321364267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922.28674631197896</v>
      </c>
      <c r="C17" s="28">
        <f t="shared" si="12"/>
        <v>861.8568751576762</v>
      </c>
      <c r="D17" s="28">
        <f t="shared" si="12"/>
        <v>298.03225581895816</v>
      </c>
      <c r="E17" s="28">
        <f t="shared" si="12"/>
        <v>641.27662287308067</v>
      </c>
      <c r="F17" s="28">
        <f t="shared" si="12"/>
        <v>1012.2155183405043</v>
      </c>
      <c r="G17" s="28">
        <f t="shared" si="12"/>
        <v>522.62519532238628</v>
      </c>
      <c r="H17" s="28">
        <f t="shared" si="12"/>
        <v>494.30206528671113</v>
      </c>
      <c r="I17" s="28">
        <f t="shared" si="12"/>
        <v>572.52448626873252</v>
      </c>
      <c r="J17" s="28">
        <f t="shared" si="12"/>
        <v>596.20549698208151</v>
      </c>
      <c r="K17" s="28">
        <f t="shared" si="12"/>
        <v>591.07444031790294</v>
      </c>
      <c r="L17" s="28">
        <f t="shared" si="12"/>
        <v>475.33061323593313</v>
      </c>
      <c r="M17" s="28">
        <f t="shared" si="12"/>
        <v>447.79723111431207</v>
      </c>
      <c r="N17" s="28">
        <f t="shared" si="12"/>
        <v>418.44285038122587</v>
      </c>
      <c r="O17" s="28">
        <f t="shared" si="12"/>
        <v>418.58185358025355</v>
      </c>
      <c r="P17" s="28">
        <f t="shared" si="12"/>
        <v>399.80135732265427</v>
      </c>
      <c r="Q17" s="28">
        <f t="shared" si="12"/>
        <v>384.58494424501362</v>
      </c>
      <c r="R17" s="28">
        <f t="shared" ref="R17:V17" si="13">R18+R21+R22+R26</f>
        <v>388.50167875704562</v>
      </c>
      <c r="S17" s="28">
        <f t="shared" si="13"/>
        <v>385.32892559647365</v>
      </c>
      <c r="T17" s="28">
        <f t="shared" si="13"/>
        <v>370.41202601610121</v>
      </c>
      <c r="U17" s="28">
        <f t="shared" si="13"/>
        <v>381.67232768325511</v>
      </c>
      <c r="V17" s="28">
        <f t="shared" si="13"/>
        <v>386.12979988316806</v>
      </c>
      <c r="W17" s="28">
        <f t="shared" ref="W17:Y17" si="14">W18+W21+W22+W26</f>
        <v>385.12424351719721</v>
      </c>
      <c r="X17" s="28">
        <f t="shared" si="14"/>
        <v>385.59067645569343</v>
      </c>
      <c r="Y17" s="28">
        <f t="shared" si="14"/>
        <v>390.57699232509452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911.22168627992528</v>
      </c>
      <c r="C18" s="137">
        <f t="shared" si="15"/>
        <v>851.09562832357688</v>
      </c>
      <c r="D18" s="137">
        <f t="shared" si="15"/>
        <v>288.21852275506274</v>
      </c>
      <c r="E18" s="137">
        <f t="shared" si="15"/>
        <v>627.1315313798267</v>
      </c>
      <c r="F18" s="137">
        <f t="shared" si="15"/>
        <v>1000.3771031043218</v>
      </c>
      <c r="G18" s="137">
        <f t="shared" si="15"/>
        <v>508.15613439465278</v>
      </c>
      <c r="H18" s="137">
        <f t="shared" si="15"/>
        <v>477.76340924011521</v>
      </c>
      <c r="I18" s="137">
        <f t="shared" si="15"/>
        <v>553.6532614799396</v>
      </c>
      <c r="J18" s="137">
        <f t="shared" si="15"/>
        <v>576.03160797261273</v>
      </c>
      <c r="K18" s="137">
        <f t="shared" si="15"/>
        <v>569.2682635041092</v>
      </c>
      <c r="L18" s="137">
        <f t="shared" si="15"/>
        <v>454.91608451225989</v>
      </c>
      <c r="M18" s="137">
        <f t="shared" si="15"/>
        <v>428.90067552186571</v>
      </c>
      <c r="N18" s="137">
        <f t="shared" si="15"/>
        <v>397.45688370358044</v>
      </c>
      <c r="O18" s="137">
        <f t="shared" si="15"/>
        <v>400.09675208514665</v>
      </c>
      <c r="P18" s="137">
        <f t="shared" si="15"/>
        <v>384.20345589645268</v>
      </c>
      <c r="Q18" s="137">
        <f t="shared" si="15"/>
        <v>368.45410193152787</v>
      </c>
      <c r="R18" s="137">
        <f t="shared" ref="R18:V18" si="16">R19+R20</f>
        <v>375.13590489638915</v>
      </c>
      <c r="S18" s="137">
        <f t="shared" si="16"/>
        <v>373.35940645706984</v>
      </c>
      <c r="T18" s="137">
        <f t="shared" si="16"/>
        <v>359.28681604175773</v>
      </c>
      <c r="U18" s="137">
        <f t="shared" si="16"/>
        <v>371.40597202177099</v>
      </c>
      <c r="V18" s="137">
        <f t="shared" si="16"/>
        <v>370.43404925221648</v>
      </c>
      <c r="W18" s="137">
        <f t="shared" ref="W18:Y18" si="17">W19+W20</f>
        <v>369.38408349083846</v>
      </c>
      <c r="X18" s="137">
        <f t="shared" si="17"/>
        <v>368.43400258381257</v>
      </c>
      <c r="Y18" s="137">
        <f t="shared" si="17"/>
        <v>367.96905170095312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28.917703775078909</v>
      </c>
      <c r="C19" s="102">
        <f>TrRoad_act!C$20</f>
        <v>28.944577608691755</v>
      </c>
      <c r="D19" s="102">
        <f>TrRoad_act!D$20</f>
        <v>29.367618826049796</v>
      </c>
      <c r="E19" s="102">
        <f>TrRoad_act!E$20</f>
        <v>30.13576103069763</v>
      </c>
      <c r="F19" s="102">
        <f>TrRoad_act!F$20</f>
        <v>29.934245252396366</v>
      </c>
      <c r="G19" s="102">
        <f>TrRoad_act!G$20</f>
        <v>29.680140194620733</v>
      </c>
      <c r="H19" s="102">
        <f>TrRoad_act!H$20</f>
        <v>31.268560177707418</v>
      </c>
      <c r="I19" s="102">
        <f>TrRoad_act!I$20</f>
        <v>33.969996184081033</v>
      </c>
      <c r="J19" s="102">
        <f>TrRoad_act!J$20</f>
        <v>35.537843318119194</v>
      </c>
      <c r="K19" s="102">
        <f>TrRoad_act!K$20</f>
        <v>36.097477749175091</v>
      </c>
      <c r="L19" s="102">
        <f>TrRoad_act!L$20</f>
        <v>34.610193887259889</v>
      </c>
      <c r="M19" s="102">
        <f>TrRoad_act!M$20</f>
        <v>35.667567751382379</v>
      </c>
      <c r="N19" s="102">
        <f>TrRoad_act!N$20</f>
        <v>35.723531489054679</v>
      </c>
      <c r="O19" s="102">
        <f>TrRoad_act!O$20</f>
        <v>36.51430145408164</v>
      </c>
      <c r="P19" s="102">
        <f>TrRoad_act!P$20</f>
        <v>37.513741798061297</v>
      </c>
      <c r="Q19" s="102">
        <f>TrRoad_act!Q$20</f>
        <v>38.778152568574335</v>
      </c>
      <c r="R19" s="102">
        <f>TrRoad_act!R$20</f>
        <v>38.522303399670683</v>
      </c>
      <c r="S19" s="102">
        <f>TrRoad_act!S$20</f>
        <v>40.235699006723834</v>
      </c>
      <c r="T19" s="102">
        <f>TrRoad_act!T$20</f>
        <v>40.777039910596201</v>
      </c>
      <c r="U19" s="102">
        <f>TrRoad_act!U$20</f>
        <v>42.704909375308922</v>
      </c>
      <c r="V19" s="102">
        <f>TrRoad_act!V$20</f>
        <v>41.732986605754427</v>
      </c>
      <c r="W19" s="102">
        <f>TrRoad_act!W$20</f>
        <v>40.683020844376408</v>
      </c>
      <c r="X19" s="102">
        <f>TrRoad_act!X$20</f>
        <v>39.732939937350551</v>
      </c>
      <c r="Y19" s="102">
        <f>TrRoad_act!Y$20</f>
        <v>39.267989054491046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882.30398250484632</v>
      </c>
      <c r="C20" s="102">
        <f>TrRoad_act!C$26</f>
        <v>822.15105071488517</v>
      </c>
      <c r="D20" s="102">
        <f>TrRoad_act!D$26</f>
        <v>258.85090392901293</v>
      </c>
      <c r="E20" s="102">
        <f>TrRoad_act!E$26</f>
        <v>596.99577034912909</v>
      </c>
      <c r="F20" s="102">
        <f>TrRoad_act!F$26</f>
        <v>970.4428578519254</v>
      </c>
      <c r="G20" s="102">
        <f>TrRoad_act!G$26</f>
        <v>478.47599420003206</v>
      </c>
      <c r="H20" s="102">
        <f>TrRoad_act!H$26</f>
        <v>446.49484906240781</v>
      </c>
      <c r="I20" s="102">
        <f>TrRoad_act!I$26</f>
        <v>519.68326529585852</v>
      </c>
      <c r="J20" s="102">
        <f>TrRoad_act!J$26</f>
        <v>540.49376465449359</v>
      </c>
      <c r="K20" s="102">
        <f>TrRoad_act!K$26</f>
        <v>533.17078575493406</v>
      </c>
      <c r="L20" s="102">
        <f>TrRoad_act!L$26</f>
        <v>420.30589062500002</v>
      </c>
      <c r="M20" s="102">
        <f>TrRoad_act!M$26</f>
        <v>393.23310777048334</v>
      </c>
      <c r="N20" s="102">
        <f>TrRoad_act!N$26</f>
        <v>361.73335221452578</v>
      </c>
      <c r="O20" s="102">
        <f>TrRoad_act!O$26</f>
        <v>363.582450631065</v>
      </c>
      <c r="P20" s="102">
        <f>TrRoad_act!P$26</f>
        <v>346.68971409839139</v>
      </c>
      <c r="Q20" s="102">
        <f>TrRoad_act!Q$26</f>
        <v>329.67594936295353</v>
      </c>
      <c r="R20" s="102">
        <f>TrRoad_act!R$26</f>
        <v>336.61360149671845</v>
      </c>
      <c r="S20" s="102">
        <f>TrRoad_act!S$26</f>
        <v>333.12370745034599</v>
      </c>
      <c r="T20" s="102">
        <f>TrRoad_act!T$26</f>
        <v>318.50977613116152</v>
      </c>
      <c r="U20" s="102">
        <f>TrRoad_act!U$26</f>
        <v>328.70106264646205</v>
      </c>
      <c r="V20" s="102">
        <f>TrRoad_act!V$26</f>
        <v>328.70106264646205</v>
      </c>
      <c r="W20" s="102">
        <f>TrRoad_act!W$26</f>
        <v>328.70106264646205</v>
      </c>
      <c r="X20" s="102">
        <f>TrRoad_act!X$26</f>
        <v>328.70106264646205</v>
      </c>
      <c r="Y20" s="102">
        <f>TrRoad_act!Y$26</f>
        <v>328.70106264646205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0</v>
      </c>
      <c r="C21" s="110">
        <f>TrRail_act!C$10</f>
        <v>0</v>
      </c>
      <c r="D21" s="110">
        <f>TrRail_act!D$10</f>
        <v>0</v>
      </c>
      <c r="E21" s="110">
        <f>TrRail_act!E$10</f>
        <v>0</v>
      </c>
      <c r="F21" s="110">
        <f>TrRail_act!F$10</f>
        <v>0</v>
      </c>
      <c r="G21" s="110">
        <f>TrRail_act!G$10</f>
        <v>0</v>
      </c>
      <c r="H21" s="110">
        <f>TrRail_act!H$10</f>
        <v>0</v>
      </c>
      <c r="I21" s="110">
        <f>TrRail_act!I$10</f>
        <v>0</v>
      </c>
      <c r="J21" s="110">
        <f>TrRail_act!J$10</f>
        <v>0</v>
      </c>
      <c r="K21" s="110">
        <f>TrRail_act!K$10</f>
        <v>0</v>
      </c>
      <c r="L21" s="110">
        <f>TrRail_act!L$10</f>
        <v>0</v>
      </c>
      <c r="M21" s="110">
        <f>TrRail_act!M$10</f>
        <v>0</v>
      </c>
      <c r="N21" s="110">
        <f>TrRail_act!N$10</f>
        <v>0</v>
      </c>
      <c r="O21" s="110">
        <f>TrRail_act!O$10</f>
        <v>0</v>
      </c>
      <c r="P21" s="110">
        <f>TrRail_act!P$10</f>
        <v>0</v>
      </c>
      <c r="Q21" s="110">
        <f>TrRail_act!Q$10</f>
        <v>0</v>
      </c>
      <c r="R21" s="110">
        <f>TrRail_act!R$10</f>
        <v>0</v>
      </c>
      <c r="S21" s="110">
        <f>TrRail_act!S$10</f>
        <v>0</v>
      </c>
      <c r="T21" s="110">
        <f>TrRail_act!T$10</f>
        <v>0</v>
      </c>
      <c r="U21" s="110">
        <f>TrRail_act!U$10</f>
        <v>0</v>
      </c>
      <c r="V21" s="110">
        <f>TrRail_act!V$10</f>
        <v>0</v>
      </c>
      <c r="W21" s="110">
        <f>TrRail_act!W$10</f>
        <v>0</v>
      </c>
      <c r="X21" s="110">
        <f>TrRail_act!X$10</f>
        <v>0</v>
      </c>
      <c r="Y21" s="110">
        <f>TrRail_act!Y$10</f>
        <v>0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11.065060032053665</v>
      </c>
      <c r="C22" s="110">
        <f t="shared" ref="C22:V22" si="19">C23+C24+C25</f>
        <v>10.761246834099296</v>
      </c>
      <c r="D22" s="110">
        <f t="shared" si="19"/>
        <v>9.8137330638954037</v>
      </c>
      <c r="E22" s="110">
        <f t="shared" si="19"/>
        <v>14.145091493254007</v>
      </c>
      <c r="F22" s="110">
        <f t="shared" si="19"/>
        <v>11.838415236182525</v>
      </c>
      <c r="G22" s="110">
        <f t="shared" si="19"/>
        <v>12.35606092773347</v>
      </c>
      <c r="H22" s="110">
        <f t="shared" si="19"/>
        <v>14.18265604659593</v>
      </c>
      <c r="I22" s="110">
        <f t="shared" si="19"/>
        <v>16.275224788792968</v>
      </c>
      <c r="J22" s="110">
        <f t="shared" si="19"/>
        <v>17.594889009468787</v>
      </c>
      <c r="K22" s="110">
        <f t="shared" si="19"/>
        <v>19.41617681379374</v>
      </c>
      <c r="L22" s="110">
        <f t="shared" si="19"/>
        <v>16.196528723673218</v>
      </c>
      <c r="M22" s="110">
        <f t="shared" si="19"/>
        <v>15.132555592446366</v>
      </c>
      <c r="N22" s="110">
        <f t="shared" si="19"/>
        <v>17.240966677645392</v>
      </c>
      <c r="O22" s="110">
        <f t="shared" si="19"/>
        <v>14.969101495106869</v>
      </c>
      <c r="P22" s="110">
        <f t="shared" si="19"/>
        <v>11.8839014262016</v>
      </c>
      <c r="Q22" s="110">
        <f t="shared" si="19"/>
        <v>12.180842313485755</v>
      </c>
      <c r="R22" s="110">
        <f t="shared" si="19"/>
        <v>9.7147738606564644</v>
      </c>
      <c r="S22" s="110">
        <f t="shared" si="19"/>
        <v>7.7215191394038278</v>
      </c>
      <c r="T22" s="110">
        <f t="shared" si="19"/>
        <v>7.6222099743434981</v>
      </c>
      <c r="U22" s="110">
        <f t="shared" si="19"/>
        <v>5.5843556614841239</v>
      </c>
      <c r="V22" s="110">
        <f t="shared" si="19"/>
        <v>10.142750630951575</v>
      </c>
      <c r="W22" s="110">
        <f t="shared" ref="W22:Y22" si="20">W23+W24+W25</f>
        <v>9.1831600263587596</v>
      </c>
      <c r="X22" s="110">
        <f t="shared" si="20"/>
        <v>11.307673871880837</v>
      </c>
      <c r="Y22" s="110">
        <f t="shared" si="20"/>
        <v>15.00594062414141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9.3195235273539758</v>
      </c>
      <c r="C24" s="102">
        <f>TrAvia_act!C$10</f>
        <v>8.9874930271222233</v>
      </c>
      <c r="D24" s="102">
        <f>TrAvia_act!D$10</f>
        <v>8.0866567294388467</v>
      </c>
      <c r="E24" s="102">
        <f>TrAvia_act!E$10</f>
        <v>12.338055279246545</v>
      </c>
      <c r="F24" s="102">
        <f>TrAvia_act!F$10</f>
        <v>9.7153106347012272</v>
      </c>
      <c r="G24" s="102">
        <f>TrAvia_act!G$10</f>
        <v>9.7686149402961995</v>
      </c>
      <c r="H24" s="102">
        <f>TrAvia_act!H$10</f>
        <v>10.583066638335382</v>
      </c>
      <c r="I24" s="102">
        <f>TrAvia_act!I$10</f>
        <v>11.309337381012442</v>
      </c>
      <c r="J24" s="102">
        <f>TrAvia_act!J$10</f>
        <v>10.983781961919332</v>
      </c>
      <c r="K24" s="102">
        <f>TrAvia_act!K$10</f>
        <v>10.76360693695842</v>
      </c>
      <c r="L24" s="102">
        <f>TrAvia_act!L$10</f>
        <v>11.733228180283723</v>
      </c>
      <c r="M24" s="102">
        <f>TrAvia_act!M$10</f>
        <v>12.007299936345007</v>
      </c>
      <c r="N24" s="102">
        <f>TrAvia_act!N$10</f>
        <v>12.305355493756363</v>
      </c>
      <c r="O24" s="102">
        <f>TrAvia_act!O$10</f>
        <v>9.4703667563997467</v>
      </c>
      <c r="P24" s="102">
        <f>TrAvia_act!P$10</f>
        <v>9.2044308175538241</v>
      </c>
      <c r="Q24" s="102">
        <f>TrAvia_act!Q$10</f>
        <v>10.524968091101114</v>
      </c>
      <c r="R24" s="102">
        <f>TrAvia_act!R$10</f>
        <v>6.3149625177716011</v>
      </c>
      <c r="S24" s="102">
        <f>TrAvia_act!S$10</f>
        <v>6.0647850083083021</v>
      </c>
      <c r="T24" s="102">
        <f>TrAvia_act!T$10</f>
        <v>6.4089424350066784</v>
      </c>
      <c r="U24" s="102">
        <f>TrAvia_act!U$10</f>
        <v>4.4349215250380496</v>
      </c>
      <c r="V24" s="102">
        <f>TrAvia_act!V$10</f>
        <v>5.1837784855880775</v>
      </c>
      <c r="W24" s="102">
        <f>TrAvia_act!W$10</f>
        <v>5.2583154148306379</v>
      </c>
      <c r="X24" s="102">
        <f>TrAvia_act!X$10</f>
        <v>5.0235664752875824</v>
      </c>
      <c r="Y24" s="102">
        <f>TrAvia_act!Y$10</f>
        <v>5.4248044567739422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1.7455365046996898</v>
      </c>
      <c r="C25" s="102">
        <f>TrAvia_act!C$11</f>
        <v>1.7737538069770724</v>
      </c>
      <c r="D25" s="102">
        <f>TrAvia_act!D$11</f>
        <v>1.7270763344565574</v>
      </c>
      <c r="E25" s="102">
        <f>TrAvia_act!E$11</f>
        <v>1.8070362140074618</v>
      </c>
      <c r="F25" s="102">
        <f>TrAvia_act!F$11</f>
        <v>2.1231046014812986</v>
      </c>
      <c r="G25" s="102">
        <f>TrAvia_act!G$11</f>
        <v>2.5874459874372695</v>
      </c>
      <c r="H25" s="102">
        <f>TrAvia_act!H$11</f>
        <v>3.5995894082605489</v>
      </c>
      <c r="I25" s="102">
        <f>TrAvia_act!I$11</f>
        <v>4.9658874077805244</v>
      </c>
      <c r="J25" s="102">
        <f>TrAvia_act!J$11</f>
        <v>6.6111070475494564</v>
      </c>
      <c r="K25" s="102">
        <f>TrAvia_act!K$11</f>
        <v>8.6525698768353223</v>
      </c>
      <c r="L25" s="102">
        <f>TrAvia_act!L$11</f>
        <v>4.4633005433894937</v>
      </c>
      <c r="M25" s="102">
        <f>TrAvia_act!M$11</f>
        <v>3.1252556561013591</v>
      </c>
      <c r="N25" s="102">
        <f>TrAvia_act!N$11</f>
        <v>4.93561118388903</v>
      </c>
      <c r="O25" s="102">
        <f>TrAvia_act!O$11</f>
        <v>5.4987347387071228</v>
      </c>
      <c r="P25" s="102">
        <f>TrAvia_act!P$11</f>
        <v>2.679470608647776</v>
      </c>
      <c r="Q25" s="102">
        <f>TrAvia_act!Q$11</f>
        <v>1.6558742223846412</v>
      </c>
      <c r="R25" s="102">
        <f>TrAvia_act!R$11</f>
        <v>3.3998113428848624</v>
      </c>
      <c r="S25" s="102">
        <f>TrAvia_act!S$11</f>
        <v>1.6567341310955257</v>
      </c>
      <c r="T25" s="102">
        <f>TrAvia_act!T$11</f>
        <v>1.2132675393368202</v>
      </c>
      <c r="U25" s="102">
        <f>TrAvia_act!U$11</f>
        <v>1.1494341364460745</v>
      </c>
      <c r="V25" s="102">
        <f>TrAvia_act!V$11</f>
        <v>4.9589721453634983</v>
      </c>
      <c r="W25" s="102">
        <f>TrAvia_act!W$11</f>
        <v>3.9248446115281221</v>
      </c>
      <c r="X25" s="102">
        <f>TrAvia_act!X$11</f>
        <v>6.2841073965932548</v>
      </c>
      <c r="Y25" s="102">
        <f>TrAvia_act!Y$11</f>
        <v>9.5811361673674664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2.113</v>
      </c>
      <c r="H26" s="110">
        <f t="shared" si="21"/>
        <v>2.3559999999999999</v>
      </c>
      <c r="I26" s="110">
        <f t="shared" si="21"/>
        <v>2.5960000000000001</v>
      </c>
      <c r="J26" s="110">
        <f t="shared" si="21"/>
        <v>2.5790000000000002</v>
      </c>
      <c r="K26" s="110">
        <f t="shared" si="21"/>
        <v>2.39</v>
      </c>
      <c r="L26" s="110">
        <f t="shared" si="21"/>
        <v>4.218</v>
      </c>
      <c r="M26" s="110">
        <f t="shared" si="21"/>
        <v>3.7639999999999998</v>
      </c>
      <c r="N26" s="110">
        <f t="shared" si="21"/>
        <v>3.7450000000000001</v>
      </c>
      <c r="O26" s="110">
        <f t="shared" si="21"/>
        <v>3.516</v>
      </c>
      <c r="P26" s="110">
        <f t="shared" si="21"/>
        <v>3.714</v>
      </c>
      <c r="Q26" s="110">
        <f t="shared" si="21"/>
        <v>3.95</v>
      </c>
      <c r="R26" s="110">
        <f t="shared" ref="R26:V26" si="22">R27+R28</f>
        <v>3.6509999999999998</v>
      </c>
      <c r="S26" s="110">
        <f t="shared" si="22"/>
        <v>4.2480000000000002</v>
      </c>
      <c r="T26" s="110">
        <f t="shared" si="22"/>
        <v>3.5030000000000001</v>
      </c>
      <c r="U26" s="110">
        <f t="shared" si="22"/>
        <v>4.6820000000000004</v>
      </c>
      <c r="V26" s="110">
        <f t="shared" si="22"/>
        <v>5.5529999999999999</v>
      </c>
      <c r="W26" s="110">
        <f t="shared" ref="W26:Y26" si="23">W27+W28</f>
        <v>6.5570000000000004</v>
      </c>
      <c r="X26" s="110">
        <f t="shared" si="23"/>
        <v>5.8490000000000002</v>
      </c>
      <c r="Y26" s="110">
        <f t="shared" si="23"/>
        <v>7.6020000000000003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2.113</v>
      </c>
      <c r="H27" s="102">
        <f>TrNavi_act!H4</f>
        <v>2.3559999999999999</v>
      </c>
      <c r="I27" s="102">
        <f>TrNavi_act!I4</f>
        <v>2.5960000000000001</v>
      </c>
      <c r="J27" s="102">
        <f>TrNavi_act!J4</f>
        <v>2.5790000000000002</v>
      </c>
      <c r="K27" s="102">
        <f>TrNavi_act!K4</f>
        <v>2.39</v>
      </c>
      <c r="L27" s="102">
        <f>TrNavi_act!L4</f>
        <v>4.218</v>
      </c>
      <c r="M27" s="102">
        <f>TrNavi_act!M4</f>
        <v>3.7639999999999998</v>
      </c>
      <c r="N27" s="102">
        <f>TrNavi_act!N4</f>
        <v>3.7450000000000001</v>
      </c>
      <c r="O27" s="102">
        <f>TrNavi_act!O4</f>
        <v>3.516</v>
      </c>
      <c r="P27" s="102">
        <f>TrNavi_act!P4</f>
        <v>3.714</v>
      </c>
      <c r="Q27" s="102">
        <f>TrNavi_act!Q4</f>
        <v>3.95</v>
      </c>
      <c r="R27" s="102">
        <f>TrNavi_act!R4</f>
        <v>3.6509999999999998</v>
      </c>
      <c r="S27" s="102">
        <f>TrNavi_act!S4</f>
        <v>4.2480000000000002</v>
      </c>
      <c r="T27" s="102">
        <f>TrNavi_act!T4</f>
        <v>3.5030000000000001</v>
      </c>
      <c r="U27" s="102">
        <f>TrNavi_act!U4</f>
        <v>4.6820000000000004</v>
      </c>
      <c r="V27" s="102">
        <f>TrNavi_act!V4</f>
        <v>5.5529999999999999</v>
      </c>
      <c r="W27" s="102">
        <f>TrNavi_act!W4</f>
        <v>6.5570000000000004</v>
      </c>
      <c r="X27" s="102">
        <f>TrNavi_act!X4</f>
        <v>5.8490000000000002</v>
      </c>
      <c r="Y27" s="102">
        <f>TrNavi_act!Y4</f>
        <v>7.6020000000000003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X28" s="169">
        <f>TrNavi_act!X5</f>
        <v>0</v>
      </c>
      <c r="Y28" s="169">
        <f>TrNavi_act!Y5</f>
        <v>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3259.7195629999997</v>
      </c>
      <c r="C29" s="28">
        <f t="shared" si="24"/>
        <v>3524.284983</v>
      </c>
      <c r="D29" s="28">
        <f t="shared" si="24"/>
        <v>3627.9979960000001</v>
      </c>
      <c r="E29" s="28">
        <f t="shared" si="24"/>
        <v>4480.6051710000002</v>
      </c>
      <c r="F29" s="28">
        <f t="shared" si="24"/>
        <v>5813.5357339999991</v>
      </c>
      <c r="G29" s="28">
        <f t="shared" si="24"/>
        <v>4202.0340670000005</v>
      </c>
      <c r="H29" s="28">
        <f t="shared" si="24"/>
        <v>4552.4063559999995</v>
      </c>
      <c r="I29" s="28">
        <f t="shared" si="24"/>
        <v>4588.8240889999997</v>
      </c>
      <c r="J29" s="28">
        <f t="shared" si="24"/>
        <v>4559.9663149999997</v>
      </c>
      <c r="K29" s="28">
        <f t="shared" si="24"/>
        <v>5021.8026890000001</v>
      </c>
      <c r="L29" s="28">
        <f t="shared" si="24"/>
        <v>4710.4581830000006</v>
      </c>
      <c r="M29" s="28">
        <f t="shared" si="24"/>
        <v>4301.350735</v>
      </c>
      <c r="N29" s="28">
        <f t="shared" si="24"/>
        <v>4149.4414569999999</v>
      </c>
      <c r="O29" s="28">
        <f t="shared" si="24"/>
        <v>4778.8879159999997</v>
      </c>
      <c r="P29" s="28">
        <f t="shared" si="24"/>
        <v>5638.1130699999994</v>
      </c>
      <c r="Q29" s="28">
        <f t="shared" si="24"/>
        <v>4318.4438150000005</v>
      </c>
      <c r="R29" s="28">
        <f t="shared" si="24"/>
        <v>4154.4122800000005</v>
      </c>
      <c r="S29" s="28">
        <f t="shared" si="24"/>
        <v>5215.367201</v>
      </c>
      <c r="T29" s="28">
        <f t="shared" si="24"/>
        <v>6274.2475749999994</v>
      </c>
      <c r="U29" s="28">
        <f t="shared" si="24"/>
        <v>7543.9961669999993</v>
      </c>
      <c r="V29" s="28">
        <f t="shared" si="24"/>
        <v>4863.4919339999997</v>
      </c>
      <c r="W29" s="28">
        <f t="shared" si="24"/>
        <v>3662.8549410000001</v>
      </c>
      <c r="X29" s="28">
        <f t="shared" ref="X29:Y29" si="25">X30+X31</f>
        <v>5113.8559699999996</v>
      </c>
      <c r="Y29" s="28">
        <f t="shared" si="25"/>
        <v>8809.156755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1522.218494</v>
      </c>
      <c r="C30" s="102">
        <f>MBunk_act!C$4</f>
        <v>1628.68119</v>
      </c>
      <c r="D30" s="102">
        <f>MBunk_act!D$4</f>
        <v>1674.852026</v>
      </c>
      <c r="E30" s="102">
        <f>MBunk_act!E$4</f>
        <v>2071.8792210000001</v>
      </c>
      <c r="F30" s="102">
        <f>MBunk_act!F$4</f>
        <v>1809.0398349999998</v>
      </c>
      <c r="G30" s="102">
        <f>MBunk_act!G$4</f>
        <v>1927.44812</v>
      </c>
      <c r="H30" s="102">
        <f>MBunk_act!H$4</f>
        <v>1994.113977</v>
      </c>
      <c r="I30" s="102">
        <f>MBunk_act!I$4</f>
        <v>1928.9974400000001</v>
      </c>
      <c r="J30" s="102">
        <f>MBunk_act!J$4</f>
        <v>2327.0264809999999</v>
      </c>
      <c r="K30" s="102">
        <f>MBunk_act!K$4</f>
        <v>2375.707782</v>
      </c>
      <c r="L30" s="102">
        <f>MBunk_act!L$4</f>
        <v>2230.5021770000003</v>
      </c>
      <c r="M30" s="102">
        <f>MBunk_act!M$4</f>
        <v>1792.064018</v>
      </c>
      <c r="N30" s="102">
        <f>MBunk_act!N$4</f>
        <v>2136.7020390000002</v>
      </c>
      <c r="O30" s="102">
        <f>MBunk_act!O$4</f>
        <v>2365.616974</v>
      </c>
      <c r="P30" s="102">
        <f>MBunk_act!P$4</f>
        <v>2175.269104</v>
      </c>
      <c r="Q30" s="102">
        <f>MBunk_act!Q$4</f>
        <v>2279.7797869999999</v>
      </c>
      <c r="R30" s="102">
        <f>MBunk_act!R$4</f>
        <v>1764.281999</v>
      </c>
      <c r="S30" s="102">
        <f>MBunk_act!S$4</f>
        <v>2133.7556159999999</v>
      </c>
      <c r="T30" s="102">
        <f>MBunk_act!T$4</f>
        <v>2942.514279</v>
      </c>
      <c r="U30" s="102">
        <f>MBunk_act!U$4</f>
        <v>2577.7582079999997</v>
      </c>
      <c r="V30" s="102">
        <f>MBunk_act!V$4</f>
        <v>2867.0933669999999</v>
      </c>
      <c r="W30" s="102">
        <f>MBunk_act!W$4</f>
        <v>2002.6656379999999</v>
      </c>
      <c r="X30" s="102">
        <f>MBunk_act!X$4</f>
        <v>2473.2157619999998</v>
      </c>
      <c r="Y30" s="102">
        <f>MBunk_act!Y$4</f>
        <v>4036.930867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1737.5010689999999</v>
      </c>
      <c r="C31" s="86">
        <f>MBunk_act!C$5</f>
        <v>1895.603793</v>
      </c>
      <c r="D31" s="86">
        <f>MBunk_act!D$5</f>
        <v>1953.14597</v>
      </c>
      <c r="E31" s="86">
        <f>MBunk_act!E$5</f>
        <v>2408.72595</v>
      </c>
      <c r="F31" s="86">
        <f>MBunk_act!F$5</f>
        <v>4004.4958989999996</v>
      </c>
      <c r="G31" s="86">
        <f>MBunk_act!G$5</f>
        <v>2274.585947</v>
      </c>
      <c r="H31" s="86">
        <f>MBunk_act!H$5</f>
        <v>2558.292379</v>
      </c>
      <c r="I31" s="86">
        <f>MBunk_act!I$5</f>
        <v>2659.8266490000001</v>
      </c>
      <c r="J31" s="86">
        <f>MBunk_act!J$5</f>
        <v>2232.9398340000002</v>
      </c>
      <c r="K31" s="86">
        <f>MBunk_act!K$5</f>
        <v>2646.0949070000001</v>
      </c>
      <c r="L31" s="86">
        <f>MBunk_act!L$5</f>
        <v>2479.9560059999999</v>
      </c>
      <c r="M31" s="86">
        <f>MBunk_act!M$5</f>
        <v>2509.286717</v>
      </c>
      <c r="N31" s="86">
        <f>MBunk_act!N$5</f>
        <v>2012.7394179999999</v>
      </c>
      <c r="O31" s="86">
        <f>MBunk_act!O$5</f>
        <v>2413.2709420000001</v>
      </c>
      <c r="P31" s="86">
        <f>MBunk_act!P$5</f>
        <v>3462.8439659999999</v>
      </c>
      <c r="Q31" s="86">
        <f>MBunk_act!Q$5</f>
        <v>2038.6640280000001</v>
      </c>
      <c r="R31" s="86">
        <f>MBunk_act!R$5</f>
        <v>2390.1302810000002</v>
      </c>
      <c r="S31" s="86">
        <f>MBunk_act!S$5</f>
        <v>3081.6115850000001</v>
      </c>
      <c r="T31" s="86">
        <f>MBunk_act!T$5</f>
        <v>3331.7332959999999</v>
      </c>
      <c r="U31" s="86">
        <f>MBunk_act!U$5</f>
        <v>4966.237959</v>
      </c>
      <c r="V31" s="86">
        <f>MBunk_act!V$5</f>
        <v>1996.398567</v>
      </c>
      <c r="W31" s="86">
        <f>MBunk_act!W$5</f>
        <v>1660.1893030000001</v>
      </c>
      <c r="X31" s="86">
        <f>MBunk_act!X$5</f>
        <v>2640.6402079999998</v>
      </c>
      <c r="Y31" s="86">
        <f>MBunk_act!Y$5</f>
        <v>4772.2258879999999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217.86185316117661</v>
      </c>
      <c r="C34" s="28">
        <f t="shared" si="26"/>
        <v>182.72858731610043</v>
      </c>
      <c r="D34" s="28">
        <f t="shared" si="26"/>
        <v>176.41329731415499</v>
      </c>
      <c r="E34" s="28">
        <f t="shared" si="26"/>
        <v>168.82797633129192</v>
      </c>
      <c r="F34" s="28">
        <f t="shared" si="26"/>
        <v>186.45449073918672</v>
      </c>
      <c r="G34" s="28">
        <f t="shared" si="26"/>
        <v>186.85510836729955</v>
      </c>
      <c r="H34" s="28">
        <f t="shared" si="26"/>
        <v>190.3578943210976</v>
      </c>
      <c r="I34" s="28">
        <f t="shared" si="26"/>
        <v>195.95832429830955</v>
      </c>
      <c r="J34" s="28">
        <f t="shared" si="26"/>
        <v>215.2602937494496</v>
      </c>
      <c r="K34" s="28">
        <f t="shared" si="26"/>
        <v>193.71173851652452</v>
      </c>
      <c r="L34" s="28">
        <f t="shared" si="26"/>
        <v>222.18309192099349</v>
      </c>
      <c r="M34" s="28">
        <f t="shared" si="26"/>
        <v>227.12809188292076</v>
      </c>
      <c r="N34" s="28">
        <f t="shared" si="26"/>
        <v>225.25957529605637</v>
      </c>
      <c r="O34" s="28">
        <f t="shared" si="26"/>
        <v>235.64220079683366</v>
      </c>
      <c r="P34" s="28">
        <f t="shared" si="26"/>
        <v>249.14389299048668</v>
      </c>
      <c r="Q34" s="28">
        <f t="shared" si="26"/>
        <v>263.2399354257376</v>
      </c>
      <c r="R34" s="28">
        <f t="shared" ref="R34:V34" si="27">R35+R39+R43</f>
        <v>273.49503817035827</v>
      </c>
      <c r="S34" s="28">
        <f t="shared" si="27"/>
        <v>291.88380439748073</v>
      </c>
      <c r="T34" s="28">
        <f t="shared" si="27"/>
        <v>326.63146761345763</v>
      </c>
      <c r="U34" s="28">
        <f t="shared" si="27"/>
        <v>341.44045174656929</v>
      </c>
      <c r="V34" s="28">
        <f t="shared" si="27"/>
        <v>200.18873934998669</v>
      </c>
      <c r="W34" s="28">
        <f t="shared" ref="W34:Y34" si="28">W35+W39+W43</f>
        <v>224.67540481468188</v>
      </c>
      <c r="X34" s="28">
        <f t="shared" si="28"/>
        <v>303.34737794780125</v>
      </c>
      <c r="Y34" s="28">
        <f t="shared" si="28"/>
        <v>335.83705077552463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94.232532122750555</v>
      </c>
      <c r="C35" s="137">
        <f t="shared" si="29"/>
        <v>89.906568643305548</v>
      </c>
      <c r="D35" s="137">
        <f t="shared" si="29"/>
        <v>86.730677637077804</v>
      </c>
      <c r="E35" s="137">
        <f t="shared" si="29"/>
        <v>90.201694746741651</v>
      </c>
      <c r="F35" s="137">
        <f t="shared" si="29"/>
        <v>85.013952914276501</v>
      </c>
      <c r="G35" s="137">
        <f t="shared" si="29"/>
        <v>100.99926031325464</v>
      </c>
      <c r="H35" s="137">
        <f t="shared" si="29"/>
        <v>104.10602878916029</v>
      </c>
      <c r="I35" s="137">
        <f t="shared" si="29"/>
        <v>105.6845959577411</v>
      </c>
      <c r="J35" s="137">
        <f t="shared" si="29"/>
        <v>122.16329183670965</v>
      </c>
      <c r="K35" s="137">
        <f t="shared" si="29"/>
        <v>106.81305698125944</v>
      </c>
      <c r="L35" s="137">
        <f t="shared" si="29"/>
        <v>123.74702300758931</v>
      </c>
      <c r="M35" s="137">
        <f t="shared" si="29"/>
        <v>125.41825234460511</v>
      </c>
      <c r="N35" s="137">
        <f t="shared" si="29"/>
        <v>128.41139793670624</v>
      </c>
      <c r="O35" s="137">
        <f t="shared" si="29"/>
        <v>132.91836994219253</v>
      </c>
      <c r="P35" s="137">
        <f t="shared" si="29"/>
        <v>138.87716382807997</v>
      </c>
      <c r="Q35" s="137">
        <f t="shared" si="29"/>
        <v>148.92430032302059</v>
      </c>
      <c r="R35" s="137">
        <f t="shared" ref="R35:V35" si="30">R36+R37+R38</f>
        <v>150.29530479240776</v>
      </c>
      <c r="S35" s="137">
        <f t="shared" si="30"/>
        <v>153.53817064968757</v>
      </c>
      <c r="T35" s="137">
        <f t="shared" si="30"/>
        <v>170.95926953383844</v>
      </c>
      <c r="U35" s="137">
        <f t="shared" si="30"/>
        <v>177.40596481280224</v>
      </c>
      <c r="V35" s="137">
        <f t="shared" si="30"/>
        <v>142.19903372839795</v>
      </c>
      <c r="W35" s="137">
        <f t="shared" ref="W35:Y35" si="31">W36+W37+W38</f>
        <v>148.55962012245686</v>
      </c>
      <c r="X35" s="137">
        <f t="shared" si="31"/>
        <v>178.69402407780368</v>
      </c>
      <c r="Y35" s="137">
        <f t="shared" si="31"/>
        <v>186.75474292332444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1.1439133564782196</v>
      </c>
      <c r="C36" s="102">
        <f>TrRoad_ene!C$19</f>
        <v>1.1787299590373743</v>
      </c>
      <c r="D36" s="102">
        <f>TrRoad_ene!D$19</f>
        <v>1.2192597355942141</v>
      </c>
      <c r="E36" s="102">
        <f>TrRoad_ene!E$19</f>
        <v>1.2459048300306104</v>
      </c>
      <c r="F36" s="102">
        <f>TrRoad_ene!F$19</f>
        <v>1.1609316143922908</v>
      </c>
      <c r="G36" s="102">
        <f>TrRoad_ene!G$19</f>
        <v>1.08425180301159</v>
      </c>
      <c r="H36" s="102">
        <f>TrRoad_ene!H$19</f>
        <v>1.104404315438833</v>
      </c>
      <c r="I36" s="102">
        <f>TrRoad_ene!I$19</f>
        <v>1.1421935313281029</v>
      </c>
      <c r="J36" s="102">
        <f>TrRoad_ene!J$19</f>
        <v>1.2673867912341241</v>
      </c>
      <c r="K36" s="102">
        <f>TrRoad_ene!K$19</f>
        <v>1.2465141815324721</v>
      </c>
      <c r="L36" s="102">
        <f>TrRoad_ene!L$19</f>
        <v>1.2532787528931899</v>
      </c>
      <c r="M36" s="102">
        <f>TrRoad_ene!M$19</f>
        <v>1.304712565734341</v>
      </c>
      <c r="N36" s="102">
        <f>TrRoad_ene!N$19</f>
        <v>1.2991792898503234</v>
      </c>
      <c r="O36" s="102">
        <f>TrRoad_ene!O$19</f>
        <v>1.3646265601868521</v>
      </c>
      <c r="P36" s="102">
        <f>TrRoad_ene!P$19</f>
        <v>1.4622946944535271</v>
      </c>
      <c r="Q36" s="102">
        <f>TrRoad_ene!Q$19</f>
        <v>1.4856497515029141</v>
      </c>
      <c r="R36" s="102">
        <f>TrRoad_ene!R$19</f>
        <v>1.5787814044845461</v>
      </c>
      <c r="S36" s="102">
        <f>TrRoad_ene!S$19</f>
        <v>1.4788942989842158</v>
      </c>
      <c r="T36" s="102">
        <f>TrRoad_ene!T$19</f>
        <v>1.4350603343636597</v>
      </c>
      <c r="U36" s="102">
        <f>TrRoad_ene!U$19</f>
        <v>1.570626001269614</v>
      </c>
      <c r="V36" s="102">
        <f>TrRoad_ene!V$19</f>
        <v>1.4120554957846623</v>
      </c>
      <c r="W36" s="102">
        <f>TrRoad_ene!W$19</f>
        <v>1.4835200421017936</v>
      </c>
      <c r="X36" s="102">
        <f>TrRoad_ene!X$19</f>
        <v>1.5335494487992634</v>
      </c>
      <c r="Y36" s="102">
        <f>TrRoad_ene!Y$19</f>
        <v>1.6786790145014885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81.754401679378162</v>
      </c>
      <c r="C37" s="102">
        <f>TrRoad_ene!C$21</f>
        <v>77.75709036959023</v>
      </c>
      <c r="D37" s="102">
        <f>TrRoad_ene!D$21</f>
        <v>81.111290873787041</v>
      </c>
      <c r="E37" s="102">
        <f>TrRoad_ene!E$21</f>
        <v>80.083853136959817</v>
      </c>
      <c r="F37" s="102">
        <f>TrRoad_ene!F$21</f>
        <v>71.24087508623856</v>
      </c>
      <c r="G37" s="102">
        <f>TrRoad_ene!G$21</f>
        <v>82.324021261931165</v>
      </c>
      <c r="H37" s="102">
        <f>TrRoad_ene!H$21</f>
        <v>84.056895541391924</v>
      </c>
      <c r="I37" s="102">
        <f>TrRoad_ene!I$21</f>
        <v>86.603102785421186</v>
      </c>
      <c r="J37" s="102">
        <f>TrRoad_ene!J$21</f>
        <v>103.06742872138247</v>
      </c>
      <c r="K37" s="102">
        <f>TrRoad_ene!K$21</f>
        <v>90.199562439918523</v>
      </c>
      <c r="L37" s="102">
        <f>TrRoad_ene!L$21</f>
        <v>105.52923176997383</v>
      </c>
      <c r="M37" s="102">
        <f>TrRoad_ene!M$21</f>
        <v>106.85192173504376</v>
      </c>
      <c r="N37" s="102">
        <f>TrRoad_ene!N$21</f>
        <v>107.22685114212511</v>
      </c>
      <c r="O37" s="102">
        <f>TrRoad_ene!O$21</f>
        <v>110.94006570205221</v>
      </c>
      <c r="P37" s="102">
        <f>TrRoad_ene!P$21</f>
        <v>112.32223712489785</v>
      </c>
      <c r="Q37" s="102">
        <f>TrRoad_ene!Q$21</f>
        <v>119.02492555401943</v>
      </c>
      <c r="R37" s="102">
        <f>TrRoad_ene!R$21</f>
        <v>120.66733433333457</v>
      </c>
      <c r="S37" s="102">
        <f>TrRoad_ene!S$21</f>
        <v>121.84987478799906</v>
      </c>
      <c r="T37" s="102">
        <f>TrRoad_ene!T$21</f>
        <v>133.72542514940957</v>
      </c>
      <c r="U37" s="102">
        <f>TrRoad_ene!U$21</f>
        <v>139.53699013332508</v>
      </c>
      <c r="V37" s="102">
        <f>TrRoad_ene!V$21</f>
        <v>114.99561801763956</v>
      </c>
      <c r="W37" s="102">
        <f>TrRoad_ene!W$21</f>
        <v>123.42514550943538</v>
      </c>
      <c r="X37" s="102">
        <f>TrRoad_ene!X$21</f>
        <v>142.12585615080704</v>
      </c>
      <c r="Y37" s="102">
        <f>TrRoad_ene!Y$21</f>
        <v>146.93161467631171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11.334217086894167</v>
      </c>
      <c r="C38" s="102">
        <f>TrRoad_ene!C$33</f>
        <v>10.970748314677948</v>
      </c>
      <c r="D38" s="102">
        <f>TrRoad_ene!D$33</f>
        <v>4.4001270276965521</v>
      </c>
      <c r="E38" s="102">
        <f>TrRoad_ene!E$33</f>
        <v>8.8719367797512216</v>
      </c>
      <c r="F38" s="102">
        <f>TrRoad_ene!F$33</f>
        <v>12.612146213645643</v>
      </c>
      <c r="G38" s="102">
        <f>TrRoad_ene!G$33</f>
        <v>17.590987248311869</v>
      </c>
      <c r="H38" s="102">
        <f>TrRoad_ene!H$33</f>
        <v>18.944728932329532</v>
      </c>
      <c r="I38" s="102">
        <f>TrRoad_ene!I$33</f>
        <v>17.939299640991802</v>
      </c>
      <c r="J38" s="102">
        <f>TrRoad_ene!J$33</f>
        <v>17.828476324093046</v>
      </c>
      <c r="K38" s="102">
        <f>TrRoad_ene!K$33</f>
        <v>15.366980359808434</v>
      </c>
      <c r="L38" s="102">
        <f>TrRoad_ene!L$33</f>
        <v>16.964512484722281</v>
      </c>
      <c r="M38" s="102">
        <f>TrRoad_ene!M$33</f>
        <v>17.261618043827017</v>
      </c>
      <c r="N38" s="102">
        <f>TrRoad_ene!N$33</f>
        <v>19.885367504730787</v>
      </c>
      <c r="O38" s="102">
        <f>TrRoad_ene!O$33</f>
        <v>20.613677679953479</v>
      </c>
      <c r="P38" s="102">
        <f>TrRoad_ene!P$33</f>
        <v>25.092632008728597</v>
      </c>
      <c r="Q38" s="102">
        <f>TrRoad_ene!Q$33</f>
        <v>28.413725017498248</v>
      </c>
      <c r="R38" s="102">
        <f>TrRoad_ene!R$33</f>
        <v>28.049189054588648</v>
      </c>
      <c r="S38" s="102">
        <f>TrRoad_ene!S$33</f>
        <v>30.209401562704304</v>
      </c>
      <c r="T38" s="102">
        <f>TrRoad_ene!T$33</f>
        <v>35.798784050065208</v>
      </c>
      <c r="U38" s="102">
        <f>TrRoad_ene!U$33</f>
        <v>36.29834867820756</v>
      </c>
      <c r="V38" s="102">
        <f>TrRoad_ene!V$33</f>
        <v>25.791360214973739</v>
      </c>
      <c r="W38" s="102">
        <f>TrRoad_ene!W$33</f>
        <v>23.65095457091968</v>
      </c>
      <c r="X38" s="102">
        <f>TrRoad_ene!X$33</f>
        <v>35.034618478197352</v>
      </c>
      <c r="Y38" s="102">
        <f>TrRoad_ene!Y$33</f>
        <v>38.144449232511249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0</v>
      </c>
      <c r="C39" s="110">
        <f t="shared" si="32"/>
        <v>0</v>
      </c>
      <c r="D39" s="110">
        <f t="shared" si="32"/>
        <v>0</v>
      </c>
      <c r="E39" s="110">
        <f t="shared" si="32"/>
        <v>0</v>
      </c>
      <c r="F39" s="110">
        <f t="shared" si="32"/>
        <v>0</v>
      </c>
      <c r="G39" s="110">
        <f t="shared" si="32"/>
        <v>0</v>
      </c>
      <c r="H39" s="110">
        <f t="shared" si="32"/>
        <v>0</v>
      </c>
      <c r="I39" s="110">
        <f t="shared" si="32"/>
        <v>0</v>
      </c>
      <c r="J39" s="110">
        <f t="shared" si="32"/>
        <v>0</v>
      </c>
      <c r="K39" s="110">
        <f t="shared" si="32"/>
        <v>0</v>
      </c>
      <c r="L39" s="110">
        <f t="shared" si="32"/>
        <v>0</v>
      </c>
      <c r="M39" s="110">
        <f t="shared" si="32"/>
        <v>0</v>
      </c>
      <c r="N39" s="110">
        <f t="shared" si="32"/>
        <v>0</v>
      </c>
      <c r="O39" s="110">
        <f t="shared" si="32"/>
        <v>0</v>
      </c>
      <c r="P39" s="110">
        <f t="shared" si="32"/>
        <v>0</v>
      </c>
      <c r="Q39" s="110">
        <f t="shared" si="32"/>
        <v>0</v>
      </c>
      <c r="R39" s="110">
        <f t="shared" ref="R39:V39" si="33">R40+R41+R42</f>
        <v>0</v>
      </c>
      <c r="S39" s="110">
        <f t="shared" si="33"/>
        <v>0</v>
      </c>
      <c r="T39" s="110">
        <f t="shared" si="33"/>
        <v>0</v>
      </c>
      <c r="U39" s="110">
        <f t="shared" si="33"/>
        <v>0</v>
      </c>
      <c r="V39" s="110">
        <f t="shared" si="33"/>
        <v>0</v>
      </c>
      <c r="W39" s="110">
        <f t="shared" ref="W39:Y39" si="34">W40+W41+W42</f>
        <v>0</v>
      </c>
      <c r="X39" s="110">
        <f t="shared" si="34"/>
        <v>0</v>
      </c>
      <c r="Y39" s="110">
        <f t="shared" si="34"/>
        <v>0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X40" s="102">
        <f>TrRail_ene!X$12</f>
        <v>0</v>
      </c>
      <c r="Y40" s="102">
        <f>TrRail_ene!Y$12</f>
        <v>0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0</v>
      </c>
      <c r="C41" s="102">
        <f>TrRail_ene!C$13</f>
        <v>0</v>
      </c>
      <c r="D41" s="102">
        <f>TrRail_ene!D$13</f>
        <v>0</v>
      </c>
      <c r="E41" s="102">
        <f>TrRail_ene!E$13</f>
        <v>0</v>
      </c>
      <c r="F41" s="102">
        <f>TrRail_ene!F$13</f>
        <v>0</v>
      </c>
      <c r="G41" s="102">
        <f>TrRail_ene!G$13</f>
        <v>0</v>
      </c>
      <c r="H41" s="102">
        <f>TrRail_ene!H$13</f>
        <v>0</v>
      </c>
      <c r="I41" s="102">
        <f>TrRail_ene!I$13</f>
        <v>0</v>
      </c>
      <c r="J41" s="102">
        <f>TrRail_ene!J$13</f>
        <v>0</v>
      </c>
      <c r="K41" s="102">
        <f>TrRail_ene!K$13</f>
        <v>0</v>
      </c>
      <c r="L41" s="102">
        <f>TrRail_ene!L$13</f>
        <v>0</v>
      </c>
      <c r="M41" s="102">
        <f>TrRail_ene!M$13</f>
        <v>0</v>
      </c>
      <c r="N41" s="102">
        <f>TrRail_ene!N$13</f>
        <v>0</v>
      </c>
      <c r="O41" s="102">
        <f>TrRail_ene!O$13</f>
        <v>0</v>
      </c>
      <c r="P41" s="102">
        <f>TrRail_ene!P$13</f>
        <v>0</v>
      </c>
      <c r="Q41" s="102">
        <f>TrRail_ene!Q$13</f>
        <v>0</v>
      </c>
      <c r="R41" s="102">
        <f>TrRail_ene!R$13</f>
        <v>0</v>
      </c>
      <c r="S41" s="102">
        <f>TrRail_ene!S$13</f>
        <v>0</v>
      </c>
      <c r="T41" s="102">
        <f>TrRail_ene!T$13</f>
        <v>0</v>
      </c>
      <c r="U41" s="102">
        <f>TrRail_ene!U$13</f>
        <v>0</v>
      </c>
      <c r="V41" s="102">
        <f>TrRail_ene!V$13</f>
        <v>0</v>
      </c>
      <c r="W41" s="102">
        <f>TrRail_ene!W$13</f>
        <v>0</v>
      </c>
      <c r="X41" s="102">
        <f>TrRail_ene!X$13</f>
        <v>0</v>
      </c>
      <c r="Y41" s="102">
        <f>TrRail_ene!Y$13</f>
        <v>0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123.62932103842606</v>
      </c>
      <c r="C43" s="110">
        <f t="shared" si="35"/>
        <v>92.822018672794883</v>
      </c>
      <c r="D43" s="110">
        <f t="shared" si="35"/>
        <v>89.68261967707717</v>
      </c>
      <c r="E43" s="110">
        <f t="shared" si="35"/>
        <v>78.62628158455027</v>
      </c>
      <c r="F43" s="110">
        <f t="shared" si="35"/>
        <v>101.44053782491024</v>
      </c>
      <c r="G43" s="110">
        <f t="shared" si="35"/>
        <v>85.855848054044912</v>
      </c>
      <c r="H43" s="110">
        <f t="shared" si="35"/>
        <v>86.251865531937312</v>
      </c>
      <c r="I43" s="110">
        <f t="shared" si="35"/>
        <v>90.273728340568439</v>
      </c>
      <c r="J43" s="110">
        <f t="shared" si="35"/>
        <v>93.097001912739969</v>
      </c>
      <c r="K43" s="110">
        <f t="shared" si="35"/>
        <v>86.898681535265084</v>
      </c>
      <c r="L43" s="110">
        <f t="shared" si="35"/>
        <v>98.436068913404171</v>
      </c>
      <c r="M43" s="110">
        <f t="shared" si="35"/>
        <v>101.70983953831565</v>
      </c>
      <c r="N43" s="110">
        <f t="shared" si="35"/>
        <v>96.848177359350146</v>
      </c>
      <c r="O43" s="110">
        <f t="shared" si="35"/>
        <v>102.72383085464112</v>
      </c>
      <c r="P43" s="110">
        <f t="shared" si="35"/>
        <v>110.2667291624067</v>
      </c>
      <c r="Q43" s="110">
        <f t="shared" si="35"/>
        <v>114.31563510271701</v>
      </c>
      <c r="R43" s="110">
        <f t="shared" ref="R43:V43" si="36">R44+R45+R46</f>
        <v>123.19973337795051</v>
      </c>
      <c r="S43" s="110">
        <f t="shared" si="36"/>
        <v>138.34563374779319</v>
      </c>
      <c r="T43" s="110">
        <f t="shared" si="36"/>
        <v>155.67219807961919</v>
      </c>
      <c r="U43" s="110">
        <f t="shared" si="36"/>
        <v>164.03448693376706</v>
      </c>
      <c r="V43" s="110">
        <f t="shared" si="36"/>
        <v>57.989705621588726</v>
      </c>
      <c r="W43" s="110">
        <f t="shared" ref="W43:Y43" si="37">W44+W45+W46</f>
        <v>76.115784692225006</v>
      </c>
      <c r="X43" s="110">
        <f t="shared" si="37"/>
        <v>124.65335386999759</v>
      </c>
      <c r="Y43" s="110">
        <f t="shared" si="37"/>
        <v>149.08230785220016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111.31175658622377</v>
      </c>
      <c r="C45" s="102">
        <f>TrAvia_ene!C$8</f>
        <v>83.573616162927891</v>
      </c>
      <c r="D45" s="102">
        <f>TrAvia_ene!D$8</f>
        <v>81.567116463421954</v>
      </c>
      <c r="E45" s="102">
        <f>TrAvia_ene!E$8</f>
        <v>72.282570089579153</v>
      </c>
      <c r="F45" s="102">
        <f>TrAvia_ene!F$8</f>
        <v>93.691196048192623</v>
      </c>
      <c r="G45" s="102">
        <f>TrAvia_ene!G$8</f>
        <v>79.521610356621707</v>
      </c>
      <c r="H45" s="102">
        <f>TrAvia_ene!H$8</f>
        <v>79.680988847721807</v>
      </c>
      <c r="I45" s="102">
        <f>TrAvia_ene!I$8</f>
        <v>83.65910579474702</v>
      </c>
      <c r="J45" s="102">
        <f>TrAvia_ene!J$8</f>
        <v>85.848637577339673</v>
      </c>
      <c r="K45" s="102">
        <f>TrAvia_ene!K$8</f>
        <v>79.745938347712382</v>
      </c>
      <c r="L45" s="102">
        <f>TrAvia_ene!L$8</f>
        <v>90.490166149442842</v>
      </c>
      <c r="M45" s="102">
        <f>TrAvia_ene!M$8</f>
        <v>93.59668581932192</v>
      </c>
      <c r="N45" s="102">
        <f>TrAvia_ene!N$8</f>
        <v>89.002396089438918</v>
      </c>
      <c r="O45" s="102">
        <f>TrAvia_ene!O$8</f>
        <v>94.580109305599194</v>
      </c>
      <c r="P45" s="102">
        <f>TrAvia_ene!P$8</f>
        <v>101.81650257646567</v>
      </c>
      <c r="Q45" s="102">
        <f>TrAvia_ene!Q$8</f>
        <v>105.60740235923052</v>
      </c>
      <c r="R45" s="102">
        <f>TrAvia_ene!R$8</f>
        <v>114.25307660220822</v>
      </c>
      <c r="S45" s="102">
        <f>TrAvia_ene!S$8</f>
        <v>128.73431282245545</v>
      </c>
      <c r="T45" s="102">
        <f>TrAvia_ene!T$8</f>
        <v>145.18335858475629</v>
      </c>
      <c r="U45" s="102">
        <f>TrAvia_ene!U$8</f>
        <v>152.86029896232418</v>
      </c>
      <c r="V45" s="102">
        <f>TrAvia_ene!V$8</f>
        <v>51.409839210120055</v>
      </c>
      <c r="W45" s="102">
        <f>TrAvia_ene!W$8</f>
        <v>68.804036065497542</v>
      </c>
      <c r="X45" s="102">
        <f>TrAvia_ene!X$8</f>
        <v>115.05783013512496</v>
      </c>
      <c r="Y45" s="102">
        <f>TrAvia_ene!Y$8</f>
        <v>138.16421442717424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12.317564452202289</v>
      </c>
      <c r="C46" s="102">
        <f>TrAvia_ene!C$9</f>
        <v>9.2484025098669989</v>
      </c>
      <c r="D46" s="102">
        <f>TrAvia_ene!D$9</f>
        <v>8.1155032136552201</v>
      </c>
      <c r="E46" s="102">
        <f>TrAvia_ene!E$9</f>
        <v>6.3437114949711217</v>
      </c>
      <c r="F46" s="102">
        <f>TrAvia_ene!F$9</f>
        <v>7.7493417767176167</v>
      </c>
      <c r="G46" s="102">
        <f>TrAvia_ene!G$9</f>
        <v>6.3342376974232026</v>
      </c>
      <c r="H46" s="102">
        <f>TrAvia_ene!H$9</f>
        <v>6.5708766842155022</v>
      </c>
      <c r="I46" s="102">
        <f>TrAvia_ene!I$9</f>
        <v>6.6146225458214198</v>
      </c>
      <c r="J46" s="102">
        <f>TrAvia_ene!J$9</f>
        <v>7.2483643354003</v>
      </c>
      <c r="K46" s="102">
        <f>TrAvia_ene!K$9</f>
        <v>7.1527431875527006</v>
      </c>
      <c r="L46" s="102">
        <f>TrAvia_ene!L$9</f>
        <v>7.9459027639613291</v>
      </c>
      <c r="M46" s="102">
        <f>TrAvia_ene!M$9</f>
        <v>8.1131537189937344</v>
      </c>
      <c r="N46" s="102">
        <f>TrAvia_ene!N$9</f>
        <v>7.8457812699112264</v>
      </c>
      <c r="O46" s="102">
        <f>TrAvia_ene!O$9</f>
        <v>8.1437215490419277</v>
      </c>
      <c r="P46" s="102">
        <f>TrAvia_ene!P$9</f>
        <v>8.4502265859410386</v>
      </c>
      <c r="Q46" s="102">
        <f>TrAvia_ene!Q$9</f>
        <v>8.7082327434864872</v>
      </c>
      <c r="R46" s="102">
        <f>TrAvia_ene!R$9</f>
        <v>8.9466567757422819</v>
      </c>
      <c r="S46" s="102">
        <f>TrAvia_ene!S$9</f>
        <v>9.6113209253377239</v>
      </c>
      <c r="T46" s="102">
        <f>TrAvia_ene!T$9</f>
        <v>10.488839494862916</v>
      </c>
      <c r="U46" s="102">
        <f>TrAvia_ene!U$9</f>
        <v>11.174187971442876</v>
      </c>
      <c r="V46" s="102">
        <f>TrAvia_ene!V$9</f>
        <v>6.5798664114686716</v>
      </c>
      <c r="W46" s="102">
        <f>TrAvia_ene!W$9</f>
        <v>7.3117486267274661</v>
      </c>
      <c r="X46" s="102">
        <f>TrAvia_ene!X$9</f>
        <v>9.5955237348726268</v>
      </c>
      <c r="Y46" s="102">
        <f>TrAvia_ene!Y$9</f>
        <v>10.918093425025914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61.719230243810522</v>
      </c>
      <c r="C47" s="28">
        <f t="shared" si="38"/>
        <v>54.858600990004412</v>
      </c>
      <c r="D47" s="28">
        <f t="shared" si="38"/>
        <v>13.06795805987765</v>
      </c>
      <c r="E47" s="28">
        <f t="shared" si="38"/>
        <v>35.641902720383193</v>
      </c>
      <c r="F47" s="28">
        <f t="shared" si="38"/>
        <v>66.496885588750089</v>
      </c>
      <c r="G47" s="28">
        <f t="shared" si="38"/>
        <v>65.582983018725301</v>
      </c>
      <c r="H47" s="28">
        <f t="shared" si="38"/>
        <v>68.242718890659816</v>
      </c>
      <c r="I47" s="28">
        <f t="shared" si="38"/>
        <v>71.886851477721777</v>
      </c>
      <c r="J47" s="28">
        <f t="shared" si="38"/>
        <v>72.027899058461145</v>
      </c>
      <c r="K47" s="28">
        <f t="shared" si="38"/>
        <v>65.034823000332068</v>
      </c>
      <c r="L47" s="28">
        <f t="shared" si="38"/>
        <v>64.724154842130162</v>
      </c>
      <c r="M47" s="28">
        <f t="shared" si="38"/>
        <v>59.884369114085544</v>
      </c>
      <c r="N47" s="28">
        <f t="shared" si="38"/>
        <v>54.583068342440583</v>
      </c>
      <c r="O47" s="28">
        <f t="shared" si="38"/>
        <v>51.875090308568787</v>
      </c>
      <c r="P47" s="28">
        <f t="shared" si="38"/>
        <v>50.885123568281422</v>
      </c>
      <c r="Q47" s="28">
        <f t="shared" si="38"/>
        <v>51.771465436989835</v>
      </c>
      <c r="R47" s="28">
        <f t="shared" ref="R47:V47" si="39">R48+R51+R52+R56</f>
        <v>49.715954987275268</v>
      </c>
      <c r="S47" s="28">
        <f t="shared" si="39"/>
        <v>54.477698006593364</v>
      </c>
      <c r="T47" s="28">
        <f t="shared" si="39"/>
        <v>57.537792007935359</v>
      </c>
      <c r="U47" s="28">
        <f t="shared" si="39"/>
        <v>64.850751471770849</v>
      </c>
      <c r="V47" s="28">
        <f t="shared" si="39"/>
        <v>64.033538226219747</v>
      </c>
      <c r="W47" s="28">
        <f t="shared" ref="W47:Y47" si="40">W48+W51+W52+W56</f>
        <v>67.238842361976197</v>
      </c>
      <c r="X47" s="28">
        <f t="shared" si="40"/>
        <v>74.171009952911035</v>
      </c>
      <c r="Y47" s="28">
        <f t="shared" si="40"/>
        <v>80.770861977802696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58.94648765368968</v>
      </c>
      <c r="C48" s="137">
        <f t="shared" si="41"/>
        <v>52.877868158070179</v>
      </c>
      <c r="D48" s="137">
        <f t="shared" si="41"/>
        <v>11.112572577883503</v>
      </c>
      <c r="E48" s="137">
        <f t="shared" si="41"/>
        <v>33.163283187134688</v>
      </c>
      <c r="F48" s="137">
        <f t="shared" si="41"/>
        <v>63.65487827178584</v>
      </c>
      <c r="G48" s="137">
        <f t="shared" si="41"/>
        <v>55.112347839752147</v>
      </c>
      <c r="H48" s="137">
        <f t="shared" si="41"/>
        <v>56.113930940223966</v>
      </c>
      <c r="I48" s="137">
        <f t="shared" si="41"/>
        <v>58.644844650620392</v>
      </c>
      <c r="J48" s="137">
        <f t="shared" si="41"/>
        <v>58.599621521502073</v>
      </c>
      <c r="K48" s="137">
        <f t="shared" si="41"/>
        <v>52.382515713585121</v>
      </c>
      <c r="L48" s="137">
        <f t="shared" si="41"/>
        <v>44.238899593883446</v>
      </c>
      <c r="M48" s="137">
        <f t="shared" si="41"/>
        <v>40.468413295565483</v>
      </c>
      <c r="N48" s="137">
        <f t="shared" si="41"/>
        <v>37.553171755101161</v>
      </c>
      <c r="O48" s="137">
        <f t="shared" si="41"/>
        <v>38.522050999839337</v>
      </c>
      <c r="P48" s="137">
        <f t="shared" si="41"/>
        <v>37.896134759922859</v>
      </c>
      <c r="Q48" s="137">
        <f t="shared" si="41"/>
        <v>37.698966403851358</v>
      </c>
      <c r="R48" s="137">
        <f t="shared" ref="R48:V48" si="42">R49+R50</f>
        <v>37.346728777951398</v>
      </c>
      <c r="S48" s="137">
        <f t="shared" si="42"/>
        <v>40.07088119548709</v>
      </c>
      <c r="T48" s="137">
        <f t="shared" si="42"/>
        <v>45.619792323152154</v>
      </c>
      <c r="U48" s="137">
        <f t="shared" si="42"/>
        <v>49.16958922239094</v>
      </c>
      <c r="V48" s="137">
        <f t="shared" si="42"/>
        <v>44.816107132417258</v>
      </c>
      <c r="W48" s="137">
        <f t="shared" ref="W48:Y48" si="43">W49+W50</f>
        <v>44.501144681028379</v>
      </c>
      <c r="X48" s="137">
        <f t="shared" si="43"/>
        <v>53.774234846124386</v>
      </c>
      <c r="Y48" s="137">
        <f t="shared" si="43"/>
        <v>53.897279890192031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16.196854573774907</v>
      </c>
      <c r="C49" s="102">
        <f>TrRoad_ene!C$43</f>
        <v>15.233427557796119</v>
      </c>
      <c r="D49" s="102">
        <f>TrRoad_ene!D$43</f>
        <v>6.4637622132038253</v>
      </c>
      <c r="E49" s="102">
        <f>TrRoad_ene!E$43</f>
        <v>12.034300322215406</v>
      </c>
      <c r="F49" s="102">
        <f>TrRoad_ene!F$43</f>
        <v>15.993480205985373</v>
      </c>
      <c r="G49" s="102">
        <f>TrRoad_ene!G$43</f>
        <v>21.803767924255663</v>
      </c>
      <c r="H49" s="102">
        <f>TrRoad_ene!H$43</f>
        <v>23.538714373711457</v>
      </c>
      <c r="I49" s="102">
        <f>TrRoad_ene!I$43</f>
        <v>23.479185993068931</v>
      </c>
      <c r="J49" s="102">
        <f>TrRoad_ene!J$43</f>
        <v>23.373414847873853</v>
      </c>
      <c r="K49" s="102">
        <f>TrRoad_ene!K$43</f>
        <v>21.166452874028327</v>
      </c>
      <c r="L49" s="102">
        <f>TrRoad_ene!L$43</f>
        <v>19.644165837017916</v>
      </c>
      <c r="M49" s="102">
        <f>TrRoad_ene!M$43</f>
        <v>18.80757997115127</v>
      </c>
      <c r="N49" s="102">
        <f>TrRoad_ene!N$43</f>
        <v>18.026187686143647</v>
      </c>
      <c r="O49" s="102">
        <f>TrRoad_ene!O$43</f>
        <v>18.519745107539297</v>
      </c>
      <c r="P49" s="102">
        <f>TrRoad_ene!P$43</f>
        <v>19.006949514895069</v>
      </c>
      <c r="Q49" s="102">
        <f>TrRoad_ene!Q$43</f>
        <v>19.508500598517376</v>
      </c>
      <c r="R49" s="102">
        <f>TrRoad_ene!R$43</f>
        <v>18.820844068626773</v>
      </c>
      <c r="S49" s="102">
        <f>TrRoad_ene!S$43</f>
        <v>20.552277850416122</v>
      </c>
      <c r="T49" s="102">
        <f>TrRoad_ene!T$43</f>
        <v>23.739490391475275</v>
      </c>
      <c r="U49" s="102">
        <f>TrRoad_ene!U$43</f>
        <v>25.585184653334935</v>
      </c>
      <c r="V49" s="102">
        <f>TrRoad_ene!V$43</f>
        <v>22.832186485206794</v>
      </c>
      <c r="W49" s="102">
        <f>TrRoad_ene!W$43</f>
        <v>22.170036707611292</v>
      </c>
      <c r="X49" s="102">
        <f>TrRoad_ene!X$43</f>
        <v>26.033773519722001</v>
      </c>
      <c r="Y49" s="102">
        <f>TrRoad_ene!Y$43</f>
        <v>25.639353591963943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42.749633079914773</v>
      </c>
      <c r="C50" s="102">
        <f>TrRoad_ene!C$52</f>
        <v>37.644440600274059</v>
      </c>
      <c r="D50" s="102">
        <f>TrRoad_ene!D$52</f>
        <v>4.6488103646796777</v>
      </c>
      <c r="E50" s="102">
        <f>TrRoad_ene!E$52</f>
        <v>21.12898286491928</v>
      </c>
      <c r="F50" s="102">
        <f>TrRoad_ene!F$52</f>
        <v>47.661398065800469</v>
      </c>
      <c r="G50" s="102">
        <f>TrRoad_ene!G$52</f>
        <v>33.30857991549648</v>
      </c>
      <c r="H50" s="102">
        <f>TrRoad_ene!H$52</f>
        <v>32.575216566512509</v>
      </c>
      <c r="I50" s="102">
        <f>TrRoad_ene!I$52</f>
        <v>35.165658657551461</v>
      </c>
      <c r="J50" s="102">
        <f>TrRoad_ene!J$52</f>
        <v>35.226206673628219</v>
      </c>
      <c r="K50" s="102">
        <f>TrRoad_ene!K$52</f>
        <v>31.216062839556795</v>
      </c>
      <c r="L50" s="102">
        <f>TrRoad_ene!L$52</f>
        <v>24.594733756865526</v>
      </c>
      <c r="M50" s="102">
        <f>TrRoad_ene!M$52</f>
        <v>21.660833324414213</v>
      </c>
      <c r="N50" s="102">
        <f>TrRoad_ene!N$52</f>
        <v>19.52698406895751</v>
      </c>
      <c r="O50" s="102">
        <f>TrRoad_ene!O$52</f>
        <v>20.002305892300043</v>
      </c>
      <c r="P50" s="102">
        <f>TrRoad_ene!P$52</f>
        <v>18.88918524502779</v>
      </c>
      <c r="Q50" s="102">
        <f>TrRoad_ene!Q$52</f>
        <v>18.190465805333986</v>
      </c>
      <c r="R50" s="102">
        <f>TrRoad_ene!R$52</f>
        <v>18.525884709324622</v>
      </c>
      <c r="S50" s="102">
        <f>TrRoad_ene!S$52</f>
        <v>19.518603345070968</v>
      </c>
      <c r="T50" s="102">
        <f>TrRoad_ene!T$52</f>
        <v>21.880301931676883</v>
      </c>
      <c r="U50" s="102">
        <f>TrRoad_ene!U$52</f>
        <v>23.584404569056005</v>
      </c>
      <c r="V50" s="102">
        <f>TrRoad_ene!V$52</f>
        <v>21.983920647210464</v>
      </c>
      <c r="W50" s="102">
        <f>TrRoad_ene!W$52</f>
        <v>22.331107973417087</v>
      </c>
      <c r="X50" s="102">
        <f>TrRoad_ene!X$52</f>
        <v>27.740461326402389</v>
      </c>
      <c r="Y50" s="102">
        <f>TrRoad_ene!Y$52</f>
        <v>28.257926298228089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0</v>
      </c>
      <c r="C51" s="110">
        <f>TrRail_ene!C$17</f>
        <v>0</v>
      </c>
      <c r="D51" s="110">
        <f>TrRail_ene!D$17</f>
        <v>0</v>
      </c>
      <c r="E51" s="110">
        <f>TrRail_ene!E$17</f>
        <v>0</v>
      </c>
      <c r="F51" s="110">
        <f>TrRail_ene!F$17</f>
        <v>0</v>
      </c>
      <c r="G51" s="110">
        <f>TrRail_ene!G$17</f>
        <v>0</v>
      </c>
      <c r="H51" s="110">
        <f>TrRail_ene!H$17</f>
        <v>0</v>
      </c>
      <c r="I51" s="110">
        <f>TrRail_ene!I$17</f>
        <v>0</v>
      </c>
      <c r="J51" s="110">
        <f>TrRail_ene!J$17</f>
        <v>0</v>
      </c>
      <c r="K51" s="110">
        <f>TrRail_ene!K$17</f>
        <v>0</v>
      </c>
      <c r="L51" s="110">
        <f>TrRail_ene!L$17</f>
        <v>0</v>
      </c>
      <c r="M51" s="110">
        <f>TrRail_ene!M$17</f>
        <v>0</v>
      </c>
      <c r="N51" s="110">
        <f>TrRail_ene!N$17</f>
        <v>0</v>
      </c>
      <c r="O51" s="110">
        <f>TrRail_ene!O$17</f>
        <v>0</v>
      </c>
      <c r="P51" s="110">
        <f>TrRail_ene!P$17</f>
        <v>0</v>
      </c>
      <c r="Q51" s="110">
        <f>TrRail_ene!Q$17</f>
        <v>0</v>
      </c>
      <c r="R51" s="110">
        <f>TrRail_ene!R$17</f>
        <v>0</v>
      </c>
      <c r="S51" s="110">
        <f>TrRail_ene!S$17</f>
        <v>0</v>
      </c>
      <c r="T51" s="110">
        <f>TrRail_ene!T$17</f>
        <v>0</v>
      </c>
      <c r="U51" s="110">
        <f>TrRail_ene!U$17</f>
        <v>0</v>
      </c>
      <c r="V51" s="110">
        <f>TrRail_ene!V$17</f>
        <v>0</v>
      </c>
      <c r="W51" s="110">
        <f>TrRail_ene!W$17</f>
        <v>0</v>
      </c>
      <c r="X51" s="110">
        <f>TrRail_ene!X$17</f>
        <v>0</v>
      </c>
      <c r="Y51" s="110">
        <f>TrRail_ene!Y$17</f>
        <v>0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2.7727425901208411</v>
      </c>
      <c r="C52" s="110">
        <f t="shared" si="44"/>
        <v>1.9807328319342365</v>
      </c>
      <c r="D52" s="110">
        <f t="shared" si="44"/>
        <v>1.9553854819941483</v>
      </c>
      <c r="E52" s="110">
        <f t="shared" si="44"/>
        <v>2.4786195332485024</v>
      </c>
      <c r="F52" s="110">
        <f t="shared" si="44"/>
        <v>2.8420073169642461</v>
      </c>
      <c r="G52" s="110">
        <f t="shared" si="44"/>
        <v>2.4693454111313624</v>
      </c>
      <c r="H52" s="110">
        <f t="shared" si="44"/>
        <v>3.1004130579165063</v>
      </c>
      <c r="I52" s="110">
        <f t="shared" si="44"/>
        <v>3.1866327944272617</v>
      </c>
      <c r="J52" s="110">
        <f t="shared" si="44"/>
        <v>3.4445286117656058</v>
      </c>
      <c r="K52" s="110">
        <f t="shared" si="44"/>
        <v>3.4805961947435038</v>
      </c>
      <c r="L52" s="110">
        <f t="shared" si="44"/>
        <v>3.240629280920829</v>
      </c>
      <c r="M52" s="110">
        <f t="shared" si="44"/>
        <v>3.047942060996423</v>
      </c>
      <c r="N52" s="110">
        <f t="shared" si="44"/>
        <v>2.7744365701425209</v>
      </c>
      <c r="O52" s="110">
        <f t="shared" si="44"/>
        <v>2.0339507446709839</v>
      </c>
      <c r="P52" s="110">
        <f t="shared" si="44"/>
        <v>1.6803043715571928</v>
      </c>
      <c r="Q52" s="110">
        <f t="shared" si="44"/>
        <v>1.7395669609114832</v>
      </c>
      <c r="R52" s="110">
        <f t="shared" si="44"/>
        <v>1.0718057450074425</v>
      </c>
      <c r="S52" s="110">
        <f t="shared" si="44"/>
        <v>1.03871706905984</v>
      </c>
      <c r="T52" s="110">
        <f t="shared" si="44"/>
        <v>1.12694207515293</v>
      </c>
      <c r="U52" s="110">
        <f t="shared" si="44"/>
        <v>0.7849455683824873</v>
      </c>
      <c r="V52" s="110">
        <f t="shared" si="44"/>
        <v>1.2130458831404196</v>
      </c>
      <c r="W52" s="110">
        <f t="shared" ref="W52:Y52" si="45">W53+W54+W55</f>
        <v>1.0812058494774806</v>
      </c>
      <c r="X52" s="110">
        <f t="shared" si="45"/>
        <v>1.3226564481452032</v>
      </c>
      <c r="Y52" s="110">
        <f t="shared" si="45"/>
        <v>1.3483886224343975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2.6216657761659157</v>
      </c>
      <c r="C54" s="102">
        <f>TrAvia_ene!C$12</f>
        <v>1.8635266716713339</v>
      </c>
      <c r="D54" s="102">
        <f>TrAvia_ene!D$12</f>
        <v>1.8307959376369605</v>
      </c>
      <c r="E54" s="102">
        <f>TrAvia_ene!E$12</f>
        <v>2.3553239483204957</v>
      </c>
      <c r="F54" s="102">
        <f>TrAvia_ene!F$12</f>
        <v>2.6528034657491695</v>
      </c>
      <c r="G54" s="102">
        <f>TrAvia_ene!G$12</f>
        <v>2.2201467109539306</v>
      </c>
      <c r="H54" s="102">
        <f>TrAvia_ene!H$12</f>
        <v>2.7873227498748783</v>
      </c>
      <c r="I54" s="102">
        <f>TrAvia_ene!I$12</f>
        <v>2.7583229318653366</v>
      </c>
      <c r="J54" s="102">
        <f>TrAvia_ene!J$12</f>
        <v>2.7819637847368761</v>
      </c>
      <c r="K54" s="102">
        <f>TrAvia_ene!K$12</f>
        <v>2.5706116197417099</v>
      </c>
      <c r="L54" s="102">
        <f>TrAvia_ene!L$12</f>
        <v>2.724474374722953</v>
      </c>
      <c r="M54" s="102">
        <f>TrAvia_ene!M$12</f>
        <v>2.6877515065755309</v>
      </c>
      <c r="N54" s="102">
        <f>TrAvia_ene!N$12</f>
        <v>2.356744351558357</v>
      </c>
      <c r="O54" s="102">
        <f>TrAvia_ene!O$12</f>
        <v>1.7398034693288225</v>
      </c>
      <c r="P54" s="102">
        <f>TrAvia_ene!P$12</f>
        <v>1.5293859292319136</v>
      </c>
      <c r="Q54" s="102">
        <f>TrAvia_ene!Q$12</f>
        <v>1.6298240512304238</v>
      </c>
      <c r="R54" s="102">
        <f>TrAvia_ene!R$12</f>
        <v>0.93786882142060279</v>
      </c>
      <c r="S54" s="102">
        <f>TrAvia_ene!S$12</f>
        <v>0.93081641719147268</v>
      </c>
      <c r="T54" s="102">
        <f>TrAvia_ene!T$12</f>
        <v>1.0481083745282469</v>
      </c>
      <c r="U54" s="102">
        <f>TrAvia_ene!U$12</f>
        <v>0.75090220378720574</v>
      </c>
      <c r="V54" s="102">
        <f>TrAvia_ene!V$12</f>
        <v>0.88365506937372007</v>
      </c>
      <c r="W54" s="102">
        <f>TrAvia_ene!W$12</f>
        <v>0.90928413155185994</v>
      </c>
      <c r="X54" s="102">
        <f>TrAvia_ene!X$12</f>
        <v>0.87169388520005431</v>
      </c>
      <c r="Y54" s="102">
        <f>TrAvia_ene!Y$12</f>
        <v>0.85165835250583943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0.15107681395492545</v>
      </c>
      <c r="C55" s="102">
        <f>TrAvia_ene!C$13</f>
        <v>0.1172061602629027</v>
      </c>
      <c r="D55" s="102">
        <f>TrAvia_ene!D$13</f>
        <v>0.12458954435718786</v>
      </c>
      <c r="E55" s="102">
        <f>TrAvia_ene!E$13</f>
        <v>0.12329558492800684</v>
      </c>
      <c r="F55" s="102">
        <f>TrAvia_ene!F$13</f>
        <v>0.18920385121507674</v>
      </c>
      <c r="G55" s="102">
        <f>TrAvia_ene!G$13</f>
        <v>0.24919870017743193</v>
      </c>
      <c r="H55" s="102">
        <f>TrAvia_ene!H$13</f>
        <v>0.31309030804162824</v>
      </c>
      <c r="I55" s="102">
        <f>TrAvia_ene!I$13</f>
        <v>0.4283098625619251</v>
      </c>
      <c r="J55" s="102">
        <f>TrAvia_ene!J$13</f>
        <v>0.66256482702872976</v>
      </c>
      <c r="K55" s="102">
        <f>TrAvia_ene!K$13</f>
        <v>0.90998457500179397</v>
      </c>
      <c r="L55" s="102">
        <f>TrAvia_ene!L$13</f>
        <v>0.51615490619787596</v>
      </c>
      <c r="M55" s="102">
        <f>TrAvia_ene!M$13</f>
        <v>0.36019055442089226</v>
      </c>
      <c r="N55" s="102">
        <f>TrAvia_ene!N$13</f>
        <v>0.41769221858416394</v>
      </c>
      <c r="O55" s="102">
        <f>TrAvia_ene!O$13</f>
        <v>0.29414727534216162</v>
      </c>
      <c r="P55" s="102">
        <f>TrAvia_ene!P$13</f>
        <v>0.15091844232527926</v>
      </c>
      <c r="Q55" s="102">
        <f>TrAvia_ene!Q$13</f>
        <v>0.10974290968105949</v>
      </c>
      <c r="R55" s="102">
        <f>TrAvia_ene!R$13</f>
        <v>0.1339369235868397</v>
      </c>
      <c r="S55" s="102">
        <f>TrAvia_ene!S$13</f>
        <v>0.10790065186836729</v>
      </c>
      <c r="T55" s="102">
        <f>TrAvia_ene!T$13</f>
        <v>7.8833700624683131E-2</v>
      </c>
      <c r="U55" s="102">
        <f>TrAvia_ene!U$13</f>
        <v>3.4043364595281518E-2</v>
      </c>
      <c r="V55" s="102">
        <f>TrAvia_ene!V$13</f>
        <v>0.32939081376669949</v>
      </c>
      <c r="W55" s="102">
        <f>TrAvia_ene!W$13</f>
        <v>0.17192171792562055</v>
      </c>
      <c r="X55" s="102">
        <f>TrAvia_ene!X$13</f>
        <v>0.45096256294514886</v>
      </c>
      <c r="Y55" s="102">
        <f>TrAvia_ene!Y$13</f>
        <v>0.49673026992855801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0</v>
      </c>
      <c r="C56" s="110">
        <f t="shared" si="46"/>
        <v>0</v>
      </c>
      <c r="D56" s="110">
        <f t="shared" si="46"/>
        <v>0</v>
      </c>
      <c r="E56" s="110">
        <f t="shared" si="46"/>
        <v>0</v>
      </c>
      <c r="F56" s="110">
        <f t="shared" si="46"/>
        <v>0</v>
      </c>
      <c r="G56" s="110">
        <f t="shared" si="46"/>
        <v>8.0012897678417882</v>
      </c>
      <c r="H56" s="110">
        <f t="shared" si="46"/>
        <v>9.028374892519345</v>
      </c>
      <c r="I56" s="110">
        <f t="shared" si="46"/>
        <v>10.055374032674118</v>
      </c>
      <c r="J56" s="110">
        <f t="shared" si="46"/>
        <v>9.9837489251934652</v>
      </c>
      <c r="K56" s="110">
        <f t="shared" si="46"/>
        <v>9.1717110920034379</v>
      </c>
      <c r="L56" s="110">
        <f t="shared" si="46"/>
        <v>17.244625967325888</v>
      </c>
      <c r="M56" s="110">
        <f t="shared" si="46"/>
        <v>16.368013757523642</v>
      </c>
      <c r="N56" s="110">
        <f t="shared" si="46"/>
        <v>14.255460017196899</v>
      </c>
      <c r="O56" s="110">
        <f t="shared" si="46"/>
        <v>11.319088564058466</v>
      </c>
      <c r="P56" s="110">
        <f t="shared" si="46"/>
        <v>11.308684436801373</v>
      </c>
      <c r="Q56" s="110">
        <f t="shared" si="46"/>
        <v>12.332932072226994</v>
      </c>
      <c r="R56" s="110">
        <f t="shared" ref="R56:V56" si="47">R57+R58</f>
        <v>11.297420464316421</v>
      </c>
      <c r="S56" s="110">
        <f t="shared" si="47"/>
        <v>13.368099742046432</v>
      </c>
      <c r="T56" s="110">
        <f t="shared" si="47"/>
        <v>10.79105760963027</v>
      </c>
      <c r="U56" s="110">
        <f t="shared" si="47"/>
        <v>14.896216680997419</v>
      </c>
      <c r="V56" s="110">
        <f t="shared" si="47"/>
        <v>18.004385210662079</v>
      </c>
      <c r="W56" s="110">
        <f t="shared" ref="W56:Y56" si="48">W57+W58</f>
        <v>21.656491831470333</v>
      </c>
      <c r="X56" s="110">
        <f t="shared" si="48"/>
        <v>19.074118658641446</v>
      </c>
      <c r="Y56" s="110">
        <f t="shared" si="48"/>
        <v>25.525193465176269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8.0012897678417882</v>
      </c>
      <c r="H57" s="102">
        <f>TrNavi_ene!H4</f>
        <v>9.028374892519345</v>
      </c>
      <c r="I57" s="102">
        <f>TrNavi_ene!I4</f>
        <v>10.055374032674118</v>
      </c>
      <c r="J57" s="102">
        <f>TrNavi_ene!J4</f>
        <v>9.9837489251934652</v>
      </c>
      <c r="K57" s="102">
        <f>TrNavi_ene!K4</f>
        <v>9.1717110920034379</v>
      </c>
      <c r="L57" s="102">
        <f>TrNavi_ene!L4</f>
        <v>17.244625967325888</v>
      </c>
      <c r="M57" s="102">
        <f>TrNavi_ene!M4</f>
        <v>16.368013757523642</v>
      </c>
      <c r="N57" s="102">
        <f>TrNavi_ene!N4</f>
        <v>14.255460017196899</v>
      </c>
      <c r="O57" s="102">
        <f>TrNavi_ene!O4</f>
        <v>11.319088564058466</v>
      </c>
      <c r="P57" s="102">
        <f>TrNavi_ene!P4</f>
        <v>11.308684436801373</v>
      </c>
      <c r="Q57" s="102">
        <f>TrNavi_ene!Q4</f>
        <v>12.332932072226994</v>
      </c>
      <c r="R57" s="102">
        <f>TrNavi_ene!R4</f>
        <v>11.297420464316421</v>
      </c>
      <c r="S57" s="102">
        <f>TrNavi_ene!S4</f>
        <v>13.368099742046432</v>
      </c>
      <c r="T57" s="102">
        <f>TrNavi_ene!T4</f>
        <v>10.79105760963027</v>
      </c>
      <c r="U57" s="102">
        <f>TrNavi_ene!U4</f>
        <v>14.896216680997419</v>
      </c>
      <c r="V57" s="102">
        <f>TrNavi_ene!V4</f>
        <v>18.004385210662079</v>
      </c>
      <c r="W57" s="102">
        <f>TrNavi_ene!W4</f>
        <v>21.656491831470333</v>
      </c>
      <c r="X57" s="102">
        <f>TrNavi_ene!X4</f>
        <v>19.074118658641446</v>
      </c>
      <c r="Y57" s="102">
        <f>TrNavi_ene!Y4</f>
        <v>25.525193465176269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X58" s="169">
        <f>TrNavi_ene!X10</f>
        <v>0</v>
      </c>
      <c r="Y58" s="169">
        <f>TrNavi_ene!Y10</f>
        <v>0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658.31659501289755</v>
      </c>
      <c r="C59" s="28">
        <f t="shared" ref="C59:W59" si="49">C60+C61</f>
        <v>724.99286328460869</v>
      </c>
      <c r="D59" s="28">
        <f t="shared" si="49"/>
        <v>743.07351676698204</v>
      </c>
      <c r="E59" s="28">
        <f t="shared" si="49"/>
        <v>915.98357695614789</v>
      </c>
      <c r="F59" s="28">
        <f t="shared" si="49"/>
        <v>980.9400687876182</v>
      </c>
      <c r="G59" s="28">
        <f t="shared" si="49"/>
        <v>658.49819432502136</v>
      </c>
      <c r="H59" s="28">
        <f t="shared" si="49"/>
        <v>752.57953568357698</v>
      </c>
      <c r="I59" s="28">
        <f t="shared" si="49"/>
        <v>842.17059329320716</v>
      </c>
      <c r="J59" s="28">
        <f t="shared" si="49"/>
        <v>912.34350816852975</v>
      </c>
      <c r="K59" s="28">
        <f t="shared" si="49"/>
        <v>1132.7266552020637</v>
      </c>
      <c r="L59" s="28">
        <f t="shared" si="49"/>
        <v>1449.4362854686158</v>
      </c>
      <c r="M59" s="28">
        <f t="shared" si="49"/>
        <v>1334.3365434221841</v>
      </c>
      <c r="N59" s="28">
        <f t="shared" si="49"/>
        <v>1185.2249355116078</v>
      </c>
      <c r="O59" s="28">
        <f t="shared" si="49"/>
        <v>1187.0640584694759</v>
      </c>
      <c r="P59" s="28">
        <f t="shared" si="49"/>
        <v>1223.4498710232153</v>
      </c>
      <c r="Q59" s="28">
        <f t="shared" si="49"/>
        <v>1536.6628546861562</v>
      </c>
      <c r="R59" s="28">
        <f t="shared" si="49"/>
        <v>1751.839036973344</v>
      </c>
      <c r="S59" s="28">
        <f t="shared" si="49"/>
        <v>2134.4228718830605</v>
      </c>
      <c r="T59" s="28">
        <f t="shared" si="49"/>
        <v>2207.1673258813407</v>
      </c>
      <c r="U59" s="28">
        <f t="shared" si="49"/>
        <v>2262.3583834909714</v>
      </c>
      <c r="V59" s="28">
        <f t="shared" si="49"/>
        <v>2185.7777300085986</v>
      </c>
      <c r="W59" s="28">
        <f t="shared" si="49"/>
        <v>1939.3180567497848</v>
      </c>
      <c r="X59" s="28">
        <f t="shared" ref="X59:Y59" si="50">X60+X61</f>
        <v>2124.8377472055031</v>
      </c>
      <c r="Y59" s="28">
        <f t="shared" si="50"/>
        <v>2251.8276010318141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382.08913456261263</v>
      </c>
      <c r="C60" s="102">
        <f>MBunk_ene!C$4</f>
        <v>421.00678337243443</v>
      </c>
      <c r="D60" s="102">
        <f>MBunk_ene!D$4</f>
        <v>429.80487505061711</v>
      </c>
      <c r="E60" s="102">
        <f>MBunk_ene!E$4</f>
        <v>529.92830930633977</v>
      </c>
      <c r="F60" s="102">
        <f>MBunk_ene!F$4</f>
        <v>486.70674541168637</v>
      </c>
      <c r="G60" s="102">
        <f>MBunk_ene!G$4</f>
        <v>383.29418867872687</v>
      </c>
      <c r="H60" s="102">
        <f>MBunk_ene!H$4</f>
        <v>395.10975024672894</v>
      </c>
      <c r="I60" s="102">
        <f>MBunk_ene!I$4</f>
        <v>402.89749414218215</v>
      </c>
      <c r="J60" s="102">
        <f>MBunk_ene!J$4</f>
        <v>548.49669684568676</v>
      </c>
      <c r="K60" s="102">
        <f>MBunk_ene!K$4</f>
        <v>673.16206050095207</v>
      </c>
      <c r="L60" s="102">
        <f>MBunk_ene!L$4</f>
        <v>859.47683061200735</v>
      </c>
      <c r="M60" s="102">
        <f>MBunk_ene!M$4</f>
        <v>771.97633201604526</v>
      </c>
      <c r="N60" s="102">
        <f>MBunk_ene!N$4</f>
        <v>757.98623539721427</v>
      </c>
      <c r="O60" s="102">
        <f>MBunk_ene!O$4</f>
        <v>760.86467306207783</v>
      </c>
      <c r="P60" s="102">
        <f>MBunk_ene!P$4</f>
        <v>721.44652803683584</v>
      </c>
      <c r="Q60" s="102">
        <f>MBunk_ene!Q$4</f>
        <v>997.29669968966095</v>
      </c>
      <c r="R60" s="102">
        <f>MBunk_ene!R$4</f>
        <v>1061.12660644683</v>
      </c>
      <c r="S60" s="102">
        <f>MBunk_ene!S$4</f>
        <v>1263.8976870801459</v>
      </c>
      <c r="T60" s="102">
        <f>MBunk_ene!T$4</f>
        <v>1361.9675518671852</v>
      </c>
      <c r="U60" s="102">
        <f>MBunk_ene!U$4</f>
        <v>1253.7848265848218</v>
      </c>
      <c r="V60" s="102">
        <f>MBunk_ene!V$4</f>
        <v>1367.5601892359064</v>
      </c>
      <c r="W60" s="102">
        <f>MBunk_ene!W$4</f>
        <v>1161.1104116164774</v>
      </c>
      <c r="X60" s="102">
        <f>MBunk_ene!X$4</f>
        <v>1304.0408295960137</v>
      </c>
      <c r="Y60" s="102">
        <f>MBunk_ene!Y$4</f>
        <v>1402.1360055271616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276.22746045028498</v>
      </c>
      <c r="C61" s="86">
        <f>MBunk_ene!C$10</f>
        <v>303.98607991217426</v>
      </c>
      <c r="D61" s="86">
        <f>MBunk_ene!D$10</f>
        <v>313.26864171636498</v>
      </c>
      <c r="E61" s="86">
        <f>MBunk_ene!E$10</f>
        <v>386.05526764980812</v>
      </c>
      <c r="F61" s="86">
        <f>MBunk_ene!F$10</f>
        <v>494.23332337593177</v>
      </c>
      <c r="G61" s="86">
        <f>MBunk_ene!G$10</f>
        <v>275.20400564629449</v>
      </c>
      <c r="H61" s="86">
        <f>MBunk_ene!H$10</f>
        <v>357.46978543684804</v>
      </c>
      <c r="I61" s="86">
        <f>MBunk_ene!I$10</f>
        <v>439.27309915102501</v>
      </c>
      <c r="J61" s="86">
        <f>MBunk_ene!J$10</f>
        <v>363.84681132284294</v>
      </c>
      <c r="K61" s="86">
        <f>MBunk_ene!K$10</f>
        <v>459.56459470111173</v>
      </c>
      <c r="L61" s="86">
        <f>MBunk_ene!L$10</f>
        <v>589.95945485660843</v>
      </c>
      <c r="M61" s="86">
        <f>MBunk_ene!M$10</f>
        <v>562.36021140613889</v>
      </c>
      <c r="N61" s="86">
        <f>MBunk_ene!N$10</f>
        <v>427.23870011439345</v>
      </c>
      <c r="O61" s="86">
        <f>MBunk_ene!O$10</f>
        <v>426.1993854073981</v>
      </c>
      <c r="P61" s="86">
        <f>MBunk_ene!P$10</f>
        <v>502.00334298637949</v>
      </c>
      <c r="Q61" s="86">
        <f>MBunk_ene!Q$10</f>
        <v>539.36615499649508</v>
      </c>
      <c r="R61" s="86">
        <f>MBunk_ene!R$10</f>
        <v>690.71243052651403</v>
      </c>
      <c r="S61" s="86">
        <f>MBunk_ene!S$10</f>
        <v>870.52518480291451</v>
      </c>
      <c r="T61" s="86">
        <f>MBunk_ene!T$10</f>
        <v>845.19977401415531</v>
      </c>
      <c r="U61" s="86">
        <f>MBunk_ene!U$10</f>
        <v>1008.5735569061496</v>
      </c>
      <c r="V61" s="86">
        <f>MBunk_ene!V$10</f>
        <v>818.21754077269225</v>
      </c>
      <c r="W61" s="86">
        <f>MBunk_ene!W$10</f>
        <v>778.20764513330721</v>
      </c>
      <c r="X61" s="86">
        <f>MBunk_ene!X$10</f>
        <v>820.79691760948936</v>
      </c>
      <c r="Y61" s="86">
        <f>MBunk_ene!Y$10</f>
        <v>849.69159550465224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649.46317862287674</v>
      </c>
      <c r="C64" s="28">
        <f t="shared" si="51"/>
        <v>544.17598843735391</v>
      </c>
      <c r="D64" s="28">
        <f t="shared" si="51"/>
        <v>523.25593370261163</v>
      </c>
      <c r="E64" s="28">
        <f t="shared" si="51"/>
        <v>501.79376905248893</v>
      </c>
      <c r="F64" s="28">
        <f t="shared" si="51"/>
        <v>556.83555496483223</v>
      </c>
      <c r="G64" s="28">
        <f t="shared" si="51"/>
        <v>558.50990841262205</v>
      </c>
      <c r="H64" s="28">
        <f t="shared" si="51"/>
        <v>569.33898643264138</v>
      </c>
      <c r="I64" s="28">
        <f t="shared" si="51"/>
        <v>585.72129687008669</v>
      </c>
      <c r="J64" s="28">
        <f t="shared" si="51"/>
        <v>642.03521741840996</v>
      </c>
      <c r="K64" s="28">
        <f t="shared" si="51"/>
        <v>578.21942470826752</v>
      </c>
      <c r="L64" s="28">
        <f t="shared" si="51"/>
        <v>664.49055127118675</v>
      </c>
      <c r="M64" s="28">
        <f t="shared" si="51"/>
        <v>677.74579754071465</v>
      </c>
      <c r="N64" s="28">
        <f t="shared" si="51"/>
        <v>670.34883128196577</v>
      </c>
      <c r="O64" s="28">
        <f t="shared" si="51"/>
        <v>697.18466940282735</v>
      </c>
      <c r="P64" s="28">
        <f t="shared" si="51"/>
        <v>733.45482910355588</v>
      </c>
      <c r="Q64" s="28">
        <f t="shared" si="51"/>
        <v>776.30089848979503</v>
      </c>
      <c r="R64" s="28">
        <f t="shared" ref="R64:V64" si="52">R65+R69+R73</f>
        <v>806.88863767831594</v>
      </c>
      <c r="S64" s="28">
        <f t="shared" si="52"/>
        <v>861.10408773980976</v>
      </c>
      <c r="T64" s="28">
        <f t="shared" si="52"/>
        <v>960.84281360723594</v>
      </c>
      <c r="U64" s="28">
        <f t="shared" si="52"/>
        <v>1003.7356297284166</v>
      </c>
      <c r="V64" s="28">
        <f t="shared" si="52"/>
        <v>572.81398955208442</v>
      </c>
      <c r="W64" s="28">
        <f t="shared" ref="W64:Y64" si="53">W65+W69+W73</f>
        <v>651.46476407774878</v>
      </c>
      <c r="X64" s="28">
        <f t="shared" si="53"/>
        <v>883.80490702236636</v>
      </c>
      <c r="Y64" s="28">
        <f t="shared" si="53"/>
        <v>977.57159974749538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277.38302274005241</v>
      </c>
      <c r="C65" s="137">
        <f t="shared" si="54"/>
        <v>264.83542605992216</v>
      </c>
      <c r="D65" s="137">
        <f t="shared" si="54"/>
        <v>253.28351860860505</v>
      </c>
      <c r="E65" s="137">
        <f t="shared" si="54"/>
        <v>265.10435023672659</v>
      </c>
      <c r="F65" s="137">
        <f t="shared" si="54"/>
        <v>251.5500497736416</v>
      </c>
      <c r="G65" s="137">
        <f t="shared" si="54"/>
        <v>300.05725914172859</v>
      </c>
      <c r="H65" s="137">
        <f t="shared" si="54"/>
        <v>309.69420210468752</v>
      </c>
      <c r="I65" s="137">
        <f t="shared" si="54"/>
        <v>313.96946192817285</v>
      </c>
      <c r="J65" s="137">
        <f t="shared" si="54"/>
        <v>361.78445606807111</v>
      </c>
      <c r="K65" s="137">
        <f t="shared" si="54"/>
        <v>316.62752421478882</v>
      </c>
      <c r="L65" s="137">
        <f t="shared" si="54"/>
        <v>368.16754740933214</v>
      </c>
      <c r="M65" s="137">
        <f t="shared" si="54"/>
        <v>371.5677318479992</v>
      </c>
      <c r="N65" s="137">
        <f t="shared" si="54"/>
        <v>378.80587197388218</v>
      </c>
      <c r="O65" s="137">
        <f t="shared" si="54"/>
        <v>387.95417632185729</v>
      </c>
      <c r="P65" s="137">
        <f t="shared" si="54"/>
        <v>401.51787985205465</v>
      </c>
      <c r="Q65" s="137">
        <f t="shared" si="54"/>
        <v>432.17549043624297</v>
      </c>
      <c r="R65" s="137">
        <f t="shared" ref="R65:V65" si="55">R66+R67+R68</f>
        <v>436.0193468531246</v>
      </c>
      <c r="S65" s="137">
        <f t="shared" si="55"/>
        <v>444.64095368899757</v>
      </c>
      <c r="T65" s="137">
        <f t="shared" si="55"/>
        <v>492.22244328745683</v>
      </c>
      <c r="U65" s="137">
        <f t="shared" si="55"/>
        <v>509.94276560606647</v>
      </c>
      <c r="V65" s="137">
        <f t="shared" si="55"/>
        <v>398.24778219768314</v>
      </c>
      <c r="W65" s="137">
        <f t="shared" ref="W65:Y65" si="56">W66+W67+W68</f>
        <v>422.33535413584457</v>
      </c>
      <c r="X65" s="137">
        <f t="shared" si="56"/>
        <v>508.56184012125993</v>
      </c>
      <c r="Y65" s="137">
        <f t="shared" si="56"/>
        <v>528.78949898599149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3.3190101535457859</v>
      </c>
      <c r="C66" s="102">
        <f>TrRoad_emi!C$19</f>
        <v>3.4200288686008915</v>
      </c>
      <c r="D66" s="102">
        <f>TrRoad_emi!D$19</f>
        <v>3.537624086063198</v>
      </c>
      <c r="E66" s="102">
        <f>TrRoad_emi!E$19</f>
        <v>3.6149335592639069</v>
      </c>
      <c r="F66" s="102">
        <f>TrRoad_emi!F$19</f>
        <v>3.3683878188143868</v>
      </c>
      <c r="G66" s="102">
        <f>TrRoad_emi!G$19</f>
        <v>3.1459049960523049</v>
      </c>
      <c r="H66" s="102">
        <f>TrRoad_emi!H$19</f>
        <v>3.2043765516003591</v>
      </c>
      <c r="I66" s="102">
        <f>TrRoad_emi!I$19</f>
        <v>3.3140201627363992</v>
      </c>
      <c r="J66" s="102">
        <f>TrRoad_emi!J$19</f>
        <v>3.6772624471545488</v>
      </c>
      <c r="K66" s="102">
        <f>TrRoad_emi!K$19</f>
        <v>3.6167015636414268</v>
      </c>
      <c r="L66" s="102">
        <f>TrRoad_emi!L$19</f>
        <v>3.6363286454509529</v>
      </c>
      <c r="M66" s="102">
        <f>TrRoad_emi!M$19</f>
        <v>3.7855614051600619</v>
      </c>
      <c r="N66" s="102">
        <f>TrRoad_emi!N$19</f>
        <v>3.7695068685665167</v>
      </c>
      <c r="O66" s="102">
        <f>TrRoad_emi!O$19</f>
        <v>3.9593990081578867</v>
      </c>
      <c r="P66" s="102">
        <f>TrRoad_emi!P$19</f>
        <v>4.2427784507294533</v>
      </c>
      <c r="Q66" s="102">
        <f>TrRoad_emi!Q$19</f>
        <v>4.3105420370575338</v>
      </c>
      <c r="R66" s="102">
        <f>TrRoad_emi!R$19</f>
        <v>4.5807590951170569</v>
      </c>
      <c r="S66" s="102">
        <f>TrRoad_emi!S$19</f>
        <v>4.2909414131340702</v>
      </c>
      <c r="T66" s="102">
        <f>TrRoad_emi!T$19</f>
        <v>4.163759251284243</v>
      </c>
      <c r="U66" s="102">
        <f>TrRoad_emi!U$19</f>
        <v>4.5570965808861246</v>
      </c>
      <c r="V66" s="102">
        <f>TrRoad_emi!V$19</f>
        <v>4.0970118071775987</v>
      </c>
      <c r="W66" s="102">
        <f>TrRoad_emi!W$19</f>
        <v>4.3043627866043499</v>
      </c>
      <c r="X66" s="102">
        <f>TrRoad_emi!X$19</f>
        <v>4.4495207287373004</v>
      </c>
      <c r="Y66" s="102">
        <f>TrRoad_emi!Y$19</f>
        <v>4.8706072554549786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238.90052441284496</v>
      </c>
      <c r="C67" s="102">
        <f>TrRoad_emi!C$20</f>
        <v>227.37954136979607</v>
      </c>
      <c r="D67" s="102">
        <f>TrRoad_emi!D$20</f>
        <v>236.09485770942794</v>
      </c>
      <c r="E67" s="102">
        <f>TrRoad_emi!E$20</f>
        <v>233.96495321955103</v>
      </c>
      <c r="F67" s="102">
        <f>TrRoad_emi!F$20</f>
        <v>209.05350243326413</v>
      </c>
      <c r="G67" s="102">
        <f>TrRoad_emi!G$20</f>
        <v>242.33674459595329</v>
      </c>
      <c r="H67" s="102">
        <f>TrRoad_emi!H$20</f>
        <v>247.71534235252412</v>
      </c>
      <c r="I67" s="102">
        <f>TrRoad_emi!I$20</f>
        <v>255.00022130039019</v>
      </c>
      <c r="J67" s="102">
        <f>TrRoad_emi!J$20</f>
        <v>302.7957934976954</v>
      </c>
      <c r="K67" s="102">
        <f>TrRoad_emi!K$20</f>
        <v>265.33601388364696</v>
      </c>
      <c r="L67" s="102">
        <f>TrRoad_emi!L$20</f>
        <v>312.20880724842289</v>
      </c>
      <c r="M67" s="102">
        <f>TrRoad_emi!M$20</f>
        <v>315.11980195900799</v>
      </c>
      <c r="N67" s="102">
        <f>TrRoad_emi!N$20</f>
        <v>315.08079101999527</v>
      </c>
      <c r="O67" s="102">
        <f>TrRoad_emi!O$20</f>
        <v>323.3151063131541</v>
      </c>
      <c r="P67" s="102">
        <f>TrRoad_emi!P$20</f>
        <v>324.86380159739775</v>
      </c>
      <c r="Q67" s="102">
        <f>TrRoad_emi!Q$20</f>
        <v>345.14295643278547</v>
      </c>
      <c r="R67" s="102">
        <f>TrRoad_emi!R$20</f>
        <v>349.713337750427</v>
      </c>
      <c r="S67" s="102">
        <f>TrRoad_emi!S$20</f>
        <v>352.70174149348094</v>
      </c>
      <c r="T67" s="102">
        <f>TrRoad_emi!T$20</f>
        <v>385.49450151405716</v>
      </c>
      <c r="U67" s="102">
        <f>TrRoad_emi!U$20</f>
        <v>401.67470907563842</v>
      </c>
      <c r="V67" s="102">
        <f>TrRoad_emi!V$20</f>
        <v>324.23779418277593</v>
      </c>
      <c r="W67" s="102">
        <f>TrRoad_emi!W$20</f>
        <v>351.88573140836348</v>
      </c>
      <c r="X67" s="102">
        <f>TrRoad_emi!X$20</f>
        <v>405.27525072672404</v>
      </c>
      <c r="Y67" s="102">
        <f>TrRoad_emi!Y$20</f>
        <v>417.67182084979555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35.163488173661698</v>
      </c>
      <c r="C68" s="102">
        <f>TrRoad_emi!C$27</f>
        <v>34.035855821525182</v>
      </c>
      <c r="D68" s="102">
        <f>TrRoad_emi!D$27</f>
        <v>13.651036813113905</v>
      </c>
      <c r="E68" s="102">
        <f>TrRoad_emi!E$27</f>
        <v>27.524463457911654</v>
      </c>
      <c r="F68" s="102">
        <f>TrRoad_emi!F$27</f>
        <v>39.128159521563063</v>
      </c>
      <c r="G68" s="102">
        <f>TrRoad_emi!G$27</f>
        <v>54.574609549723007</v>
      </c>
      <c r="H68" s="102">
        <f>TrRoad_emi!H$27</f>
        <v>58.774483200563068</v>
      </c>
      <c r="I68" s="102">
        <f>TrRoad_emi!I$27</f>
        <v>55.655220465046227</v>
      </c>
      <c r="J68" s="102">
        <f>TrRoad_emi!J$27</f>
        <v>55.311400123221169</v>
      </c>
      <c r="K68" s="102">
        <f>TrRoad_emi!K$27</f>
        <v>47.674808767500451</v>
      </c>
      <c r="L68" s="102">
        <f>TrRoad_emi!L$27</f>
        <v>52.32241151545832</v>
      </c>
      <c r="M68" s="102">
        <f>TrRoad_emi!M$27</f>
        <v>52.662368483831159</v>
      </c>
      <c r="N68" s="102">
        <f>TrRoad_emi!N$27</f>
        <v>59.955574085320386</v>
      </c>
      <c r="O68" s="102">
        <f>TrRoad_emi!O$27</f>
        <v>60.679671000545255</v>
      </c>
      <c r="P68" s="102">
        <f>TrRoad_emi!P$27</f>
        <v>72.41129980392742</v>
      </c>
      <c r="Q68" s="102">
        <f>TrRoad_emi!Q$27</f>
        <v>82.721991966399941</v>
      </c>
      <c r="R68" s="102">
        <f>TrRoad_emi!R$27</f>
        <v>81.725250007580556</v>
      </c>
      <c r="S68" s="102">
        <f>TrRoad_emi!S$27</f>
        <v>87.648270782382539</v>
      </c>
      <c r="T68" s="102">
        <f>TrRoad_emi!T$27</f>
        <v>102.5641825221154</v>
      </c>
      <c r="U68" s="102">
        <f>TrRoad_emi!U$27</f>
        <v>103.71095994954193</v>
      </c>
      <c r="V68" s="102">
        <f>TrRoad_emi!V$27</f>
        <v>69.912976207729614</v>
      </c>
      <c r="W68" s="102">
        <f>TrRoad_emi!W$27</f>
        <v>66.145259940876713</v>
      </c>
      <c r="X68" s="102">
        <f>TrRoad_emi!X$27</f>
        <v>98.837068665798583</v>
      </c>
      <c r="Y68" s="102">
        <f>TrRoad_emi!Y$27</f>
        <v>106.24707088074103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0</v>
      </c>
      <c r="C69" s="110">
        <f t="shared" si="57"/>
        <v>0</v>
      </c>
      <c r="D69" s="110">
        <f t="shared" si="57"/>
        <v>0</v>
      </c>
      <c r="E69" s="110">
        <f t="shared" si="57"/>
        <v>0</v>
      </c>
      <c r="F69" s="110">
        <f t="shared" si="57"/>
        <v>0</v>
      </c>
      <c r="G69" s="110">
        <f t="shared" si="57"/>
        <v>0</v>
      </c>
      <c r="H69" s="110">
        <f t="shared" si="57"/>
        <v>0</v>
      </c>
      <c r="I69" s="110">
        <f t="shared" si="57"/>
        <v>0</v>
      </c>
      <c r="J69" s="110">
        <f t="shared" si="57"/>
        <v>0</v>
      </c>
      <c r="K69" s="110">
        <f t="shared" si="57"/>
        <v>0</v>
      </c>
      <c r="L69" s="110">
        <f t="shared" si="57"/>
        <v>0</v>
      </c>
      <c r="M69" s="110">
        <f t="shared" si="57"/>
        <v>0</v>
      </c>
      <c r="N69" s="110">
        <f t="shared" si="57"/>
        <v>0</v>
      </c>
      <c r="O69" s="110">
        <f t="shared" si="57"/>
        <v>0</v>
      </c>
      <c r="P69" s="110">
        <f t="shared" si="57"/>
        <v>0</v>
      </c>
      <c r="Q69" s="110">
        <f t="shared" si="57"/>
        <v>0</v>
      </c>
      <c r="R69" s="110">
        <f t="shared" ref="R69:V69" si="58">R70+R71+R72</f>
        <v>0</v>
      </c>
      <c r="S69" s="110">
        <f t="shared" si="58"/>
        <v>0</v>
      </c>
      <c r="T69" s="110">
        <f t="shared" si="58"/>
        <v>0</v>
      </c>
      <c r="U69" s="110">
        <f t="shared" si="58"/>
        <v>0</v>
      </c>
      <c r="V69" s="110">
        <f t="shared" si="58"/>
        <v>0</v>
      </c>
      <c r="W69" s="110">
        <f t="shared" ref="W69:Y69" si="59">W70+W71+W72</f>
        <v>0</v>
      </c>
      <c r="X69" s="110">
        <f t="shared" si="59"/>
        <v>0</v>
      </c>
      <c r="Y69" s="110">
        <f t="shared" si="59"/>
        <v>0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0</v>
      </c>
      <c r="C71" s="102">
        <f>TrRail_emi!C$11</f>
        <v>0</v>
      </c>
      <c r="D71" s="102">
        <f>TrRail_emi!D$11</f>
        <v>0</v>
      </c>
      <c r="E71" s="102">
        <f>TrRail_emi!E$11</f>
        <v>0</v>
      </c>
      <c r="F71" s="102">
        <f>TrRail_emi!F$11</f>
        <v>0</v>
      </c>
      <c r="G71" s="102">
        <f>TrRail_emi!G$11</f>
        <v>0</v>
      </c>
      <c r="H71" s="102">
        <f>TrRail_emi!H$11</f>
        <v>0</v>
      </c>
      <c r="I71" s="102">
        <f>TrRail_emi!I$11</f>
        <v>0</v>
      </c>
      <c r="J71" s="102">
        <f>TrRail_emi!J$11</f>
        <v>0</v>
      </c>
      <c r="K71" s="102">
        <f>TrRail_emi!K$11</f>
        <v>0</v>
      </c>
      <c r="L71" s="102">
        <f>TrRail_emi!L$11</f>
        <v>0</v>
      </c>
      <c r="M71" s="102">
        <f>TrRail_emi!M$11</f>
        <v>0</v>
      </c>
      <c r="N71" s="102">
        <f>TrRail_emi!N$11</f>
        <v>0</v>
      </c>
      <c r="O71" s="102">
        <f>TrRail_emi!O$11</f>
        <v>0</v>
      </c>
      <c r="P71" s="102">
        <f>TrRail_emi!P$11</f>
        <v>0</v>
      </c>
      <c r="Q71" s="102">
        <f>TrRail_emi!Q$11</f>
        <v>0</v>
      </c>
      <c r="R71" s="102">
        <f>TrRail_emi!R$11</f>
        <v>0</v>
      </c>
      <c r="S71" s="102">
        <f>TrRail_emi!S$11</f>
        <v>0</v>
      </c>
      <c r="T71" s="102">
        <f>TrRail_emi!T$11</f>
        <v>0</v>
      </c>
      <c r="U71" s="102">
        <f>TrRail_emi!U$11</f>
        <v>0</v>
      </c>
      <c r="V71" s="102">
        <f>TrRail_emi!V$11</f>
        <v>0</v>
      </c>
      <c r="W71" s="102">
        <f>TrRail_emi!W$11</f>
        <v>0</v>
      </c>
      <c r="X71" s="102">
        <f>TrRail_emi!X$11</f>
        <v>0</v>
      </c>
      <c r="Y71" s="102">
        <f>TrRail_emi!Y$11</f>
        <v>0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372.08015588282433</v>
      </c>
      <c r="C73" s="110">
        <f t="shared" si="60"/>
        <v>279.3405623774317</v>
      </c>
      <c r="D73" s="110">
        <f t="shared" si="60"/>
        <v>269.97241509400658</v>
      </c>
      <c r="E73" s="110">
        <f t="shared" si="60"/>
        <v>236.68941881576234</v>
      </c>
      <c r="F73" s="110">
        <f t="shared" si="60"/>
        <v>305.28550519119068</v>
      </c>
      <c r="G73" s="110">
        <f t="shared" si="60"/>
        <v>258.45264927089346</v>
      </c>
      <c r="H73" s="110">
        <f t="shared" si="60"/>
        <v>259.6447843279538</v>
      </c>
      <c r="I73" s="110">
        <f t="shared" si="60"/>
        <v>271.75183494191384</v>
      </c>
      <c r="J73" s="110">
        <f t="shared" si="60"/>
        <v>280.25076135033879</v>
      </c>
      <c r="K73" s="110">
        <f t="shared" si="60"/>
        <v>261.59190049347865</v>
      </c>
      <c r="L73" s="110">
        <f t="shared" si="60"/>
        <v>296.3230038618546</v>
      </c>
      <c r="M73" s="110">
        <f t="shared" si="60"/>
        <v>306.17806569271551</v>
      </c>
      <c r="N73" s="110">
        <f t="shared" si="60"/>
        <v>291.5429593080836</v>
      </c>
      <c r="O73" s="110">
        <f t="shared" si="60"/>
        <v>309.23049308097006</v>
      </c>
      <c r="P73" s="110">
        <f t="shared" si="60"/>
        <v>331.93694925150123</v>
      </c>
      <c r="Q73" s="110">
        <f t="shared" si="60"/>
        <v>344.12540805355206</v>
      </c>
      <c r="R73" s="110">
        <f t="shared" ref="R73:V73" si="61">R74+R75+R76</f>
        <v>370.8692908251914</v>
      </c>
      <c r="S73" s="110">
        <f t="shared" si="61"/>
        <v>416.46313405081224</v>
      </c>
      <c r="T73" s="110">
        <f t="shared" si="61"/>
        <v>468.62037031977906</v>
      </c>
      <c r="U73" s="110">
        <f t="shared" si="61"/>
        <v>493.79286412235012</v>
      </c>
      <c r="V73" s="110">
        <f t="shared" si="61"/>
        <v>174.56620735440123</v>
      </c>
      <c r="W73" s="110">
        <f t="shared" ref="W73:Y73" si="62">W74+W75+W76</f>
        <v>229.12940994190419</v>
      </c>
      <c r="X73" s="110">
        <f t="shared" si="62"/>
        <v>375.24306690110643</v>
      </c>
      <c r="Y73" s="110">
        <f t="shared" si="62"/>
        <v>448.78210076150384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335.00868074265389</v>
      </c>
      <c r="C75" s="102">
        <f>TrAvia_emi!C$8</f>
        <v>251.50822264664021</v>
      </c>
      <c r="D75" s="102">
        <f>TrAvia_emi!D$8</f>
        <v>245.5422411073107</v>
      </c>
      <c r="E75" s="102">
        <f>TrAvia_emi!E$8</f>
        <v>217.59288574030501</v>
      </c>
      <c r="F75" s="102">
        <f>TrAvia_emi!F$8</f>
        <v>281.9638453308317</v>
      </c>
      <c r="G75" s="102">
        <f>TrAvia_emi!G$8</f>
        <v>239.38463525535357</v>
      </c>
      <c r="H75" s="102">
        <f>TrAvia_emi!H$8</f>
        <v>239.86441379339436</v>
      </c>
      <c r="I75" s="102">
        <f>TrAvia_emi!I$8</f>
        <v>251.83977583770019</v>
      </c>
      <c r="J75" s="102">
        <f>TrAvia_emi!J$8</f>
        <v>258.43094350653138</v>
      </c>
      <c r="K75" s="102">
        <f>TrAvia_emi!K$8</f>
        <v>240.05993187075143</v>
      </c>
      <c r="L75" s="102">
        <f>TrAvia_emi!L$8</f>
        <v>272.4033796691964</v>
      </c>
      <c r="M75" s="102">
        <f>TrAvia_emi!M$8</f>
        <v>281.75496441141445</v>
      </c>
      <c r="N75" s="102">
        <f>TrAvia_emi!N$8</f>
        <v>267.92473177008213</v>
      </c>
      <c r="O75" s="102">
        <f>TrAvia_emi!O$8</f>
        <v>284.7153731796509</v>
      </c>
      <c r="P75" s="102">
        <f>TrAvia_emi!P$8</f>
        <v>306.49915441775835</v>
      </c>
      <c r="Q75" s="102">
        <f>TrAvia_emi!Q$8</f>
        <v>317.91093491009343</v>
      </c>
      <c r="R75" s="102">
        <f>TrAvia_emi!R$8</f>
        <v>343.93708762393209</v>
      </c>
      <c r="S75" s="102">
        <f>TrAvia_emi!S$8</f>
        <v>387.53008624511557</v>
      </c>
      <c r="T75" s="102">
        <f>TrAvia_emi!T$8</f>
        <v>437.04579304173842</v>
      </c>
      <c r="U75" s="102">
        <f>TrAvia_emi!U$8</f>
        <v>460.15521641910698</v>
      </c>
      <c r="V75" s="102">
        <f>TrAvia_emi!V$8</f>
        <v>154.75885858384487</v>
      </c>
      <c r="W75" s="102">
        <f>TrAvia_emi!W$8</f>
        <v>207.11903909359941</v>
      </c>
      <c r="X75" s="102">
        <f>TrAvia_emi!X$8</f>
        <v>346.35773294891186</v>
      </c>
      <c r="Y75" s="102">
        <f>TrAvia_emi!Y$8</f>
        <v>415.91539126267327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37.071475140170449</v>
      </c>
      <c r="C76" s="102">
        <f>TrAvia_emi!C$9</f>
        <v>27.832339730791478</v>
      </c>
      <c r="D76" s="102">
        <f>TrAvia_emi!D$9</f>
        <v>24.430173986695884</v>
      </c>
      <c r="E76" s="102">
        <f>TrAvia_emi!E$9</f>
        <v>19.096533075457327</v>
      </c>
      <c r="F76" s="102">
        <f>TrAvia_emi!F$9</f>
        <v>23.321659860358992</v>
      </c>
      <c r="G76" s="102">
        <f>TrAvia_emi!G$9</f>
        <v>19.06801401553988</v>
      </c>
      <c r="H76" s="102">
        <f>TrAvia_emi!H$9</f>
        <v>19.780370534559424</v>
      </c>
      <c r="I76" s="102">
        <f>TrAvia_emi!I$9</f>
        <v>19.91205910421364</v>
      </c>
      <c r="J76" s="102">
        <f>TrAvia_emi!J$9</f>
        <v>21.819817843807414</v>
      </c>
      <c r="K76" s="102">
        <f>TrAvia_emi!K$9</f>
        <v>21.531968622727224</v>
      </c>
      <c r="L76" s="102">
        <f>TrAvia_emi!L$9</f>
        <v>23.919624192658219</v>
      </c>
      <c r="M76" s="102">
        <f>TrAvia_emi!M$9</f>
        <v>24.423101281301065</v>
      </c>
      <c r="N76" s="102">
        <f>TrAvia_emi!N$9</f>
        <v>23.618227538001456</v>
      </c>
      <c r="O76" s="102">
        <f>TrAvia_emi!O$9</f>
        <v>24.515119901319171</v>
      </c>
      <c r="P76" s="102">
        <f>TrAvia_emi!P$9</f>
        <v>25.437794833742903</v>
      </c>
      <c r="Q76" s="102">
        <f>TrAvia_emi!Q$9</f>
        <v>26.214473143458619</v>
      </c>
      <c r="R76" s="102">
        <f>TrAvia_emi!R$9</f>
        <v>26.93220320125932</v>
      </c>
      <c r="S76" s="102">
        <f>TrAvia_emi!S$9</f>
        <v>28.933047805696663</v>
      </c>
      <c r="T76" s="102">
        <f>TrAvia_emi!T$9</f>
        <v>31.574577278040614</v>
      </c>
      <c r="U76" s="102">
        <f>TrAvia_emi!U$9</f>
        <v>33.637647703243118</v>
      </c>
      <c r="V76" s="102">
        <f>TrAvia_emi!V$9</f>
        <v>19.807348770556345</v>
      </c>
      <c r="W76" s="102">
        <f>TrAvia_emi!W$9</f>
        <v>22.010370848304781</v>
      </c>
      <c r="X76" s="102">
        <f>TrAvia_emi!X$9</f>
        <v>28.885333952194557</v>
      </c>
      <c r="Y76" s="102">
        <f>TrAvia_emi!Y$9</f>
        <v>32.866709498830581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191.08998177712331</v>
      </c>
      <c r="C77" s="28">
        <f t="shared" si="63"/>
        <v>169.8556784826462</v>
      </c>
      <c r="D77" s="28">
        <f t="shared" si="63"/>
        <v>40.205529457388401</v>
      </c>
      <c r="E77" s="28">
        <f t="shared" si="63"/>
        <v>110.19869974751107</v>
      </c>
      <c r="F77" s="28">
        <f t="shared" si="63"/>
        <v>205.89790087516775</v>
      </c>
      <c r="G77" s="28">
        <f t="shared" si="63"/>
        <v>203.49729854737785</v>
      </c>
      <c r="H77" s="28">
        <f t="shared" si="63"/>
        <v>211.69150504735865</v>
      </c>
      <c r="I77" s="28">
        <f t="shared" si="63"/>
        <v>222.98803976991326</v>
      </c>
      <c r="J77" s="28">
        <f t="shared" si="63"/>
        <v>223.53755166159007</v>
      </c>
      <c r="K77" s="28">
        <f t="shared" si="63"/>
        <v>201.45236377173251</v>
      </c>
      <c r="L77" s="28">
        <f t="shared" si="63"/>
        <v>199.9897780088132</v>
      </c>
      <c r="M77" s="28">
        <f t="shared" si="63"/>
        <v>183.44524449928528</v>
      </c>
      <c r="N77" s="28">
        <f t="shared" si="63"/>
        <v>165.94087035803418</v>
      </c>
      <c r="O77" s="28">
        <f t="shared" si="63"/>
        <v>154.53777395717265</v>
      </c>
      <c r="P77" s="28">
        <f t="shared" si="63"/>
        <v>149.46829657644429</v>
      </c>
      <c r="Q77" s="28">
        <f t="shared" si="63"/>
        <v>153.21281051020475</v>
      </c>
      <c r="R77" s="28">
        <f t="shared" si="63"/>
        <v>147.0752554016841</v>
      </c>
      <c r="S77" s="28">
        <f t="shared" si="63"/>
        <v>160.6298280201903</v>
      </c>
      <c r="T77" s="28">
        <f t="shared" si="63"/>
        <v>167.88824547276445</v>
      </c>
      <c r="U77" s="28">
        <f t="shared" si="63"/>
        <v>189.44746919158331</v>
      </c>
      <c r="V77" s="28">
        <f t="shared" si="63"/>
        <v>181.54869120791571</v>
      </c>
      <c r="W77" s="28">
        <f t="shared" si="63"/>
        <v>195.62399580225105</v>
      </c>
      <c r="X77" s="28">
        <f t="shared" si="63"/>
        <v>215.43886849763382</v>
      </c>
      <c r="Y77" s="28">
        <f t="shared" si="63"/>
        <v>235.49099581250465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182.74501565994757</v>
      </c>
      <c r="C78" s="137">
        <f t="shared" si="64"/>
        <v>163.89481886007781</v>
      </c>
      <c r="D78" s="137">
        <f t="shared" si="64"/>
        <v>34.319214551394978</v>
      </c>
      <c r="E78" s="137">
        <f t="shared" si="64"/>
        <v>102.7372885632734</v>
      </c>
      <c r="F78" s="137">
        <f t="shared" si="64"/>
        <v>197.34487406635844</v>
      </c>
      <c r="G78" s="137">
        <f t="shared" si="64"/>
        <v>170.84445749827131</v>
      </c>
      <c r="H78" s="137">
        <f t="shared" si="64"/>
        <v>173.95250705531245</v>
      </c>
      <c r="I78" s="137">
        <f t="shared" si="64"/>
        <v>181.80331227182717</v>
      </c>
      <c r="J78" s="137">
        <f t="shared" si="64"/>
        <v>181.66669041192884</v>
      </c>
      <c r="K78" s="137">
        <f t="shared" si="64"/>
        <v>162.38820542521114</v>
      </c>
      <c r="L78" s="137">
        <f t="shared" si="64"/>
        <v>136.33843403066783</v>
      </c>
      <c r="M78" s="137">
        <f t="shared" si="64"/>
        <v>123.37943851200077</v>
      </c>
      <c r="N78" s="137">
        <f t="shared" si="64"/>
        <v>113.16150926611772</v>
      </c>
      <c r="O78" s="137">
        <f t="shared" si="64"/>
        <v>113.36562367814275</v>
      </c>
      <c r="P78" s="137">
        <f t="shared" si="64"/>
        <v>109.36073122794545</v>
      </c>
      <c r="Q78" s="137">
        <f t="shared" si="64"/>
        <v>109.74066500375687</v>
      </c>
      <c r="R78" s="137">
        <f t="shared" ref="R78:V78" si="65">R79+R80</f>
        <v>108.79945906687533</v>
      </c>
      <c r="S78" s="137">
        <f t="shared" si="65"/>
        <v>116.24643603100245</v>
      </c>
      <c r="T78" s="137">
        <f t="shared" si="65"/>
        <v>131.0865664725431</v>
      </c>
      <c r="U78" s="137">
        <f t="shared" si="65"/>
        <v>140.94600111393362</v>
      </c>
      <c r="V78" s="137">
        <f t="shared" si="65"/>
        <v>122.08414736231693</v>
      </c>
      <c r="W78" s="137">
        <f t="shared" ref="W78:Y78" si="66">W79+W80</f>
        <v>125.23463874415522</v>
      </c>
      <c r="X78" s="137">
        <f t="shared" si="66"/>
        <v>152.3744686387401</v>
      </c>
      <c r="Y78" s="137">
        <f t="shared" si="66"/>
        <v>152.30390565400833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50.117750299718068</v>
      </c>
      <c r="C79" s="102">
        <f>TrRoad_emi!C$34</f>
        <v>47.105998626304284</v>
      </c>
      <c r="D79" s="102">
        <f>TrRoad_emi!D$34</f>
        <v>19.896657878377887</v>
      </c>
      <c r="E79" s="102">
        <f>TrRoad_emi!E$34</f>
        <v>37.186334898269948</v>
      </c>
      <c r="F79" s="102">
        <f>TrRoad_emi!F$34</f>
        <v>49.479256672735403</v>
      </c>
      <c r="G79" s="102">
        <f>TrRoad_emi!G$34</f>
        <v>67.507292967132614</v>
      </c>
      <c r="H79" s="102">
        <f>TrRoad_emi!H$34</f>
        <v>72.890542765292594</v>
      </c>
      <c r="I79" s="102">
        <f>TrRoad_emi!I$34</f>
        <v>72.704711738256734</v>
      </c>
      <c r="J79" s="102">
        <f>TrRoad_emi!J$34</f>
        <v>72.380244574979173</v>
      </c>
      <c r="K79" s="102">
        <f>TrRoad_emi!K$34</f>
        <v>65.542905209788771</v>
      </c>
      <c r="L79" s="102">
        <f>TrRoad_emi!L$34</f>
        <v>60.470746083754911</v>
      </c>
      <c r="M79" s="102">
        <f>TrRoad_emi!M$34</f>
        <v>57.288682014126884</v>
      </c>
      <c r="N79" s="102">
        <f>TrRoad_emi!N$34</f>
        <v>54.282504069214539</v>
      </c>
      <c r="O79" s="102">
        <f>TrRoad_emi!O$34</f>
        <v>54.484264659178905</v>
      </c>
      <c r="P79" s="102">
        <f>TrRoad_emi!P$34</f>
        <v>54.851451275841427</v>
      </c>
      <c r="Q79" s="102">
        <f>TrRoad_emi!Q$34</f>
        <v>56.781885344486746</v>
      </c>
      <c r="R79" s="102">
        <f>TrRoad_emi!R$34</f>
        <v>54.821493515820038</v>
      </c>
      <c r="S79" s="102">
        <f>TrRoad_emi!S$34</f>
        <v>59.615993245358773</v>
      </c>
      <c r="T79" s="102">
        <f>TrRoad_emi!T$34</f>
        <v>68.213064416267599</v>
      </c>
      <c r="U79" s="102">
        <f>TrRoad_emi!U$34</f>
        <v>73.315530614738705</v>
      </c>
      <c r="V79" s="102">
        <f>TrRoad_emi!V$34</f>
        <v>62.207363563679849</v>
      </c>
      <c r="W79" s="102">
        <f>TrRoad_emi!W$34</f>
        <v>62.373160660429512</v>
      </c>
      <c r="X79" s="102">
        <f>TrRoad_emi!X$34</f>
        <v>73.740975908041349</v>
      </c>
      <c r="Y79" s="102">
        <f>TrRoad_emi!Y$34</f>
        <v>72.404325371289829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132.6272653602295</v>
      </c>
      <c r="C80" s="102">
        <f>TrRoad_emi!C$40</f>
        <v>116.78882023377354</v>
      </c>
      <c r="D80" s="102">
        <f>TrRoad_emi!D$40</f>
        <v>14.422556673017089</v>
      </c>
      <c r="E80" s="102">
        <f>TrRoad_emi!E$40</f>
        <v>65.550953665003448</v>
      </c>
      <c r="F80" s="102">
        <f>TrRoad_emi!F$40</f>
        <v>147.86561739362304</v>
      </c>
      <c r="G80" s="102">
        <f>TrRoad_emi!G$40</f>
        <v>103.33716453113868</v>
      </c>
      <c r="H80" s="102">
        <f>TrRoad_emi!H$40</f>
        <v>101.06196429001986</v>
      </c>
      <c r="I80" s="102">
        <f>TrRoad_emi!I$40</f>
        <v>109.09860053357043</v>
      </c>
      <c r="J80" s="102">
        <f>TrRoad_emi!J$40</f>
        <v>109.28644583694967</v>
      </c>
      <c r="K80" s="102">
        <f>TrRoad_emi!K$40</f>
        <v>96.845300215422384</v>
      </c>
      <c r="L80" s="102">
        <f>TrRoad_emi!L$40</f>
        <v>75.867687946912909</v>
      </c>
      <c r="M80" s="102">
        <f>TrRoad_emi!M$40</f>
        <v>66.090756497873898</v>
      </c>
      <c r="N80" s="102">
        <f>TrRoad_emi!N$40</f>
        <v>58.879005196903186</v>
      </c>
      <c r="O80" s="102">
        <f>TrRoad_emi!O$40</f>
        <v>58.881359018963856</v>
      </c>
      <c r="P80" s="102">
        <f>TrRoad_emi!P$40</f>
        <v>54.509279952104016</v>
      </c>
      <c r="Q80" s="102">
        <f>TrRoad_emi!Q$40</f>
        <v>52.958779659270135</v>
      </c>
      <c r="R80" s="102">
        <f>TrRoad_emi!R$40</f>
        <v>53.977965551055284</v>
      </c>
      <c r="S80" s="102">
        <f>TrRoad_emi!S$40</f>
        <v>56.63044278564368</v>
      </c>
      <c r="T80" s="102">
        <f>TrRoad_emi!T$40</f>
        <v>62.873502056275491</v>
      </c>
      <c r="U80" s="102">
        <f>TrRoad_emi!U$40</f>
        <v>67.630470499194914</v>
      </c>
      <c r="V80" s="102">
        <f>TrRoad_emi!V$40</f>
        <v>59.876783798637078</v>
      </c>
      <c r="W80" s="102">
        <f>TrRoad_emi!W$40</f>
        <v>62.861478083725707</v>
      </c>
      <c r="X80" s="102">
        <f>TrRoad_emi!X$40</f>
        <v>78.633492730698762</v>
      </c>
      <c r="Y80" s="102">
        <f>TrRoad_emi!Y$40</f>
        <v>79.899580282718503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0</v>
      </c>
      <c r="C81" s="110">
        <f>TrRail_emi!C$15</f>
        <v>0</v>
      </c>
      <c r="D81" s="110">
        <f>TrRail_emi!D$15</f>
        <v>0</v>
      </c>
      <c r="E81" s="110">
        <f>TrRail_emi!E$15</f>
        <v>0</v>
      </c>
      <c r="F81" s="110">
        <f>TrRail_emi!F$15</f>
        <v>0</v>
      </c>
      <c r="G81" s="110">
        <f>TrRail_emi!G$15</f>
        <v>0</v>
      </c>
      <c r="H81" s="110">
        <f>TrRail_emi!H$15</f>
        <v>0</v>
      </c>
      <c r="I81" s="110">
        <f>TrRail_emi!I$15</f>
        <v>0</v>
      </c>
      <c r="J81" s="110">
        <f>TrRail_emi!J$15</f>
        <v>0</v>
      </c>
      <c r="K81" s="110">
        <f>TrRail_emi!K$15</f>
        <v>0</v>
      </c>
      <c r="L81" s="110">
        <f>TrRail_emi!L$15</f>
        <v>0</v>
      </c>
      <c r="M81" s="110">
        <f>TrRail_emi!M$15</f>
        <v>0</v>
      </c>
      <c r="N81" s="110">
        <f>TrRail_emi!N$15</f>
        <v>0</v>
      </c>
      <c r="O81" s="110">
        <f>TrRail_emi!O$15</f>
        <v>0</v>
      </c>
      <c r="P81" s="110">
        <f>TrRail_emi!P$15</f>
        <v>0</v>
      </c>
      <c r="Q81" s="110">
        <f>TrRail_emi!Q$15</f>
        <v>0</v>
      </c>
      <c r="R81" s="110">
        <f>TrRail_emi!R$15</f>
        <v>0</v>
      </c>
      <c r="S81" s="110">
        <f>TrRail_emi!S$15</f>
        <v>0</v>
      </c>
      <c r="T81" s="110">
        <f>TrRail_emi!T$15</f>
        <v>0</v>
      </c>
      <c r="U81" s="110">
        <f>TrRail_emi!U$15</f>
        <v>0</v>
      </c>
      <c r="V81" s="110">
        <f>TrRail_emi!V$15</f>
        <v>0</v>
      </c>
      <c r="W81" s="110">
        <f>TrRail_emi!W$15</f>
        <v>0</v>
      </c>
      <c r="X81" s="110">
        <f>TrRail_emi!X$15</f>
        <v>0</v>
      </c>
      <c r="Y81" s="110">
        <f>TrRail_emi!Y$15</f>
        <v>0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8.3449661171757494</v>
      </c>
      <c r="C82" s="110">
        <f t="shared" si="67"/>
        <v>5.9608596225683925</v>
      </c>
      <c r="D82" s="110">
        <f t="shared" si="67"/>
        <v>5.8863149059934221</v>
      </c>
      <c r="E82" s="110">
        <f t="shared" si="67"/>
        <v>7.4614111842376758</v>
      </c>
      <c r="F82" s="110">
        <f t="shared" si="67"/>
        <v>8.5530268088092924</v>
      </c>
      <c r="G82" s="110">
        <f t="shared" si="67"/>
        <v>7.4334932091065227</v>
      </c>
      <c r="H82" s="110">
        <f t="shared" si="67"/>
        <v>9.333201952046192</v>
      </c>
      <c r="I82" s="110">
        <f t="shared" si="67"/>
        <v>9.5927500180860932</v>
      </c>
      <c r="J82" s="110">
        <f t="shared" si="67"/>
        <v>10.369096169661233</v>
      </c>
      <c r="K82" s="110">
        <f t="shared" si="67"/>
        <v>10.477670746521364</v>
      </c>
      <c r="L82" s="110">
        <f t="shared" si="67"/>
        <v>9.755296138145356</v>
      </c>
      <c r="M82" s="110">
        <f t="shared" si="67"/>
        <v>9.1752480272844963</v>
      </c>
      <c r="N82" s="110">
        <f t="shared" si="67"/>
        <v>8.3519119319164812</v>
      </c>
      <c r="O82" s="110">
        <f t="shared" si="67"/>
        <v>6.1228206390299142</v>
      </c>
      <c r="P82" s="110">
        <f t="shared" si="67"/>
        <v>5.0582357084988372</v>
      </c>
      <c r="Q82" s="110">
        <f t="shared" si="67"/>
        <v>5.2366344264478792</v>
      </c>
      <c r="R82" s="110">
        <f t="shared" si="67"/>
        <v>3.226466694808757</v>
      </c>
      <c r="S82" s="110">
        <f t="shared" si="67"/>
        <v>3.1268595491878717</v>
      </c>
      <c r="T82" s="110">
        <f t="shared" si="67"/>
        <v>3.3924362802213603</v>
      </c>
      <c r="U82" s="110">
        <f t="shared" si="67"/>
        <v>2.3629209176496992</v>
      </c>
      <c r="V82" s="110">
        <f t="shared" si="67"/>
        <v>3.6516277655987825</v>
      </c>
      <c r="W82" s="110">
        <f t="shared" ref="W82:Y82" si="68">W83+W84+W85</f>
        <v>3.2547264580958308</v>
      </c>
      <c r="X82" s="110">
        <f t="shared" si="68"/>
        <v>3.9815828988937243</v>
      </c>
      <c r="Y82" s="110">
        <f t="shared" si="68"/>
        <v>4.0590509184962862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7.8902787985488247</v>
      </c>
      <c r="C84" s="102">
        <f>TrAvia_emi!C$12</f>
        <v>5.6081369045099621</v>
      </c>
      <c r="D84" s="102">
        <f>TrAvia_emi!D$12</f>
        <v>5.5112618543911713</v>
      </c>
      <c r="E84" s="102">
        <f>TrAvia_emi!E$12</f>
        <v>7.0902533506095153</v>
      </c>
      <c r="F84" s="102">
        <f>TrAvia_emi!F$12</f>
        <v>7.983617433220104</v>
      </c>
      <c r="G84" s="102">
        <f>TrAvia_emi!G$12</f>
        <v>6.6833280693343573</v>
      </c>
      <c r="H84" s="102">
        <f>TrAvia_emi!H$12</f>
        <v>8.3907033173176444</v>
      </c>
      <c r="I84" s="102">
        <f>TrAvia_emi!I$12</f>
        <v>8.3034048983651942</v>
      </c>
      <c r="J84" s="102">
        <f>TrAvia_emi!J$12</f>
        <v>8.3745711752602396</v>
      </c>
      <c r="K84" s="102">
        <f>TrAvia_emi!K$12</f>
        <v>7.7383358085353722</v>
      </c>
      <c r="L84" s="102">
        <f>TrAvia_emi!L$12</f>
        <v>8.2015102753927529</v>
      </c>
      <c r="M84" s="102">
        <f>TrAvia_emi!M$12</f>
        <v>8.0909630875581833</v>
      </c>
      <c r="N84" s="102">
        <f>TrAvia_emi!N$12</f>
        <v>7.0945292035441607</v>
      </c>
      <c r="O84" s="102">
        <f>TrAvia_emi!O$12</f>
        <v>5.2373463899124717</v>
      </c>
      <c r="P84" s="102">
        <f>TrAvia_emi!P$12</f>
        <v>4.6039245331173797</v>
      </c>
      <c r="Q84" s="102">
        <f>TrAvia_emi!Q$12</f>
        <v>4.9062743358002168</v>
      </c>
      <c r="R84" s="102">
        <f>TrAvia_emi!R$12</f>
        <v>2.8232751415155968</v>
      </c>
      <c r="S84" s="102">
        <f>TrAvia_emi!S$12</f>
        <v>2.8020452241825282</v>
      </c>
      <c r="T84" s="102">
        <f>TrAvia_emi!T$12</f>
        <v>3.1551230127519636</v>
      </c>
      <c r="U84" s="102">
        <f>TrAvia_emi!U$12</f>
        <v>2.2604402087323541</v>
      </c>
      <c r="V84" s="102">
        <f>TrAvia_emi!V$12</f>
        <v>2.6600637547060284</v>
      </c>
      <c r="W84" s="102">
        <f>TrAvia_emi!W$12</f>
        <v>2.7371948850616801</v>
      </c>
      <c r="X84" s="102">
        <f>TrAvia_emi!X$12</f>
        <v>2.6240536393633072</v>
      </c>
      <c r="Y84" s="102">
        <f>TrAvia_emi!Y$12</f>
        <v>2.5637450216263966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0.45468731862692396</v>
      </c>
      <c r="C85" s="102">
        <f>TrAvia_emi!C$13</f>
        <v>0.3527227180584307</v>
      </c>
      <c r="D85" s="102">
        <f>TrAvia_emi!D$13</f>
        <v>0.37505305160225083</v>
      </c>
      <c r="E85" s="102">
        <f>TrAvia_emi!E$13</f>
        <v>0.37115783362816046</v>
      </c>
      <c r="F85" s="102">
        <f>TrAvia_emi!F$13</f>
        <v>0.56940937558918836</v>
      </c>
      <c r="G85" s="102">
        <f>TrAvia_emi!G$13</f>
        <v>0.75016513977216492</v>
      </c>
      <c r="H85" s="102">
        <f>TrAvia_emi!H$13</f>
        <v>0.94249863472854756</v>
      </c>
      <c r="I85" s="102">
        <f>TrAvia_emi!I$13</f>
        <v>1.2893451197208985</v>
      </c>
      <c r="J85" s="102">
        <f>TrAvia_emi!J$13</f>
        <v>1.9945249944009944</v>
      </c>
      <c r="K85" s="102">
        <f>TrAvia_emi!K$13</f>
        <v>2.739334937985991</v>
      </c>
      <c r="L85" s="102">
        <f>TrAvia_emi!L$13</f>
        <v>1.5537858627526031</v>
      </c>
      <c r="M85" s="102">
        <f>TrAvia_emi!M$13</f>
        <v>1.084284939726313</v>
      </c>
      <c r="N85" s="102">
        <f>TrAvia_emi!N$13</f>
        <v>1.25738272837232</v>
      </c>
      <c r="O85" s="102">
        <f>TrAvia_emi!O$13</f>
        <v>0.88547424911744232</v>
      </c>
      <c r="P85" s="102">
        <f>TrAvia_emi!P$13</f>
        <v>0.45431117538145765</v>
      </c>
      <c r="Q85" s="102">
        <f>TrAvia_emi!Q$13</f>
        <v>0.33036009064766247</v>
      </c>
      <c r="R85" s="102">
        <f>TrAvia_emi!R$13</f>
        <v>0.40319155329316042</v>
      </c>
      <c r="S85" s="102">
        <f>TrAvia_emi!S$13</f>
        <v>0.32481432500534324</v>
      </c>
      <c r="T85" s="102">
        <f>TrAvia_emi!T$13</f>
        <v>0.23731326746939685</v>
      </c>
      <c r="U85" s="102">
        <f>TrAvia_emi!U$13</f>
        <v>0.10248070891734538</v>
      </c>
      <c r="V85" s="102">
        <f>TrAvia_emi!V$13</f>
        <v>0.99156401089275426</v>
      </c>
      <c r="W85" s="102">
        <f>TrAvia_emi!W$13</f>
        <v>0.51753157303415065</v>
      </c>
      <c r="X85" s="102">
        <f>TrAvia_emi!X$13</f>
        <v>1.3575292595304174</v>
      </c>
      <c r="Y85" s="102">
        <f>TrAvia_emi!Y$13</f>
        <v>1.4953058968698896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25.219347840000001</v>
      </c>
      <c r="H86" s="110">
        <f t="shared" si="69"/>
        <v>28.405796039999998</v>
      </c>
      <c r="I86" s="110">
        <f t="shared" si="69"/>
        <v>31.591977480000004</v>
      </c>
      <c r="J86" s="110">
        <f t="shared" si="69"/>
        <v>31.501765080000002</v>
      </c>
      <c r="K86" s="110">
        <f t="shared" si="69"/>
        <v>28.586487599999998</v>
      </c>
      <c r="L86" s="110">
        <f t="shared" si="69"/>
        <v>53.896047840000016</v>
      </c>
      <c r="M86" s="110">
        <f t="shared" si="69"/>
        <v>50.890557959999995</v>
      </c>
      <c r="N86" s="110">
        <f t="shared" si="69"/>
        <v>44.427449159999988</v>
      </c>
      <c r="O86" s="110">
        <f t="shared" si="69"/>
        <v>35.049329639999996</v>
      </c>
      <c r="P86" s="110">
        <f t="shared" si="69"/>
        <v>35.049329639999996</v>
      </c>
      <c r="Q86" s="110">
        <f t="shared" si="69"/>
        <v>38.235511079999988</v>
      </c>
      <c r="R86" s="110">
        <f t="shared" ref="R86:V86" si="70">R87+R88</f>
        <v>35.049329639999996</v>
      </c>
      <c r="S86" s="110">
        <f t="shared" si="70"/>
        <v>41.256532440000001</v>
      </c>
      <c r="T86" s="110">
        <f t="shared" si="70"/>
        <v>33.409242720000009</v>
      </c>
      <c r="U86" s="110">
        <f t="shared" si="70"/>
        <v>46.138547160000002</v>
      </c>
      <c r="V86" s="110">
        <f t="shared" si="70"/>
        <v>55.812916079999994</v>
      </c>
      <c r="W86" s="110">
        <f t="shared" ref="W86:Y86" si="71">W87+W88</f>
        <v>67.134630600000008</v>
      </c>
      <c r="X86" s="110">
        <f t="shared" si="71"/>
        <v>59.082816960000002</v>
      </c>
      <c r="Y86" s="110">
        <f t="shared" si="71"/>
        <v>79.128039240000007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25.219347840000001</v>
      </c>
      <c r="H87" s="102">
        <f>TrNavi_emi!H$4</f>
        <v>28.405796039999998</v>
      </c>
      <c r="I87" s="102">
        <f>TrNavi_emi!I$4</f>
        <v>31.591977480000004</v>
      </c>
      <c r="J87" s="102">
        <f>TrNavi_emi!J$4</f>
        <v>31.501765080000002</v>
      </c>
      <c r="K87" s="102">
        <f>TrNavi_emi!K$4</f>
        <v>28.586487599999998</v>
      </c>
      <c r="L87" s="102">
        <f>TrNavi_emi!L$4</f>
        <v>53.896047840000016</v>
      </c>
      <c r="M87" s="102">
        <f>TrNavi_emi!M$4</f>
        <v>50.890557959999995</v>
      </c>
      <c r="N87" s="102">
        <f>TrNavi_emi!N$4</f>
        <v>44.427449159999988</v>
      </c>
      <c r="O87" s="102">
        <f>TrNavi_emi!O$4</f>
        <v>35.049329639999996</v>
      </c>
      <c r="P87" s="102">
        <f>TrNavi_emi!P$4</f>
        <v>35.049329639999996</v>
      </c>
      <c r="Q87" s="102">
        <f>TrNavi_emi!Q$4</f>
        <v>38.235511079999988</v>
      </c>
      <c r="R87" s="102">
        <f>TrNavi_emi!R$4</f>
        <v>35.049329639999996</v>
      </c>
      <c r="S87" s="102">
        <f>TrNavi_emi!S$4</f>
        <v>41.256532440000001</v>
      </c>
      <c r="T87" s="102">
        <f>TrNavi_emi!T$4</f>
        <v>33.409242720000009</v>
      </c>
      <c r="U87" s="102">
        <f>TrNavi_emi!U$4</f>
        <v>46.138547160000002</v>
      </c>
      <c r="V87" s="102">
        <f>TrNavi_emi!V$4</f>
        <v>55.812916079999994</v>
      </c>
      <c r="W87" s="102">
        <f>TrNavi_emi!W$4</f>
        <v>67.134630600000008</v>
      </c>
      <c r="X87" s="102">
        <f>TrNavi_emi!X$4</f>
        <v>59.082816960000002</v>
      </c>
      <c r="Y87" s="102">
        <f>TrNavi_emi!Y$4</f>
        <v>79.128039240000007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X88" s="169">
        <f>TrNavi_emi!X$5</f>
        <v>0</v>
      </c>
      <c r="Y88" s="169">
        <f>TrNavi_emi!Y$5</f>
        <v>0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2115.16649676</v>
      </c>
      <c r="C89" s="28">
        <f t="shared" si="72"/>
        <v>2333.22308892</v>
      </c>
      <c r="D89" s="28">
        <f t="shared" si="72"/>
        <v>2387.9836508400003</v>
      </c>
      <c r="E89" s="28">
        <f t="shared" si="72"/>
        <v>2947.8873909600006</v>
      </c>
      <c r="F89" s="28">
        <f t="shared" si="72"/>
        <v>3153.2759071199998</v>
      </c>
      <c r="G89" s="28">
        <f t="shared" si="72"/>
        <v>2112.6331817999999</v>
      </c>
      <c r="H89" s="28">
        <f t="shared" si="72"/>
        <v>2412.8289039600004</v>
      </c>
      <c r="I89" s="28">
        <f t="shared" si="72"/>
        <v>2703.5818761600008</v>
      </c>
      <c r="J89" s="28">
        <f t="shared" si="72"/>
        <v>2924.4556504800003</v>
      </c>
      <c r="K89" s="28">
        <f t="shared" si="72"/>
        <v>3620.3204664</v>
      </c>
      <c r="L89" s="28">
        <f t="shared" si="72"/>
        <v>4660.8343801200008</v>
      </c>
      <c r="M89" s="28">
        <f t="shared" si="72"/>
        <v>4292.5267818000011</v>
      </c>
      <c r="N89" s="28">
        <f t="shared" si="72"/>
        <v>3809.46011688</v>
      </c>
      <c r="O89" s="28">
        <f t="shared" si="72"/>
        <v>3822.0892491600021</v>
      </c>
      <c r="P89" s="28">
        <f t="shared" si="72"/>
        <v>3938.4396007199994</v>
      </c>
      <c r="Q89" s="28">
        <f t="shared" si="72"/>
        <v>4942.9317322799998</v>
      </c>
      <c r="R89" s="28">
        <f t="shared" si="72"/>
        <v>5639.8023575999987</v>
      </c>
      <c r="S89" s="28">
        <f t="shared" si="72"/>
        <v>6871.0672062000012</v>
      </c>
      <c r="T89" s="28">
        <f t="shared" si="72"/>
        <v>7101.3779665199982</v>
      </c>
      <c r="U89" s="28">
        <f t="shared" si="72"/>
        <v>7277.7442172400015</v>
      </c>
      <c r="V89" s="28">
        <f t="shared" si="72"/>
        <v>7027.2414302400011</v>
      </c>
      <c r="W89" s="28">
        <f t="shared" si="72"/>
        <v>6230.7827024399994</v>
      </c>
      <c r="X89" s="28">
        <f t="shared" ref="X89:Y89" si="73">X90+X91</f>
        <v>6826.1576526000008</v>
      </c>
      <c r="Y89" s="28">
        <f t="shared" si="73"/>
        <v>7230.1949837999982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1222.3145701814301</v>
      </c>
      <c r="C90" s="102">
        <f>MBunk_emi!C$4</f>
        <v>1350.1643265298733</v>
      </c>
      <c r="D90" s="102">
        <f>MBunk_emi!D$4</f>
        <v>1375.3467110036515</v>
      </c>
      <c r="E90" s="102">
        <f>MBunk_emi!E$4</f>
        <v>1699.4321990400024</v>
      </c>
      <c r="F90" s="102">
        <f>MBunk_emi!F$4</f>
        <v>1555.9726920928526</v>
      </c>
      <c r="G90" s="102">
        <f>MBunk_emi!G$4</f>
        <v>1223.4715840877079</v>
      </c>
      <c r="H90" s="102">
        <f>MBunk_emi!H$4</f>
        <v>1258.391200237807</v>
      </c>
      <c r="I90" s="102">
        <f>MBunk_emi!I$4</f>
        <v>1284.6534111542867</v>
      </c>
      <c r="J90" s="102">
        <f>MBunk_emi!J$4</f>
        <v>1749.1159244418193</v>
      </c>
      <c r="K90" s="102">
        <f>MBunk_emi!K$4</f>
        <v>2137.0781330442792</v>
      </c>
      <c r="L90" s="102">
        <f>MBunk_emi!L$4</f>
        <v>2753.3606388150447</v>
      </c>
      <c r="M90" s="102">
        <f>MBunk_emi!M$4</f>
        <v>2474.1266776877123</v>
      </c>
      <c r="N90" s="102">
        <f>MBunk_emi!N$4</f>
        <v>2428.1006762643397</v>
      </c>
      <c r="O90" s="102">
        <f>MBunk_emi!O$4</f>
        <v>2443.4180878268485</v>
      </c>
      <c r="P90" s="102">
        <f>MBunk_emi!P$4</f>
        <v>2314.8418879614906</v>
      </c>
      <c r="Q90" s="102">
        <f>MBunk_emi!Q$4</f>
        <v>3198.6325335759079</v>
      </c>
      <c r="R90" s="102">
        <f>MBunk_emi!R$4</f>
        <v>3405.7494086160314</v>
      </c>
      <c r="S90" s="102">
        <f>MBunk_emi!S$4</f>
        <v>4055.5587125134093</v>
      </c>
      <c r="T90" s="102">
        <f>MBunk_emi!T$4</f>
        <v>4368.0467125658388</v>
      </c>
      <c r="U90" s="102">
        <f>MBunk_emi!U$4</f>
        <v>4016.6278976170888</v>
      </c>
      <c r="V90" s="102">
        <f>MBunk_emi!V$4</f>
        <v>4381.6678282948887</v>
      </c>
      <c r="W90" s="102">
        <f>MBunk_emi!W$4</f>
        <v>3715.2880682170453</v>
      </c>
      <c r="X90" s="102">
        <f>MBunk_emi!X$4</f>
        <v>4172.9558874486565</v>
      </c>
      <c r="Y90" s="102">
        <f>MBunk_emi!Y$4</f>
        <v>4484.4357585273792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892.85192657856987</v>
      </c>
      <c r="C91" s="86">
        <f>MBunk_emi!C$5</f>
        <v>983.05876239012673</v>
      </c>
      <c r="D91" s="86">
        <f>MBunk_emi!D$5</f>
        <v>1012.6369398363486</v>
      </c>
      <c r="E91" s="86">
        <f>MBunk_emi!E$5</f>
        <v>1248.455191919998</v>
      </c>
      <c r="F91" s="86">
        <f>MBunk_emi!F$5</f>
        <v>1597.3032150271474</v>
      </c>
      <c r="G91" s="86">
        <f>MBunk_emi!G$5</f>
        <v>889.16159771229184</v>
      </c>
      <c r="H91" s="86">
        <f>MBunk_emi!H$5</f>
        <v>1154.4377037221934</v>
      </c>
      <c r="I91" s="86">
        <f>MBunk_emi!I$5</f>
        <v>1418.9284650057141</v>
      </c>
      <c r="J91" s="86">
        <f>MBunk_emi!J$5</f>
        <v>1175.339726038181</v>
      </c>
      <c r="K91" s="86">
        <f>MBunk_emi!K$5</f>
        <v>1483.2423333557208</v>
      </c>
      <c r="L91" s="86">
        <f>MBunk_emi!L$5</f>
        <v>1907.4737413049563</v>
      </c>
      <c r="M91" s="86">
        <f>MBunk_emi!M$5</f>
        <v>1818.4001041122883</v>
      </c>
      <c r="N91" s="86">
        <f>MBunk_emi!N$5</f>
        <v>1381.3594406156603</v>
      </c>
      <c r="O91" s="86">
        <f>MBunk_emi!O$5</f>
        <v>1378.6711613331536</v>
      </c>
      <c r="P91" s="86">
        <f>MBunk_emi!P$5</f>
        <v>1623.5977127585088</v>
      </c>
      <c r="Q91" s="86">
        <f>MBunk_emi!Q$5</f>
        <v>1744.2991987040921</v>
      </c>
      <c r="R91" s="86">
        <f>MBunk_emi!R$5</f>
        <v>2234.0529489839673</v>
      </c>
      <c r="S91" s="86">
        <f>MBunk_emi!S$5</f>
        <v>2815.5084936865915</v>
      </c>
      <c r="T91" s="86">
        <f>MBunk_emi!T$5</f>
        <v>2733.3312539541598</v>
      </c>
      <c r="U91" s="86">
        <f>MBunk_emi!U$5</f>
        <v>3261.1163196229127</v>
      </c>
      <c r="V91" s="86">
        <f>MBunk_emi!V$5</f>
        <v>2645.5736019451119</v>
      </c>
      <c r="W91" s="86">
        <f>MBunk_emi!W$5</f>
        <v>2515.4946342229537</v>
      </c>
      <c r="X91" s="86">
        <f>MBunk_emi!X$5</f>
        <v>2653.2017651513438</v>
      </c>
      <c r="Y91" s="86">
        <f>MBunk_emi!Y$5</f>
        <v>2745.7592252726195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0.43940648975582053</v>
      </c>
      <c r="C97" s="139">
        <f t="shared" si="75"/>
        <v>0.45796232045292157</v>
      </c>
      <c r="D97" s="139">
        <f t="shared" si="75"/>
        <v>0.48981111241439407</v>
      </c>
      <c r="E97" s="139">
        <f t="shared" si="75"/>
        <v>0.50066370673628591</v>
      </c>
      <c r="F97" s="139">
        <f t="shared" si="75"/>
        <v>0.49804007631960967</v>
      </c>
      <c r="G97" s="139">
        <f t="shared" si="75"/>
        <v>0.50018413467658684</v>
      </c>
      <c r="H97" s="139">
        <f t="shared" si="75"/>
        <v>0.51941886211178767</v>
      </c>
      <c r="I97" s="139">
        <f t="shared" si="75"/>
        <v>0.50635093914361617</v>
      </c>
      <c r="J97" s="139">
        <f t="shared" si="75"/>
        <v>0.50329784845315007</v>
      </c>
      <c r="K97" s="139">
        <f t="shared" si="75"/>
        <v>0.52537745447534345</v>
      </c>
      <c r="L97" s="139">
        <f t="shared" si="75"/>
        <v>0.49926311372693755</v>
      </c>
      <c r="M97" s="139">
        <f t="shared" si="75"/>
        <v>0.47415863127768565</v>
      </c>
      <c r="N97" s="139">
        <f t="shared" si="75"/>
        <v>0.46949760182980887</v>
      </c>
      <c r="O97" s="139">
        <f t="shared" si="75"/>
        <v>0.44927986952451149</v>
      </c>
      <c r="P97" s="139">
        <f t="shared" si="75"/>
        <v>0.45328788286994465</v>
      </c>
      <c r="Q97" s="139">
        <f t="shared" si="75"/>
        <v>0.45120358109820424</v>
      </c>
      <c r="R97" s="139">
        <f t="shared" si="75"/>
        <v>0.42936354766681945</v>
      </c>
      <c r="S97" s="139">
        <f t="shared" si="75"/>
        <v>0.3981020355092747</v>
      </c>
      <c r="T97" s="139">
        <f t="shared" si="75"/>
        <v>0.3724582477313676</v>
      </c>
      <c r="U97" s="139">
        <f t="shared" si="75"/>
        <v>0.35776348588926221</v>
      </c>
      <c r="V97" s="139">
        <f t="shared" si="75"/>
        <v>0.64997888961953931</v>
      </c>
      <c r="W97" s="139">
        <f t="shared" si="75"/>
        <v>0.59359295961169756</v>
      </c>
      <c r="X97" s="139">
        <f t="shared" si="75"/>
        <v>0.42007227738939706</v>
      </c>
      <c r="Y97" s="139">
        <f t="shared" si="75"/>
        <v>0.37192962792711909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6.1151964913465752E-3</v>
      </c>
      <c r="C98" s="140">
        <f t="shared" si="76"/>
        <v>6.5614828188329689E-3</v>
      </c>
      <c r="D98" s="140">
        <f t="shared" si="76"/>
        <v>7.0979221936802008E-3</v>
      </c>
      <c r="E98" s="140">
        <f t="shared" si="76"/>
        <v>7.258135305191725E-3</v>
      </c>
      <c r="F98" s="140">
        <f t="shared" si="76"/>
        <v>6.5964505143028826E-3</v>
      </c>
      <c r="G98" s="140">
        <f t="shared" si="76"/>
        <v>6.1168108149947317E-3</v>
      </c>
      <c r="H98" s="140">
        <f t="shared" si="76"/>
        <v>6.3558348974191515E-3</v>
      </c>
      <c r="I98" s="140">
        <f t="shared" si="76"/>
        <v>6.3229415060592452E-3</v>
      </c>
      <c r="J98" s="140">
        <f t="shared" si="76"/>
        <v>6.9299957138854893E-3</v>
      </c>
      <c r="K98" s="140">
        <f t="shared" si="76"/>
        <v>7.1550673067177651E-3</v>
      </c>
      <c r="L98" s="140">
        <f t="shared" si="76"/>
        <v>6.9059660574813169E-3</v>
      </c>
      <c r="M98" s="140">
        <f t="shared" si="76"/>
        <v>6.9110973479071412E-3</v>
      </c>
      <c r="N98" s="140">
        <f t="shared" si="76"/>
        <v>6.8812178925918349E-3</v>
      </c>
      <c r="O98" s="140">
        <f t="shared" si="76"/>
        <v>6.9191228723326304E-3</v>
      </c>
      <c r="P98" s="140">
        <f t="shared" si="76"/>
        <v>7.2313716250533323E-3</v>
      </c>
      <c r="Q98" s="140">
        <f t="shared" si="76"/>
        <v>7.1377383521029104E-3</v>
      </c>
      <c r="R98" s="140">
        <f t="shared" si="76"/>
        <v>7.1645745203245091E-3</v>
      </c>
      <c r="S98" s="140">
        <f t="shared" si="76"/>
        <v>6.275781911309967E-3</v>
      </c>
      <c r="T98" s="140">
        <f t="shared" si="76"/>
        <v>5.5444077392006593E-3</v>
      </c>
      <c r="U98" s="140">
        <f t="shared" si="76"/>
        <v>5.5572862141752737E-3</v>
      </c>
      <c r="V98" s="140">
        <f t="shared" si="76"/>
        <v>1.0986100090822412E-2</v>
      </c>
      <c r="W98" s="140">
        <f t="shared" si="76"/>
        <v>9.9269973753992324E-3</v>
      </c>
      <c r="X98" s="140">
        <f t="shared" si="76"/>
        <v>6.7283610882494524E-3</v>
      </c>
      <c r="Y98" s="140">
        <f t="shared" si="76"/>
        <v>6.1764429634776673E-3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0.34509926012214737</v>
      </c>
      <c r="C99" s="140">
        <f t="shared" si="77"/>
        <v>0.35793899019443148</v>
      </c>
      <c r="D99" s="140">
        <f t="shared" si="77"/>
        <v>0.38327012957438655</v>
      </c>
      <c r="E99" s="140">
        <f t="shared" si="77"/>
        <v>0.39224710699543058</v>
      </c>
      <c r="F99" s="140">
        <f t="shared" si="77"/>
        <v>0.39114900829401972</v>
      </c>
      <c r="G99" s="140">
        <f t="shared" si="77"/>
        <v>0.39684122398521454</v>
      </c>
      <c r="H99" s="140">
        <f t="shared" si="77"/>
        <v>0.41246243364292368</v>
      </c>
      <c r="I99" s="140">
        <f t="shared" si="77"/>
        <v>0.40309358734697487</v>
      </c>
      <c r="J99" s="140">
        <f t="shared" si="77"/>
        <v>0.40119958022158603</v>
      </c>
      <c r="K99" s="140">
        <f t="shared" si="77"/>
        <v>0.42463186873348652</v>
      </c>
      <c r="L99" s="140">
        <f t="shared" si="77"/>
        <v>0.40117989810103843</v>
      </c>
      <c r="M99" s="140">
        <f t="shared" si="77"/>
        <v>0.38509341717948414</v>
      </c>
      <c r="N99" s="140">
        <f t="shared" si="77"/>
        <v>0.38148922112446115</v>
      </c>
      <c r="O99" s="140">
        <f t="shared" si="77"/>
        <v>0.36726786904031183</v>
      </c>
      <c r="P99" s="140">
        <f t="shared" si="77"/>
        <v>0.37058084258900925</v>
      </c>
      <c r="Q99" s="140">
        <f t="shared" si="77"/>
        <v>0.36530660054936037</v>
      </c>
      <c r="R99" s="140">
        <f t="shared" si="77"/>
        <v>0.34877582526758494</v>
      </c>
      <c r="S99" s="140">
        <f t="shared" si="77"/>
        <v>0.32318374845163883</v>
      </c>
      <c r="T99" s="140">
        <f t="shared" si="77"/>
        <v>0.30258360955147751</v>
      </c>
      <c r="U99" s="140">
        <f t="shared" si="77"/>
        <v>0.28826743322614384</v>
      </c>
      <c r="V99" s="140">
        <f t="shared" si="77"/>
        <v>0.54990617174495715</v>
      </c>
      <c r="W99" s="140">
        <f t="shared" si="77"/>
        <v>0.50144613190115261</v>
      </c>
      <c r="X99" s="140">
        <f t="shared" si="77"/>
        <v>0.34259451966872095</v>
      </c>
      <c r="Y99" s="140">
        <f t="shared" si="77"/>
        <v>0.30009501528830362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8.8192033142326556E-2</v>
      </c>
      <c r="C100" s="140">
        <f t="shared" si="78"/>
        <v>9.3461847439657103E-2</v>
      </c>
      <c r="D100" s="140">
        <f t="shared" si="78"/>
        <v>9.9443060646327325E-2</v>
      </c>
      <c r="E100" s="140">
        <f t="shared" si="78"/>
        <v>0.10115846443566366</v>
      </c>
      <c r="F100" s="140">
        <f t="shared" si="78"/>
        <v>0.1002946175112871</v>
      </c>
      <c r="G100" s="140">
        <f t="shared" si="78"/>
        <v>9.7226099876377578E-2</v>
      </c>
      <c r="H100" s="140">
        <f t="shared" si="78"/>
        <v>0.10060059357144482</v>
      </c>
      <c r="I100" s="140">
        <f t="shared" si="78"/>
        <v>9.6934410290582043E-2</v>
      </c>
      <c r="J100" s="140">
        <f t="shared" si="78"/>
        <v>9.5168272517678565E-2</v>
      </c>
      <c r="K100" s="140">
        <f t="shared" si="78"/>
        <v>9.3590518435139214E-2</v>
      </c>
      <c r="L100" s="140">
        <f t="shared" si="78"/>
        <v>9.1177249568417801E-2</v>
      </c>
      <c r="M100" s="140">
        <f t="shared" si="78"/>
        <v>8.2154116750294395E-2</v>
      </c>
      <c r="N100" s="140">
        <f t="shared" si="78"/>
        <v>8.1127162812755893E-2</v>
      </c>
      <c r="O100" s="140">
        <f t="shared" si="78"/>
        <v>7.5092877611867073E-2</v>
      </c>
      <c r="P100" s="140">
        <f t="shared" si="78"/>
        <v>7.5475668655882025E-2</v>
      </c>
      <c r="Q100" s="140">
        <f t="shared" si="78"/>
        <v>7.8759242196741033E-2</v>
      </c>
      <c r="R100" s="140">
        <f t="shared" si="78"/>
        <v>7.3423147878910008E-2</v>
      </c>
      <c r="S100" s="140">
        <f t="shared" si="78"/>
        <v>6.8642505146325875E-2</v>
      </c>
      <c r="T100" s="140">
        <f t="shared" si="78"/>
        <v>6.4330230440689445E-2</v>
      </c>
      <c r="U100" s="140">
        <f t="shared" si="78"/>
        <v>6.3938766448943127E-2</v>
      </c>
      <c r="V100" s="140">
        <f t="shared" si="78"/>
        <v>8.9086617783759703E-2</v>
      </c>
      <c r="W100" s="140">
        <f t="shared" si="78"/>
        <v>8.2219830335145669E-2</v>
      </c>
      <c r="X100" s="140">
        <f t="shared" si="78"/>
        <v>7.0749396632426687E-2</v>
      </c>
      <c r="Y100" s="140">
        <f t="shared" si="78"/>
        <v>6.5658169675337816E-2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0</v>
      </c>
      <c r="C101" s="124">
        <f t="shared" si="79"/>
        <v>0</v>
      </c>
      <c r="D101" s="124">
        <f t="shared" si="79"/>
        <v>0</v>
      </c>
      <c r="E101" s="124">
        <f t="shared" si="79"/>
        <v>0</v>
      </c>
      <c r="F101" s="124">
        <f t="shared" si="79"/>
        <v>0</v>
      </c>
      <c r="G101" s="124">
        <f t="shared" si="79"/>
        <v>0</v>
      </c>
      <c r="H101" s="124">
        <f t="shared" si="79"/>
        <v>0</v>
      </c>
      <c r="I101" s="124">
        <f t="shared" si="79"/>
        <v>0</v>
      </c>
      <c r="J101" s="124">
        <f t="shared" si="79"/>
        <v>0</v>
      </c>
      <c r="K101" s="124">
        <f t="shared" si="79"/>
        <v>0</v>
      </c>
      <c r="L101" s="124">
        <f t="shared" si="79"/>
        <v>0</v>
      </c>
      <c r="M101" s="124">
        <f t="shared" si="79"/>
        <v>0</v>
      </c>
      <c r="N101" s="124">
        <f t="shared" si="79"/>
        <v>0</v>
      </c>
      <c r="O101" s="124">
        <f t="shared" si="79"/>
        <v>0</v>
      </c>
      <c r="P101" s="124">
        <f t="shared" si="79"/>
        <v>0</v>
      </c>
      <c r="Q101" s="124">
        <f t="shared" si="79"/>
        <v>0</v>
      </c>
      <c r="R101" s="124">
        <f t="shared" si="79"/>
        <v>0</v>
      </c>
      <c r="S101" s="124">
        <f t="shared" si="79"/>
        <v>0</v>
      </c>
      <c r="T101" s="124">
        <f t="shared" si="79"/>
        <v>0</v>
      </c>
      <c r="U101" s="124">
        <f t="shared" si="79"/>
        <v>0</v>
      </c>
      <c r="V101" s="124">
        <f t="shared" si="79"/>
        <v>0</v>
      </c>
      <c r="W101" s="124">
        <f t="shared" si="79"/>
        <v>0</v>
      </c>
      <c r="X101" s="124">
        <f t="shared" si="79"/>
        <v>0</v>
      </c>
      <c r="Y101" s="124">
        <f t="shared" si="79"/>
        <v>0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0</v>
      </c>
      <c r="C102" s="140">
        <f t="shared" si="80"/>
        <v>0</v>
      </c>
      <c r="D102" s="140">
        <f t="shared" si="80"/>
        <v>0</v>
      </c>
      <c r="E102" s="140">
        <f t="shared" si="80"/>
        <v>0</v>
      </c>
      <c r="F102" s="140">
        <f t="shared" si="80"/>
        <v>0</v>
      </c>
      <c r="G102" s="140">
        <f t="shared" si="80"/>
        <v>0</v>
      </c>
      <c r="H102" s="140">
        <f t="shared" si="80"/>
        <v>0</v>
      </c>
      <c r="I102" s="140">
        <f t="shared" si="80"/>
        <v>0</v>
      </c>
      <c r="J102" s="140">
        <f t="shared" si="80"/>
        <v>0</v>
      </c>
      <c r="K102" s="140">
        <f t="shared" si="80"/>
        <v>0</v>
      </c>
      <c r="L102" s="140">
        <f t="shared" si="80"/>
        <v>0</v>
      </c>
      <c r="M102" s="140">
        <f t="shared" si="80"/>
        <v>0</v>
      </c>
      <c r="N102" s="140">
        <f t="shared" si="80"/>
        <v>0</v>
      </c>
      <c r="O102" s="140">
        <f t="shared" si="80"/>
        <v>0</v>
      </c>
      <c r="P102" s="140">
        <f t="shared" si="80"/>
        <v>0</v>
      </c>
      <c r="Q102" s="140">
        <f t="shared" si="80"/>
        <v>0</v>
      </c>
      <c r="R102" s="140">
        <f t="shared" si="80"/>
        <v>0</v>
      </c>
      <c r="S102" s="140">
        <f t="shared" si="80"/>
        <v>0</v>
      </c>
      <c r="T102" s="140">
        <f t="shared" si="80"/>
        <v>0</v>
      </c>
      <c r="U102" s="140">
        <f t="shared" si="80"/>
        <v>0</v>
      </c>
      <c r="V102" s="140">
        <f t="shared" si="80"/>
        <v>0</v>
      </c>
      <c r="W102" s="140">
        <f t="shared" si="80"/>
        <v>0</v>
      </c>
      <c r="X102" s="140">
        <f t="shared" si="80"/>
        <v>0</v>
      </c>
      <c r="Y102" s="140">
        <f t="shared" si="80"/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0</v>
      </c>
      <c r="C103" s="140">
        <f t="shared" si="81"/>
        <v>0</v>
      </c>
      <c r="D103" s="140">
        <f t="shared" si="81"/>
        <v>0</v>
      </c>
      <c r="E103" s="140">
        <f t="shared" si="81"/>
        <v>0</v>
      </c>
      <c r="F103" s="140">
        <f t="shared" si="81"/>
        <v>0</v>
      </c>
      <c r="G103" s="140">
        <f t="shared" si="81"/>
        <v>0</v>
      </c>
      <c r="H103" s="140">
        <f t="shared" si="81"/>
        <v>0</v>
      </c>
      <c r="I103" s="140">
        <f t="shared" si="81"/>
        <v>0</v>
      </c>
      <c r="J103" s="140">
        <f t="shared" si="81"/>
        <v>0</v>
      </c>
      <c r="K103" s="140">
        <f t="shared" si="81"/>
        <v>0</v>
      </c>
      <c r="L103" s="140">
        <f t="shared" si="81"/>
        <v>0</v>
      </c>
      <c r="M103" s="140">
        <f t="shared" si="81"/>
        <v>0</v>
      </c>
      <c r="N103" s="140">
        <f t="shared" si="81"/>
        <v>0</v>
      </c>
      <c r="O103" s="140">
        <f t="shared" si="81"/>
        <v>0</v>
      </c>
      <c r="P103" s="140">
        <f t="shared" si="81"/>
        <v>0</v>
      </c>
      <c r="Q103" s="140">
        <f t="shared" si="81"/>
        <v>0</v>
      </c>
      <c r="R103" s="140">
        <f t="shared" si="81"/>
        <v>0</v>
      </c>
      <c r="S103" s="140">
        <f t="shared" si="81"/>
        <v>0</v>
      </c>
      <c r="T103" s="140">
        <f t="shared" si="81"/>
        <v>0</v>
      </c>
      <c r="U103" s="140">
        <f t="shared" si="81"/>
        <v>0</v>
      </c>
      <c r="V103" s="140">
        <f t="shared" si="81"/>
        <v>0</v>
      </c>
      <c r="W103" s="140">
        <f t="shared" si="81"/>
        <v>0</v>
      </c>
      <c r="X103" s="140">
        <f t="shared" si="81"/>
        <v>0</v>
      </c>
      <c r="Y103" s="140">
        <f t="shared" si="81"/>
        <v>0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0.56059351024417958</v>
      </c>
      <c r="C105" s="124">
        <f t="shared" si="83"/>
        <v>0.54203767954707838</v>
      </c>
      <c r="D105" s="124">
        <f t="shared" si="83"/>
        <v>0.51018888758560588</v>
      </c>
      <c r="E105" s="124">
        <f t="shared" si="83"/>
        <v>0.49933629326371404</v>
      </c>
      <c r="F105" s="124">
        <f t="shared" si="83"/>
        <v>0.50195992368039044</v>
      </c>
      <c r="G105" s="124">
        <f t="shared" si="83"/>
        <v>0.4998158653234131</v>
      </c>
      <c r="H105" s="124">
        <f t="shared" si="83"/>
        <v>0.48058113788821222</v>
      </c>
      <c r="I105" s="124">
        <f t="shared" si="83"/>
        <v>0.49364906085638377</v>
      </c>
      <c r="J105" s="124">
        <f t="shared" si="83"/>
        <v>0.49670215154684988</v>
      </c>
      <c r="K105" s="124">
        <f t="shared" si="83"/>
        <v>0.47462254552465649</v>
      </c>
      <c r="L105" s="124">
        <f t="shared" si="83"/>
        <v>0.50073688627306245</v>
      </c>
      <c r="M105" s="124">
        <f t="shared" si="83"/>
        <v>0.52584136872231435</v>
      </c>
      <c r="N105" s="124">
        <f t="shared" si="83"/>
        <v>0.53050239817019118</v>
      </c>
      <c r="O105" s="124">
        <f t="shared" si="83"/>
        <v>0.5507201304754884</v>
      </c>
      <c r="P105" s="124">
        <f t="shared" si="83"/>
        <v>0.5467121171300553</v>
      </c>
      <c r="Q105" s="124">
        <f t="shared" si="83"/>
        <v>0.54879641890179576</v>
      </c>
      <c r="R105" s="124">
        <f t="shared" si="83"/>
        <v>0.57063645233318061</v>
      </c>
      <c r="S105" s="124">
        <f t="shared" si="83"/>
        <v>0.6018979644907253</v>
      </c>
      <c r="T105" s="124">
        <f t="shared" si="83"/>
        <v>0.6275417522686324</v>
      </c>
      <c r="U105" s="124">
        <f t="shared" si="83"/>
        <v>0.64223651411073768</v>
      </c>
      <c r="V105" s="124">
        <f t="shared" si="83"/>
        <v>0.35002111038046069</v>
      </c>
      <c r="W105" s="124">
        <f t="shared" si="83"/>
        <v>0.40640704038830244</v>
      </c>
      <c r="X105" s="124">
        <f t="shared" si="83"/>
        <v>0.57992772261060288</v>
      </c>
      <c r="Y105" s="124">
        <f t="shared" si="83"/>
        <v>0.62807037207288086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0.53101834950912907</v>
      </c>
      <c r="C107" s="140">
        <f t="shared" si="85"/>
        <v>0.51318615597786998</v>
      </c>
      <c r="D107" s="140">
        <f t="shared" si="85"/>
        <v>0.48602609484531056</v>
      </c>
      <c r="E107" s="140">
        <f t="shared" si="85"/>
        <v>0.47567904876132472</v>
      </c>
      <c r="F107" s="140">
        <f t="shared" si="85"/>
        <v>0.47923472742250728</v>
      </c>
      <c r="G107" s="140">
        <f t="shared" si="85"/>
        <v>0.47823443617039296</v>
      </c>
      <c r="H107" s="140">
        <f t="shared" si="85"/>
        <v>0.46065172233675378</v>
      </c>
      <c r="I107" s="140">
        <f t="shared" si="85"/>
        <v>0.47577171876219915</v>
      </c>
      <c r="J107" s="140">
        <f t="shared" si="85"/>
        <v>0.47851084713029002</v>
      </c>
      <c r="K107" s="140">
        <f t="shared" si="85"/>
        <v>0.4586501160286966</v>
      </c>
      <c r="L107" s="140">
        <f t="shared" si="85"/>
        <v>0.48114707807653467</v>
      </c>
      <c r="M107" s="140">
        <f t="shared" si="85"/>
        <v>0.49842879332466211</v>
      </c>
      <c r="N107" s="140">
        <f t="shared" si="85"/>
        <v>0.50570427394427364</v>
      </c>
      <c r="O107" s="140">
        <f t="shared" si="85"/>
        <v>0.51398634961167666</v>
      </c>
      <c r="P107" s="140">
        <f t="shared" si="85"/>
        <v>0.51988074331508316</v>
      </c>
      <c r="Q107" s="140">
        <f t="shared" si="85"/>
        <v>0.52649921482706075</v>
      </c>
      <c r="R107" s="140">
        <f t="shared" si="85"/>
        <v>0.53312915369969771</v>
      </c>
      <c r="S107" s="140">
        <f t="shared" si="85"/>
        <v>0.5760059131445987</v>
      </c>
      <c r="T107" s="140">
        <f t="shared" si="85"/>
        <v>0.59561139497791915</v>
      </c>
      <c r="U107" s="140">
        <f t="shared" si="85"/>
        <v>0.58862239357819801</v>
      </c>
      <c r="V107" s="140">
        <f t="shared" si="85"/>
        <v>0.3194713588783108</v>
      </c>
      <c r="W107" s="140">
        <f t="shared" si="85"/>
        <v>0.37823653150895542</v>
      </c>
      <c r="X107" s="140">
        <f t="shared" si="85"/>
        <v>0.54378192534157499</v>
      </c>
      <c r="Y107" s="140">
        <f t="shared" si="85"/>
        <v>0.58771564373519758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2.9575160735050517E-2</v>
      </c>
      <c r="C108" s="140">
        <f t="shared" si="86"/>
        <v>2.8851523569208316E-2</v>
      </c>
      <c r="D108" s="140">
        <f t="shared" si="86"/>
        <v>2.4162792740295282E-2</v>
      </c>
      <c r="E108" s="140">
        <f t="shared" si="86"/>
        <v>2.3657244502389367E-2</v>
      </c>
      <c r="F108" s="140">
        <f t="shared" si="86"/>
        <v>2.2725196257883096E-2</v>
      </c>
      <c r="G108" s="140">
        <f t="shared" si="86"/>
        <v>2.1581429153020144E-2</v>
      </c>
      <c r="H108" s="140">
        <f t="shared" si="86"/>
        <v>1.9929415551458454E-2</v>
      </c>
      <c r="I108" s="140">
        <f t="shared" si="86"/>
        <v>1.7877342094184602E-2</v>
      </c>
      <c r="J108" s="140">
        <f t="shared" si="86"/>
        <v>1.8191304416559893E-2</v>
      </c>
      <c r="K108" s="140">
        <f t="shared" si="86"/>
        <v>1.5972429495959926E-2</v>
      </c>
      <c r="L108" s="140">
        <f t="shared" si="86"/>
        <v>1.9589808196527794E-2</v>
      </c>
      <c r="M108" s="140">
        <f t="shared" si="86"/>
        <v>2.7412575397652298E-2</v>
      </c>
      <c r="N108" s="140">
        <f t="shared" si="86"/>
        <v>2.4798124225917522E-2</v>
      </c>
      <c r="O108" s="140">
        <f t="shared" si="86"/>
        <v>3.6733780863811814E-2</v>
      </c>
      <c r="P108" s="140">
        <f t="shared" si="86"/>
        <v>2.6831373814972186E-2</v>
      </c>
      <c r="Q108" s="140">
        <f t="shared" si="86"/>
        <v>2.2297204074735035E-2</v>
      </c>
      <c r="R108" s="140">
        <f t="shared" si="86"/>
        <v>3.7507298633482872E-2</v>
      </c>
      <c r="S108" s="140">
        <f t="shared" si="86"/>
        <v>2.5892051346126599E-2</v>
      </c>
      <c r="T108" s="140">
        <f t="shared" si="86"/>
        <v>3.1930357290713265E-2</v>
      </c>
      <c r="U108" s="140">
        <f t="shared" si="86"/>
        <v>5.3614120532539708E-2</v>
      </c>
      <c r="V108" s="140">
        <f t="shared" si="86"/>
        <v>3.0549751502149898E-2</v>
      </c>
      <c r="W108" s="140">
        <f t="shared" si="86"/>
        <v>2.8170508879347043E-2</v>
      </c>
      <c r="X108" s="140">
        <f t="shared" si="86"/>
        <v>3.6145797269027898E-2</v>
      </c>
      <c r="Y108" s="140">
        <f t="shared" si="86"/>
        <v>4.0354728337683214E-2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0.98800258154386322</v>
      </c>
      <c r="C110" s="139">
        <f t="shared" si="88"/>
        <v>0.98751388177749289</v>
      </c>
      <c r="D110" s="139">
        <f t="shared" si="88"/>
        <v>0.96707157405855815</v>
      </c>
      <c r="E110" s="139">
        <f t="shared" si="88"/>
        <v>0.97794229356142692</v>
      </c>
      <c r="F110" s="139">
        <f t="shared" si="88"/>
        <v>0.98830445194557848</v>
      </c>
      <c r="G110" s="139">
        <f t="shared" si="88"/>
        <v>0.97231465100183678</v>
      </c>
      <c r="H110" s="139">
        <f t="shared" si="88"/>
        <v>0.96654139804776462</v>
      </c>
      <c r="I110" s="139">
        <f t="shared" si="88"/>
        <v>0.96703857172680807</v>
      </c>
      <c r="J110" s="139">
        <f t="shared" si="88"/>
        <v>0.96616285976632799</v>
      </c>
      <c r="K110" s="139">
        <f t="shared" si="88"/>
        <v>0.96310756255664598</v>
      </c>
      <c r="L110" s="139">
        <f t="shared" si="88"/>
        <v>0.95705193784028297</v>
      </c>
      <c r="M110" s="139">
        <f t="shared" si="88"/>
        <v>0.95780108879766046</v>
      </c>
      <c r="N110" s="139">
        <f t="shared" si="88"/>
        <v>0.94984747222105481</v>
      </c>
      <c r="O110" s="139">
        <f t="shared" si="88"/>
        <v>0.95583874136683566</v>
      </c>
      <c r="P110" s="139">
        <f t="shared" si="88"/>
        <v>0.9609858717572749</v>
      </c>
      <c r="Q110" s="139">
        <f t="shared" si="88"/>
        <v>0.95805649036742058</v>
      </c>
      <c r="R110" s="139">
        <f t="shared" si="88"/>
        <v>0.96559661234047089</v>
      </c>
      <c r="S110" s="139">
        <f t="shared" si="88"/>
        <v>0.96893687874359424</v>
      </c>
      <c r="T110" s="139">
        <f t="shared" si="88"/>
        <v>0.96996531107804829</v>
      </c>
      <c r="U110" s="139">
        <f t="shared" si="88"/>
        <v>0.97310165050790887</v>
      </c>
      <c r="V110" s="139">
        <f t="shared" si="88"/>
        <v>0.9593511025678394</v>
      </c>
      <c r="W110" s="139">
        <f t="shared" si="88"/>
        <v>0.95912965675022244</v>
      </c>
      <c r="X110" s="139">
        <f t="shared" si="88"/>
        <v>0.95550547531495555</v>
      </c>
      <c r="Y110" s="139">
        <f t="shared" si="88"/>
        <v>0.94211655814758333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3.1354352527252966E-2</v>
      </c>
      <c r="C111" s="140">
        <f t="shared" si="89"/>
        <v>3.3583972516778221E-2</v>
      </c>
      <c r="D111" s="140">
        <f t="shared" si="89"/>
        <v>9.8538390569003931E-2</v>
      </c>
      <c r="E111" s="140">
        <f t="shared" si="89"/>
        <v>4.6993387807716794E-2</v>
      </c>
      <c r="F111" s="140">
        <f t="shared" si="89"/>
        <v>2.9572995780061367E-2</v>
      </c>
      <c r="G111" s="140">
        <f t="shared" si="89"/>
        <v>5.6790488595392458E-2</v>
      </c>
      <c r="H111" s="140">
        <f t="shared" si="89"/>
        <v>6.3258000266639886E-2</v>
      </c>
      <c r="I111" s="140">
        <f t="shared" si="89"/>
        <v>5.933370012778133E-2</v>
      </c>
      <c r="J111" s="140">
        <f t="shared" si="89"/>
        <v>5.9606701880488125E-2</v>
      </c>
      <c r="K111" s="140">
        <f t="shared" si="89"/>
        <v>6.1070950267720012E-2</v>
      </c>
      <c r="L111" s="140">
        <f t="shared" si="89"/>
        <v>7.2812886280650552E-2</v>
      </c>
      <c r="M111" s="140">
        <f t="shared" si="89"/>
        <v>7.9651157428164823E-2</v>
      </c>
      <c r="N111" s="140">
        <f t="shared" si="89"/>
        <v>8.5372545991665189E-2</v>
      </c>
      <c r="O111" s="140">
        <f t="shared" si="89"/>
        <v>8.7233359835750382E-2</v>
      </c>
      <c r="P111" s="140">
        <f t="shared" si="89"/>
        <v>9.3830951573749516E-2</v>
      </c>
      <c r="Q111" s="140">
        <f t="shared" si="89"/>
        <v>0.10083117695805929</v>
      </c>
      <c r="R111" s="140">
        <f t="shared" si="89"/>
        <v>9.9156079641450109E-2</v>
      </c>
      <c r="S111" s="140">
        <f t="shared" si="89"/>
        <v>0.10441909842205745</v>
      </c>
      <c r="T111" s="140">
        <f t="shared" si="89"/>
        <v>0.11008562640140547</v>
      </c>
      <c r="U111" s="140">
        <f t="shared" si="89"/>
        <v>0.1118889326730262</v>
      </c>
      <c r="V111" s="140">
        <f t="shared" si="89"/>
        <v>0.10808020157569202</v>
      </c>
      <c r="W111" s="140">
        <f t="shared" si="89"/>
        <v>0.1056360941415514</v>
      </c>
      <c r="X111" s="140">
        <f t="shared" si="89"/>
        <v>0.10304434822587338</v>
      </c>
      <c r="Y111" s="140">
        <f t="shared" si="89"/>
        <v>0.10053840811444049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0.95664822901661017</v>
      </c>
      <c r="C112" s="140">
        <f t="shared" si="90"/>
        <v>0.95392990926071475</v>
      </c>
      <c r="D112" s="140">
        <f t="shared" si="90"/>
        <v>0.86853318348955411</v>
      </c>
      <c r="E112" s="140">
        <f t="shared" si="90"/>
        <v>0.93094890575371014</v>
      </c>
      <c r="F112" s="140">
        <f t="shared" si="90"/>
        <v>0.95873145616551714</v>
      </c>
      <c r="G112" s="140">
        <f t="shared" si="90"/>
        <v>0.9155241624064443</v>
      </c>
      <c r="H112" s="140">
        <f t="shared" si="90"/>
        <v>0.90328339778112476</v>
      </c>
      <c r="I112" s="140">
        <f t="shared" si="90"/>
        <v>0.90770487159902657</v>
      </c>
      <c r="J112" s="140">
        <f t="shared" si="90"/>
        <v>0.90655615788583999</v>
      </c>
      <c r="K112" s="140">
        <f t="shared" si="90"/>
        <v>0.90203661228892584</v>
      </c>
      <c r="L112" s="140">
        <f t="shared" si="90"/>
        <v>0.88423905155963256</v>
      </c>
      <c r="M112" s="140">
        <f t="shared" si="90"/>
        <v>0.87814993136949571</v>
      </c>
      <c r="N112" s="140">
        <f t="shared" si="90"/>
        <v>0.86447492622938971</v>
      </c>
      <c r="O112" s="140">
        <f t="shared" si="90"/>
        <v>0.86860538153108524</v>
      </c>
      <c r="P112" s="140">
        <f t="shared" si="90"/>
        <v>0.86715492018352547</v>
      </c>
      <c r="Q112" s="140">
        <f t="shared" si="90"/>
        <v>0.85722531340936126</v>
      </c>
      <c r="R112" s="140">
        <f t="shared" si="90"/>
        <v>0.86644053269902077</v>
      </c>
      <c r="S112" s="140">
        <f t="shared" si="90"/>
        <v>0.8645177803215367</v>
      </c>
      <c r="T112" s="140">
        <f t="shared" si="90"/>
        <v>0.85987968467664277</v>
      </c>
      <c r="U112" s="140">
        <f t="shared" si="90"/>
        <v>0.86121271783488262</v>
      </c>
      <c r="V112" s="140">
        <f t="shared" si="90"/>
        <v>0.85127090099214742</v>
      </c>
      <c r="W112" s="140">
        <f t="shared" si="90"/>
        <v>0.85349356260867104</v>
      </c>
      <c r="X112" s="140">
        <f t="shared" si="90"/>
        <v>0.85246112708908217</v>
      </c>
      <c r="Y112" s="140">
        <f t="shared" si="90"/>
        <v>0.84157815003314274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</v>
      </c>
      <c r="C113" s="124">
        <f t="shared" si="91"/>
        <v>0</v>
      </c>
      <c r="D113" s="124">
        <f t="shared" si="91"/>
        <v>0</v>
      </c>
      <c r="E113" s="124">
        <f t="shared" si="91"/>
        <v>0</v>
      </c>
      <c r="F113" s="124">
        <f t="shared" si="91"/>
        <v>0</v>
      </c>
      <c r="G113" s="124">
        <f t="shared" si="91"/>
        <v>0</v>
      </c>
      <c r="H113" s="124">
        <f t="shared" si="91"/>
        <v>0</v>
      </c>
      <c r="I113" s="124">
        <f t="shared" si="91"/>
        <v>0</v>
      </c>
      <c r="J113" s="124">
        <f t="shared" si="91"/>
        <v>0</v>
      </c>
      <c r="K113" s="124">
        <f t="shared" si="91"/>
        <v>0</v>
      </c>
      <c r="L113" s="124">
        <f t="shared" si="91"/>
        <v>0</v>
      </c>
      <c r="M113" s="124">
        <f t="shared" si="91"/>
        <v>0</v>
      </c>
      <c r="N113" s="124">
        <f t="shared" si="91"/>
        <v>0</v>
      </c>
      <c r="O113" s="124">
        <f t="shared" si="91"/>
        <v>0</v>
      </c>
      <c r="P113" s="124">
        <f t="shared" si="91"/>
        <v>0</v>
      </c>
      <c r="Q113" s="124">
        <f t="shared" si="91"/>
        <v>0</v>
      </c>
      <c r="R113" s="124">
        <f t="shared" si="91"/>
        <v>0</v>
      </c>
      <c r="S113" s="124">
        <f t="shared" si="91"/>
        <v>0</v>
      </c>
      <c r="T113" s="124">
        <f t="shared" si="91"/>
        <v>0</v>
      </c>
      <c r="U113" s="124">
        <f t="shared" si="91"/>
        <v>0</v>
      </c>
      <c r="V113" s="124">
        <f t="shared" si="91"/>
        <v>0</v>
      </c>
      <c r="W113" s="124">
        <f t="shared" si="91"/>
        <v>0</v>
      </c>
      <c r="X113" s="124">
        <f t="shared" si="91"/>
        <v>0</v>
      </c>
      <c r="Y113" s="124">
        <f t="shared" si="91"/>
        <v>0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1.1997418456136768E-2</v>
      </c>
      <c r="C114" s="124">
        <f t="shared" si="92"/>
        <v>1.2486118222507111E-2</v>
      </c>
      <c r="D114" s="124">
        <f t="shared" si="92"/>
        <v>3.2928425941441811E-2</v>
      </c>
      <c r="E114" s="124">
        <f t="shared" si="92"/>
        <v>2.2057706438573167E-2</v>
      </c>
      <c r="F114" s="124">
        <f t="shared" si="92"/>
        <v>1.169554805442149E-2</v>
      </c>
      <c r="G114" s="124">
        <f t="shared" si="92"/>
        <v>2.3642298607726934E-2</v>
      </c>
      <c r="H114" s="124">
        <f t="shared" si="92"/>
        <v>2.8692285633825004E-2</v>
      </c>
      <c r="I114" s="124">
        <f t="shared" si="92"/>
        <v>2.8427124392289619E-2</v>
      </c>
      <c r="J114" s="124">
        <f t="shared" si="92"/>
        <v>2.9511450495729976E-2</v>
      </c>
      <c r="K114" s="124">
        <f t="shared" si="92"/>
        <v>3.2848953514807648E-2</v>
      </c>
      <c r="L114" s="124">
        <f t="shared" si="92"/>
        <v>3.4074238588192883E-2</v>
      </c>
      <c r="M114" s="124">
        <f t="shared" si="92"/>
        <v>3.3793321041289293E-2</v>
      </c>
      <c r="N114" s="124">
        <f t="shared" si="92"/>
        <v>4.1202679558123324E-2</v>
      </c>
      <c r="O114" s="124">
        <f t="shared" si="92"/>
        <v>3.5761467839734926E-2</v>
      </c>
      <c r="P114" s="124">
        <f t="shared" si="92"/>
        <v>2.9724514958589444E-2</v>
      </c>
      <c r="Q114" s="124">
        <f t="shared" si="92"/>
        <v>3.1672696749474191E-2</v>
      </c>
      <c r="R114" s="124">
        <f t="shared" si="92"/>
        <v>2.5005744870234447E-2</v>
      </c>
      <c r="S114" s="124">
        <f t="shared" si="92"/>
        <v>2.0038773698214395E-2</v>
      </c>
      <c r="T114" s="124">
        <f t="shared" si="92"/>
        <v>2.0577652557134236E-2</v>
      </c>
      <c r="U114" s="124">
        <f t="shared" si="92"/>
        <v>1.4631282533321377E-2</v>
      </c>
      <c r="V114" s="124">
        <f t="shared" si="92"/>
        <v>2.6267723014438367E-2</v>
      </c>
      <c r="W114" s="124">
        <f t="shared" si="92"/>
        <v>2.3844668781410273E-2</v>
      </c>
      <c r="X114" s="124">
        <f t="shared" si="92"/>
        <v>2.932558944583338E-2</v>
      </c>
      <c r="Y114" s="124">
        <f t="shared" si="92"/>
        <v>3.8419929793640534E-2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1.0104800448039282E-2</v>
      </c>
      <c r="C116" s="140">
        <f t="shared" si="96"/>
        <v>1.0428057472394087E-2</v>
      </c>
      <c r="D116" s="140">
        <f t="shared" si="96"/>
        <v>2.7133495021260869E-2</v>
      </c>
      <c r="E116" s="140">
        <f t="shared" si="96"/>
        <v>1.9239833231358024E-2</v>
      </c>
      <c r="F116" s="140">
        <f t="shared" si="96"/>
        <v>9.598065292092315E-3</v>
      </c>
      <c r="G116" s="140">
        <f t="shared" si="96"/>
        <v>1.8691435138848096E-2</v>
      </c>
      <c r="H116" s="140">
        <f t="shared" si="96"/>
        <v>2.1410120211002682E-2</v>
      </c>
      <c r="I116" s="140">
        <f t="shared" si="96"/>
        <v>1.9753456231571632E-2</v>
      </c>
      <c r="J116" s="140">
        <f t="shared" si="96"/>
        <v>1.8422812297970881E-2</v>
      </c>
      <c r="K116" s="140">
        <f t="shared" si="96"/>
        <v>1.8210239189448509E-2</v>
      </c>
      <c r="L116" s="140">
        <f t="shared" si="96"/>
        <v>2.4684352014289191E-2</v>
      </c>
      <c r="M116" s="140">
        <f t="shared" si="96"/>
        <v>2.6814145113103271E-2</v>
      </c>
      <c r="N116" s="140">
        <f t="shared" si="96"/>
        <v>2.9407493717590025E-2</v>
      </c>
      <c r="O116" s="140">
        <f t="shared" si="96"/>
        <v>2.262488608953522E-2</v>
      </c>
      <c r="P116" s="140">
        <f t="shared" si="96"/>
        <v>2.3022510176536278E-2</v>
      </c>
      <c r="Q116" s="140">
        <f t="shared" si="96"/>
        <v>2.7367083003633667E-2</v>
      </c>
      <c r="R116" s="140">
        <f t="shared" si="94"/>
        <v>1.6254659537058892E-2</v>
      </c>
      <c r="S116" s="140">
        <f t="shared" si="94"/>
        <v>1.5739241477707024E-2</v>
      </c>
      <c r="T116" s="140">
        <f t="shared" si="94"/>
        <v>1.7302198592029763E-2</v>
      </c>
      <c r="U116" s="140">
        <f t="shared" si="94"/>
        <v>1.1619709377302652E-2</v>
      </c>
      <c r="V116" s="140">
        <f t="shared" si="94"/>
        <v>1.3424963541162951E-2</v>
      </c>
      <c r="W116" s="140">
        <f t="shared" si="95"/>
        <v>1.3653555971466218E-2</v>
      </c>
      <c r="X116" s="140">
        <f t="shared" si="95"/>
        <v>1.3028236370919665E-2</v>
      </c>
      <c r="Y116" s="140">
        <f t="shared" si="95"/>
        <v>1.3889206387914006E-2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1.8926180080974869E-3</v>
      </c>
      <c r="C117" s="140">
        <f t="shared" si="97"/>
        <v>2.0580607501130221E-3</v>
      </c>
      <c r="D117" s="140">
        <f t="shared" si="97"/>
        <v>5.7949309201809429E-3</v>
      </c>
      <c r="E117" s="140">
        <f t="shared" si="97"/>
        <v>2.8178732072151403E-3</v>
      </c>
      <c r="F117" s="140">
        <f t="shared" si="97"/>
        <v>2.097482762329175E-3</v>
      </c>
      <c r="G117" s="140">
        <f t="shared" si="97"/>
        <v>4.9508634688788375E-3</v>
      </c>
      <c r="H117" s="140">
        <f t="shared" si="97"/>
        <v>7.2821654228223199E-3</v>
      </c>
      <c r="I117" s="140">
        <f t="shared" si="97"/>
        <v>8.6736681607179813E-3</v>
      </c>
      <c r="J117" s="140">
        <f t="shared" si="97"/>
        <v>1.1088638197759099E-2</v>
      </c>
      <c r="K117" s="140">
        <f t="shared" si="97"/>
        <v>1.4638714325359141E-2</v>
      </c>
      <c r="L117" s="140">
        <f t="shared" si="97"/>
        <v>9.3898865739036851E-3</v>
      </c>
      <c r="M117" s="140">
        <f t="shared" si="97"/>
        <v>6.9791759281860209E-3</v>
      </c>
      <c r="N117" s="140">
        <f t="shared" si="97"/>
        <v>1.1795185840533301E-2</v>
      </c>
      <c r="O117" s="140">
        <f t="shared" si="97"/>
        <v>1.3136581750199702E-2</v>
      </c>
      <c r="P117" s="140">
        <f t="shared" si="97"/>
        <v>6.7020047820531671E-3</v>
      </c>
      <c r="Q117" s="140">
        <f t="shared" si="97"/>
        <v>4.305613745840522E-3</v>
      </c>
      <c r="R117" s="140">
        <f t="shared" ref="R117:V120" si="98">IF(R25=0,0,R25/R$17)</f>
        <v>8.7510853331755536E-3</v>
      </c>
      <c r="S117" s="140">
        <f t="shared" si="98"/>
        <v>4.2995322205073702E-3</v>
      </c>
      <c r="T117" s="140">
        <f t="shared" si="98"/>
        <v>3.2754539651044736E-3</v>
      </c>
      <c r="U117" s="140">
        <f t="shared" si="98"/>
        <v>3.0115731560187275E-3</v>
      </c>
      <c r="V117" s="140">
        <f t="shared" si="98"/>
        <v>1.2842759473275419E-2</v>
      </c>
      <c r="W117" s="140">
        <f t="shared" si="95"/>
        <v>1.0191112809944055E-2</v>
      </c>
      <c r="X117" s="140">
        <f t="shared" si="95"/>
        <v>1.6297353074913715E-2</v>
      </c>
      <c r="Y117" s="140">
        <f t="shared" si="95"/>
        <v>2.4530723405726526E-2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0</v>
      </c>
      <c r="C118" s="124">
        <f t="shared" si="99"/>
        <v>0</v>
      </c>
      <c r="D118" s="124">
        <f t="shared" si="99"/>
        <v>0</v>
      </c>
      <c r="E118" s="124">
        <f t="shared" si="99"/>
        <v>0</v>
      </c>
      <c r="F118" s="124">
        <f t="shared" si="99"/>
        <v>0</v>
      </c>
      <c r="G118" s="124">
        <f t="shared" si="99"/>
        <v>4.0430503904362591E-3</v>
      </c>
      <c r="H118" s="124">
        <f t="shared" si="99"/>
        <v>4.7663163184103715E-3</v>
      </c>
      <c r="I118" s="124">
        <f t="shared" si="99"/>
        <v>4.5343038809024586E-3</v>
      </c>
      <c r="J118" s="124">
        <f t="shared" si="99"/>
        <v>4.3256897379419998E-3</v>
      </c>
      <c r="K118" s="124">
        <f t="shared" si="99"/>
        <v>4.0434839285464026E-3</v>
      </c>
      <c r="L118" s="124">
        <f t="shared" si="99"/>
        <v>8.8738235715240393E-3</v>
      </c>
      <c r="M118" s="124">
        <f t="shared" si="99"/>
        <v>8.4055901610502349E-3</v>
      </c>
      <c r="N118" s="124">
        <f t="shared" si="99"/>
        <v>8.94984822082176E-3</v>
      </c>
      <c r="O118" s="124">
        <f t="shared" si="99"/>
        <v>8.3997907934293351E-3</v>
      </c>
      <c r="P118" s="124">
        <f t="shared" si="99"/>
        <v>9.2896132841356685E-3</v>
      </c>
      <c r="Q118" s="124">
        <f t="shared" si="99"/>
        <v>1.0270812883105249E-2</v>
      </c>
      <c r="R118" s="124">
        <f t="shared" si="98"/>
        <v>9.3976427892946083E-3</v>
      </c>
      <c r="S118" s="124">
        <f t="shared" si="98"/>
        <v>1.1024347558191401E-2</v>
      </c>
      <c r="T118" s="124">
        <f t="shared" si="98"/>
        <v>9.4570363648175133E-3</v>
      </c>
      <c r="U118" s="124">
        <f t="shared" si="98"/>
        <v>1.2267066958769751E-2</v>
      </c>
      <c r="V118" s="124">
        <f t="shared" si="98"/>
        <v>1.4381174417722176E-2</v>
      </c>
      <c r="W118" s="124">
        <f t="shared" si="95"/>
        <v>1.7025674468367263E-2</v>
      </c>
      <c r="X118" s="124">
        <f t="shared" si="95"/>
        <v>1.5168935239211064E-2</v>
      </c>
      <c r="Y118" s="124">
        <f t="shared" si="95"/>
        <v>1.946351205877616E-2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4.0430503904362591E-3</v>
      </c>
      <c r="H119" s="140">
        <f t="shared" si="100"/>
        <v>4.7663163184103715E-3</v>
      </c>
      <c r="I119" s="140">
        <f t="shared" si="100"/>
        <v>4.5343038809024586E-3</v>
      </c>
      <c r="J119" s="140">
        <f t="shared" si="100"/>
        <v>4.3256897379419998E-3</v>
      </c>
      <c r="K119" s="140">
        <f t="shared" si="100"/>
        <v>4.0434839285464026E-3</v>
      </c>
      <c r="L119" s="140">
        <f t="shared" si="100"/>
        <v>8.8738235715240393E-3</v>
      </c>
      <c r="M119" s="140">
        <f t="shared" si="100"/>
        <v>8.4055901610502349E-3</v>
      </c>
      <c r="N119" s="140">
        <f t="shared" si="100"/>
        <v>8.94984822082176E-3</v>
      </c>
      <c r="O119" s="140">
        <f t="shared" si="100"/>
        <v>8.3997907934293351E-3</v>
      </c>
      <c r="P119" s="140">
        <f t="shared" si="100"/>
        <v>9.2896132841356685E-3</v>
      </c>
      <c r="Q119" s="140">
        <f t="shared" si="100"/>
        <v>1.0270812883105249E-2</v>
      </c>
      <c r="R119" s="140">
        <f t="shared" si="98"/>
        <v>9.3976427892946083E-3</v>
      </c>
      <c r="S119" s="140">
        <f t="shared" si="98"/>
        <v>1.1024347558191401E-2</v>
      </c>
      <c r="T119" s="140">
        <f t="shared" si="98"/>
        <v>9.4570363648175133E-3</v>
      </c>
      <c r="U119" s="140">
        <f t="shared" si="98"/>
        <v>1.2267066958769751E-2</v>
      </c>
      <c r="V119" s="140">
        <f t="shared" si="98"/>
        <v>1.4381174417722176E-2</v>
      </c>
      <c r="W119" s="140">
        <f t="shared" si="95"/>
        <v>1.7025674468367263E-2</v>
      </c>
      <c r="X119" s="140">
        <f t="shared" si="95"/>
        <v>1.5168935239211064E-2</v>
      </c>
      <c r="Y119" s="140">
        <f t="shared" si="95"/>
        <v>1.946351205877616E-2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0</v>
      </c>
      <c r="W120" s="127">
        <f t="shared" si="95"/>
        <v>0</v>
      </c>
      <c r="X120" s="127">
        <f t="shared" si="95"/>
        <v>0</v>
      </c>
      <c r="Y120" s="127">
        <f t="shared" si="95"/>
        <v>0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0.46697835951233335</v>
      </c>
      <c r="C122" s="140">
        <f t="shared" si="103"/>
        <v>0.46213095645108904</v>
      </c>
      <c r="D122" s="140">
        <f t="shared" si="103"/>
        <v>0.46164634816407984</v>
      </c>
      <c r="E122" s="140">
        <f t="shared" si="103"/>
        <v>0.46241057668055796</v>
      </c>
      <c r="F122" s="140">
        <f t="shared" si="103"/>
        <v>0.31117721087013794</v>
      </c>
      <c r="G122" s="140">
        <f t="shared" si="103"/>
        <v>0.45869407274369911</v>
      </c>
      <c r="H122" s="140">
        <f t="shared" si="103"/>
        <v>0.43803514472555583</v>
      </c>
      <c r="I122" s="140">
        <f t="shared" si="103"/>
        <v>0.42036857429859964</v>
      </c>
      <c r="J122" s="140">
        <f t="shared" si="103"/>
        <v>0.51031659452072076</v>
      </c>
      <c r="K122" s="140">
        <f t="shared" si="103"/>
        <v>0.47307867893811628</v>
      </c>
      <c r="L122" s="140">
        <f t="shared" si="103"/>
        <v>0.47352127762217733</v>
      </c>
      <c r="M122" s="140">
        <f t="shared" si="103"/>
        <v>0.41662820086211827</v>
      </c>
      <c r="N122" s="140">
        <f t="shared" si="103"/>
        <v>0.5149372659289938</v>
      </c>
      <c r="O122" s="140">
        <f t="shared" si="103"/>
        <v>0.49501411533000689</v>
      </c>
      <c r="P122" s="140">
        <f t="shared" si="103"/>
        <v>0.38581509043769502</v>
      </c>
      <c r="Q122" s="140">
        <f t="shared" si="103"/>
        <v>0.52791697302654372</v>
      </c>
      <c r="R122" s="140">
        <f t="shared" si="103"/>
        <v>0.42467667628789119</v>
      </c>
      <c r="S122" s="140">
        <f t="shared" si="103"/>
        <v>0.40912854910597118</v>
      </c>
      <c r="T122" s="140">
        <f t="shared" si="103"/>
        <v>0.46898281328976732</v>
      </c>
      <c r="U122" s="140">
        <f t="shared" si="103"/>
        <v>0.34169664869078131</v>
      </c>
      <c r="V122" s="140">
        <f t="shared" si="103"/>
        <v>0.58951333854520183</v>
      </c>
      <c r="W122" s="140">
        <f t="shared" si="103"/>
        <v>0.54674991782591587</v>
      </c>
      <c r="X122" s="140">
        <f t="shared" si="103"/>
        <v>0.48363031272466595</v>
      </c>
      <c r="Y122" s="140">
        <f t="shared" si="103"/>
        <v>0.45826530044532054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0.53302164048766676</v>
      </c>
      <c r="C123" s="127">
        <f t="shared" si="104"/>
        <v>0.53786904354891096</v>
      </c>
      <c r="D123" s="127">
        <f t="shared" si="104"/>
        <v>0.5383536518359201</v>
      </c>
      <c r="E123" s="127">
        <f t="shared" si="104"/>
        <v>0.53758942331944204</v>
      </c>
      <c r="F123" s="127">
        <f t="shared" si="104"/>
        <v>0.68882278912986206</v>
      </c>
      <c r="G123" s="127">
        <f t="shared" si="104"/>
        <v>0.54130592725630078</v>
      </c>
      <c r="H123" s="127">
        <f t="shared" si="104"/>
        <v>0.56196485527444429</v>
      </c>
      <c r="I123" s="127">
        <f t="shared" si="104"/>
        <v>0.57963142570140047</v>
      </c>
      <c r="J123" s="127">
        <f t="shared" si="104"/>
        <v>0.48968340547927935</v>
      </c>
      <c r="K123" s="127">
        <f t="shared" si="104"/>
        <v>0.52692132106188372</v>
      </c>
      <c r="L123" s="127">
        <f t="shared" si="104"/>
        <v>0.52647872237782256</v>
      </c>
      <c r="M123" s="127">
        <f t="shared" si="104"/>
        <v>0.58337179913788173</v>
      </c>
      <c r="N123" s="127">
        <f t="shared" si="104"/>
        <v>0.48506273407100631</v>
      </c>
      <c r="O123" s="127">
        <f t="shared" si="104"/>
        <v>0.50498588466999328</v>
      </c>
      <c r="P123" s="127">
        <f t="shared" si="104"/>
        <v>0.61418490956230509</v>
      </c>
      <c r="Q123" s="127">
        <f t="shared" si="104"/>
        <v>0.47208302697345617</v>
      </c>
      <c r="R123" s="127">
        <f t="shared" si="104"/>
        <v>0.57532332371210881</v>
      </c>
      <c r="S123" s="127">
        <f t="shared" si="104"/>
        <v>0.59087145089402882</v>
      </c>
      <c r="T123" s="127">
        <f t="shared" si="104"/>
        <v>0.53101718671023279</v>
      </c>
      <c r="U123" s="127">
        <f t="shared" si="104"/>
        <v>0.65830335130921869</v>
      </c>
      <c r="V123" s="127">
        <f t="shared" si="104"/>
        <v>0.41048666145479829</v>
      </c>
      <c r="W123" s="127">
        <f t="shared" si="104"/>
        <v>0.45325008217408413</v>
      </c>
      <c r="X123" s="127">
        <f t="shared" si="104"/>
        <v>0.51636968727533405</v>
      </c>
      <c r="Y123" s="127">
        <f t="shared" si="104"/>
        <v>0.54173469955467946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0.43253341856518718</v>
      </c>
      <c r="C127" s="139">
        <f t="shared" ref="C127:Y127" si="107">IF(C35=0,0,C35/C$34)</f>
        <v>0.49202245780939047</v>
      </c>
      <c r="D127" s="139">
        <f t="shared" si="107"/>
        <v>0.49163344803101039</v>
      </c>
      <c r="E127" s="139">
        <f t="shared" si="107"/>
        <v>0.53428167953478545</v>
      </c>
      <c r="F127" s="139">
        <f t="shared" si="107"/>
        <v>0.45595014942919426</v>
      </c>
      <c r="G127" s="139">
        <f t="shared" si="107"/>
        <v>0.54052180427800356</v>
      </c>
      <c r="H127" s="139">
        <f t="shared" si="107"/>
        <v>0.54689630372540898</v>
      </c>
      <c r="I127" s="139">
        <f t="shared" si="107"/>
        <v>0.53932179883747244</v>
      </c>
      <c r="J127" s="139">
        <f t="shared" si="107"/>
        <v>0.56751428565316642</v>
      </c>
      <c r="K127" s="139">
        <f t="shared" si="107"/>
        <v>0.55140208744834418</v>
      </c>
      <c r="L127" s="139">
        <f t="shared" si="107"/>
        <v>0.55695967653376943</v>
      </c>
      <c r="M127" s="139">
        <f t="shared" si="107"/>
        <v>0.55219172276256911</v>
      </c>
      <c r="N127" s="139">
        <f t="shared" si="107"/>
        <v>0.57005966458001367</v>
      </c>
      <c r="O127" s="139">
        <f t="shared" si="107"/>
        <v>0.5640686154378276</v>
      </c>
      <c r="P127" s="139">
        <f t="shared" si="107"/>
        <v>0.55741749139876717</v>
      </c>
      <c r="Q127" s="139">
        <f t="shared" si="107"/>
        <v>0.56573597042624069</v>
      </c>
      <c r="R127" s="139">
        <f t="shared" si="107"/>
        <v>0.54953576415082817</v>
      </c>
      <c r="S127" s="139">
        <f t="shared" si="107"/>
        <v>0.52602497410443094</v>
      </c>
      <c r="T127" s="139">
        <f t="shared" si="107"/>
        <v>0.52340110027658182</v>
      </c>
      <c r="U127" s="139">
        <f t="shared" si="107"/>
        <v>0.51958098082789561</v>
      </c>
      <c r="V127" s="139">
        <f t="shared" si="107"/>
        <v>0.71032483740153696</v>
      </c>
      <c r="W127" s="139">
        <f t="shared" si="107"/>
        <v>0.66121888261419937</v>
      </c>
      <c r="X127" s="139">
        <f t="shared" si="107"/>
        <v>0.58907390361077261</v>
      </c>
      <c r="Y127" s="139">
        <f t="shared" si="107"/>
        <v>0.55608737181339873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5.2506363086517027E-3</v>
      </c>
      <c r="C128" s="140">
        <f t="shared" ref="C128:Y128" si="108">IF(C36=0,0,C36/C$34)</f>
        <v>6.4507145616919843E-3</v>
      </c>
      <c r="D128" s="140">
        <f t="shared" si="108"/>
        <v>6.9113822719552081E-3</v>
      </c>
      <c r="E128" s="140">
        <f t="shared" si="108"/>
        <v>7.379729693529972E-3</v>
      </c>
      <c r="F128" s="140">
        <f t="shared" si="108"/>
        <v>6.2263537326982723E-3</v>
      </c>
      <c r="G128" s="140">
        <f t="shared" si="108"/>
        <v>5.8026339899698385E-3</v>
      </c>
      <c r="H128" s="140">
        <f t="shared" si="108"/>
        <v>5.8017258458213069E-3</v>
      </c>
      <c r="I128" s="140">
        <f t="shared" si="108"/>
        <v>5.8287573922571863E-3</v>
      </c>
      <c r="J128" s="140">
        <f t="shared" si="108"/>
        <v>5.8876942382569087E-3</v>
      </c>
      <c r="K128" s="140">
        <f t="shared" si="108"/>
        <v>6.434892335789648E-3</v>
      </c>
      <c r="L128" s="140">
        <f t="shared" si="108"/>
        <v>5.6407476467149253E-3</v>
      </c>
      <c r="M128" s="140">
        <f t="shared" si="108"/>
        <v>5.7443909950464864E-3</v>
      </c>
      <c r="N128" s="140">
        <f t="shared" si="108"/>
        <v>5.7674764242222568E-3</v>
      </c>
      <c r="O128" s="140">
        <f t="shared" si="108"/>
        <v>5.7910958036052626E-3</v>
      </c>
      <c r="P128" s="140">
        <f t="shared" si="108"/>
        <v>5.8692776969225709E-3</v>
      </c>
      <c r="Q128" s="140">
        <f t="shared" si="108"/>
        <v>5.6437096031807434E-3</v>
      </c>
      <c r="R128" s="140">
        <f t="shared" si="108"/>
        <v>5.7726144322264939E-3</v>
      </c>
      <c r="S128" s="140">
        <f t="shared" si="108"/>
        <v>5.0667227050744173E-3</v>
      </c>
      <c r="T128" s="140">
        <f t="shared" si="108"/>
        <v>4.3935152508390264E-3</v>
      </c>
      <c r="U128" s="140">
        <f t="shared" si="108"/>
        <v>4.5999997751742525E-3</v>
      </c>
      <c r="V128" s="140">
        <f t="shared" si="108"/>
        <v>7.0536209997106225E-3</v>
      </c>
      <c r="W128" s="140">
        <f t="shared" si="108"/>
        <v>6.6029481212037406E-3</v>
      </c>
      <c r="X128" s="140">
        <f t="shared" si="108"/>
        <v>5.0554234527227402E-3</v>
      </c>
      <c r="Y128" s="140">
        <f t="shared" si="108"/>
        <v>4.9984926041514314E-3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0.37525799259081555</v>
      </c>
      <c r="C129" s="140">
        <f t="shared" ref="C129:Y129" si="109">IF(C37=0,0,C37/C$34)</f>
        <v>0.42553325405552983</v>
      </c>
      <c r="D129" s="140">
        <f t="shared" si="109"/>
        <v>0.45977991516900729</v>
      </c>
      <c r="E129" s="140">
        <f t="shared" si="109"/>
        <v>0.47435179214498729</v>
      </c>
      <c r="F129" s="140">
        <f t="shared" si="109"/>
        <v>0.38208184101015069</v>
      </c>
      <c r="G129" s="140">
        <f t="shared" si="109"/>
        <v>0.44057677620516272</v>
      </c>
      <c r="H129" s="140">
        <f t="shared" si="109"/>
        <v>0.44157294259414276</v>
      </c>
      <c r="I129" s="140">
        <f t="shared" si="109"/>
        <v>0.44194653682373969</v>
      </c>
      <c r="J129" s="140">
        <f t="shared" si="109"/>
        <v>0.47880371677531453</v>
      </c>
      <c r="K129" s="140">
        <f t="shared" si="109"/>
        <v>0.46563808229011416</v>
      </c>
      <c r="L129" s="140">
        <f t="shared" si="109"/>
        <v>0.47496517785205355</v>
      </c>
      <c r="M129" s="140">
        <f t="shared" si="109"/>
        <v>0.4704478466279875</v>
      </c>
      <c r="N129" s="140">
        <f t="shared" si="109"/>
        <v>0.47601462002757466</v>
      </c>
      <c r="O129" s="140">
        <f t="shared" si="109"/>
        <v>0.4707988014324424</v>
      </c>
      <c r="P129" s="140">
        <f t="shared" si="109"/>
        <v>0.45083279295626472</v>
      </c>
      <c r="Q129" s="140">
        <f t="shared" si="109"/>
        <v>0.45215375608385777</v>
      </c>
      <c r="R129" s="140">
        <f t="shared" si="109"/>
        <v>0.44120483918312137</v>
      </c>
      <c r="S129" s="140">
        <f t="shared" si="109"/>
        <v>0.41746021174256953</v>
      </c>
      <c r="T129" s="140">
        <f t="shared" si="109"/>
        <v>0.40940766095342346</v>
      </c>
      <c r="U129" s="140">
        <f t="shared" si="109"/>
        <v>0.40867152506257515</v>
      </c>
      <c r="V129" s="140">
        <f t="shared" si="109"/>
        <v>0.5744359967050624</v>
      </c>
      <c r="W129" s="140">
        <f t="shared" si="109"/>
        <v>0.54934871759211767</v>
      </c>
      <c r="X129" s="140">
        <f t="shared" si="109"/>
        <v>0.46852508537345411</v>
      </c>
      <c r="Y129" s="140">
        <f t="shared" si="109"/>
        <v>0.43750864991522814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5.2024789665719898E-2</v>
      </c>
      <c r="C130" s="140">
        <f t="shared" ref="C130:Y130" si="110">IF(C38=0,0,C38/C$34)</f>
        <v>6.0038489192168691E-2</v>
      </c>
      <c r="D130" s="140">
        <f t="shared" si="110"/>
        <v>2.494215059004793E-2</v>
      </c>
      <c r="E130" s="140">
        <f t="shared" si="110"/>
        <v>5.2550157696268175E-2</v>
      </c>
      <c r="F130" s="140">
        <f t="shared" si="110"/>
        <v>6.7641954686345221E-2</v>
      </c>
      <c r="G130" s="140">
        <f t="shared" si="110"/>
        <v>9.4142394082870937E-2</v>
      </c>
      <c r="H130" s="140">
        <f t="shared" si="110"/>
        <v>9.9521635285444873E-2</v>
      </c>
      <c r="I130" s="140">
        <f t="shared" si="110"/>
        <v>9.1546504621475566E-2</v>
      </c>
      <c r="J130" s="140">
        <f t="shared" si="110"/>
        <v>8.2822874639594937E-2</v>
      </c>
      <c r="K130" s="140">
        <f t="shared" si="110"/>
        <v>7.9329112822440331E-2</v>
      </c>
      <c r="L130" s="140">
        <f t="shared" si="110"/>
        <v>7.6353751035001013E-2</v>
      </c>
      <c r="M130" s="140">
        <f t="shared" si="110"/>
        <v>7.5999485139535181E-2</v>
      </c>
      <c r="N130" s="140">
        <f t="shared" si="110"/>
        <v>8.8277568128216757E-2</v>
      </c>
      <c r="O130" s="140">
        <f t="shared" si="110"/>
        <v>8.7478718201780034E-2</v>
      </c>
      <c r="P130" s="140">
        <f t="shared" si="110"/>
        <v>0.10071542074557989</v>
      </c>
      <c r="Q130" s="140">
        <f t="shared" si="110"/>
        <v>0.10793850473920216</v>
      </c>
      <c r="R130" s="140">
        <f t="shared" si="110"/>
        <v>0.10255831053548033</v>
      </c>
      <c r="S130" s="140">
        <f t="shared" si="110"/>
        <v>0.10349803965678694</v>
      </c>
      <c r="T130" s="140">
        <f t="shared" si="110"/>
        <v>0.1095999240723194</v>
      </c>
      <c r="U130" s="140">
        <f t="shared" si="110"/>
        <v>0.10630945599014624</v>
      </c>
      <c r="V130" s="140">
        <f t="shared" si="110"/>
        <v>0.1288352196967639</v>
      </c>
      <c r="W130" s="140">
        <f t="shared" si="110"/>
        <v>0.10526721690087797</v>
      </c>
      <c r="X130" s="140">
        <f t="shared" si="110"/>
        <v>0.11549339478459564</v>
      </c>
      <c r="Y130" s="140">
        <f t="shared" si="110"/>
        <v>0.11358022929401917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0</v>
      </c>
      <c r="C131" s="124">
        <f t="shared" ref="C131:Y131" si="111">IF(C39=0,0,C39/C$34)</f>
        <v>0</v>
      </c>
      <c r="D131" s="124">
        <f t="shared" si="111"/>
        <v>0</v>
      </c>
      <c r="E131" s="124">
        <f t="shared" si="111"/>
        <v>0</v>
      </c>
      <c r="F131" s="124">
        <f t="shared" si="111"/>
        <v>0</v>
      </c>
      <c r="G131" s="124">
        <f t="shared" si="111"/>
        <v>0</v>
      </c>
      <c r="H131" s="124">
        <f t="shared" si="111"/>
        <v>0</v>
      </c>
      <c r="I131" s="124">
        <f t="shared" si="111"/>
        <v>0</v>
      </c>
      <c r="J131" s="124">
        <f t="shared" si="111"/>
        <v>0</v>
      </c>
      <c r="K131" s="124">
        <f t="shared" si="111"/>
        <v>0</v>
      </c>
      <c r="L131" s="124">
        <f t="shared" si="111"/>
        <v>0</v>
      </c>
      <c r="M131" s="124">
        <f t="shared" si="111"/>
        <v>0</v>
      </c>
      <c r="N131" s="124">
        <f t="shared" si="111"/>
        <v>0</v>
      </c>
      <c r="O131" s="124">
        <f t="shared" si="111"/>
        <v>0</v>
      </c>
      <c r="P131" s="124">
        <f t="shared" si="111"/>
        <v>0</v>
      </c>
      <c r="Q131" s="124">
        <f t="shared" si="111"/>
        <v>0</v>
      </c>
      <c r="R131" s="124">
        <f t="shared" si="111"/>
        <v>0</v>
      </c>
      <c r="S131" s="124">
        <f t="shared" si="111"/>
        <v>0</v>
      </c>
      <c r="T131" s="124">
        <f t="shared" si="111"/>
        <v>0</v>
      </c>
      <c r="U131" s="124">
        <f t="shared" si="111"/>
        <v>0</v>
      </c>
      <c r="V131" s="124">
        <f t="shared" si="111"/>
        <v>0</v>
      </c>
      <c r="W131" s="124">
        <f t="shared" si="111"/>
        <v>0</v>
      </c>
      <c r="X131" s="124">
        <f t="shared" si="111"/>
        <v>0</v>
      </c>
      <c r="Y131" s="124">
        <f t="shared" si="111"/>
        <v>0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0</v>
      </c>
      <c r="C132" s="140">
        <f t="shared" ref="C132:Y132" si="112">IF(C40=0,0,C40/C$34)</f>
        <v>0</v>
      </c>
      <c r="D132" s="140">
        <f t="shared" si="112"/>
        <v>0</v>
      </c>
      <c r="E132" s="140">
        <f t="shared" si="112"/>
        <v>0</v>
      </c>
      <c r="F132" s="140">
        <f t="shared" si="112"/>
        <v>0</v>
      </c>
      <c r="G132" s="140">
        <f t="shared" si="112"/>
        <v>0</v>
      </c>
      <c r="H132" s="140">
        <f t="shared" si="112"/>
        <v>0</v>
      </c>
      <c r="I132" s="140">
        <f t="shared" si="112"/>
        <v>0</v>
      </c>
      <c r="J132" s="140">
        <f t="shared" si="112"/>
        <v>0</v>
      </c>
      <c r="K132" s="140">
        <f t="shared" si="112"/>
        <v>0</v>
      </c>
      <c r="L132" s="140">
        <f t="shared" si="112"/>
        <v>0</v>
      </c>
      <c r="M132" s="140">
        <f t="shared" si="112"/>
        <v>0</v>
      </c>
      <c r="N132" s="140">
        <f t="shared" si="112"/>
        <v>0</v>
      </c>
      <c r="O132" s="140">
        <f t="shared" si="112"/>
        <v>0</v>
      </c>
      <c r="P132" s="140">
        <f t="shared" si="112"/>
        <v>0</v>
      </c>
      <c r="Q132" s="140">
        <f t="shared" si="112"/>
        <v>0</v>
      </c>
      <c r="R132" s="140">
        <f t="shared" si="112"/>
        <v>0</v>
      </c>
      <c r="S132" s="140">
        <f t="shared" si="112"/>
        <v>0</v>
      </c>
      <c r="T132" s="140">
        <f t="shared" si="112"/>
        <v>0</v>
      </c>
      <c r="U132" s="140">
        <f t="shared" si="112"/>
        <v>0</v>
      </c>
      <c r="V132" s="140">
        <f t="shared" si="112"/>
        <v>0</v>
      </c>
      <c r="W132" s="140">
        <f t="shared" si="112"/>
        <v>0</v>
      </c>
      <c r="X132" s="140">
        <f t="shared" si="112"/>
        <v>0</v>
      </c>
      <c r="Y132" s="140">
        <f t="shared" si="112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0</v>
      </c>
      <c r="C133" s="140">
        <f t="shared" ref="C133:Y133" si="113">IF(C41=0,0,C41/C$34)</f>
        <v>0</v>
      </c>
      <c r="D133" s="140">
        <f t="shared" si="113"/>
        <v>0</v>
      </c>
      <c r="E133" s="140">
        <f t="shared" si="113"/>
        <v>0</v>
      </c>
      <c r="F133" s="140">
        <f t="shared" si="113"/>
        <v>0</v>
      </c>
      <c r="G133" s="140">
        <f t="shared" si="113"/>
        <v>0</v>
      </c>
      <c r="H133" s="140">
        <f t="shared" si="113"/>
        <v>0</v>
      </c>
      <c r="I133" s="140">
        <f t="shared" si="113"/>
        <v>0</v>
      </c>
      <c r="J133" s="140">
        <f t="shared" si="113"/>
        <v>0</v>
      </c>
      <c r="K133" s="140">
        <f t="shared" si="113"/>
        <v>0</v>
      </c>
      <c r="L133" s="140">
        <f t="shared" si="113"/>
        <v>0</v>
      </c>
      <c r="M133" s="140">
        <f t="shared" si="113"/>
        <v>0</v>
      </c>
      <c r="N133" s="140">
        <f t="shared" si="113"/>
        <v>0</v>
      </c>
      <c r="O133" s="140">
        <f t="shared" si="113"/>
        <v>0</v>
      </c>
      <c r="P133" s="140">
        <f t="shared" si="113"/>
        <v>0</v>
      </c>
      <c r="Q133" s="140">
        <f t="shared" si="113"/>
        <v>0</v>
      </c>
      <c r="R133" s="140">
        <f t="shared" si="113"/>
        <v>0</v>
      </c>
      <c r="S133" s="140">
        <f t="shared" si="113"/>
        <v>0</v>
      </c>
      <c r="T133" s="140">
        <f t="shared" si="113"/>
        <v>0</v>
      </c>
      <c r="U133" s="140">
        <f t="shared" si="113"/>
        <v>0</v>
      </c>
      <c r="V133" s="140">
        <f t="shared" si="113"/>
        <v>0</v>
      </c>
      <c r="W133" s="140">
        <f t="shared" si="113"/>
        <v>0</v>
      </c>
      <c r="X133" s="140">
        <f t="shared" si="113"/>
        <v>0</v>
      </c>
      <c r="Y133" s="140">
        <f t="shared" si="113"/>
        <v>0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0.56746658143481277</v>
      </c>
      <c r="C135" s="124">
        <f t="shared" ref="C135:Y135" si="115">IF(C43=0,0,C43/C$34)</f>
        <v>0.50797754219060953</v>
      </c>
      <c r="D135" s="124">
        <f t="shared" si="115"/>
        <v>0.5083665519689895</v>
      </c>
      <c r="E135" s="124">
        <f t="shared" si="115"/>
        <v>0.46571832046521455</v>
      </c>
      <c r="F135" s="124">
        <f t="shared" si="115"/>
        <v>0.54404985057080579</v>
      </c>
      <c r="G135" s="124">
        <f t="shared" si="115"/>
        <v>0.45947819572199644</v>
      </c>
      <c r="H135" s="124">
        <f t="shared" si="115"/>
        <v>0.45310369627459107</v>
      </c>
      <c r="I135" s="124">
        <f t="shared" si="115"/>
        <v>0.46067820116252745</v>
      </c>
      <c r="J135" s="124">
        <f t="shared" si="115"/>
        <v>0.43248571434683369</v>
      </c>
      <c r="K135" s="124">
        <f t="shared" si="115"/>
        <v>0.44859791255165582</v>
      </c>
      <c r="L135" s="124">
        <f t="shared" si="115"/>
        <v>0.44304032346623046</v>
      </c>
      <c r="M135" s="124">
        <f t="shared" si="115"/>
        <v>0.44780827723743089</v>
      </c>
      <c r="N135" s="124">
        <f t="shared" si="115"/>
        <v>0.42994033541998633</v>
      </c>
      <c r="O135" s="124">
        <f t="shared" si="115"/>
        <v>0.43593138456217229</v>
      </c>
      <c r="P135" s="124">
        <f t="shared" si="115"/>
        <v>0.44258250860123283</v>
      </c>
      <c r="Q135" s="124">
        <f t="shared" si="115"/>
        <v>0.43426402957375931</v>
      </c>
      <c r="R135" s="124">
        <f t="shared" si="115"/>
        <v>0.45046423584917178</v>
      </c>
      <c r="S135" s="124">
        <f t="shared" si="115"/>
        <v>0.47397502589556922</v>
      </c>
      <c r="T135" s="124">
        <f t="shared" si="115"/>
        <v>0.47659889972341812</v>
      </c>
      <c r="U135" s="124">
        <f t="shared" si="115"/>
        <v>0.48041901917210439</v>
      </c>
      <c r="V135" s="124">
        <f t="shared" si="115"/>
        <v>0.28967516259846304</v>
      </c>
      <c r="W135" s="124">
        <f t="shared" si="115"/>
        <v>0.33878111738580058</v>
      </c>
      <c r="X135" s="124">
        <f t="shared" si="115"/>
        <v>0.41092609638922745</v>
      </c>
      <c r="Y135" s="124">
        <f t="shared" si="115"/>
        <v>0.44391262818660115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0.51092816374729955</v>
      </c>
      <c r="C137" s="140">
        <f t="shared" ref="C137:Y137" si="117">IF(C45=0,0,C45/C$34)</f>
        <v>0.45736475824855305</v>
      </c>
      <c r="D137" s="140">
        <f t="shared" si="117"/>
        <v>0.46236376568693727</v>
      </c>
      <c r="E137" s="140">
        <f t="shared" si="117"/>
        <v>0.42814331878111678</v>
      </c>
      <c r="F137" s="140">
        <f t="shared" si="117"/>
        <v>0.50248827838235466</v>
      </c>
      <c r="G137" s="140">
        <f t="shared" si="117"/>
        <v>0.42557900103168028</v>
      </c>
      <c r="H137" s="140">
        <f t="shared" si="117"/>
        <v>0.41858515577670302</v>
      </c>
      <c r="I137" s="140">
        <f t="shared" si="117"/>
        <v>0.42692294953181897</v>
      </c>
      <c r="J137" s="140">
        <f t="shared" si="117"/>
        <v>0.39881315816312352</v>
      </c>
      <c r="K137" s="140">
        <f t="shared" si="117"/>
        <v>0.41167323652360738</v>
      </c>
      <c r="L137" s="140">
        <f t="shared" si="117"/>
        <v>0.40727746367676082</v>
      </c>
      <c r="M137" s="140">
        <f t="shared" si="117"/>
        <v>0.41208766843147182</v>
      </c>
      <c r="N137" s="140">
        <f t="shared" si="117"/>
        <v>0.39511037864856119</v>
      </c>
      <c r="O137" s="140">
        <f t="shared" si="117"/>
        <v>0.40137169397405353</v>
      </c>
      <c r="P137" s="140">
        <f t="shared" si="117"/>
        <v>0.40866545575071928</v>
      </c>
      <c r="Q137" s="140">
        <f t="shared" si="117"/>
        <v>0.40118305829406853</v>
      </c>
      <c r="R137" s="140">
        <f t="shared" si="117"/>
        <v>0.41775191742616086</v>
      </c>
      <c r="S137" s="140">
        <f t="shared" si="117"/>
        <v>0.44104643999756832</v>
      </c>
      <c r="T137" s="140">
        <f t="shared" si="117"/>
        <v>0.44448674723700921</v>
      </c>
      <c r="U137" s="140">
        <f t="shared" si="117"/>
        <v>0.44769241072754667</v>
      </c>
      <c r="V137" s="140">
        <f t="shared" si="117"/>
        <v>0.25680684826253425</v>
      </c>
      <c r="W137" s="140">
        <f t="shared" si="117"/>
        <v>0.30623750793839183</v>
      </c>
      <c r="X137" s="140">
        <f t="shared" si="117"/>
        <v>0.37929396625582051</v>
      </c>
      <c r="Y137" s="140">
        <f t="shared" si="117"/>
        <v>0.41140253616484973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5.6538417687513283E-2</v>
      </c>
      <c r="C138" s="140">
        <f t="shared" ref="C138:Y138" si="118">IF(C46=0,0,C46/C$34)</f>
        <v>5.0612783942056511E-2</v>
      </c>
      <c r="D138" s="140">
        <f t="shared" si="118"/>
        <v>4.6002786282052281E-2</v>
      </c>
      <c r="E138" s="140">
        <f t="shared" si="118"/>
        <v>3.7575001684097824E-2</v>
      </c>
      <c r="F138" s="140">
        <f t="shared" si="118"/>
        <v>4.1561572188451211E-2</v>
      </c>
      <c r="G138" s="140">
        <f t="shared" si="118"/>
        <v>3.389919469031611E-2</v>
      </c>
      <c r="H138" s="140">
        <f t="shared" si="118"/>
        <v>3.4518540497888058E-2</v>
      </c>
      <c r="I138" s="140">
        <f t="shared" si="118"/>
        <v>3.3755251630708506E-2</v>
      </c>
      <c r="J138" s="140">
        <f t="shared" si="118"/>
        <v>3.3672556183710185E-2</v>
      </c>
      <c r="K138" s="140">
        <f t="shared" si="118"/>
        <v>3.6924676028048442E-2</v>
      </c>
      <c r="L138" s="140">
        <f t="shared" si="118"/>
        <v>3.5762859789469616E-2</v>
      </c>
      <c r="M138" s="140">
        <f t="shared" si="118"/>
        <v>3.5720608805959043E-2</v>
      </c>
      <c r="N138" s="140">
        <f t="shared" si="118"/>
        <v>3.4829956771425127E-2</v>
      </c>
      <c r="O138" s="140">
        <f t="shared" si="118"/>
        <v>3.455969058811878E-2</v>
      </c>
      <c r="P138" s="140">
        <f t="shared" si="118"/>
        <v>3.3917052850513586E-2</v>
      </c>
      <c r="Q138" s="140">
        <f t="shared" si="118"/>
        <v>3.3080971279690806E-2</v>
      </c>
      <c r="R138" s="140">
        <f t="shared" si="118"/>
        <v>3.2712318423010908E-2</v>
      </c>
      <c r="S138" s="140">
        <f t="shared" si="118"/>
        <v>3.2928585898000858E-2</v>
      </c>
      <c r="T138" s="140">
        <f t="shared" si="118"/>
        <v>3.2112152486409001E-2</v>
      </c>
      <c r="U138" s="140">
        <f t="shared" si="118"/>
        <v>3.2726608444557714E-2</v>
      </c>
      <c r="V138" s="140">
        <f t="shared" si="118"/>
        <v>3.2868314335928753E-2</v>
      </c>
      <c r="W138" s="140">
        <f t="shared" si="118"/>
        <v>3.254360944740875E-2</v>
      </c>
      <c r="X138" s="140">
        <f t="shared" si="118"/>
        <v>3.163213013340694E-2</v>
      </c>
      <c r="Y138" s="140">
        <f t="shared" si="118"/>
        <v>3.2510092021751431E-2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0.95507490000818818</v>
      </c>
      <c r="C140" s="139">
        <f t="shared" ref="C140:Y140" si="121">IF(C48=0,0,C48/C$47)</f>
        <v>0.9638938508057262</v>
      </c>
      <c r="D140" s="139">
        <f t="shared" si="121"/>
        <v>0.85036794019122719</v>
      </c>
      <c r="E140" s="139">
        <f t="shared" si="121"/>
        <v>0.93045771005286393</v>
      </c>
      <c r="F140" s="139">
        <f t="shared" si="121"/>
        <v>0.95726104626101383</v>
      </c>
      <c r="G140" s="139">
        <f t="shared" si="121"/>
        <v>0.84034524358272067</v>
      </c>
      <c r="H140" s="139">
        <f t="shared" si="121"/>
        <v>0.82226986046864725</v>
      </c>
      <c r="I140" s="139">
        <f t="shared" si="121"/>
        <v>0.81579375706550217</v>
      </c>
      <c r="J140" s="139">
        <f t="shared" si="121"/>
        <v>0.81356838513282104</v>
      </c>
      <c r="K140" s="139">
        <f t="shared" si="121"/>
        <v>0.805453344792184</v>
      </c>
      <c r="L140" s="139">
        <f t="shared" si="121"/>
        <v>0.68349906927000181</v>
      </c>
      <c r="M140" s="139">
        <f t="shared" si="121"/>
        <v>0.67577589768824686</v>
      </c>
      <c r="N140" s="139">
        <f t="shared" si="121"/>
        <v>0.6880003798889045</v>
      </c>
      <c r="O140" s="139">
        <f t="shared" si="121"/>
        <v>0.74259246144341118</v>
      </c>
      <c r="P140" s="139">
        <f t="shared" si="121"/>
        <v>0.74473897482180662</v>
      </c>
      <c r="Q140" s="139">
        <f t="shared" si="121"/>
        <v>0.72818039987170391</v>
      </c>
      <c r="R140" s="139">
        <f t="shared" si="121"/>
        <v>0.75120207964445707</v>
      </c>
      <c r="S140" s="139">
        <f t="shared" si="121"/>
        <v>0.73554652016752553</v>
      </c>
      <c r="T140" s="139">
        <f t="shared" si="121"/>
        <v>0.79286657918434678</v>
      </c>
      <c r="U140" s="139">
        <f t="shared" si="121"/>
        <v>0.75819613661368557</v>
      </c>
      <c r="V140" s="139">
        <f t="shared" si="121"/>
        <v>0.69988490990595387</v>
      </c>
      <c r="W140" s="139">
        <f t="shared" si="121"/>
        <v>0.66183686568336775</v>
      </c>
      <c r="X140" s="139">
        <f t="shared" si="121"/>
        <v>0.72500340605128666</v>
      </c>
      <c r="Y140" s="139">
        <f t="shared" si="121"/>
        <v>0.66728617932793621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0.26242800679451439</v>
      </c>
      <c r="C141" s="140">
        <f t="shared" ref="C141:Y141" si="122">IF(C49=0,0,C49/C$47)</f>
        <v>0.27768530882826831</v>
      </c>
      <c r="D141" s="140">
        <f t="shared" si="122"/>
        <v>0.49462679506520718</v>
      </c>
      <c r="E141" s="140">
        <f t="shared" si="122"/>
        <v>0.33764472162517656</v>
      </c>
      <c r="F141" s="140">
        <f t="shared" si="122"/>
        <v>0.24051472583087624</v>
      </c>
      <c r="G141" s="140">
        <f t="shared" si="122"/>
        <v>0.33246075308941397</v>
      </c>
      <c r="H141" s="140">
        <f t="shared" si="122"/>
        <v>0.34492638564746769</v>
      </c>
      <c r="I141" s="140">
        <f t="shared" si="122"/>
        <v>0.32661308028416419</v>
      </c>
      <c r="J141" s="140">
        <f t="shared" si="122"/>
        <v>0.32450502032417911</v>
      </c>
      <c r="K141" s="140">
        <f t="shared" si="122"/>
        <v>0.32546337327496455</v>
      </c>
      <c r="L141" s="140">
        <f t="shared" si="122"/>
        <v>0.30350594588577245</v>
      </c>
      <c r="M141" s="140">
        <f t="shared" si="122"/>
        <v>0.31406492628019511</v>
      </c>
      <c r="N141" s="140">
        <f t="shared" si="122"/>
        <v>0.33025237007659286</v>
      </c>
      <c r="O141" s="140">
        <f t="shared" si="122"/>
        <v>0.35700651309478654</v>
      </c>
      <c r="P141" s="140">
        <f t="shared" si="122"/>
        <v>0.37352664555074017</v>
      </c>
      <c r="Q141" s="140">
        <f t="shared" si="122"/>
        <v>0.37681955559594577</v>
      </c>
      <c r="R141" s="140">
        <f t="shared" si="122"/>
        <v>0.37856748549724012</v>
      </c>
      <c r="S141" s="140">
        <f t="shared" si="122"/>
        <v>0.37726039466514733</v>
      </c>
      <c r="T141" s="140">
        <f t="shared" si="122"/>
        <v>0.41258952703991891</v>
      </c>
      <c r="U141" s="140">
        <f t="shared" si="122"/>
        <v>0.39452410454290593</v>
      </c>
      <c r="V141" s="140">
        <f t="shared" si="122"/>
        <v>0.35656606081245285</v>
      </c>
      <c r="W141" s="140">
        <f t="shared" si="122"/>
        <v>0.32972067823922746</v>
      </c>
      <c r="X141" s="140">
        <f t="shared" si="122"/>
        <v>0.35099661628242718</v>
      </c>
      <c r="Y141" s="140">
        <f t="shared" si="122"/>
        <v>0.31743320504627154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0.69264689321367379</v>
      </c>
      <c r="C142" s="140">
        <f t="shared" ref="C142:Y142" si="123">IF(C50=0,0,C50/C$47)</f>
        <v>0.68620854197745795</v>
      </c>
      <c r="D142" s="140">
        <f t="shared" si="123"/>
        <v>0.35574114512601995</v>
      </c>
      <c r="E142" s="140">
        <f t="shared" si="123"/>
        <v>0.59281298842768737</v>
      </c>
      <c r="F142" s="140">
        <f t="shared" si="123"/>
        <v>0.71674632043013753</v>
      </c>
      <c r="G142" s="140">
        <f t="shared" si="123"/>
        <v>0.50788449049330664</v>
      </c>
      <c r="H142" s="140">
        <f t="shared" si="123"/>
        <v>0.47734347482117956</v>
      </c>
      <c r="I142" s="140">
        <f t="shared" si="123"/>
        <v>0.48918067678133792</v>
      </c>
      <c r="J142" s="140">
        <f t="shared" si="123"/>
        <v>0.48906336480864193</v>
      </c>
      <c r="K142" s="140">
        <f t="shared" si="123"/>
        <v>0.47998997151721939</v>
      </c>
      <c r="L142" s="140">
        <f t="shared" si="123"/>
        <v>0.37999312338422925</v>
      </c>
      <c r="M142" s="140">
        <f t="shared" si="123"/>
        <v>0.36171097140805175</v>
      </c>
      <c r="N142" s="140">
        <f t="shared" si="123"/>
        <v>0.35774800981231164</v>
      </c>
      <c r="O142" s="140">
        <f t="shared" si="123"/>
        <v>0.38558594834862464</v>
      </c>
      <c r="P142" s="140">
        <f t="shared" si="123"/>
        <v>0.37121232927106651</v>
      </c>
      <c r="Q142" s="140">
        <f t="shared" si="123"/>
        <v>0.35136084427575826</v>
      </c>
      <c r="R142" s="140">
        <f t="shared" si="123"/>
        <v>0.37263459414721689</v>
      </c>
      <c r="S142" s="140">
        <f t="shared" si="123"/>
        <v>0.35828612550237821</v>
      </c>
      <c r="T142" s="140">
        <f t="shared" si="123"/>
        <v>0.38027705214442792</v>
      </c>
      <c r="U142" s="140">
        <f t="shared" si="123"/>
        <v>0.36367203207077958</v>
      </c>
      <c r="V142" s="140">
        <f t="shared" si="123"/>
        <v>0.34331884909350097</v>
      </c>
      <c r="W142" s="140">
        <f t="shared" si="123"/>
        <v>0.33211618744414029</v>
      </c>
      <c r="X142" s="140">
        <f t="shared" si="123"/>
        <v>0.37400678976885959</v>
      </c>
      <c r="Y142" s="140">
        <f t="shared" si="123"/>
        <v>0.34985297428166462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0</v>
      </c>
      <c r="C143" s="124">
        <f t="shared" ref="C143:Y143" si="124">IF(C51=0,0,C51/C$47)</f>
        <v>0</v>
      </c>
      <c r="D143" s="124">
        <f t="shared" si="124"/>
        <v>0</v>
      </c>
      <c r="E143" s="124">
        <f t="shared" si="124"/>
        <v>0</v>
      </c>
      <c r="F143" s="124">
        <f t="shared" si="124"/>
        <v>0</v>
      </c>
      <c r="G143" s="124">
        <f t="shared" si="124"/>
        <v>0</v>
      </c>
      <c r="H143" s="124">
        <f t="shared" si="124"/>
        <v>0</v>
      </c>
      <c r="I143" s="124">
        <f t="shared" si="124"/>
        <v>0</v>
      </c>
      <c r="J143" s="124">
        <f t="shared" si="124"/>
        <v>0</v>
      </c>
      <c r="K143" s="124">
        <f t="shared" si="124"/>
        <v>0</v>
      </c>
      <c r="L143" s="124">
        <f t="shared" si="124"/>
        <v>0</v>
      </c>
      <c r="M143" s="124">
        <f t="shared" si="124"/>
        <v>0</v>
      </c>
      <c r="N143" s="124">
        <f t="shared" si="124"/>
        <v>0</v>
      </c>
      <c r="O143" s="124">
        <f t="shared" si="124"/>
        <v>0</v>
      </c>
      <c r="P143" s="124">
        <f t="shared" si="124"/>
        <v>0</v>
      </c>
      <c r="Q143" s="124">
        <f t="shared" si="124"/>
        <v>0</v>
      </c>
      <c r="R143" s="124">
        <f t="shared" si="124"/>
        <v>0</v>
      </c>
      <c r="S143" s="124">
        <f t="shared" si="124"/>
        <v>0</v>
      </c>
      <c r="T143" s="124">
        <f t="shared" si="124"/>
        <v>0</v>
      </c>
      <c r="U143" s="124">
        <f t="shared" si="124"/>
        <v>0</v>
      </c>
      <c r="V143" s="124">
        <f t="shared" si="124"/>
        <v>0</v>
      </c>
      <c r="W143" s="124">
        <f t="shared" si="124"/>
        <v>0</v>
      </c>
      <c r="X143" s="124">
        <f t="shared" si="124"/>
        <v>0</v>
      </c>
      <c r="Y143" s="124">
        <f t="shared" si="124"/>
        <v>0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4.4925099991811775E-2</v>
      </c>
      <c r="C144" s="124">
        <f t="shared" ref="C144:Y144" si="125">IF(C52=0,0,C52/C$47)</f>
        <v>3.6106149194273816E-2</v>
      </c>
      <c r="D144" s="124">
        <f t="shared" si="125"/>
        <v>0.14963205980877289</v>
      </c>
      <c r="E144" s="124">
        <f t="shared" si="125"/>
        <v>6.9542289947135974E-2</v>
      </c>
      <c r="F144" s="124">
        <f t="shared" si="125"/>
        <v>4.2738953738986167E-2</v>
      </c>
      <c r="G144" s="124">
        <f t="shared" si="125"/>
        <v>3.7652227719289819E-2</v>
      </c>
      <c r="H144" s="124">
        <f t="shared" si="125"/>
        <v>4.5432144385748545E-2</v>
      </c>
      <c r="I144" s="124">
        <f t="shared" si="125"/>
        <v>4.4328451294251225E-2</v>
      </c>
      <c r="J144" s="124">
        <f t="shared" si="125"/>
        <v>4.7822144707703726E-2</v>
      </c>
      <c r="K144" s="124">
        <f t="shared" si="125"/>
        <v>5.3518961598861152E-2</v>
      </c>
      <c r="L144" s="124">
        <f t="shared" si="125"/>
        <v>5.0068313581306791E-2</v>
      </c>
      <c r="M144" s="124">
        <f t="shared" si="125"/>
        <v>5.0897122339049729E-2</v>
      </c>
      <c r="N144" s="124">
        <f t="shared" si="125"/>
        <v>5.0829619044799691E-2</v>
      </c>
      <c r="O144" s="124">
        <f t="shared" si="125"/>
        <v>3.9208620796078182E-2</v>
      </c>
      <c r="P144" s="124">
        <f t="shared" si="125"/>
        <v>3.30215248333324E-2</v>
      </c>
      <c r="Q144" s="124">
        <f t="shared" si="125"/>
        <v>3.3600883155001288E-2</v>
      </c>
      <c r="R144" s="124">
        <f t="shared" si="125"/>
        <v>2.1558587082995184E-2</v>
      </c>
      <c r="S144" s="124">
        <f t="shared" si="125"/>
        <v>1.9066831144996719E-2</v>
      </c>
      <c r="T144" s="124">
        <f t="shared" si="125"/>
        <v>1.9586119588973924E-2</v>
      </c>
      <c r="U144" s="124">
        <f t="shared" si="125"/>
        <v>1.2103877758828586E-2</v>
      </c>
      <c r="V144" s="124">
        <f t="shared" si="125"/>
        <v>1.8943914653832373E-2</v>
      </c>
      <c r="W144" s="124">
        <f t="shared" si="125"/>
        <v>1.6080078292497586E-2</v>
      </c>
      <c r="X144" s="124">
        <f t="shared" si="125"/>
        <v>1.7832525793904094E-2</v>
      </c>
      <c r="Y144" s="124">
        <f t="shared" si="125"/>
        <v>1.6693998174799215E-2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4.2477292179593056E-2</v>
      </c>
      <c r="C146" s="140">
        <f t="shared" ref="C146:Y146" si="127">IF(C54=0,0,C54/C$47)</f>
        <v>3.3969635354187767E-2</v>
      </c>
      <c r="D146" s="140">
        <f t="shared" si="127"/>
        <v>0.14009808795285508</v>
      </c>
      <c r="E146" s="140">
        <f t="shared" si="127"/>
        <v>6.6083002548949582E-2</v>
      </c>
      <c r="F146" s="140">
        <f t="shared" si="127"/>
        <v>3.989364978918606E-2</v>
      </c>
      <c r="G146" s="140">
        <f t="shared" si="127"/>
        <v>3.3852481371883202E-2</v>
      </c>
      <c r="H146" s="140">
        <f t="shared" si="127"/>
        <v>4.0844251155068956E-2</v>
      </c>
      <c r="I146" s="140">
        <f t="shared" si="127"/>
        <v>3.8370339987976239E-2</v>
      </c>
      <c r="J146" s="140">
        <f t="shared" si="127"/>
        <v>3.8623419829015238E-2</v>
      </c>
      <c r="K146" s="140">
        <f t="shared" si="127"/>
        <v>3.9526695101923845E-2</v>
      </c>
      <c r="L146" s="140">
        <f t="shared" si="127"/>
        <v>4.2093626117919454E-2</v>
      </c>
      <c r="M146" s="140">
        <f t="shared" si="127"/>
        <v>4.4882354883878012E-2</v>
      </c>
      <c r="N146" s="140">
        <f t="shared" si="127"/>
        <v>4.3177205370220843E-2</v>
      </c>
      <c r="O146" s="140">
        <f t="shared" si="127"/>
        <v>3.3538321745175639E-2</v>
      </c>
      <c r="P146" s="140">
        <f t="shared" si="127"/>
        <v>3.0055659139348861E-2</v>
      </c>
      <c r="Q146" s="140">
        <f t="shared" si="127"/>
        <v>3.1481126475240588E-2</v>
      </c>
      <c r="R146" s="140">
        <f t="shared" si="127"/>
        <v>1.8864544021343833E-2</v>
      </c>
      <c r="S146" s="140">
        <f t="shared" si="127"/>
        <v>1.7086192171314161E-2</v>
      </c>
      <c r="T146" s="140">
        <f t="shared" si="127"/>
        <v>1.8215999223322583E-2</v>
      </c>
      <c r="U146" s="140">
        <f t="shared" si="127"/>
        <v>1.1578928335380493E-2</v>
      </c>
      <c r="V146" s="140">
        <f t="shared" si="127"/>
        <v>1.3799878842426526E-2</v>
      </c>
      <c r="W146" s="140">
        <f t="shared" si="127"/>
        <v>1.3523197301000283E-2</v>
      </c>
      <c r="X146" s="140">
        <f t="shared" si="127"/>
        <v>1.1752487740877018E-2</v>
      </c>
      <c r="Y146" s="140">
        <f t="shared" si="127"/>
        <v>1.0544128558884151E-2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2.4478078122187226E-3</v>
      </c>
      <c r="C147" s="140">
        <f t="shared" ref="C147:Y147" si="128">IF(C55=0,0,C55/C$47)</f>
        <v>2.1365138400860498E-3</v>
      </c>
      <c r="D147" s="140">
        <f t="shared" si="128"/>
        <v>9.5339718559178128E-3</v>
      </c>
      <c r="E147" s="140">
        <f t="shared" si="128"/>
        <v>3.4592873981863911E-3</v>
      </c>
      <c r="F147" s="140">
        <f t="shared" si="128"/>
        <v>2.8453039498001114E-3</v>
      </c>
      <c r="G147" s="140">
        <f t="shared" si="128"/>
        <v>3.7997463474066214E-3</v>
      </c>
      <c r="H147" s="140">
        <f t="shared" si="128"/>
        <v>4.5878932306795883E-3</v>
      </c>
      <c r="I147" s="140">
        <f t="shared" si="128"/>
        <v>5.9581113062749901E-3</v>
      </c>
      <c r="J147" s="140">
        <f t="shared" si="128"/>
        <v>9.1987248786884902E-3</v>
      </c>
      <c r="K147" s="140">
        <f t="shared" si="128"/>
        <v>1.3992266496937304E-2</v>
      </c>
      <c r="L147" s="140">
        <f t="shared" si="128"/>
        <v>7.9746874633873331E-3</v>
      </c>
      <c r="M147" s="140">
        <f t="shared" si="128"/>
        <v>6.0147674551717205E-3</v>
      </c>
      <c r="N147" s="140">
        <f t="shared" si="128"/>
        <v>7.6524136745788444E-3</v>
      </c>
      <c r="O147" s="140">
        <f t="shared" si="128"/>
        <v>5.6702990509025488E-3</v>
      </c>
      <c r="P147" s="140">
        <f t="shared" si="128"/>
        <v>2.9658656939835419E-3</v>
      </c>
      <c r="Q147" s="140">
        <f t="shared" si="128"/>
        <v>2.1197566797607013E-3</v>
      </c>
      <c r="R147" s="140">
        <f t="shared" si="128"/>
        <v>2.6940430616513487E-3</v>
      </c>
      <c r="S147" s="140">
        <f t="shared" si="128"/>
        <v>1.9806389736825559E-3</v>
      </c>
      <c r="T147" s="140">
        <f t="shared" si="128"/>
        <v>1.3701203656513398E-3</v>
      </c>
      <c r="U147" s="140">
        <f t="shared" si="128"/>
        <v>5.2494942344809053E-4</v>
      </c>
      <c r="V147" s="140">
        <f t="shared" si="128"/>
        <v>5.1440358114058452E-3</v>
      </c>
      <c r="W147" s="140">
        <f t="shared" si="128"/>
        <v>2.5568809914973028E-3</v>
      </c>
      <c r="X147" s="140">
        <f t="shared" si="128"/>
        <v>6.0800380530270726E-3</v>
      </c>
      <c r="Y147" s="140">
        <f t="shared" si="128"/>
        <v>6.1498696159150625E-3</v>
      </c>
      <c r="DA147" s="175"/>
    </row>
    <row r="148" spans="1:105" ht="11.45" customHeight="1" x14ac:dyDescent="0.25">
      <c r="A148" s="109" t="s">
        <v>141</v>
      </c>
      <c r="B148" s="124">
        <f t="shared" si="119"/>
        <v>0</v>
      </c>
      <c r="C148" s="124">
        <f t="shared" ref="C148:Y148" si="129">IF(C56=0,0,C56/C$47)</f>
        <v>0</v>
      </c>
      <c r="D148" s="124">
        <f t="shared" si="129"/>
        <v>0</v>
      </c>
      <c r="E148" s="124">
        <f t="shared" si="129"/>
        <v>0</v>
      </c>
      <c r="F148" s="124">
        <f t="shared" si="129"/>
        <v>0</v>
      </c>
      <c r="G148" s="124">
        <f t="shared" si="129"/>
        <v>0.12200252869798944</v>
      </c>
      <c r="H148" s="124">
        <f t="shared" si="129"/>
        <v>0.1322979951456042</v>
      </c>
      <c r="I148" s="124">
        <f t="shared" si="129"/>
        <v>0.13987779164024658</v>
      </c>
      <c r="J148" s="124">
        <f t="shared" si="129"/>
        <v>0.13860947015947525</v>
      </c>
      <c r="K148" s="124">
        <f t="shared" si="129"/>
        <v>0.14102769360895481</v>
      </c>
      <c r="L148" s="124">
        <f t="shared" si="129"/>
        <v>0.26643261714869143</v>
      </c>
      <c r="M148" s="124">
        <f t="shared" si="129"/>
        <v>0.27332697997270344</v>
      </c>
      <c r="N148" s="124">
        <f t="shared" si="129"/>
        <v>0.26117000106629573</v>
      </c>
      <c r="O148" s="124">
        <f t="shared" si="129"/>
        <v>0.2181989177605107</v>
      </c>
      <c r="P148" s="124">
        <f t="shared" si="129"/>
        <v>0.22223950034486098</v>
      </c>
      <c r="Q148" s="124">
        <f t="shared" si="129"/>
        <v>0.23821871697329478</v>
      </c>
      <c r="R148" s="124">
        <f t="shared" si="129"/>
        <v>0.22723933327254761</v>
      </c>
      <c r="S148" s="124">
        <f t="shared" si="129"/>
        <v>0.24538664868747773</v>
      </c>
      <c r="T148" s="124">
        <f t="shared" si="129"/>
        <v>0.18754730122667923</v>
      </c>
      <c r="U148" s="124">
        <f t="shared" si="129"/>
        <v>0.22969998562748584</v>
      </c>
      <c r="V148" s="124">
        <f t="shared" si="129"/>
        <v>0.28117117544021397</v>
      </c>
      <c r="W148" s="124">
        <f t="shared" si="129"/>
        <v>0.32208305602413456</v>
      </c>
      <c r="X148" s="124">
        <f t="shared" si="129"/>
        <v>0.25716406815480919</v>
      </c>
      <c r="Y148" s="124">
        <f t="shared" si="129"/>
        <v>0.31601982249726462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0.12200252869798944</v>
      </c>
      <c r="H149" s="140">
        <f t="shared" si="130"/>
        <v>0.1322979951456042</v>
      </c>
      <c r="I149" s="140">
        <f t="shared" si="130"/>
        <v>0.13987779164024658</v>
      </c>
      <c r="J149" s="140">
        <f t="shared" si="130"/>
        <v>0.13860947015947525</v>
      </c>
      <c r="K149" s="140">
        <f t="shared" si="130"/>
        <v>0.14102769360895481</v>
      </c>
      <c r="L149" s="140">
        <f t="shared" si="130"/>
        <v>0.26643261714869143</v>
      </c>
      <c r="M149" s="140">
        <f t="shared" si="130"/>
        <v>0.27332697997270344</v>
      </c>
      <c r="N149" s="140">
        <f t="shared" si="130"/>
        <v>0.26117000106629573</v>
      </c>
      <c r="O149" s="140">
        <f t="shared" si="130"/>
        <v>0.2181989177605107</v>
      </c>
      <c r="P149" s="140">
        <f t="shared" si="130"/>
        <v>0.22223950034486098</v>
      </c>
      <c r="Q149" s="140">
        <f t="shared" si="130"/>
        <v>0.23821871697329478</v>
      </c>
      <c r="R149" s="140">
        <f t="shared" si="130"/>
        <v>0.22723933327254761</v>
      </c>
      <c r="S149" s="140">
        <f t="shared" si="130"/>
        <v>0.24538664868747773</v>
      </c>
      <c r="T149" s="140">
        <f t="shared" si="130"/>
        <v>0.18754730122667923</v>
      </c>
      <c r="U149" s="140">
        <f t="shared" si="130"/>
        <v>0.22969998562748584</v>
      </c>
      <c r="V149" s="140">
        <f t="shared" si="130"/>
        <v>0.28117117544021397</v>
      </c>
      <c r="W149" s="140">
        <f t="shared" si="130"/>
        <v>0.32208305602413456</v>
      </c>
      <c r="X149" s="140">
        <f t="shared" si="130"/>
        <v>0.25716406815480919</v>
      </c>
      <c r="Y149" s="140">
        <f t="shared" si="130"/>
        <v>0.31601982249726462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0</v>
      </c>
      <c r="W150" s="127">
        <f t="shared" si="131"/>
        <v>0</v>
      </c>
      <c r="X150" s="127">
        <f t="shared" si="131"/>
        <v>0</v>
      </c>
      <c r="Y150" s="127">
        <f t="shared" si="131"/>
        <v>0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0.58040331575588922</v>
      </c>
      <c r="C152" s="140">
        <f t="shared" si="133"/>
        <v>0.58070472785766003</v>
      </c>
      <c r="D152" s="140">
        <f t="shared" si="133"/>
        <v>0.57841500921825773</v>
      </c>
      <c r="E152" s="140">
        <f t="shared" si="133"/>
        <v>0.57853472773749282</v>
      </c>
      <c r="F152" s="140">
        <f t="shared" si="133"/>
        <v>0.49616358929371301</v>
      </c>
      <c r="G152" s="140">
        <f t="shared" si="133"/>
        <v>0.58207325696862977</v>
      </c>
      <c r="H152" s="140">
        <f t="shared" si="133"/>
        <v>0.52500730024215447</v>
      </c>
      <c r="I152" s="140">
        <f t="shared" si="133"/>
        <v>0.47840365996003231</v>
      </c>
      <c r="J152" s="140">
        <f t="shared" si="133"/>
        <v>0.60119537425849412</v>
      </c>
      <c r="K152" s="140">
        <f t="shared" si="133"/>
        <v>0.59428464705888706</v>
      </c>
      <c r="L152" s="140">
        <f t="shared" si="133"/>
        <v>0.59297317117608295</v>
      </c>
      <c r="M152" s="140">
        <f t="shared" si="133"/>
        <v>0.57854694591227418</v>
      </c>
      <c r="N152" s="140">
        <f t="shared" si="133"/>
        <v>0.63952943672251217</v>
      </c>
      <c r="O152" s="140">
        <f t="shared" si="133"/>
        <v>0.64096344896760493</v>
      </c>
      <c r="P152" s="140">
        <f t="shared" si="133"/>
        <v>0.58968213175212814</v>
      </c>
      <c r="Q152" s="140">
        <f t="shared" si="133"/>
        <v>0.64900163145633272</v>
      </c>
      <c r="R152" s="140">
        <f t="shared" si="133"/>
        <v>0.6057215212421232</v>
      </c>
      <c r="S152" s="140">
        <f t="shared" si="133"/>
        <v>0.59214961745846195</v>
      </c>
      <c r="T152" s="140">
        <f t="shared" si="133"/>
        <v>0.61706583633089074</v>
      </c>
      <c r="U152" s="140">
        <f t="shared" si="133"/>
        <v>0.55419372798493016</v>
      </c>
      <c r="V152" s="140">
        <f t="shared" si="133"/>
        <v>0.62566297133539128</v>
      </c>
      <c r="W152" s="140">
        <f t="shared" si="133"/>
        <v>0.59872098213866454</v>
      </c>
      <c r="X152" s="140">
        <f t="shared" si="133"/>
        <v>0.61371313236082758</v>
      </c>
      <c r="Y152" s="140">
        <f t="shared" si="133"/>
        <v>0.62266578706322206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0.41959668424411084</v>
      </c>
      <c r="C153" s="127">
        <f t="shared" si="134"/>
        <v>0.41929527214233997</v>
      </c>
      <c r="D153" s="127">
        <f t="shared" si="134"/>
        <v>0.42158499078174233</v>
      </c>
      <c r="E153" s="127">
        <f t="shared" si="134"/>
        <v>0.42146527226250724</v>
      </c>
      <c r="F153" s="127">
        <f t="shared" si="134"/>
        <v>0.50383641070628693</v>
      </c>
      <c r="G153" s="127">
        <f t="shared" si="134"/>
        <v>0.41792674303137023</v>
      </c>
      <c r="H153" s="127">
        <f t="shared" si="134"/>
        <v>0.47499269975784547</v>
      </c>
      <c r="I153" s="127">
        <f t="shared" si="134"/>
        <v>0.52159634003996769</v>
      </c>
      <c r="J153" s="127">
        <f t="shared" si="134"/>
        <v>0.39880462574150577</v>
      </c>
      <c r="K153" s="127">
        <f t="shared" si="134"/>
        <v>0.40571535294111305</v>
      </c>
      <c r="L153" s="127">
        <f t="shared" si="134"/>
        <v>0.40702682882391705</v>
      </c>
      <c r="M153" s="127">
        <f t="shared" si="134"/>
        <v>0.42145305408772582</v>
      </c>
      <c r="N153" s="127">
        <f t="shared" si="134"/>
        <v>0.36047056327748783</v>
      </c>
      <c r="O153" s="127">
        <f t="shared" si="134"/>
        <v>0.35903655103239518</v>
      </c>
      <c r="P153" s="127">
        <f t="shared" si="134"/>
        <v>0.41031786824787186</v>
      </c>
      <c r="Q153" s="127">
        <f t="shared" si="134"/>
        <v>0.35099836854366717</v>
      </c>
      <c r="R153" s="127">
        <f t="shared" si="134"/>
        <v>0.3942784787578768</v>
      </c>
      <c r="S153" s="127">
        <f t="shared" si="134"/>
        <v>0.40785038254153805</v>
      </c>
      <c r="T153" s="127">
        <f t="shared" si="134"/>
        <v>0.38293416366910915</v>
      </c>
      <c r="U153" s="127">
        <f t="shared" si="134"/>
        <v>0.44580627201506984</v>
      </c>
      <c r="V153" s="127">
        <f t="shared" si="134"/>
        <v>0.37433702866460877</v>
      </c>
      <c r="W153" s="127">
        <f t="shared" si="134"/>
        <v>0.40127901786133541</v>
      </c>
      <c r="X153" s="127">
        <f t="shared" si="134"/>
        <v>0.38628686763917236</v>
      </c>
      <c r="Y153" s="127">
        <f t="shared" si="134"/>
        <v>0.37733421293677788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0.42709584141200435</v>
      </c>
      <c r="C157" s="139">
        <f t="shared" ref="C157:W157" si="138">IF(C65=0,0,C65/C$64)</f>
        <v>0.48667238482980268</v>
      </c>
      <c r="D157" s="139">
        <f t="shared" si="138"/>
        <v>0.48405283589685338</v>
      </c>
      <c r="E157" s="139">
        <f t="shared" si="138"/>
        <v>0.5283133561768002</v>
      </c>
      <c r="F157" s="139">
        <f t="shared" si="138"/>
        <v>0.45174925977837138</v>
      </c>
      <c r="G157" s="139">
        <f t="shared" si="138"/>
        <v>0.53724608036863875</v>
      </c>
      <c r="H157" s="139">
        <f t="shared" si="138"/>
        <v>0.54395397027905357</v>
      </c>
      <c r="I157" s="139">
        <f t="shared" si="138"/>
        <v>0.53603900627470513</v>
      </c>
      <c r="J157" s="139">
        <f t="shared" si="138"/>
        <v>0.56349627910255062</v>
      </c>
      <c r="K157" s="139">
        <f t="shared" si="138"/>
        <v>0.54759060433595563</v>
      </c>
      <c r="L157" s="139">
        <f t="shared" si="138"/>
        <v>0.5540598684285557</v>
      </c>
      <c r="M157" s="139">
        <f t="shared" si="138"/>
        <v>0.54824055449149101</v>
      </c>
      <c r="N157" s="139">
        <f t="shared" si="138"/>
        <v>0.56508768912069118</v>
      </c>
      <c r="O157" s="139">
        <f t="shared" si="138"/>
        <v>0.55645827188678565</v>
      </c>
      <c r="P157" s="139">
        <f t="shared" si="138"/>
        <v>0.54743368496570999</v>
      </c>
      <c r="Q157" s="139">
        <f t="shared" si="138"/>
        <v>0.55671131036559551</v>
      </c>
      <c r="R157" s="139">
        <f t="shared" si="138"/>
        <v>0.54037115717442208</v>
      </c>
      <c r="S157" s="139">
        <f t="shared" si="138"/>
        <v>0.51636144807542683</v>
      </c>
      <c r="T157" s="139">
        <f t="shared" si="138"/>
        <v>0.5122819636226813</v>
      </c>
      <c r="U157" s="139">
        <f t="shared" si="138"/>
        <v>0.50804489798179531</v>
      </c>
      <c r="V157" s="139">
        <f t="shared" si="138"/>
        <v>0.69524800277502918</v>
      </c>
      <c r="W157" s="139">
        <f t="shared" si="138"/>
        <v>0.64828579751926707</v>
      </c>
      <c r="X157" s="139">
        <f t="shared" ref="X157:Y157" si="139">IF(X65=0,0,X65/X$64)</f>
        <v>0.57542319134056341</v>
      </c>
      <c r="Y157" s="139">
        <f t="shared" si="139"/>
        <v>0.54092150295955477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5.1103900310151881E-3</v>
      </c>
      <c r="C158" s="140">
        <f t="shared" ref="C158:W158" si="140">IF(C66=0,0,C66/C$64)</f>
        <v>6.2847845940828548E-3</v>
      </c>
      <c r="D158" s="140">
        <f t="shared" si="140"/>
        <v>6.7607911505763807E-3</v>
      </c>
      <c r="E158" s="140">
        <f t="shared" si="140"/>
        <v>7.2040224136098738E-3</v>
      </c>
      <c r="F158" s="140">
        <f t="shared" si="140"/>
        <v>6.0491608137830249E-3</v>
      </c>
      <c r="G158" s="140">
        <f t="shared" si="140"/>
        <v>5.6326753539493856E-3</v>
      </c>
      <c r="H158" s="140">
        <f t="shared" si="140"/>
        <v>5.6282401661588467E-3</v>
      </c>
      <c r="I158" s="140">
        <f t="shared" si="140"/>
        <v>5.6580154767216029E-3</v>
      </c>
      <c r="J158" s="140">
        <f t="shared" si="140"/>
        <v>5.7275089393703802E-3</v>
      </c>
      <c r="K158" s="140">
        <f t="shared" si="140"/>
        <v>6.2548946111005916E-3</v>
      </c>
      <c r="L158" s="140">
        <f t="shared" si="140"/>
        <v>5.4723556843578394E-3</v>
      </c>
      <c r="M158" s="140">
        <f t="shared" si="140"/>
        <v>5.5855180790444509E-3</v>
      </c>
      <c r="N158" s="140">
        <f t="shared" si="140"/>
        <v>5.6232019698725577E-3</v>
      </c>
      <c r="O158" s="140">
        <f t="shared" si="140"/>
        <v>5.6791251757576725E-3</v>
      </c>
      <c r="P158" s="140">
        <f t="shared" si="140"/>
        <v>5.7846486005349064E-3</v>
      </c>
      <c r="Q158" s="140">
        <f t="shared" si="140"/>
        <v>5.5526691331199054E-3</v>
      </c>
      <c r="R158" s="140">
        <f t="shared" si="140"/>
        <v>5.6770648156570999E-3</v>
      </c>
      <c r="S158" s="140">
        <f t="shared" si="140"/>
        <v>4.9830693806096719E-3</v>
      </c>
      <c r="T158" s="140">
        <f t="shared" si="140"/>
        <v>4.3334447552898746E-3</v>
      </c>
      <c r="U158" s="140">
        <f t="shared" si="140"/>
        <v>4.5401363127053193E-3</v>
      </c>
      <c r="V158" s="140">
        <f t="shared" si="140"/>
        <v>7.1524297274605381E-3</v>
      </c>
      <c r="W158" s="140">
        <f t="shared" si="140"/>
        <v>6.6072073640051042E-3</v>
      </c>
      <c r="X158" s="140">
        <f t="shared" ref="X158:Y158" si="141">IF(X66=0,0,X66/X$64)</f>
        <v>5.0345055717423131E-3</v>
      </c>
      <c r="Y158" s="140">
        <f t="shared" si="141"/>
        <v>4.9823534733548372E-3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0.36784306220317248</v>
      </c>
      <c r="C159" s="140">
        <f t="shared" ref="C159:W159" si="142">IF(C67=0,0,C67/C$64)</f>
        <v>0.41784192283591037</v>
      </c>
      <c r="D159" s="140">
        <f t="shared" si="142"/>
        <v>0.45120340258503516</v>
      </c>
      <c r="E159" s="140">
        <f t="shared" si="142"/>
        <v>0.46625719099967083</v>
      </c>
      <c r="F159" s="140">
        <f t="shared" si="142"/>
        <v>0.37543131103843974</v>
      </c>
      <c r="G159" s="140">
        <f t="shared" si="142"/>
        <v>0.43389873831372944</v>
      </c>
      <c r="H159" s="140">
        <f t="shared" si="142"/>
        <v>0.43509288535579915</v>
      </c>
      <c r="I159" s="140">
        <f t="shared" si="142"/>
        <v>0.43536102010125372</v>
      </c>
      <c r="J159" s="140">
        <f t="shared" si="142"/>
        <v>0.47161866714293565</v>
      </c>
      <c r="K159" s="140">
        <f t="shared" si="142"/>
        <v>0.45888464230948056</v>
      </c>
      <c r="L159" s="140">
        <f t="shared" si="142"/>
        <v>0.46984687239142792</v>
      </c>
      <c r="M159" s="140">
        <f t="shared" si="142"/>
        <v>0.46495279366166425</v>
      </c>
      <c r="N159" s="140">
        <f t="shared" si="142"/>
        <v>0.47002512172272926</v>
      </c>
      <c r="O159" s="140">
        <f t="shared" si="142"/>
        <v>0.46374385511099842</v>
      </c>
      <c r="P159" s="140">
        <f t="shared" si="142"/>
        <v>0.44292271140194578</v>
      </c>
      <c r="Q159" s="140">
        <f t="shared" si="142"/>
        <v>0.44459945506210513</v>
      </c>
      <c r="R159" s="140">
        <f t="shared" si="142"/>
        <v>0.43340966946401344</v>
      </c>
      <c r="S159" s="140">
        <f t="shared" si="142"/>
        <v>0.40959245986073278</v>
      </c>
      <c r="T159" s="140">
        <f t="shared" si="142"/>
        <v>0.40120454256905741</v>
      </c>
      <c r="U159" s="140">
        <f t="shared" si="142"/>
        <v>0.4001797855719445</v>
      </c>
      <c r="V159" s="140">
        <f t="shared" si="142"/>
        <v>0.56604377703190478</v>
      </c>
      <c r="W159" s="140">
        <f t="shared" si="142"/>
        <v>0.54014545499864952</v>
      </c>
      <c r="X159" s="140">
        <f t="shared" ref="X159:Y159" si="143">IF(X67=0,0,X67/X$64)</f>
        <v>0.45855736657102286</v>
      </c>
      <c r="Y159" s="140">
        <f t="shared" si="143"/>
        <v>0.42725445477106666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5.4142389177816733E-2</v>
      </c>
      <c r="C160" s="140">
        <f t="shared" ref="C160:W160" si="144">IF(C68=0,0,C68/C$64)</f>
        <v>6.2545677399809457E-2</v>
      </c>
      <c r="D160" s="140">
        <f t="shared" si="144"/>
        <v>2.6088642161241814E-2</v>
      </c>
      <c r="E160" s="140">
        <f t="shared" si="144"/>
        <v>5.4852142763519497E-2</v>
      </c>
      <c r="F160" s="140">
        <f t="shared" si="144"/>
        <v>7.0268787926148615E-2</v>
      </c>
      <c r="G160" s="140">
        <f t="shared" si="144"/>
        <v>9.7714666700959907E-2</v>
      </c>
      <c r="H160" s="140">
        <f t="shared" si="144"/>
        <v>0.10323284475709568</v>
      </c>
      <c r="I160" s="140">
        <f t="shared" si="144"/>
        <v>9.5019970696729822E-2</v>
      </c>
      <c r="J160" s="140">
        <f t="shared" si="144"/>
        <v>8.6150103020244617E-2</v>
      </c>
      <c r="K160" s="140">
        <f t="shared" si="144"/>
        <v>8.2451067415374543E-2</v>
      </c>
      <c r="L160" s="140">
        <f t="shared" si="144"/>
        <v>7.8740640352769897E-2</v>
      </c>
      <c r="M160" s="140">
        <f t="shared" si="144"/>
        <v>7.7702242750782288E-2</v>
      </c>
      <c r="N160" s="140">
        <f t="shared" si="144"/>
        <v>8.9439365428089404E-2</v>
      </c>
      <c r="O160" s="140">
        <f t="shared" si="144"/>
        <v>8.7035291600029513E-2</v>
      </c>
      <c r="P160" s="140">
        <f t="shared" si="144"/>
        <v>9.8726324963229237E-2</v>
      </c>
      <c r="Q160" s="140">
        <f t="shared" si="144"/>
        <v>0.10655918617037048</v>
      </c>
      <c r="R160" s="140">
        <f t="shared" si="144"/>
        <v>0.10128442289475161</v>
      </c>
      <c r="S160" s="140">
        <f t="shared" si="144"/>
        <v>0.10178591883408437</v>
      </c>
      <c r="T160" s="140">
        <f t="shared" si="144"/>
        <v>0.10674397629833406</v>
      </c>
      <c r="U160" s="140">
        <f t="shared" si="144"/>
        <v>0.1033249760971455</v>
      </c>
      <c r="V160" s="140">
        <f t="shared" si="144"/>
        <v>0.12205179601566385</v>
      </c>
      <c r="W160" s="140">
        <f t="shared" si="144"/>
        <v>0.10153313515661246</v>
      </c>
      <c r="X160" s="140">
        <f t="shared" ref="X160:Y160" si="145">IF(X68=0,0,X68/X$64)</f>
        <v>0.11183131919779817</v>
      </c>
      <c r="Y160" s="140">
        <f t="shared" si="145"/>
        <v>0.10868469471513331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0</v>
      </c>
      <c r="C161" s="124">
        <f t="shared" ref="C161:W161" si="146">IF(C69=0,0,C69/C$64)</f>
        <v>0</v>
      </c>
      <c r="D161" s="124">
        <f t="shared" si="146"/>
        <v>0</v>
      </c>
      <c r="E161" s="124">
        <f t="shared" si="146"/>
        <v>0</v>
      </c>
      <c r="F161" s="124">
        <f t="shared" si="146"/>
        <v>0</v>
      </c>
      <c r="G161" s="124">
        <f t="shared" si="146"/>
        <v>0</v>
      </c>
      <c r="H161" s="124">
        <f t="shared" si="146"/>
        <v>0</v>
      </c>
      <c r="I161" s="124">
        <f t="shared" si="146"/>
        <v>0</v>
      </c>
      <c r="J161" s="124">
        <f t="shared" si="146"/>
        <v>0</v>
      </c>
      <c r="K161" s="124">
        <f t="shared" si="146"/>
        <v>0</v>
      </c>
      <c r="L161" s="124">
        <f t="shared" si="146"/>
        <v>0</v>
      </c>
      <c r="M161" s="124">
        <f t="shared" si="146"/>
        <v>0</v>
      </c>
      <c r="N161" s="124">
        <f t="shared" si="146"/>
        <v>0</v>
      </c>
      <c r="O161" s="124">
        <f t="shared" si="146"/>
        <v>0</v>
      </c>
      <c r="P161" s="124">
        <f t="shared" si="146"/>
        <v>0</v>
      </c>
      <c r="Q161" s="124">
        <f t="shared" si="146"/>
        <v>0</v>
      </c>
      <c r="R161" s="124">
        <f t="shared" si="146"/>
        <v>0</v>
      </c>
      <c r="S161" s="124">
        <f t="shared" si="146"/>
        <v>0</v>
      </c>
      <c r="T161" s="124">
        <f t="shared" si="146"/>
        <v>0</v>
      </c>
      <c r="U161" s="124">
        <f t="shared" si="146"/>
        <v>0</v>
      </c>
      <c r="V161" s="124">
        <f t="shared" si="146"/>
        <v>0</v>
      </c>
      <c r="W161" s="124">
        <f t="shared" si="146"/>
        <v>0</v>
      </c>
      <c r="X161" s="124">
        <f t="shared" ref="X161:Y161" si="147">IF(X69=0,0,X69/X$64)</f>
        <v>0</v>
      </c>
      <c r="Y161" s="124">
        <f t="shared" si="147"/>
        <v>0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0</v>
      </c>
      <c r="C163" s="140">
        <f t="shared" ref="C163:W163" si="150">IF(C71=0,0,C71/C$64)</f>
        <v>0</v>
      </c>
      <c r="D163" s="140">
        <f t="shared" si="150"/>
        <v>0</v>
      </c>
      <c r="E163" s="140">
        <f t="shared" si="150"/>
        <v>0</v>
      </c>
      <c r="F163" s="140">
        <f t="shared" si="150"/>
        <v>0</v>
      </c>
      <c r="G163" s="140">
        <f t="shared" si="150"/>
        <v>0</v>
      </c>
      <c r="H163" s="140">
        <f t="shared" si="150"/>
        <v>0</v>
      </c>
      <c r="I163" s="140">
        <f t="shared" si="150"/>
        <v>0</v>
      </c>
      <c r="J163" s="140">
        <f t="shared" si="150"/>
        <v>0</v>
      </c>
      <c r="K163" s="140">
        <f t="shared" si="150"/>
        <v>0</v>
      </c>
      <c r="L163" s="140">
        <f t="shared" si="150"/>
        <v>0</v>
      </c>
      <c r="M163" s="140">
        <f t="shared" si="150"/>
        <v>0</v>
      </c>
      <c r="N163" s="140">
        <f t="shared" si="150"/>
        <v>0</v>
      </c>
      <c r="O163" s="140">
        <f t="shared" si="150"/>
        <v>0</v>
      </c>
      <c r="P163" s="140">
        <f t="shared" si="150"/>
        <v>0</v>
      </c>
      <c r="Q163" s="140">
        <f t="shared" si="150"/>
        <v>0</v>
      </c>
      <c r="R163" s="140">
        <f t="shared" si="150"/>
        <v>0</v>
      </c>
      <c r="S163" s="140">
        <f t="shared" si="150"/>
        <v>0</v>
      </c>
      <c r="T163" s="140">
        <f t="shared" si="150"/>
        <v>0</v>
      </c>
      <c r="U163" s="140">
        <f t="shared" si="150"/>
        <v>0</v>
      </c>
      <c r="V163" s="140">
        <f t="shared" si="150"/>
        <v>0</v>
      </c>
      <c r="W163" s="140">
        <f t="shared" si="150"/>
        <v>0</v>
      </c>
      <c r="X163" s="140">
        <f t="shared" ref="X163:Y163" si="151">IF(X71=0,0,X71/X$64)</f>
        <v>0</v>
      </c>
      <c r="Y163" s="140">
        <f t="shared" si="151"/>
        <v>0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0.5729041585879957</v>
      </c>
      <c r="C165" s="124">
        <f t="shared" ref="C165:W165" si="154">IF(C73=0,0,C73/C$64)</f>
        <v>0.5133276151701972</v>
      </c>
      <c r="D165" s="124">
        <f t="shared" si="154"/>
        <v>0.51594716410314667</v>
      </c>
      <c r="E165" s="124">
        <f t="shared" si="154"/>
        <v>0.4716866438231998</v>
      </c>
      <c r="F165" s="124">
        <f t="shared" si="154"/>
        <v>0.54825074022162867</v>
      </c>
      <c r="G165" s="124">
        <f t="shared" si="154"/>
        <v>0.46275391963136131</v>
      </c>
      <c r="H165" s="124">
        <f t="shared" si="154"/>
        <v>0.45604602972094627</v>
      </c>
      <c r="I165" s="124">
        <f t="shared" si="154"/>
        <v>0.46396099372529481</v>
      </c>
      <c r="J165" s="124">
        <f t="shared" si="154"/>
        <v>0.43650372089744927</v>
      </c>
      <c r="K165" s="124">
        <f t="shared" si="154"/>
        <v>0.45240939566404426</v>
      </c>
      <c r="L165" s="124">
        <f t="shared" si="154"/>
        <v>0.44594013157144435</v>
      </c>
      <c r="M165" s="124">
        <f t="shared" si="154"/>
        <v>0.45175944550850911</v>
      </c>
      <c r="N165" s="124">
        <f t="shared" si="154"/>
        <v>0.43491231087930876</v>
      </c>
      <c r="O165" s="124">
        <f t="shared" si="154"/>
        <v>0.44354172811321435</v>
      </c>
      <c r="P165" s="124">
        <f t="shared" si="154"/>
        <v>0.45256631503429001</v>
      </c>
      <c r="Q165" s="124">
        <f t="shared" si="154"/>
        <v>0.44328868963440443</v>
      </c>
      <c r="R165" s="124">
        <f t="shared" si="154"/>
        <v>0.45962884282557798</v>
      </c>
      <c r="S165" s="124">
        <f t="shared" si="154"/>
        <v>0.48363855192457322</v>
      </c>
      <c r="T165" s="124">
        <f t="shared" si="154"/>
        <v>0.48771803637731859</v>
      </c>
      <c r="U165" s="124">
        <f t="shared" si="154"/>
        <v>0.49195510201820469</v>
      </c>
      <c r="V165" s="124">
        <f t="shared" si="154"/>
        <v>0.30475199722497071</v>
      </c>
      <c r="W165" s="124">
        <f t="shared" si="154"/>
        <v>0.35171420248073282</v>
      </c>
      <c r="X165" s="124">
        <f t="shared" ref="X165:Y165" si="155">IF(X73=0,0,X73/X$64)</f>
        <v>0.42457680865943664</v>
      </c>
      <c r="Y165" s="124">
        <f t="shared" si="155"/>
        <v>0.45907849704044518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0.51582397858644902</v>
      </c>
      <c r="C167" s="140">
        <f t="shared" ref="C167:W167" si="158">IF(C75=0,0,C75/C$64)</f>
        <v>0.46218177205662225</v>
      </c>
      <c r="D167" s="140">
        <f t="shared" si="158"/>
        <v>0.46925839783569984</v>
      </c>
      <c r="E167" s="140">
        <f t="shared" si="158"/>
        <v>0.43363010694846676</v>
      </c>
      <c r="F167" s="140">
        <f t="shared" si="158"/>
        <v>0.5063682496866414</v>
      </c>
      <c r="G167" s="140">
        <f t="shared" si="158"/>
        <v>0.42861304992014282</v>
      </c>
      <c r="H167" s="140">
        <f t="shared" si="158"/>
        <v>0.42130333511206469</v>
      </c>
      <c r="I167" s="140">
        <f t="shared" si="158"/>
        <v>0.42996520219335371</v>
      </c>
      <c r="J167" s="140">
        <f t="shared" si="158"/>
        <v>0.40251832998455861</v>
      </c>
      <c r="K167" s="140">
        <f t="shared" si="158"/>
        <v>0.41517099151739895</v>
      </c>
      <c r="L167" s="140">
        <f t="shared" si="158"/>
        <v>0.4099431950508281</v>
      </c>
      <c r="M167" s="140">
        <f t="shared" si="158"/>
        <v>0.41572366133998551</v>
      </c>
      <c r="N167" s="140">
        <f t="shared" si="158"/>
        <v>0.39967956870709626</v>
      </c>
      <c r="O167" s="140">
        <f t="shared" si="158"/>
        <v>0.40837870606581683</v>
      </c>
      <c r="P167" s="140">
        <f t="shared" si="158"/>
        <v>0.41788415899090631</v>
      </c>
      <c r="Q167" s="140">
        <f t="shared" si="158"/>
        <v>0.40952024598780312</v>
      </c>
      <c r="R167" s="140">
        <f t="shared" si="158"/>
        <v>0.42625099866761323</v>
      </c>
      <c r="S167" s="140">
        <f t="shared" si="158"/>
        <v>0.45003860945810681</v>
      </c>
      <c r="T167" s="140">
        <f t="shared" si="158"/>
        <v>0.45485670169188547</v>
      </c>
      <c r="U167" s="140">
        <f t="shared" si="158"/>
        <v>0.45844264444773408</v>
      </c>
      <c r="V167" s="140">
        <f t="shared" si="158"/>
        <v>0.2701729730882787</v>
      </c>
      <c r="W167" s="140">
        <f t="shared" si="158"/>
        <v>0.31792822960549388</v>
      </c>
      <c r="X167" s="140">
        <f t="shared" ref="X167:Y167" si="159">IF(X75=0,0,X75/X$64)</f>
        <v>0.3918938786115459</v>
      </c>
      <c r="Y167" s="140">
        <f t="shared" si="159"/>
        <v>0.42545772746477423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5.7080180001546653E-2</v>
      </c>
      <c r="C168" s="140">
        <f t="shared" ref="C168:W168" si="160">IF(C76=0,0,C76/C$64)</f>
        <v>5.1145843113574951E-2</v>
      </c>
      <c r="D168" s="140">
        <f t="shared" si="160"/>
        <v>4.6688766267446821E-2</v>
      </c>
      <c r="E168" s="140">
        <f t="shared" si="160"/>
        <v>3.8056536874733052E-2</v>
      </c>
      <c r="F168" s="140">
        <f t="shared" si="160"/>
        <v>4.1882490534987313E-2</v>
      </c>
      <c r="G168" s="140">
        <f t="shared" si="160"/>
        <v>3.4140869711218449E-2</v>
      </c>
      <c r="H168" s="140">
        <f t="shared" si="160"/>
        <v>3.4742694608881568E-2</v>
      </c>
      <c r="I168" s="140">
        <f t="shared" si="160"/>
        <v>3.3995791531941079E-2</v>
      </c>
      <c r="J168" s="140">
        <f t="shared" si="160"/>
        <v>3.398539091289067E-2</v>
      </c>
      <c r="K168" s="140">
        <f t="shared" si="160"/>
        <v>3.7238404146645324E-2</v>
      </c>
      <c r="L168" s="140">
        <f t="shared" si="160"/>
        <v>3.5996936520616266E-2</v>
      </c>
      <c r="M168" s="140">
        <f t="shared" si="160"/>
        <v>3.6035784168523571E-2</v>
      </c>
      <c r="N168" s="140">
        <f t="shared" si="160"/>
        <v>3.5232742172212471E-2</v>
      </c>
      <c r="O168" s="140">
        <f t="shared" si="160"/>
        <v>3.5163022047397519E-2</v>
      </c>
      <c r="P168" s="140">
        <f t="shared" si="160"/>
        <v>3.4682156043383774E-2</v>
      </c>
      <c r="Q168" s="140">
        <f t="shared" si="160"/>
        <v>3.3768443646601323E-2</v>
      </c>
      <c r="R168" s="140">
        <f t="shared" si="160"/>
        <v>3.3377844157964756E-2</v>
      </c>
      <c r="S168" s="140">
        <f t="shared" si="160"/>
        <v>3.3599942466466422E-2</v>
      </c>
      <c r="T168" s="140">
        <f t="shared" si="160"/>
        <v>3.2861334685433119E-2</v>
      </c>
      <c r="U168" s="140">
        <f t="shared" si="160"/>
        <v>3.3512457570470569E-2</v>
      </c>
      <c r="V168" s="140">
        <f t="shared" si="160"/>
        <v>3.4579024136691963E-2</v>
      </c>
      <c r="W168" s="140">
        <f t="shared" si="160"/>
        <v>3.3785972875238976E-2</v>
      </c>
      <c r="X168" s="140">
        <f t="shared" ref="X168:Y168" si="161">IF(X76=0,0,X76/X$64)</f>
        <v>3.2682930047890718E-2</v>
      </c>
      <c r="Y168" s="140">
        <f t="shared" si="161"/>
        <v>3.3620769575670957E-2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0.9563296514052273</v>
      </c>
      <c r="C170" s="139">
        <f t="shared" ref="C170:W170" si="165">IF(C78=0,0,C78/C$77)</f>
        <v>0.96490632709004542</v>
      </c>
      <c r="D170" s="139">
        <f t="shared" si="165"/>
        <v>0.85359439396931713</v>
      </c>
      <c r="E170" s="139">
        <f t="shared" si="165"/>
        <v>0.93229129562024438</v>
      </c>
      <c r="F170" s="139">
        <f t="shared" si="165"/>
        <v>0.95845986397892002</v>
      </c>
      <c r="G170" s="139">
        <f t="shared" si="165"/>
        <v>0.83954164855164226</v>
      </c>
      <c r="H170" s="139">
        <f t="shared" si="165"/>
        <v>0.82172644110776483</v>
      </c>
      <c r="I170" s="139">
        <f t="shared" si="165"/>
        <v>0.81530521753282414</v>
      </c>
      <c r="J170" s="139">
        <f t="shared" si="165"/>
        <v>0.81268981010828611</v>
      </c>
      <c r="K170" s="139">
        <f t="shared" si="165"/>
        <v>0.80608736668493342</v>
      </c>
      <c r="L170" s="139">
        <f t="shared" si="165"/>
        <v>0.68172701319094231</v>
      </c>
      <c r="M170" s="139">
        <f t="shared" si="165"/>
        <v>0.67256820338278911</v>
      </c>
      <c r="N170" s="139">
        <f t="shared" si="165"/>
        <v>0.68193874734994664</v>
      </c>
      <c r="O170" s="139">
        <f t="shared" si="165"/>
        <v>0.73357872819858261</v>
      </c>
      <c r="P170" s="139">
        <f t="shared" si="165"/>
        <v>0.73166506699307865</v>
      </c>
      <c r="Q170" s="139">
        <f t="shared" si="165"/>
        <v>0.71626298504880959</v>
      </c>
      <c r="R170" s="139">
        <f t="shared" si="165"/>
        <v>0.73975366399825748</v>
      </c>
      <c r="S170" s="139">
        <f t="shared" si="165"/>
        <v>0.72369146791585248</v>
      </c>
      <c r="T170" s="139">
        <f t="shared" si="165"/>
        <v>0.78079657157301419</v>
      </c>
      <c r="U170" s="139">
        <f t="shared" si="165"/>
        <v>0.74398460805722655</v>
      </c>
      <c r="V170" s="139">
        <f t="shared" si="165"/>
        <v>0.67245952890126881</v>
      </c>
      <c r="W170" s="139">
        <f t="shared" si="165"/>
        <v>0.64018035328728395</v>
      </c>
      <c r="X170" s="139">
        <f t="shared" ref="X170:Y170" si="166">IF(X78=0,0,X78/X$77)</f>
        <v>0.7072747350620886</v>
      </c>
      <c r="Y170" s="139">
        <f t="shared" si="166"/>
        <v>0.64675044210722621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0.26227303929607682</v>
      </c>
      <c r="C171" s="140">
        <f t="shared" ref="C171:W171" si="167">IF(C79=0,0,C79/C$77)</f>
        <v>0.27732954851501773</v>
      </c>
      <c r="D171" s="140">
        <f t="shared" si="167"/>
        <v>0.49487366904259389</v>
      </c>
      <c r="E171" s="140">
        <f t="shared" si="167"/>
        <v>0.33744803689582403</v>
      </c>
      <c r="F171" s="140">
        <f t="shared" si="167"/>
        <v>0.24030967029010072</v>
      </c>
      <c r="G171" s="140">
        <f t="shared" si="167"/>
        <v>0.33173557314529017</v>
      </c>
      <c r="H171" s="140">
        <f t="shared" si="167"/>
        <v>0.34432436364881935</v>
      </c>
      <c r="I171" s="140">
        <f t="shared" si="167"/>
        <v>0.32604758449500681</v>
      </c>
      <c r="J171" s="140">
        <f t="shared" si="167"/>
        <v>0.32379456622372993</v>
      </c>
      <c r="K171" s="140">
        <f t="shared" si="167"/>
        <v>0.32535187963371842</v>
      </c>
      <c r="L171" s="140">
        <f t="shared" si="167"/>
        <v>0.30236918449446987</v>
      </c>
      <c r="M171" s="140">
        <f t="shared" si="167"/>
        <v>0.31229308871154787</v>
      </c>
      <c r="N171" s="140">
        <f t="shared" si="167"/>
        <v>0.3271195574188237</v>
      </c>
      <c r="O171" s="140">
        <f t="shared" si="167"/>
        <v>0.35256276354982463</v>
      </c>
      <c r="P171" s="140">
        <f t="shared" si="167"/>
        <v>0.36697716192803548</v>
      </c>
      <c r="Q171" s="140">
        <f t="shared" si="167"/>
        <v>0.37060794822182824</v>
      </c>
      <c r="R171" s="140">
        <f t="shared" si="167"/>
        <v>0.37274450665473602</v>
      </c>
      <c r="S171" s="140">
        <f t="shared" si="167"/>
        <v>0.37113899691074415</v>
      </c>
      <c r="T171" s="140">
        <f t="shared" si="167"/>
        <v>0.4063004186158668</v>
      </c>
      <c r="U171" s="140">
        <f t="shared" si="167"/>
        <v>0.38699662195326878</v>
      </c>
      <c r="V171" s="140">
        <f t="shared" si="167"/>
        <v>0.34264837245473651</v>
      </c>
      <c r="W171" s="140">
        <f t="shared" si="167"/>
        <v>0.3188420745861883</v>
      </c>
      <c r="X171" s="140">
        <f t="shared" ref="X171:Y171" si="168">IF(X79=0,0,X79/X$77)</f>
        <v>0.34228259933908467</v>
      </c>
      <c r="Y171" s="140">
        <f t="shared" si="168"/>
        <v>0.30746112020748922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0.69405661210915048</v>
      </c>
      <c r="C172" s="140">
        <f t="shared" ref="C172:W172" si="169">IF(C80=0,0,C80/C$77)</f>
        <v>0.68757677857502775</v>
      </c>
      <c r="D172" s="140">
        <f t="shared" si="169"/>
        <v>0.35872072492672313</v>
      </c>
      <c r="E172" s="140">
        <f t="shared" si="169"/>
        <v>0.59484325872442034</v>
      </c>
      <c r="F172" s="140">
        <f t="shared" si="169"/>
        <v>0.71815019368881927</v>
      </c>
      <c r="G172" s="140">
        <f t="shared" si="169"/>
        <v>0.50780607540635203</v>
      </c>
      <c r="H172" s="140">
        <f t="shared" si="169"/>
        <v>0.47740207745894547</v>
      </c>
      <c r="I172" s="140">
        <f t="shared" si="169"/>
        <v>0.48925763303781733</v>
      </c>
      <c r="J172" s="140">
        <f t="shared" si="169"/>
        <v>0.48889524388455624</v>
      </c>
      <c r="K172" s="140">
        <f t="shared" si="169"/>
        <v>0.4807354870512151</v>
      </c>
      <c r="L172" s="140">
        <f t="shared" si="169"/>
        <v>0.37935782869647244</v>
      </c>
      <c r="M172" s="140">
        <f t="shared" si="169"/>
        <v>0.36027511467124129</v>
      </c>
      <c r="N172" s="140">
        <f t="shared" si="169"/>
        <v>0.35481918993112299</v>
      </c>
      <c r="O172" s="140">
        <f t="shared" si="169"/>
        <v>0.38101596464875803</v>
      </c>
      <c r="P172" s="140">
        <f t="shared" si="169"/>
        <v>0.36468790506504306</v>
      </c>
      <c r="Q172" s="140">
        <f t="shared" si="169"/>
        <v>0.34565503682698134</v>
      </c>
      <c r="R172" s="140">
        <f t="shared" si="169"/>
        <v>0.36700915734352146</v>
      </c>
      <c r="S172" s="140">
        <f t="shared" si="169"/>
        <v>0.35255247100510834</v>
      </c>
      <c r="T172" s="140">
        <f t="shared" si="169"/>
        <v>0.37449615295714733</v>
      </c>
      <c r="U172" s="140">
        <f t="shared" si="169"/>
        <v>0.35698798610395777</v>
      </c>
      <c r="V172" s="140">
        <f t="shared" si="169"/>
        <v>0.32981115644653236</v>
      </c>
      <c r="W172" s="140">
        <f t="shared" si="169"/>
        <v>0.3213382787010956</v>
      </c>
      <c r="X172" s="140">
        <f t="shared" ref="X172:Y172" si="170">IF(X80=0,0,X80/X$77)</f>
        <v>0.36499213572300393</v>
      </c>
      <c r="Y172" s="140">
        <f t="shared" si="170"/>
        <v>0.33928932189973698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0</v>
      </c>
      <c r="C173" s="124">
        <f t="shared" ref="C173:W173" si="171">IF(C81=0,0,C81/C$77)</f>
        <v>0</v>
      </c>
      <c r="D173" s="124">
        <f t="shared" si="171"/>
        <v>0</v>
      </c>
      <c r="E173" s="124">
        <f t="shared" si="171"/>
        <v>0</v>
      </c>
      <c r="F173" s="124">
        <f t="shared" si="171"/>
        <v>0</v>
      </c>
      <c r="G173" s="124">
        <f t="shared" si="171"/>
        <v>0</v>
      </c>
      <c r="H173" s="124">
        <f t="shared" si="171"/>
        <v>0</v>
      </c>
      <c r="I173" s="124">
        <f t="shared" si="171"/>
        <v>0</v>
      </c>
      <c r="J173" s="124">
        <f t="shared" si="171"/>
        <v>0</v>
      </c>
      <c r="K173" s="124">
        <f t="shared" si="171"/>
        <v>0</v>
      </c>
      <c r="L173" s="124">
        <f t="shared" si="171"/>
        <v>0</v>
      </c>
      <c r="M173" s="124">
        <f t="shared" si="171"/>
        <v>0</v>
      </c>
      <c r="N173" s="124">
        <f t="shared" si="171"/>
        <v>0</v>
      </c>
      <c r="O173" s="124">
        <f t="shared" si="171"/>
        <v>0</v>
      </c>
      <c r="P173" s="124">
        <f t="shared" si="171"/>
        <v>0</v>
      </c>
      <c r="Q173" s="124">
        <f t="shared" si="171"/>
        <v>0</v>
      </c>
      <c r="R173" s="124">
        <f t="shared" si="171"/>
        <v>0</v>
      </c>
      <c r="S173" s="124">
        <f t="shared" si="171"/>
        <v>0</v>
      </c>
      <c r="T173" s="124">
        <f t="shared" si="171"/>
        <v>0</v>
      </c>
      <c r="U173" s="124">
        <f t="shared" si="171"/>
        <v>0</v>
      </c>
      <c r="V173" s="124">
        <f t="shared" si="171"/>
        <v>0</v>
      </c>
      <c r="W173" s="124">
        <f t="shared" si="171"/>
        <v>0</v>
      </c>
      <c r="X173" s="124">
        <f t="shared" ref="X173:Y173" si="172">IF(X81=0,0,X81/X$77)</f>
        <v>0</v>
      </c>
      <c r="Y173" s="124">
        <f t="shared" si="172"/>
        <v>0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4.3670348594772763E-2</v>
      </c>
      <c r="C174" s="124">
        <f t="shared" ref="C174:W174" si="173">IF(C82=0,0,C82/C$77)</f>
        <v>3.5093672909954562E-2</v>
      </c>
      <c r="D174" s="124">
        <f t="shared" si="173"/>
        <v>0.14640560603068289</v>
      </c>
      <c r="E174" s="124">
        <f t="shared" si="173"/>
        <v>6.770870437975561E-2</v>
      </c>
      <c r="F174" s="124">
        <f t="shared" si="173"/>
        <v>4.1540136021079893E-2</v>
      </c>
      <c r="G174" s="124">
        <f t="shared" si="173"/>
        <v>3.6528707074584929E-2</v>
      </c>
      <c r="H174" s="124">
        <f t="shared" si="173"/>
        <v>4.4088693828116587E-2</v>
      </c>
      <c r="I174" s="124">
        <f t="shared" si="173"/>
        <v>4.301912348296448E-2</v>
      </c>
      <c r="J174" s="124">
        <f t="shared" si="173"/>
        <v>4.6386372636660358E-2</v>
      </c>
      <c r="K174" s="124">
        <f t="shared" si="173"/>
        <v>5.201066172841589E-2</v>
      </c>
      <c r="L174" s="124">
        <f t="shared" si="173"/>
        <v>4.8778973781927276E-2</v>
      </c>
      <c r="M174" s="124">
        <f t="shared" si="173"/>
        <v>5.0016276259046026E-2</v>
      </c>
      <c r="N174" s="124">
        <f t="shared" si="173"/>
        <v>5.0330650393097184E-2</v>
      </c>
      <c r="O174" s="124">
        <f t="shared" si="173"/>
        <v>3.9620220236424163E-2</v>
      </c>
      <c r="P174" s="124">
        <f t="shared" si="173"/>
        <v>3.3841529102540117E-2</v>
      </c>
      <c r="Q174" s="124">
        <f t="shared" si="173"/>
        <v>3.4178828839505515E-2</v>
      </c>
      <c r="R174" s="124">
        <f t="shared" si="173"/>
        <v>2.1937522297661854E-2</v>
      </c>
      <c r="S174" s="124">
        <f t="shared" si="173"/>
        <v>1.9466244767409217E-2</v>
      </c>
      <c r="T174" s="124">
        <f t="shared" si="173"/>
        <v>2.0206514581580376E-2</v>
      </c>
      <c r="U174" s="124">
        <f t="shared" si="173"/>
        <v>1.2472697195337768E-2</v>
      </c>
      <c r="V174" s="124">
        <f t="shared" si="173"/>
        <v>2.0113765300664242E-2</v>
      </c>
      <c r="W174" s="124">
        <f t="shared" si="173"/>
        <v>1.6637664744287871E-2</v>
      </c>
      <c r="X174" s="124">
        <f t="shared" ref="X174:Y174" si="174">IF(X82=0,0,X82/X$77)</f>
        <v>1.84812653661772E-2</v>
      </c>
      <c r="Y174" s="124">
        <f t="shared" si="174"/>
        <v>1.7236544032146597E-2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4.129090769264715E-2</v>
      </c>
      <c r="C176" s="140">
        <f t="shared" ref="C176:W176" si="177">IF(C84=0,0,C84/C$77)</f>
        <v>3.3017070460102008E-2</v>
      </c>
      <c r="D176" s="140">
        <f t="shared" si="177"/>
        <v>0.13707721123862454</v>
      </c>
      <c r="E176" s="140">
        <f t="shared" si="177"/>
        <v>6.4340626222040828E-2</v>
      </c>
      <c r="F176" s="140">
        <f t="shared" si="177"/>
        <v>3.8774642185693917E-2</v>
      </c>
      <c r="G176" s="140">
        <f t="shared" si="177"/>
        <v>3.2842342955124573E-2</v>
      </c>
      <c r="H176" s="140">
        <f t="shared" si="177"/>
        <v>3.9636466826765276E-2</v>
      </c>
      <c r="I176" s="140">
        <f t="shared" si="177"/>
        <v>3.7236996687952113E-2</v>
      </c>
      <c r="J176" s="140">
        <f t="shared" si="177"/>
        <v>3.7463822579296965E-2</v>
      </c>
      <c r="K176" s="140">
        <f t="shared" si="177"/>
        <v>3.8412732735684109E-2</v>
      </c>
      <c r="L176" s="140">
        <f t="shared" si="177"/>
        <v>4.1009647378234135E-2</v>
      </c>
      <c r="M176" s="140">
        <f t="shared" si="177"/>
        <v>4.4105602789772547E-2</v>
      </c>
      <c r="N176" s="140">
        <f t="shared" si="177"/>
        <v>4.2753356591640132E-2</v>
      </c>
      <c r="O176" s="140">
        <f t="shared" si="177"/>
        <v>3.3890396217069282E-2</v>
      </c>
      <c r="P176" s="140">
        <f t="shared" si="177"/>
        <v>3.0802013795365239E-2</v>
      </c>
      <c r="Q176" s="140">
        <f t="shared" si="177"/>
        <v>3.2022611682809864E-2</v>
      </c>
      <c r="R176" s="140">
        <f t="shared" si="177"/>
        <v>1.9196126049924701E-2</v>
      </c>
      <c r="S176" s="140">
        <f t="shared" si="177"/>
        <v>1.7444115197772149E-2</v>
      </c>
      <c r="T176" s="140">
        <f t="shared" si="177"/>
        <v>1.8792995327739016E-2</v>
      </c>
      <c r="U176" s="140">
        <f t="shared" si="177"/>
        <v>1.1931751943576662E-2</v>
      </c>
      <c r="V176" s="140">
        <f t="shared" si="177"/>
        <v>1.4652067921875754E-2</v>
      </c>
      <c r="W176" s="140">
        <f t="shared" si="177"/>
        <v>1.399212235613778E-2</v>
      </c>
      <c r="X176" s="140">
        <f t="shared" ref="X176:Y176" si="178">IF(X84=0,0,X84/X$77)</f>
        <v>1.2180038159605017E-2</v>
      </c>
      <c r="Y176" s="140">
        <f t="shared" si="178"/>
        <v>1.0886806999905942E-2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2.3794409021256064E-3</v>
      </c>
      <c r="C177" s="140">
        <f t="shared" ref="C177:W177" si="179">IF(C85=0,0,C85/C$77)</f>
        <v>2.0766024498525531E-3</v>
      </c>
      <c r="D177" s="140">
        <f t="shared" si="179"/>
        <v>9.3283947920583567E-3</v>
      </c>
      <c r="E177" s="140">
        <f t="shared" si="179"/>
        <v>3.3680781577147727E-3</v>
      </c>
      <c r="F177" s="140">
        <f t="shared" si="179"/>
        <v>2.7654938353859721E-3</v>
      </c>
      <c r="G177" s="140">
        <f t="shared" si="179"/>
        <v>3.6863641194603519E-3</v>
      </c>
      <c r="H177" s="140">
        <f t="shared" si="179"/>
        <v>4.452227001351311E-3</v>
      </c>
      <c r="I177" s="140">
        <f t="shared" si="179"/>
        <v>5.7821267950123661E-3</v>
      </c>
      <c r="J177" s="140">
        <f t="shared" si="179"/>
        <v>8.9225500573634001E-3</v>
      </c>
      <c r="K177" s="140">
        <f t="shared" si="179"/>
        <v>1.3597928992731781E-2</v>
      </c>
      <c r="L177" s="140">
        <f t="shared" si="179"/>
        <v>7.7693264036931449E-3</v>
      </c>
      <c r="M177" s="140">
        <f t="shared" si="179"/>
        <v>5.9106734692734838E-3</v>
      </c>
      <c r="N177" s="140">
        <f t="shared" si="179"/>
        <v>7.577293801457048E-3</v>
      </c>
      <c r="O177" s="140">
        <f t="shared" si="179"/>
        <v>5.7298240193548768E-3</v>
      </c>
      <c r="P177" s="140">
        <f t="shared" si="179"/>
        <v>3.0395153071748836E-3</v>
      </c>
      <c r="Q177" s="140">
        <f t="shared" si="179"/>
        <v>2.1562171566956462E-3</v>
      </c>
      <c r="R177" s="140">
        <f t="shared" si="179"/>
        <v>2.7413962477371543E-3</v>
      </c>
      <c r="S177" s="140">
        <f t="shared" si="179"/>
        <v>2.0221295696370655E-3</v>
      </c>
      <c r="T177" s="140">
        <f t="shared" si="179"/>
        <v>1.4135192538413585E-3</v>
      </c>
      <c r="U177" s="140">
        <f t="shared" si="179"/>
        <v>5.4094525176110592E-4</v>
      </c>
      <c r="V177" s="140">
        <f t="shared" si="179"/>
        <v>5.4616973787884899E-3</v>
      </c>
      <c r="W177" s="140">
        <f t="shared" si="179"/>
        <v>2.6455423881500914E-3</v>
      </c>
      <c r="X177" s="140">
        <f t="shared" ref="X177:Y177" si="180">IF(X85=0,0,X85/X$77)</f>
        <v>6.3012272065721842E-3</v>
      </c>
      <c r="Y177" s="140">
        <f t="shared" si="180"/>
        <v>6.349737032240654E-3</v>
      </c>
      <c r="DA177" s="175"/>
    </row>
    <row r="178" spans="1:105" ht="11.45" customHeight="1" x14ac:dyDescent="0.25">
      <c r="A178" s="109" t="s">
        <v>141</v>
      </c>
      <c r="B178" s="124">
        <f t="shared" si="162"/>
        <v>0</v>
      </c>
      <c r="C178" s="124">
        <f t="shared" ref="C178:W178" si="181">IF(C86=0,0,C86/C$77)</f>
        <v>0</v>
      </c>
      <c r="D178" s="124">
        <f t="shared" si="181"/>
        <v>0</v>
      </c>
      <c r="E178" s="124">
        <f t="shared" si="181"/>
        <v>0</v>
      </c>
      <c r="F178" s="124">
        <f t="shared" si="181"/>
        <v>0</v>
      </c>
      <c r="G178" s="124">
        <f t="shared" si="181"/>
        <v>0.12392964437377275</v>
      </c>
      <c r="H178" s="124">
        <f t="shared" si="181"/>
        <v>0.13418486506411859</v>
      </c>
      <c r="I178" s="124">
        <f t="shared" si="181"/>
        <v>0.14167565898421142</v>
      </c>
      <c r="J178" s="124">
        <f t="shared" si="181"/>
        <v>0.14092381725505351</v>
      </c>
      <c r="K178" s="124">
        <f t="shared" si="181"/>
        <v>0.14190197158665066</v>
      </c>
      <c r="L178" s="124">
        <f t="shared" si="181"/>
        <v>0.26949401302713039</v>
      </c>
      <c r="M178" s="124">
        <f t="shared" si="181"/>
        <v>0.2774155203581648</v>
      </c>
      <c r="N178" s="124">
        <f t="shared" si="181"/>
        <v>0.26773060225695622</v>
      </c>
      <c r="O178" s="124">
        <f t="shared" si="181"/>
        <v>0.22680105156499333</v>
      </c>
      <c r="P178" s="124">
        <f t="shared" si="181"/>
        <v>0.23449340390438125</v>
      </c>
      <c r="Q178" s="124">
        <f t="shared" si="181"/>
        <v>0.2495581861116849</v>
      </c>
      <c r="R178" s="124">
        <f t="shared" si="181"/>
        <v>0.2383088137040805</v>
      </c>
      <c r="S178" s="124">
        <f t="shared" si="181"/>
        <v>0.25684228731673842</v>
      </c>
      <c r="T178" s="124">
        <f t="shared" si="181"/>
        <v>0.19899691384540558</v>
      </c>
      <c r="U178" s="124">
        <f t="shared" si="181"/>
        <v>0.2435426947474357</v>
      </c>
      <c r="V178" s="124">
        <f t="shared" si="181"/>
        <v>0.30742670579806686</v>
      </c>
      <c r="W178" s="124">
        <f t="shared" si="181"/>
        <v>0.34318198196842831</v>
      </c>
      <c r="X178" s="124">
        <f t="shared" ref="X178:Y178" si="182">IF(X86=0,0,X86/X$77)</f>
        <v>0.27424399957173423</v>
      </c>
      <c r="Y178" s="124">
        <f t="shared" si="182"/>
        <v>0.3360130138606271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0.12392964437377275</v>
      </c>
      <c r="H179" s="140">
        <f t="shared" si="183"/>
        <v>0.13418486506411859</v>
      </c>
      <c r="I179" s="140">
        <f t="shared" si="183"/>
        <v>0.14167565898421142</v>
      </c>
      <c r="J179" s="140">
        <f t="shared" si="183"/>
        <v>0.14092381725505351</v>
      </c>
      <c r="K179" s="140">
        <f t="shared" si="183"/>
        <v>0.14190197158665066</v>
      </c>
      <c r="L179" s="140">
        <f t="shared" si="183"/>
        <v>0.26949401302713039</v>
      </c>
      <c r="M179" s="140">
        <f t="shared" si="183"/>
        <v>0.2774155203581648</v>
      </c>
      <c r="N179" s="140">
        <f t="shared" si="183"/>
        <v>0.26773060225695622</v>
      </c>
      <c r="O179" s="140">
        <f t="shared" si="183"/>
        <v>0.22680105156499333</v>
      </c>
      <c r="P179" s="140">
        <f t="shared" si="183"/>
        <v>0.23449340390438125</v>
      </c>
      <c r="Q179" s="140">
        <f t="shared" si="183"/>
        <v>0.2495581861116849</v>
      </c>
      <c r="R179" s="140">
        <f t="shared" si="183"/>
        <v>0.2383088137040805</v>
      </c>
      <c r="S179" s="140">
        <f t="shared" si="183"/>
        <v>0.25684228731673842</v>
      </c>
      <c r="T179" s="140">
        <f t="shared" si="183"/>
        <v>0.19899691384540558</v>
      </c>
      <c r="U179" s="140">
        <f t="shared" si="183"/>
        <v>0.2435426947474357</v>
      </c>
      <c r="V179" s="140">
        <f t="shared" si="183"/>
        <v>0.30742670579806686</v>
      </c>
      <c r="W179" s="140">
        <f t="shared" si="183"/>
        <v>0.34318198196842831</v>
      </c>
      <c r="X179" s="140">
        <f t="shared" ref="X179:Y179" si="184">IF(X87=0,0,X87/X$77)</f>
        <v>0.27424399957173423</v>
      </c>
      <c r="Y179" s="140">
        <f t="shared" si="184"/>
        <v>0.3360130138606271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0</v>
      </c>
      <c r="W180" s="127">
        <f t="shared" si="185"/>
        <v>0</v>
      </c>
      <c r="X180" s="127">
        <f t="shared" ref="X180:Y180" si="186">IF(X88=0,0,X88/X$77)</f>
        <v>0</v>
      </c>
      <c r="Y180" s="127">
        <f t="shared" si="186"/>
        <v>0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0.57788101884828669</v>
      </c>
      <c r="C182" s="140">
        <f t="shared" ref="C182:W182" si="189">IF(C90=0,0,C90/C$89)</f>
        <v>0.57866919496105107</v>
      </c>
      <c r="D182" s="140">
        <f t="shared" si="189"/>
        <v>0.57594477689152423</v>
      </c>
      <c r="E182" s="140">
        <f t="shared" si="189"/>
        <v>0.57649155943048769</v>
      </c>
      <c r="F182" s="140">
        <f t="shared" si="189"/>
        <v>0.49344641506932974</v>
      </c>
      <c r="G182" s="140">
        <f t="shared" si="189"/>
        <v>0.57912163579921105</v>
      </c>
      <c r="H182" s="140">
        <f t="shared" si="189"/>
        <v>0.52154182924968329</v>
      </c>
      <c r="I182" s="140">
        <f t="shared" si="189"/>
        <v>0.47516719300505461</v>
      </c>
      <c r="J182" s="140">
        <f t="shared" si="189"/>
        <v>0.59809965801831577</v>
      </c>
      <c r="K182" s="140">
        <f t="shared" si="189"/>
        <v>0.59030081808458301</v>
      </c>
      <c r="L182" s="140">
        <f t="shared" si="189"/>
        <v>0.590744148850051</v>
      </c>
      <c r="M182" s="140">
        <f t="shared" si="189"/>
        <v>0.57638002124478949</v>
      </c>
      <c r="N182" s="140">
        <f t="shared" si="189"/>
        <v>0.63738708419737633</v>
      </c>
      <c r="O182" s="140">
        <f t="shared" si="189"/>
        <v>0.63928860069498628</v>
      </c>
      <c r="P182" s="140">
        <f t="shared" si="189"/>
        <v>0.58775609699290721</v>
      </c>
      <c r="Q182" s="140">
        <f t="shared" si="189"/>
        <v>0.64711242372358069</v>
      </c>
      <c r="R182" s="140">
        <f t="shared" si="189"/>
        <v>0.60387743978768393</v>
      </c>
      <c r="S182" s="140">
        <f t="shared" si="189"/>
        <v>0.59023708993181423</v>
      </c>
      <c r="T182" s="140">
        <f t="shared" si="189"/>
        <v>0.61509846865767981</v>
      </c>
      <c r="U182" s="140">
        <f t="shared" si="189"/>
        <v>0.55190561494346491</v>
      </c>
      <c r="V182" s="140">
        <f t="shared" si="189"/>
        <v>0.62352601256012941</v>
      </c>
      <c r="W182" s="140">
        <f t="shared" si="189"/>
        <v>0.5962795118440134</v>
      </c>
      <c r="X182" s="140">
        <f t="shared" ref="X182:Y182" si="190">IF(X90=0,0,X90/X$89)</f>
        <v>0.61131841657059127</v>
      </c>
      <c r="Y182" s="140">
        <f t="shared" si="190"/>
        <v>0.62023718151104124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0.42211898115171331</v>
      </c>
      <c r="C183" s="127">
        <f t="shared" ref="C183:W183" si="191">IF(C91=0,0,C91/C$89)</f>
        <v>0.42133080503894893</v>
      </c>
      <c r="D183" s="127">
        <f t="shared" si="191"/>
        <v>0.42405522310847565</v>
      </c>
      <c r="E183" s="127">
        <f t="shared" si="191"/>
        <v>0.42350844056951226</v>
      </c>
      <c r="F183" s="127">
        <f t="shared" si="191"/>
        <v>0.50655358493067038</v>
      </c>
      <c r="G183" s="127">
        <f t="shared" si="191"/>
        <v>0.42087836420078889</v>
      </c>
      <c r="H183" s="127">
        <f t="shared" si="191"/>
        <v>0.47845817075031671</v>
      </c>
      <c r="I183" s="127">
        <f t="shared" si="191"/>
        <v>0.52483280699494539</v>
      </c>
      <c r="J183" s="127">
        <f t="shared" si="191"/>
        <v>0.40190034198168423</v>
      </c>
      <c r="K183" s="127">
        <f t="shared" si="191"/>
        <v>0.40969918191541699</v>
      </c>
      <c r="L183" s="127">
        <f t="shared" si="191"/>
        <v>0.40925585114994911</v>
      </c>
      <c r="M183" s="127">
        <f t="shared" si="191"/>
        <v>0.42361997875521046</v>
      </c>
      <c r="N183" s="127">
        <f t="shared" si="191"/>
        <v>0.36261291580262367</v>
      </c>
      <c r="O183" s="127">
        <f t="shared" si="191"/>
        <v>0.36071139930501372</v>
      </c>
      <c r="P183" s="127">
        <f t="shared" si="191"/>
        <v>0.41224390300709285</v>
      </c>
      <c r="Q183" s="127">
        <f t="shared" si="191"/>
        <v>0.35288757627641937</v>
      </c>
      <c r="R183" s="127">
        <f t="shared" si="191"/>
        <v>0.39612256021231601</v>
      </c>
      <c r="S183" s="127">
        <f t="shared" si="191"/>
        <v>0.40976291006818577</v>
      </c>
      <c r="T183" s="127">
        <f t="shared" si="191"/>
        <v>0.3849015313423203</v>
      </c>
      <c r="U183" s="127">
        <f t="shared" si="191"/>
        <v>0.44809438505653509</v>
      </c>
      <c r="V183" s="127">
        <f t="shared" si="191"/>
        <v>0.37647398743987054</v>
      </c>
      <c r="W183" s="127">
        <f t="shared" si="191"/>
        <v>0.40372048815598655</v>
      </c>
      <c r="X183" s="127">
        <f t="shared" ref="X183:Y183" si="192">IF(X91=0,0,X91/X$89)</f>
        <v>0.38868158342940867</v>
      </c>
      <c r="Y183" s="127">
        <f t="shared" si="192"/>
        <v>0.37976281848895882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41.768869074867759</v>
      </c>
      <c r="C186" s="32">
        <f t="shared" si="193"/>
        <v>36.336492235322211</v>
      </c>
      <c r="D186" s="32">
        <f t="shared" si="193"/>
        <v>36.548079632562683</v>
      </c>
      <c r="E186" s="32">
        <f t="shared" si="193"/>
        <v>34.853834366232775</v>
      </c>
      <c r="F186" s="32">
        <f t="shared" si="193"/>
        <v>37.400763663897109</v>
      </c>
      <c r="G186" s="32">
        <f t="shared" si="193"/>
        <v>37.07590495618453</v>
      </c>
      <c r="H186" s="32">
        <f t="shared" si="193"/>
        <v>38.30023431942557</v>
      </c>
      <c r="I186" s="32">
        <f t="shared" si="193"/>
        <v>37.614068529479745</v>
      </c>
      <c r="J186" s="32">
        <f t="shared" si="193"/>
        <v>40.168529995653259</v>
      </c>
      <c r="K186" s="32">
        <f t="shared" si="193"/>
        <v>37.3891716008565</v>
      </c>
      <c r="L186" s="32">
        <f t="shared" si="193"/>
        <v>40.516086443926277</v>
      </c>
      <c r="M186" s="32">
        <f t="shared" si="193"/>
        <v>39.227169996862955</v>
      </c>
      <c r="N186" s="32">
        <f t="shared" si="193"/>
        <v>38.355750950782813</v>
      </c>
      <c r="O186" s="32">
        <f t="shared" si="193"/>
        <v>37.771680014419353</v>
      </c>
      <c r="P186" s="32">
        <f t="shared" si="193"/>
        <v>38.254782998299696</v>
      </c>
      <c r="Q186" s="32">
        <f t="shared" si="193"/>
        <v>38.40031432316583</v>
      </c>
      <c r="R186" s="32">
        <f t="shared" si="193"/>
        <v>36.773875749349948</v>
      </c>
      <c r="S186" s="32">
        <f t="shared" si="193"/>
        <v>36.028047910747723</v>
      </c>
      <c r="T186" s="32">
        <f t="shared" si="193"/>
        <v>36.989712635729745</v>
      </c>
      <c r="U186" s="32">
        <f t="shared" si="193"/>
        <v>36.175016937000805</v>
      </c>
      <c r="V186" s="32">
        <f t="shared" si="193"/>
        <v>46.3218815660709</v>
      </c>
      <c r="W186" s="32">
        <f t="shared" si="193"/>
        <v>44.410126858558499</v>
      </c>
      <c r="X186" s="32">
        <f t="shared" si="193"/>
        <v>38.933547220827244</v>
      </c>
      <c r="Y186" s="32">
        <f t="shared" si="193"/>
        <v>35.961928765554703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41.115532318591491</v>
      </c>
      <c r="C187" s="141">
        <f t="shared" si="194"/>
        <v>39.038954558780034</v>
      </c>
      <c r="D187" s="141">
        <f t="shared" si="194"/>
        <v>36.684056268341827</v>
      </c>
      <c r="E187" s="141">
        <f t="shared" si="194"/>
        <v>37.194158300007736</v>
      </c>
      <c r="F187" s="141">
        <f t="shared" si="194"/>
        <v>34.239983069909499</v>
      </c>
      <c r="G187" s="141">
        <f t="shared" si="194"/>
        <v>40.065915035698765</v>
      </c>
      <c r="H187" s="141">
        <f t="shared" si="194"/>
        <v>40.326330268312262</v>
      </c>
      <c r="I187" s="141">
        <f t="shared" si="194"/>
        <v>40.063295103638083</v>
      </c>
      <c r="J187" s="141">
        <f t="shared" si="194"/>
        <v>45.293685789207082</v>
      </c>
      <c r="K187" s="141">
        <f t="shared" si="194"/>
        <v>39.241248540565564</v>
      </c>
      <c r="L187" s="141">
        <f t="shared" si="194"/>
        <v>45.198264762185836</v>
      </c>
      <c r="M187" s="141">
        <f t="shared" si="194"/>
        <v>45.682852005244733</v>
      </c>
      <c r="N187" s="141">
        <f t="shared" si="194"/>
        <v>46.571199589734647</v>
      </c>
      <c r="O187" s="141">
        <f t="shared" si="194"/>
        <v>47.422154193204506</v>
      </c>
      <c r="P187" s="141">
        <f t="shared" si="194"/>
        <v>47.042698423585662</v>
      </c>
      <c r="Q187" s="141">
        <f t="shared" si="194"/>
        <v>48.14775413664232</v>
      </c>
      <c r="R187" s="141">
        <f t="shared" si="194"/>
        <v>47.066314829288238</v>
      </c>
      <c r="S187" s="141">
        <f t="shared" si="194"/>
        <v>47.605013988537479</v>
      </c>
      <c r="T187" s="141">
        <f t="shared" si="194"/>
        <v>51.980205594531768</v>
      </c>
      <c r="U187" s="141">
        <f t="shared" si="194"/>
        <v>52.537085317338551</v>
      </c>
      <c r="V187" s="141">
        <f t="shared" si="194"/>
        <v>50.622541004081604</v>
      </c>
      <c r="W187" s="141">
        <f t="shared" si="194"/>
        <v>49.46961378615417</v>
      </c>
      <c r="X187" s="141">
        <f t="shared" si="194"/>
        <v>54.597120251111193</v>
      </c>
      <c r="Y187" s="141">
        <f t="shared" si="194"/>
        <v>53.768167284851671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35.863629377430975</v>
      </c>
      <c r="C188" s="97">
        <f t="shared" si="195"/>
        <v>35.723074502371503</v>
      </c>
      <c r="D188" s="97">
        <f t="shared" si="195"/>
        <v>35.587562494191211</v>
      </c>
      <c r="E188" s="97">
        <f t="shared" si="195"/>
        <v>35.437735119360539</v>
      </c>
      <c r="F188" s="97">
        <f t="shared" si="195"/>
        <v>35.302377231443785</v>
      </c>
      <c r="G188" s="97">
        <f t="shared" si="195"/>
        <v>35.171580880065662</v>
      </c>
      <c r="H188" s="97">
        <f t="shared" si="195"/>
        <v>34.961175508547754</v>
      </c>
      <c r="I188" s="97">
        <f t="shared" si="195"/>
        <v>34.674254029390227</v>
      </c>
      <c r="J188" s="97">
        <f t="shared" si="195"/>
        <v>34.1270084973916</v>
      </c>
      <c r="K188" s="97">
        <f t="shared" si="195"/>
        <v>33.625860311612286</v>
      </c>
      <c r="L188" s="97">
        <f t="shared" si="195"/>
        <v>33.093272883247721</v>
      </c>
      <c r="M188" s="97">
        <f t="shared" si="195"/>
        <v>32.604981632819118</v>
      </c>
      <c r="N188" s="97">
        <f t="shared" si="195"/>
        <v>32.14778151119679</v>
      </c>
      <c r="O188" s="97">
        <f t="shared" si="195"/>
        <v>31.613749555061951</v>
      </c>
      <c r="P188" s="97">
        <f t="shared" si="195"/>
        <v>31.049150326426105</v>
      </c>
      <c r="Q188" s="97">
        <f t="shared" si="195"/>
        <v>30.362589943768427</v>
      </c>
      <c r="R188" s="97">
        <f t="shared" si="195"/>
        <v>29.629310893117268</v>
      </c>
      <c r="S188" s="97">
        <f t="shared" si="195"/>
        <v>29.087073284035029</v>
      </c>
      <c r="T188" s="97">
        <f t="shared" si="195"/>
        <v>29.311492630710013</v>
      </c>
      <c r="U188" s="97">
        <f t="shared" si="195"/>
        <v>29.943584577787266</v>
      </c>
      <c r="V188" s="97">
        <f t="shared" si="195"/>
        <v>29.740944817487708</v>
      </c>
      <c r="W188" s="97">
        <f t="shared" si="195"/>
        <v>29.539421903125614</v>
      </c>
      <c r="X188" s="97">
        <f t="shared" si="195"/>
        <v>29.253121991564704</v>
      </c>
      <c r="Y188" s="97">
        <f t="shared" si="195"/>
        <v>29.103391066438967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45.419112044098981</v>
      </c>
      <c r="C189" s="97">
        <f t="shared" si="196"/>
        <v>43.198383538661233</v>
      </c>
      <c r="D189" s="97">
        <f t="shared" si="196"/>
        <v>43.843941012857861</v>
      </c>
      <c r="E189" s="97">
        <f t="shared" si="196"/>
        <v>42.149396387873587</v>
      </c>
      <c r="F189" s="97">
        <f t="shared" si="196"/>
        <v>36.533782095506957</v>
      </c>
      <c r="G189" s="97">
        <f t="shared" si="196"/>
        <v>41.162010630965582</v>
      </c>
      <c r="H189" s="97">
        <f t="shared" si="196"/>
        <v>41.003363678727773</v>
      </c>
      <c r="I189" s="97">
        <f t="shared" si="196"/>
        <v>41.239572754962467</v>
      </c>
      <c r="J189" s="97">
        <f t="shared" si="196"/>
        <v>47.938338940177907</v>
      </c>
      <c r="K189" s="97">
        <f t="shared" si="196"/>
        <v>40.99980110905387</v>
      </c>
      <c r="L189" s="97">
        <f t="shared" si="196"/>
        <v>47.96783262271537</v>
      </c>
      <c r="M189" s="97">
        <f t="shared" si="196"/>
        <v>47.921716734339789</v>
      </c>
      <c r="N189" s="97">
        <f t="shared" si="196"/>
        <v>47.85953889049074</v>
      </c>
      <c r="O189" s="97">
        <f t="shared" si="196"/>
        <v>48.419323273080813</v>
      </c>
      <c r="P189" s="97">
        <f t="shared" si="196"/>
        <v>46.539131765606228</v>
      </c>
      <c r="Q189" s="97">
        <f t="shared" si="196"/>
        <v>47.529517205299221</v>
      </c>
      <c r="R189" s="97">
        <f t="shared" si="196"/>
        <v>46.519313440615221</v>
      </c>
      <c r="S189" s="97">
        <f t="shared" si="196"/>
        <v>46.537849076723631</v>
      </c>
      <c r="T189" s="97">
        <f t="shared" si="196"/>
        <v>50.048552702445811</v>
      </c>
      <c r="U189" s="97">
        <f t="shared" si="196"/>
        <v>51.284667072367121</v>
      </c>
      <c r="V189" s="97">
        <f t="shared" si="196"/>
        <v>48.388175244923154</v>
      </c>
      <c r="W189" s="97">
        <f t="shared" si="196"/>
        <v>48.652576390122697</v>
      </c>
      <c r="X189" s="97">
        <f t="shared" si="196"/>
        <v>53.244703252020336</v>
      </c>
      <c r="Y189" s="97">
        <f t="shared" si="196"/>
        <v>52.428911181513634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24.63960236281341</v>
      </c>
      <c r="C190" s="97">
        <f t="shared" si="197"/>
        <v>23.342017690804145</v>
      </c>
      <c r="D190" s="97">
        <f t="shared" si="197"/>
        <v>9.1669313077011498</v>
      </c>
      <c r="E190" s="97">
        <f t="shared" si="197"/>
        <v>18.105993428063716</v>
      </c>
      <c r="F190" s="97">
        <f t="shared" si="197"/>
        <v>25.224292427291285</v>
      </c>
      <c r="G190" s="97">
        <f t="shared" si="197"/>
        <v>35.899973976146669</v>
      </c>
      <c r="H190" s="97">
        <f t="shared" si="197"/>
        <v>37.889457864659065</v>
      </c>
      <c r="I190" s="97">
        <f t="shared" si="197"/>
        <v>35.523365625726349</v>
      </c>
      <c r="J190" s="97">
        <f t="shared" si="197"/>
        <v>34.957796713907932</v>
      </c>
      <c r="K190" s="97">
        <f t="shared" si="197"/>
        <v>31.691776708315604</v>
      </c>
      <c r="L190" s="97">
        <f t="shared" si="197"/>
        <v>33.929024969444562</v>
      </c>
      <c r="M190" s="97">
        <f t="shared" si="197"/>
        <v>36.288439839284422</v>
      </c>
      <c r="N190" s="97">
        <f t="shared" si="197"/>
        <v>41.736359318783677</v>
      </c>
      <c r="O190" s="97">
        <f t="shared" si="197"/>
        <v>44.001751658362679</v>
      </c>
      <c r="P190" s="97">
        <f t="shared" si="197"/>
        <v>51.047531394136861</v>
      </c>
      <c r="Q190" s="97">
        <f t="shared" si="197"/>
        <v>52.627125324593308</v>
      </c>
      <c r="R190" s="97">
        <f t="shared" si="197"/>
        <v>51.366179163483032</v>
      </c>
      <c r="S190" s="97">
        <f t="shared" si="197"/>
        <v>54.322497750838217</v>
      </c>
      <c r="T190" s="97">
        <f t="shared" si="197"/>
        <v>63.019666936692005</v>
      </c>
      <c r="U190" s="97">
        <f t="shared" si="197"/>
        <v>60.147334466920277</v>
      </c>
      <c r="V190" s="97">
        <f t="shared" si="197"/>
        <v>66.989744776461322</v>
      </c>
      <c r="W190" s="97">
        <f t="shared" si="197"/>
        <v>56.85891636554544</v>
      </c>
      <c r="X190" s="97">
        <f t="shared" si="197"/>
        <v>63.556266958731605</v>
      </c>
      <c r="Y190" s="97">
        <f t="shared" si="197"/>
        <v>62.209533638296193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0</v>
      </c>
      <c r="C191" s="130">
        <f t="shared" si="198"/>
        <v>0</v>
      </c>
      <c r="D191" s="130">
        <f t="shared" si="198"/>
        <v>0</v>
      </c>
      <c r="E191" s="130">
        <f t="shared" si="198"/>
        <v>0</v>
      </c>
      <c r="F191" s="130">
        <f t="shared" si="198"/>
        <v>0</v>
      </c>
      <c r="G191" s="130">
        <f t="shared" si="198"/>
        <v>0</v>
      </c>
      <c r="H191" s="130">
        <f t="shared" si="198"/>
        <v>0</v>
      </c>
      <c r="I191" s="130">
        <f t="shared" si="198"/>
        <v>0</v>
      </c>
      <c r="J191" s="130">
        <f t="shared" si="198"/>
        <v>0</v>
      </c>
      <c r="K191" s="130">
        <f t="shared" si="198"/>
        <v>0</v>
      </c>
      <c r="L191" s="130">
        <f t="shared" si="198"/>
        <v>0</v>
      </c>
      <c r="M191" s="130">
        <f t="shared" si="198"/>
        <v>0</v>
      </c>
      <c r="N191" s="130">
        <f t="shared" si="198"/>
        <v>0</v>
      </c>
      <c r="O191" s="130">
        <f t="shared" si="198"/>
        <v>0</v>
      </c>
      <c r="P191" s="130">
        <f t="shared" si="198"/>
        <v>0</v>
      </c>
      <c r="Q191" s="130">
        <f t="shared" si="198"/>
        <v>0</v>
      </c>
      <c r="R191" s="130">
        <f t="shared" si="198"/>
        <v>0</v>
      </c>
      <c r="S191" s="130">
        <f t="shared" si="198"/>
        <v>0</v>
      </c>
      <c r="T191" s="130">
        <f t="shared" si="198"/>
        <v>0</v>
      </c>
      <c r="U191" s="130">
        <f t="shared" si="198"/>
        <v>0</v>
      </c>
      <c r="V191" s="130">
        <f t="shared" si="198"/>
        <v>0</v>
      </c>
      <c r="W191" s="130">
        <f t="shared" si="198"/>
        <v>0</v>
      </c>
      <c r="X191" s="130">
        <f t="shared" si="198"/>
        <v>0</v>
      </c>
      <c r="Y191" s="130">
        <f t="shared" si="198"/>
        <v>0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0</v>
      </c>
      <c r="C192" s="97">
        <f t="shared" si="199"/>
        <v>0</v>
      </c>
      <c r="D192" s="97">
        <f t="shared" si="199"/>
        <v>0</v>
      </c>
      <c r="E192" s="97">
        <f t="shared" si="199"/>
        <v>0</v>
      </c>
      <c r="F192" s="97">
        <f t="shared" si="199"/>
        <v>0</v>
      </c>
      <c r="G192" s="97">
        <f t="shared" si="199"/>
        <v>0</v>
      </c>
      <c r="H192" s="97">
        <f t="shared" si="199"/>
        <v>0</v>
      </c>
      <c r="I192" s="97">
        <f t="shared" si="199"/>
        <v>0</v>
      </c>
      <c r="J192" s="97">
        <f t="shared" si="199"/>
        <v>0</v>
      </c>
      <c r="K192" s="97">
        <f t="shared" si="199"/>
        <v>0</v>
      </c>
      <c r="L192" s="97">
        <f t="shared" si="199"/>
        <v>0</v>
      </c>
      <c r="M192" s="97">
        <f t="shared" si="199"/>
        <v>0</v>
      </c>
      <c r="N192" s="97">
        <f t="shared" si="199"/>
        <v>0</v>
      </c>
      <c r="O192" s="97">
        <f t="shared" si="199"/>
        <v>0</v>
      </c>
      <c r="P192" s="97">
        <f t="shared" si="199"/>
        <v>0</v>
      </c>
      <c r="Q192" s="97">
        <f t="shared" si="199"/>
        <v>0</v>
      </c>
      <c r="R192" s="97">
        <f t="shared" si="199"/>
        <v>0</v>
      </c>
      <c r="S192" s="97">
        <f t="shared" si="199"/>
        <v>0</v>
      </c>
      <c r="T192" s="97">
        <f t="shared" si="199"/>
        <v>0</v>
      </c>
      <c r="U192" s="97">
        <f t="shared" si="199"/>
        <v>0</v>
      </c>
      <c r="V192" s="97">
        <f t="shared" si="199"/>
        <v>0</v>
      </c>
      <c r="W192" s="97">
        <f t="shared" si="199"/>
        <v>0</v>
      </c>
      <c r="X192" s="97">
        <f t="shared" si="199"/>
        <v>0</v>
      </c>
      <c r="Y192" s="97">
        <f t="shared" si="199"/>
        <v>0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0</v>
      </c>
      <c r="C193" s="97">
        <f t="shared" si="200"/>
        <v>0</v>
      </c>
      <c r="D193" s="97">
        <f t="shared" si="200"/>
        <v>0</v>
      </c>
      <c r="E193" s="97">
        <f t="shared" si="200"/>
        <v>0</v>
      </c>
      <c r="F193" s="97">
        <f t="shared" si="200"/>
        <v>0</v>
      </c>
      <c r="G193" s="97">
        <f t="shared" si="200"/>
        <v>0</v>
      </c>
      <c r="H193" s="97">
        <f t="shared" si="200"/>
        <v>0</v>
      </c>
      <c r="I193" s="97">
        <f t="shared" si="200"/>
        <v>0</v>
      </c>
      <c r="J193" s="97">
        <f t="shared" si="200"/>
        <v>0</v>
      </c>
      <c r="K193" s="97">
        <f t="shared" si="200"/>
        <v>0</v>
      </c>
      <c r="L193" s="97">
        <f t="shared" si="200"/>
        <v>0</v>
      </c>
      <c r="M193" s="97">
        <f t="shared" si="200"/>
        <v>0</v>
      </c>
      <c r="N193" s="97">
        <f t="shared" si="200"/>
        <v>0</v>
      </c>
      <c r="O193" s="97">
        <f t="shared" si="200"/>
        <v>0</v>
      </c>
      <c r="P193" s="97">
        <f t="shared" si="200"/>
        <v>0</v>
      </c>
      <c r="Q193" s="97">
        <f t="shared" si="200"/>
        <v>0</v>
      </c>
      <c r="R193" s="97">
        <f t="shared" si="200"/>
        <v>0</v>
      </c>
      <c r="S193" s="97">
        <f t="shared" si="200"/>
        <v>0</v>
      </c>
      <c r="T193" s="97">
        <f t="shared" si="200"/>
        <v>0</v>
      </c>
      <c r="U193" s="97">
        <f t="shared" si="200"/>
        <v>0</v>
      </c>
      <c r="V193" s="97">
        <f t="shared" si="200"/>
        <v>0</v>
      </c>
      <c r="W193" s="97">
        <f t="shared" si="200"/>
        <v>0</v>
      </c>
      <c r="X193" s="97">
        <f t="shared" si="200"/>
        <v>0</v>
      </c>
      <c r="Y193" s="97">
        <f t="shared" si="200"/>
        <v>0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42.280969920592433</v>
      </c>
      <c r="C195" s="130">
        <f t="shared" si="202"/>
        <v>34.053208317456047</v>
      </c>
      <c r="D195" s="130">
        <f t="shared" si="202"/>
        <v>36.417534125096736</v>
      </c>
      <c r="E195" s="130">
        <f t="shared" si="202"/>
        <v>32.507289019030054</v>
      </c>
      <c r="F195" s="130">
        <f t="shared" si="202"/>
        <v>40.536861455762782</v>
      </c>
      <c r="G195" s="130">
        <f t="shared" si="202"/>
        <v>34.083691807191393</v>
      </c>
      <c r="H195" s="130">
        <f t="shared" si="202"/>
        <v>36.110401283271699</v>
      </c>
      <c r="I195" s="130">
        <f t="shared" si="202"/>
        <v>35.101821926905188</v>
      </c>
      <c r="J195" s="130">
        <f t="shared" si="202"/>
        <v>34.975317371448355</v>
      </c>
      <c r="K195" s="130">
        <f t="shared" si="202"/>
        <v>35.339038337588917</v>
      </c>
      <c r="L195" s="130">
        <f t="shared" si="202"/>
        <v>35.847688747887041</v>
      </c>
      <c r="M195" s="130">
        <f t="shared" si="202"/>
        <v>33.405989832784343</v>
      </c>
      <c r="N195" s="130">
        <f t="shared" si="202"/>
        <v>31.085032765063254</v>
      </c>
      <c r="O195" s="130">
        <f t="shared" si="202"/>
        <v>29.898781349627868</v>
      </c>
      <c r="P195" s="130">
        <f t="shared" si="202"/>
        <v>30.968579797099398</v>
      </c>
      <c r="Q195" s="130">
        <f t="shared" si="202"/>
        <v>30.386268314664427</v>
      </c>
      <c r="R195" s="130">
        <f t="shared" si="202"/>
        <v>29.029543715463927</v>
      </c>
      <c r="S195" s="130">
        <f t="shared" si="202"/>
        <v>28.370913259213378</v>
      </c>
      <c r="T195" s="130">
        <f t="shared" si="202"/>
        <v>28.092563211200716</v>
      </c>
      <c r="U195" s="130">
        <f t="shared" si="202"/>
        <v>27.060383166584618</v>
      </c>
      <c r="V195" s="130">
        <f t="shared" si="202"/>
        <v>38.335683696143683</v>
      </c>
      <c r="W195" s="130">
        <f t="shared" si="202"/>
        <v>37.020304535109737</v>
      </c>
      <c r="X195" s="130">
        <f t="shared" si="202"/>
        <v>27.587594029855897</v>
      </c>
      <c r="Y195" s="130">
        <f t="shared" si="202"/>
        <v>25.417461199911969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40.18861419374862</v>
      </c>
      <c r="C197" s="97">
        <f t="shared" si="204"/>
        <v>32.384020483056887</v>
      </c>
      <c r="D197" s="97">
        <f t="shared" si="204"/>
        <v>34.768725191424323</v>
      </c>
      <c r="E197" s="97">
        <f t="shared" si="204"/>
        <v>31.370808440406378</v>
      </c>
      <c r="F197" s="97">
        <f t="shared" si="204"/>
        <v>39.215533157905178</v>
      </c>
      <c r="G197" s="97">
        <f t="shared" si="204"/>
        <v>32.993706433922796</v>
      </c>
      <c r="H197" s="97">
        <f t="shared" si="204"/>
        <v>34.802669286800253</v>
      </c>
      <c r="I197" s="97">
        <f t="shared" si="204"/>
        <v>33.752130375205738</v>
      </c>
      <c r="J197" s="97">
        <f t="shared" si="204"/>
        <v>33.478317999288201</v>
      </c>
      <c r="K197" s="97">
        <f t="shared" si="204"/>
        <v>33.559614935098139</v>
      </c>
      <c r="L197" s="97">
        <f t="shared" si="204"/>
        <v>34.295727183790305</v>
      </c>
      <c r="M197" s="97">
        <f t="shared" si="204"/>
        <v>32.431980735596888</v>
      </c>
      <c r="N197" s="97">
        <f t="shared" si="204"/>
        <v>29.967623495275618</v>
      </c>
      <c r="O197" s="97">
        <f t="shared" si="204"/>
        <v>29.495886813117387</v>
      </c>
      <c r="P197" s="97">
        <f t="shared" si="204"/>
        <v>30.071143295203953</v>
      </c>
      <c r="Q197" s="97">
        <f t="shared" si="204"/>
        <v>29.260358051400814</v>
      </c>
      <c r="R197" s="97">
        <f t="shared" si="204"/>
        <v>28.815451188279386</v>
      </c>
      <c r="S197" s="97">
        <f t="shared" si="204"/>
        <v>27.586595742304691</v>
      </c>
      <c r="T197" s="97">
        <f t="shared" si="204"/>
        <v>27.604302384605553</v>
      </c>
      <c r="U197" s="97">
        <f t="shared" si="204"/>
        <v>27.513870891295255</v>
      </c>
      <c r="V197" s="97">
        <f t="shared" si="204"/>
        <v>37.235814979909513</v>
      </c>
      <c r="W197" s="97">
        <f t="shared" si="204"/>
        <v>35.956459631585822</v>
      </c>
      <c r="X197" s="97">
        <f t="shared" si="204"/>
        <v>27.156584023126243</v>
      </c>
      <c r="Y197" s="97">
        <f t="shared" si="204"/>
        <v>25.173447154649601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79.848957956505117</v>
      </c>
      <c r="C198" s="97">
        <f t="shared" si="205"/>
        <v>63.74328989271612</v>
      </c>
      <c r="D198" s="97">
        <f t="shared" si="205"/>
        <v>69.582747094972703</v>
      </c>
      <c r="E198" s="97">
        <f t="shared" si="205"/>
        <v>55.358640135633337</v>
      </c>
      <c r="F198" s="97">
        <f t="shared" si="205"/>
        <v>68.401369179861234</v>
      </c>
      <c r="G198" s="97">
        <f t="shared" si="205"/>
        <v>58.237260911586596</v>
      </c>
      <c r="H198" s="97">
        <f t="shared" si="205"/>
        <v>66.337529368087431</v>
      </c>
      <c r="I198" s="97">
        <f t="shared" si="205"/>
        <v>71.021315214431127</v>
      </c>
      <c r="J198" s="97">
        <f t="shared" si="205"/>
        <v>74.352946447556846</v>
      </c>
      <c r="K198" s="97">
        <f t="shared" si="205"/>
        <v>86.435382210824031</v>
      </c>
      <c r="L198" s="97">
        <f t="shared" si="205"/>
        <v>73.965559242636658</v>
      </c>
      <c r="M198" s="97">
        <f t="shared" si="205"/>
        <v>51.115897492170703</v>
      </c>
      <c r="N198" s="97">
        <f t="shared" si="205"/>
        <v>53.872185467765341</v>
      </c>
      <c r="O198" s="97">
        <f t="shared" si="205"/>
        <v>35.536161636379553</v>
      </c>
      <c r="P198" s="97">
        <f t="shared" si="205"/>
        <v>48.357177149619034</v>
      </c>
      <c r="Q198" s="97">
        <f t="shared" si="205"/>
        <v>56.972151799747294</v>
      </c>
      <c r="R198" s="97">
        <f t="shared" si="205"/>
        <v>32.072657242425066</v>
      </c>
      <c r="S198" s="97">
        <f t="shared" si="205"/>
        <v>45.819184216310568</v>
      </c>
      <c r="T198" s="97">
        <f t="shared" si="205"/>
        <v>37.20031322457119</v>
      </c>
      <c r="U198" s="97">
        <f t="shared" si="205"/>
        <v>22.081600947905887</v>
      </c>
      <c r="V198" s="97">
        <f t="shared" si="205"/>
        <v>49.837464760986236</v>
      </c>
      <c r="W198" s="97">
        <f t="shared" si="205"/>
        <v>51.304214282560899</v>
      </c>
      <c r="X198" s="97">
        <f t="shared" si="205"/>
        <v>34.071762840866306</v>
      </c>
      <c r="Y198" s="97">
        <f t="shared" si="205"/>
        <v>28.971217540228725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66.919784427795477</v>
      </c>
      <c r="C199" s="32">
        <f t="shared" si="206"/>
        <v>63.651637030763446</v>
      </c>
      <c r="D199" s="32">
        <f t="shared" si="206"/>
        <v>43.847462161330206</v>
      </c>
      <c r="E199" s="32">
        <f t="shared" si="206"/>
        <v>55.57960706675771</v>
      </c>
      <c r="F199" s="32">
        <f t="shared" si="206"/>
        <v>65.694394507772074</v>
      </c>
      <c r="G199" s="32">
        <f t="shared" si="206"/>
        <v>125.48760298146327</v>
      </c>
      <c r="H199" s="32">
        <f t="shared" si="206"/>
        <v>138.05873712276892</v>
      </c>
      <c r="I199" s="32">
        <f t="shared" si="206"/>
        <v>125.56118245042083</v>
      </c>
      <c r="J199" s="32">
        <f t="shared" si="206"/>
        <v>120.8105249331941</v>
      </c>
      <c r="K199" s="32">
        <f t="shared" si="206"/>
        <v>110.02814292790903</v>
      </c>
      <c r="L199" s="32">
        <f t="shared" si="206"/>
        <v>136.16660286511771</v>
      </c>
      <c r="M199" s="32">
        <f t="shared" si="206"/>
        <v>133.73099464029173</v>
      </c>
      <c r="N199" s="32">
        <f t="shared" si="206"/>
        <v>130.44330496437502</v>
      </c>
      <c r="O199" s="32">
        <f t="shared" si="206"/>
        <v>123.93057621792704</v>
      </c>
      <c r="P199" s="32">
        <f t="shared" si="206"/>
        <v>127.27601504167799</v>
      </c>
      <c r="Q199" s="32">
        <f t="shared" si="206"/>
        <v>134.61646435125908</v>
      </c>
      <c r="R199" s="32">
        <f t="shared" si="206"/>
        <v>127.96844313860933</v>
      </c>
      <c r="S199" s="32">
        <f t="shared" si="206"/>
        <v>141.37972622289928</v>
      </c>
      <c r="T199" s="32">
        <f t="shared" si="206"/>
        <v>155.33456790475341</v>
      </c>
      <c r="U199" s="32">
        <f t="shared" si="206"/>
        <v>169.91211247986948</v>
      </c>
      <c r="V199" s="32">
        <f t="shared" si="206"/>
        <v>165.83423047274385</v>
      </c>
      <c r="W199" s="32">
        <f t="shared" si="206"/>
        <v>174.59000178204499</v>
      </c>
      <c r="X199" s="32">
        <f t="shared" si="206"/>
        <v>192.35685529194507</v>
      </c>
      <c r="Y199" s="32">
        <f t="shared" si="206"/>
        <v>206.79882216557581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64.689513585151275</v>
      </c>
      <c r="C200" s="141">
        <f t="shared" si="207"/>
        <v>62.129173736005392</v>
      </c>
      <c r="D200" s="141">
        <f t="shared" si="207"/>
        <v>38.556066666566466</v>
      </c>
      <c r="E200" s="141">
        <f t="shared" si="207"/>
        <v>52.88090540459384</v>
      </c>
      <c r="F200" s="141">
        <f t="shared" si="207"/>
        <v>63.63088286832545</v>
      </c>
      <c r="G200" s="141">
        <f t="shared" si="207"/>
        <v>108.45553976319781</v>
      </c>
      <c r="H200" s="141">
        <f t="shared" si="207"/>
        <v>117.45129462608578</v>
      </c>
      <c r="I200" s="141">
        <f t="shared" si="207"/>
        <v>105.92341584669823</v>
      </c>
      <c r="J200" s="141">
        <f t="shared" si="207"/>
        <v>101.72987160851801</v>
      </c>
      <c r="K200" s="141">
        <f t="shared" si="207"/>
        <v>92.017277392466141</v>
      </c>
      <c r="L200" s="141">
        <f t="shared" si="207"/>
        <v>97.246285853608271</v>
      </c>
      <c r="M200" s="141">
        <f t="shared" si="207"/>
        <v>94.353811045705314</v>
      </c>
      <c r="N200" s="141">
        <f t="shared" si="207"/>
        <v>94.483636577566386</v>
      </c>
      <c r="O200" s="141">
        <f t="shared" si="207"/>
        <v>96.281838827927459</v>
      </c>
      <c r="P200" s="141">
        <f t="shared" si="207"/>
        <v>98.635590540175443</v>
      </c>
      <c r="Q200" s="141">
        <f t="shared" si="207"/>
        <v>102.31658761898434</v>
      </c>
      <c r="R200" s="141">
        <f t="shared" si="207"/>
        <v>99.555196638046141</v>
      </c>
      <c r="S200" s="141">
        <f t="shared" si="207"/>
        <v>107.32522203132058</v>
      </c>
      <c r="T200" s="141">
        <f t="shared" si="207"/>
        <v>126.97318767702859</v>
      </c>
      <c r="U200" s="141">
        <f t="shared" si="207"/>
        <v>132.38771836309817</v>
      </c>
      <c r="V200" s="141">
        <f t="shared" si="207"/>
        <v>120.98268834327222</v>
      </c>
      <c r="W200" s="141">
        <f t="shared" si="207"/>
        <v>120.47390959695237</v>
      </c>
      <c r="X200" s="141">
        <f t="shared" si="207"/>
        <v>145.95350719262575</v>
      </c>
      <c r="Y200" s="141">
        <f t="shared" si="207"/>
        <v>146.47231782414713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560.10168372127976</v>
      </c>
      <c r="C201" s="97">
        <f t="shared" si="208"/>
        <v>526.29641944478328</v>
      </c>
      <c r="D201" s="97">
        <f t="shared" si="208"/>
        <v>220.09827393531512</v>
      </c>
      <c r="E201" s="97">
        <f t="shared" si="208"/>
        <v>399.33620093273009</v>
      </c>
      <c r="F201" s="97">
        <f t="shared" si="208"/>
        <v>534.28707058197926</v>
      </c>
      <c r="G201" s="97">
        <f t="shared" si="208"/>
        <v>734.62482930614351</v>
      </c>
      <c r="H201" s="97">
        <f t="shared" si="208"/>
        <v>752.79175759724069</v>
      </c>
      <c r="I201" s="97">
        <f t="shared" si="208"/>
        <v>691.17423110196603</v>
      </c>
      <c r="J201" s="97">
        <f t="shared" si="208"/>
        <v>657.70493270076327</v>
      </c>
      <c r="K201" s="97">
        <f t="shared" si="208"/>
        <v>586.36930317138365</v>
      </c>
      <c r="L201" s="97">
        <f t="shared" si="208"/>
        <v>567.58323576595126</v>
      </c>
      <c r="M201" s="97">
        <f t="shared" si="208"/>
        <v>527.30200450582549</v>
      </c>
      <c r="N201" s="97">
        <f t="shared" si="208"/>
        <v>504.60262283046353</v>
      </c>
      <c r="O201" s="97">
        <f t="shared" si="208"/>
        <v>507.19154879160709</v>
      </c>
      <c r="P201" s="97">
        <f t="shared" si="208"/>
        <v>506.66632023034674</v>
      </c>
      <c r="Q201" s="97">
        <f t="shared" si="208"/>
        <v>503.07968034369412</v>
      </c>
      <c r="R201" s="97">
        <f t="shared" si="208"/>
        <v>488.5700596187005</v>
      </c>
      <c r="S201" s="97">
        <f t="shared" si="208"/>
        <v>510.79708710867942</v>
      </c>
      <c r="T201" s="97">
        <f t="shared" si="208"/>
        <v>582.17787371334919</v>
      </c>
      <c r="U201" s="97">
        <f t="shared" si="208"/>
        <v>599.11576976973402</v>
      </c>
      <c r="V201" s="97">
        <f t="shared" si="208"/>
        <v>547.10166566556097</v>
      </c>
      <c r="W201" s="97">
        <f t="shared" si="208"/>
        <v>544.94568612340015</v>
      </c>
      <c r="X201" s="97">
        <f t="shared" si="208"/>
        <v>655.21890805893315</v>
      </c>
      <c r="Y201" s="97">
        <f t="shared" si="208"/>
        <v>652.93268663146864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48.452272603994466</v>
      </c>
      <c r="C202" s="97">
        <f t="shared" si="209"/>
        <v>45.787742492746411</v>
      </c>
      <c r="D202" s="97">
        <f t="shared" si="209"/>
        <v>17.959413292041521</v>
      </c>
      <c r="E202" s="97">
        <f t="shared" si="209"/>
        <v>35.3921818450453</v>
      </c>
      <c r="F202" s="97">
        <f t="shared" si="209"/>
        <v>49.113039145137243</v>
      </c>
      <c r="G202" s="97">
        <f t="shared" si="209"/>
        <v>69.61389979696969</v>
      </c>
      <c r="H202" s="97">
        <f t="shared" si="209"/>
        <v>72.957653677118643</v>
      </c>
      <c r="I202" s="97">
        <f t="shared" si="209"/>
        <v>67.667483265083504</v>
      </c>
      <c r="J202" s="97">
        <f t="shared" si="209"/>
        <v>65.174122214242928</v>
      </c>
      <c r="K202" s="97">
        <f t="shared" si="209"/>
        <v>58.547961879338423</v>
      </c>
      <c r="L202" s="97">
        <f t="shared" si="209"/>
        <v>58.51627185213335</v>
      </c>
      <c r="M202" s="97">
        <f t="shared" si="209"/>
        <v>55.08395121464924</v>
      </c>
      <c r="N202" s="97">
        <f t="shared" si="209"/>
        <v>53.981707656796438</v>
      </c>
      <c r="O202" s="97">
        <f t="shared" si="209"/>
        <v>55.014497695315931</v>
      </c>
      <c r="P202" s="97">
        <f t="shared" si="209"/>
        <v>54.484412074789709</v>
      </c>
      <c r="Q202" s="97">
        <f t="shared" si="209"/>
        <v>55.176805710225985</v>
      </c>
      <c r="R202" s="97">
        <f t="shared" si="209"/>
        <v>55.036055070119396</v>
      </c>
      <c r="S202" s="97">
        <f t="shared" si="209"/>
        <v>58.592657648001016</v>
      </c>
      <c r="T202" s="97">
        <f t="shared" si="209"/>
        <v>68.695856678090252</v>
      </c>
      <c r="U202" s="97">
        <f t="shared" si="209"/>
        <v>71.75031434085281</v>
      </c>
      <c r="V202" s="97">
        <f t="shared" si="209"/>
        <v>66.881197371897471</v>
      </c>
      <c r="W202" s="97">
        <f t="shared" si="209"/>
        <v>67.937437724183894</v>
      </c>
      <c r="X202" s="97">
        <f t="shared" si="209"/>
        <v>84.394194235504926</v>
      </c>
      <c r="Y202" s="97">
        <f t="shared" si="209"/>
        <v>85.968466517010327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0</v>
      </c>
      <c r="C203" s="130">
        <f t="shared" si="210"/>
        <v>0</v>
      </c>
      <c r="D203" s="130">
        <f t="shared" si="210"/>
        <v>0</v>
      </c>
      <c r="E203" s="130">
        <f t="shared" si="210"/>
        <v>0</v>
      </c>
      <c r="F203" s="130">
        <f t="shared" si="210"/>
        <v>0</v>
      </c>
      <c r="G203" s="130">
        <f t="shared" si="210"/>
        <v>0</v>
      </c>
      <c r="H203" s="130">
        <f t="shared" si="210"/>
        <v>0</v>
      </c>
      <c r="I203" s="130">
        <f t="shared" si="210"/>
        <v>0</v>
      </c>
      <c r="J203" s="130">
        <f t="shared" si="210"/>
        <v>0</v>
      </c>
      <c r="K203" s="130">
        <f t="shared" si="210"/>
        <v>0</v>
      </c>
      <c r="L203" s="130">
        <f t="shared" si="210"/>
        <v>0</v>
      </c>
      <c r="M203" s="130">
        <f t="shared" si="210"/>
        <v>0</v>
      </c>
      <c r="N203" s="130">
        <f t="shared" si="210"/>
        <v>0</v>
      </c>
      <c r="O203" s="130">
        <f t="shared" si="210"/>
        <v>0</v>
      </c>
      <c r="P203" s="130">
        <f t="shared" si="210"/>
        <v>0</v>
      </c>
      <c r="Q203" s="130">
        <f t="shared" si="210"/>
        <v>0</v>
      </c>
      <c r="R203" s="130">
        <f t="shared" si="210"/>
        <v>0</v>
      </c>
      <c r="S203" s="130">
        <f t="shared" si="210"/>
        <v>0</v>
      </c>
      <c r="T203" s="130">
        <f t="shared" si="210"/>
        <v>0</v>
      </c>
      <c r="U203" s="130">
        <f t="shared" si="210"/>
        <v>0</v>
      </c>
      <c r="V203" s="130">
        <f t="shared" si="210"/>
        <v>0</v>
      </c>
      <c r="W203" s="130">
        <f t="shared" si="210"/>
        <v>0</v>
      </c>
      <c r="X203" s="130">
        <f t="shared" si="210"/>
        <v>0</v>
      </c>
      <c r="Y203" s="130">
        <f t="shared" si="210"/>
        <v>0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250.58540867276457</v>
      </c>
      <c r="C204" s="130">
        <f t="shared" si="211"/>
        <v>184.06164847532943</v>
      </c>
      <c r="D204" s="130">
        <f t="shared" si="211"/>
        <v>199.24991532406625</v>
      </c>
      <c r="E204" s="130">
        <f t="shared" si="211"/>
        <v>175.22824326944726</v>
      </c>
      <c r="F204" s="130">
        <f t="shared" si="211"/>
        <v>240.06653426702186</v>
      </c>
      <c r="G204" s="130">
        <f t="shared" si="211"/>
        <v>199.84891832225094</v>
      </c>
      <c r="H204" s="130">
        <f t="shared" si="211"/>
        <v>218.60595418307815</v>
      </c>
      <c r="I204" s="130">
        <f t="shared" si="211"/>
        <v>195.79654571785451</v>
      </c>
      <c r="J204" s="130">
        <f t="shared" si="211"/>
        <v>195.76870362250727</v>
      </c>
      <c r="K204" s="130">
        <f t="shared" si="211"/>
        <v>179.26269564411882</v>
      </c>
      <c r="L204" s="130">
        <f t="shared" si="211"/>
        <v>200.08171727465594</v>
      </c>
      <c r="M204" s="130">
        <f t="shared" si="211"/>
        <v>201.41621435825732</v>
      </c>
      <c r="N204" s="130">
        <f t="shared" si="211"/>
        <v>160.92117234585521</v>
      </c>
      <c r="O204" s="130">
        <f t="shared" si="211"/>
        <v>135.87660858174058</v>
      </c>
      <c r="P204" s="130">
        <f t="shared" si="211"/>
        <v>141.3933279396328</v>
      </c>
      <c r="Q204" s="130">
        <f t="shared" si="211"/>
        <v>142.81171335627255</v>
      </c>
      <c r="R204" s="130">
        <f t="shared" si="211"/>
        <v>110.32740034722914</v>
      </c>
      <c r="S204" s="130">
        <f t="shared" si="211"/>
        <v>134.52237186839875</v>
      </c>
      <c r="T204" s="130">
        <f t="shared" si="211"/>
        <v>147.84978096198324</v>
      </c>
      <c r="U204" s="130">
        <f t="shared" si="211"/>
        <v>140.56152866414612</v>
      </c>
      <c r="V204" s="130">
        <f t="shared" si="211"/>
        <v>119.59732889801056</v>
      </c>
      <c r="W204" s="130">
        <f t="shared" si="211"/>
        <v>117.73788612787493</v>
      </c>
      <c r="X204" s="130">
        <f t="shared" si="211"/>
        <v>116.96980856817035</v>
      </c>
      <c r="Y204" s="130">
        <f t="shared" si="211"/>
        <v>89.856987722923762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281.30899272596895</v>
      </c>
      <c r="C206" s="97">
        <f t="shared" si="213"/>
        <v>207.34666119324172</v>
      </c>
      <c r="D206" s="97">
        <f t="shared" si="213"/>
        <v>226.39713776548592</v>
      </c>
      <c r="E206" s="97">
        <f t="shared" si="213"/>
        <v>190.89912429573178</v>
      </c>
      <c r="F206" s="97">
        <f t="shared" si="213"/>
        <v>273.05390074444597</v>
      </c>
      <c r="G206" s="97">
        <f t="shared" si="213"/>
        <v>227.27343891872272</v>
      </c>
      <c r="H206" s="97">
        <f t="shared" si="213"/>
        <v>263.37571567188945</v>
      </c>
      <c r="I206" s="97">
        <f t="shared" si="213"/>
        <v>243.89783759536266</v>
      </c>
      <c r="J206" s="97">
        <f t="shared" si="213"/>
        <v>253.27922516870038</v>
      </c>
      <c r="K206" s="97">
        <f t="shared" si="213"/>
        <v>238.82436759327757</v>
      </c>
      <c r="L206" s="97">
        <f t="shared" si="213"/>
        <v>232.2016015422852</v>
      </c>
      <c r="M206" s="97">
        <f t="shared" si="213"/>
        <v>223.84312216936891</v>
      </c>
      <c r="N206" s="97">
        <f t="shared" si="213"/>
        <v>191.5218420755215</v>
      </c>
      <c r="O206" s="97">
        <f t="shared" si="213"/>
        <v>183.71025263125352</v>
      </c>
      <c r="P206" s="97">
        <f t="shared" si="213"/>
        <v>166.15757775214223</v>
      </c>
      <c r="Q206" s="97">
        <f t="shared" si="213"/>
        <v>154.85311091901971</v>
      </c>
      <c r="R206" s="97">
        <f t="shared" si="213"/>
        <v>148.51534253469399</v>
      </c>
      <c r="S206" s="97">
        <f t="shared" si="213"/>
        <v>153.47888110070247</v>
      </c>
      <c r="T206" s="97">
        <f t="shared" si="213"/>
        <v>163.53842855621699</v>
      </c>
      <c r="U206" s="97">
        <f t="shared" si="213"/>
        <v>169.3157814738928</v>
      </c>
      <c r="V206" s="97">
        <f t="shared" si="213"/>
        <v>170.46543787132393</v>
      </c>
      <c r="W206" s="97">
        <f t="shared" si="213"/>
        <v>172.9230865435155</v>
      </c>
      <c r="X206" s="97">
        <f t="shared" si="213"/>
        <v>173.52092173721115</v>
      </c>
      <c r="Y206" s="97">
        <f t="shared" si="213"/>
        <v>156.99337354775534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86.55036061873561</v>
      </c>
      <c r="C207" s="97">
        <f t="shared" si="214"/>
        <v>66.078031687301532</v>
      </c>
      <c r="D207" s="97">
        <f t="shared" si="214"/>
        <v>72.138991121310951</v>
      </c>
      <c r="E207" s="97">
        <f t="shared" si="214"/>
        <v>68.230832327689981</v>
      </c>
      <c r="F207" s="97">
        <f t="shared" si="214"/>
        <v>89.116594200336834</v>
      </c>
      <c r="G207" s="97">
        <f t="shared" si="214"/>
        <v>96.310686826838946</v>
      </c>
      <c r="H207" s="97">
        <f t="shared" si="214"/>
        <v>86.979450301506674</v>
      </c>
      <c r="I207" s="97">
        <f t="shared" si="214"/>
        <v>86.250417577098432</v>
      </c>
      <c r="J207" s="97">
        <f t="shared" si="214"/>
        <v>100.21995140349802</v>
      </c>
      <c r="K207" s="97">
        <f t="shared" si="214"/>
        <v>105.16928357180987</v>
      </c>
      <c r="L207" s="97">
        <f t="shared" si="214"/>
        <v>115.64421915578659</v>
      </c>
      <c r="M207" s="97">
        <f t="shared" si="214"/>
        <v>115.25154869096907</v>
      </c>
      <c r="N207" s="97">
        <f t="shared" si="214"/>
        <v>84.628266494655705</v>
      </c>
      <c r="O207" s="97">
        <f t="shared" si="214"/>
        <v>53.493628865487395</v>
      </c>
      <c r="P207" s="97">
        <f t="shared" si="214"/>
        <v>56.323977519365997</v>
      </c>
      <c r="Q207" s="97">
        <f t="shared" si="214"/>
        <v>66.274906751684085</v>
      </c>
      <c r="R207" s="97">
        <f t="shared" si="214"/>
        <v>39.395398767388485</v>
      </c>
      <c r="S207" s="97">
        <f t="shared" si="214"/>
        <v>65.128525961505559</v>
      </c>
      <c r="T207" s="97">
        <f t="shared" si="214"/>
        <v>64.976353581316559</v>
      </c>
      <c r="U207" s="97">
        <f t="shared" si="214"/>
        <v>29.617499181414519</v>
      </c>
      <c r="V207" s="97">
        <f t="shared" si="214"/>
        <v>66.423203057244578</v>
      </c>
      <c r="W207" s="97">
        <f t="shared" si="214"/>
        <v>43.803445726398714</v>
      </c>
      <c r="X207" s="97">
        <f t="shared" si="214"/>
        <v>71.762389546306139</v>
      </c>
      <c r="Y207" s="97">
        <f t="shared" si="214"/>
        <v>51.844610206081711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0</v>
      </c>
      <c r="C208" s="130">
        <f t="shared" si="215"/>
        <v>0</v>
      </c>
      <c r="D208" s="130">
        <f t="shared" si="215"/>
        <v>0</v>
      </c>
      <c r="E208" s="130">
        <f t="shared" si="215"/>
        <v>0</v>
      </c>
      <c r="F208" s="130">
        <f t="shared" si="215"/>
        <v>0</v>
      </c>
      <c r="G208" s="130">
        <f t="shared" si="215"/>
        <v>3786.6965299771832</v>
      </c>
      <c r="H208" s="130">
        <f t="shared" si="215"/>
        <v>3832.077628403797</v>
      </c>
      <c r="I208" s="130">
        <f t="shared" si="215"/>
        <v>3873.4106443274723</v>
      </c>
      <c r="J208" s="130">
        <f t="shared" si="215"/>
        <v>3871.1705797570626</v>
      </c>
      <c r="K208" s="130">
        <f t="shared" si="215"/>
        <v>3837.5360217587609</v>
      </c>
      <c r="L208" s="130">
        <f t="shared" si="215"/>
        <v>4088.3418604376216</v>
      </c>
      <c r="M208" s="130">
        <f t="shared" si="215"/>
        <v>4348.5690110317855</v>
      </c>
      <c r="N208" s="130">
        <f t="shared" si="215"/>
        <v>3806.5313797588515</v>
      </c>
      <c r="O208" s="130">
        <f t="shared" si="215"/>
        <v>3219.3084653181077</v>
      </c>
      <c r="P208" s="130">
        <f t="shared" si="215"/>
        <v>3044.8800314489426</v>
      </c>
      <c r="Q208" s="130">
        <f t="shared" si="215"/>
        <v>3122.2612841080995</v>
      </c>
      <c r="R208" s="130">
        <f t="shared" si="215"/>
        <v>3094.3359255865303</v>
      </c>
      <c r="S208" s="130">
        <f t="shared" si="215"/>
        <v>3146.9161351333405</v>
      </c>
      <c r="T208" s="130">
        <f t="shared" si="215"/>
        <v>3080.5188722895432</v>
      </c>
      <c r="U208" s="130">
        <f t="shared" si="215"/>
        <v>3181.5926272954757</v>
      </c>
      <c r="V208" s="130">
        <f t="shared" si="215"/>
        <v>3242.2807870812317</v>
      </c>
      <c r="W208" s="130">
        <f t="shared" si="215"/>
        <v>3302.8049155818717</v>
      </c>
      <c r="X208" s="130">
        <f t="shared" si="215"/>
        <v>3261.0905554182673</v>
      </c>
      <c r="Y208" s="130">
        <f t="shared" si="215"/>
        <v>3357.6944837116903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3786.6965299771832</v>
      </c>
      <c r="H209" s="97">
        <f t="shared" si="216"/>
        <v>3832.077628403797</v>
      </c>
      <c r="I209" s="97">
        <f t="shared" si="216"/>
        <v>3873.4106443274723</v>
      </c>
      <c r="J209" s="97">
        <f t="shared" si="216"/>
        <v>3871.1705797570626</v>
      </c>
      <c r="K209" s="97">
        <f t="shared" si="216"/>
        <v>3837.5360217587609</v>
      </c>
      <c r="L209" s="97">
        <f t="shared" si="216"/>
        <v>4088.3418604376216</v>
      </c>
      <c r="M209" s="97">
        <f t="shared" si="216"/>
        <v>4348.5690110317855</v>
      </c>
      <c r="N209" s="97">
        <f t="shared" si="216"/>
        <v>3806.5313797588515</v>
      </c>
      <c r="O209" s="97">
        <f t="shared" si="216"/>
        <v>3219.3084653181077</v>
      </c>
      <c r="P209" s="97">
        <f t="shared" si="216"/>
        <v>3044.8800314489426</v>
      </c>
      <c r="Q209" s="97">
        <f t="shared" si="216"/>
        <v>3122.2612841080995</v>
      </c>
      <c r="R209" s="97">
        <f t="shared" si="216"/>
        <v>3094.3359255865303</v>
      </c>
      <c r="S209" s="97">
        <f t="shared" si="216"/>
        <v>3146.9161351333405</v>
      </c>
      <c r="T209" s="97">
        <f t="shared" si="216"/>
        <v>3080.5188722895432</v>
      </c>
      <c r="U209" s="97">
        <f t="shared" si="216"/>
        <v>3181.5926272954757</v>
      </c>
      <c r="V209" s="97">
        <f t="shared" si="216"/>
        <v>3242.2807870812317</v>
      </c>
      <c r="W209" s="97">
        <f t="shared" si="216"/>
        <v>3302.8049155818717</v>
      </c>
      <c r="X209" s="97">
        <f t="shared" si="216"/>
        <v>3261.0905554182673</v>
      </c>
      <c r="Y209" s="97">
        <f t="shared" si="216"/>
        <v>3357.6944837116903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0</v>
      </c>
      <c r="W210" s="98">
        <f t="shared" si="217"/>
        <v>0</v>
      </c>
      <c r="X210" s="98">
        <f t="shared" si="217"/>
        <v>0</v>
      </c>
      <c r="Y210" s="98">
        <f t="shared" si="217"/>
        <v>0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201.95497873045025</v>
      </c>
      <c r="C211" s="32">
        <f t="shared" si="218"/>
        <v>205.7134615338253</v>
      </c>
      <c r="D211" s="32">
        <f t="shared" si="218"/>
        <v>204.81640772300528</v>
      </c>
      <c r="E211" s="32">
        <f t="shared" si="218"/>
        <v>204.43300447107123</v>
      </c>
      <c r="F211" s="32">
        <f t="shared" si="218"/>
        <v>168.73381598923845</v>
      </c>
      <c r="G211" s="32">
        <f t="shared" si="218"/>
        <v>156.70938974446474</v>
      </c>
      <c r="H211" s="32">
        <f t="shared" si="218"/>
        <v>165.31466587812162</v>
      </c>
      <c r="I211" s="32">
        <f t="shared" si="218"/>
        <v>183.52644968718636</v>
      </c>
      <c r="J211" s="32">
        <f t="shared" si="218"/>
        <v>200.07680871838409</v>
      </c>
      <c r="K211" s="32">
        <f t="shared" si="218"/>
        <v>225.56176045770238</v>
      </c>
      <c r="L211" s="32">
        <f t="shared" si="218"/>
        <v>307.70600845149579</v>
      </c>
      <c r="M211" s="32">
        <f t="shared" si="218"/>
        <v>310.21337845452035</v>
      </c>
      <c r="N211" s="32">
        <f t="shared" si="218"/>
        <v>285.63481321375531</v>
      </c>
      <c r="O211" s="32">
        <f t="shared" si="218"/>
        <v>248.39755175992204</v>
      </c>
      <c r="P211" s="32">
        <f t="shared" si="218"/>
        <v>216.99633473707817</v>
      </c>
      <c r="Q211" s="32">
        <f t="shared" si="218"/>
        <v>355.83717665808183</v>
      </c>
      <c r="R211" s="32">
        <f t="shared" si="218"/>
        <v>421.68155659633857</v>
      </c>
      <c r="S211" s="32">
        <f t="shared" si="218"/>
        <v>409.25648945175021</v>
      </c>
      <c r="T211" s="32">
        <f t="shared" si="218"/>
        <v>351.78199449379247</v>
      </c>
      <c r="U211" s="32">
        <f t="shared" si="218"/>
        <v>299.88859132607934</v>
      </c>
      <c r="V211" s="32">
        <f t="shared" si="218"/>
        <v>449.42558961147415</v>
      </c>
      <c r="W211" s="32">
        <f t="shared" si="218"/>
        <v>529.45532596503244</v>
      </c>
      <c r="X211" s="32">
        <f t="shared" si="218"/>
        <v>415.50598211421732</v>
      </c>
      <c r="Y211" s="32">
        <f t="shared" si="218"/>
        <v>255.623513539329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251.00807542981579</v>
      </c>
      <c r="C212" s="97">
        <f t="shared" si="219"/>
        <v>258.49551524103646</v>
      </c>
      <c r="D212" s="97">
        <f t="shared" si="219"/>
        <v>256.62259613292969</v>
      </c>
      <c r="E212" s="97">
        <f t="shared" si="219"/>
        <v>255.7718152366854</v>
      </c>
      <c r="F212" s="97">
        <f t="shared" si="219"/>
        <v>269.04147492787877</v>
      </c>
      <c r="G212" s="97">
        <f t="shared" si="219"/>
        <v>198.86096269025742</v>
      </c>
      <c r="H212" s="97">
        <f t="shared" si="219"/>
        <v>198.13799752867834</v>
      </c>
      <c r="I212" s="97">
        <f t="shared" si="219"/>
        <v>208.8636748746448</v>
      </c>
      <c r="J212" s="97">
        <f t="shared" si="219"/>
        <v>235.70711434705274</v>
      </c>
      <c r="K212" s="97">
        <f t="shared" si="219"/>
        <v>283.35221427538016</v>
      </c>
      <c r="L212" s="97">
        <f t="shared" si="219"/>
        <v>385.32884633539959</v>
      </c>
      <c r="M212" s="97">
        <f t="shared" si="219"/>
        <v>430.77497470073371</v>
      </c>
      <c r="N212" s="97">
        <f t="shared" si="219"/>
        <v>354.74587544829603</v>
      </c>
      <c r="O212" s="97">
        <f t="shared" si="219"/>
        <v>321.63477072771366</v>
      </c>
      <c r="P212" s="97">
        <f t="shared" si="219"/>
        <v>331.65851834616774</v>
      </c>
      <c r="Q212" s="97">
        <f t="shared" si="219"/>
        <v>437.45308444988899</v>
      </c>
      <c r="R212" s="97">
        <f t="shared" si="219"/>
        <v>601.44954550818954</v>
      </c>
      <c r="S212" s="97">
        <f t="shared" si="219"/>
        <v>592.33479110859241</v>
      </c>
      <c r="T212" s="97">
        <f t="shared" si="219"/>
        <v>462.85843422654307</v>
      </c>
      <c r="U212" s="97">
        <f t="shared" si="219"/>
        <v>486.38573730217831</v>
      </c>
      <c r="V212" s="97">
        <f t="shared" si="219"/>
        <v>476.98488126560767</v>
      </c>
      <c r="W212" s="97">
        <f t="shared" si="219"/>
        <v>579.78246072871275</v>
      </c>
      <c r="X212" s="97">
        <f t="shared" si="219"/>
        <v>527.26529146065411</v>
      </c>
      <c r="Y212" s="97">
        <f t="shared" si="219"/>
        <v>347.32722747098791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158.97973554011381</v>
      </c>
      <c r="C213" s="98">
        <f t="shared" si="220"/>
        <v>160.36372212100454</v>
      </c>
      <c r="D213" s="98">
        <f t="shared" si="220"/>
        <v>160.39182248952184</v>
      </c>
      <c r="E213" s="98">
        <f t="shared" si="220"/>
        <v>160.27363662927621</v>
      </c>
      <c r="F213" s="98">
        <f t="shared" si="220"/>
        <v>123.41961031833031</v>
      </c>
      <c r="G213" s="98">
        <f t="shared" si="220"/>
        <v>120.99081417840769</v>
      </c>
      <c r="H213" s="98">
        <f t="shared" si="220"/>
        <v>139.72984025249605</v>
      </c>
      <c r="I213" s="98">
        <f t="shared" si="220"/>
        <v>165.15102565656903</v>
      </c>
      <c r="J213" s="98">
        <f t="shared" si="220"/>
        <v>162.94519260335917</v>
      </c>
      <c r="K213" s="98">
        <f t="shared" si="220"/>
        <v>173.67653498949565</v>
      </c>
      <c r="L213" s="98">
        <f t="shared" si="220"/>
        <v>237.8910970312626</v>
      </c>
      <c r="M213" s="98">
        <f t="shared" si="220"/>
        <v>224.11158023363453</v>
      </c>
      <c r="N213" s="98">
        <f t="shared" si="220"/>
        <v>212.26726932139485</v>
      </c>
      <c r="O213" s="98">
        <f t="shared" si="220"/>
        <v>176.60652104574095</v>
      </c>
      <c r="P213" s="98">
        <f t="shared" si="220"/>
        <v>144.96851371742679</v>
      </c>
      <c r="Q213" s="98">
        <f t="shared" si="220"/>
        <v>264.56843677456357</v>
      </c>
      <c r="R213" s="98">
        <f t="shared" si="220"/>
        <v>288.98526411603331</v>
      </c>
      <c r="S213" s="98">
        <f t="shared" si="220"/>
        <v>282.4902362907344</v>
      </c>
      <c r="T213" s="98">
        <f t="shared" si="220"/>
        <v>253.68170226256771</v>
      </c>
      <c r="U213" s="98">
        <f t="shared" si="220"/>
        <v>203.08603116336289</v>
      </c>
      <c r="V213" s="98">
        <f t="shared" si="220"/>
        <v>409.8467882604387</v>
      </c>
      <c r="W213" s="98">
        <f t="shared" si="220"/>
        <v>468.74633135333914</v>
      </c>
      <c r="X213" s="98">
        <f t="shared" si="220"/>
        <v>310.83254550272659</v>
      </c>
      <c r="Y213" s="98">
        <f t="shared" si="220"/>
        <v>178.04932445491403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124.51625689962935</v>
      </c>
      <c r="C216" s="32">
        <f t="shared" si="221"/>
        <v>108.21211321629058</v>
      </c>
      <c r="D216" s="32">
        <f t="shared" si="221"/>
        <v>108.40452405987384</v>
      </c>
      <c r="E216" s="32">
        <f t="shared" si="221"/>
        <v>103.59323906272209</v>
      </c>
      <c r="F216" s="32">
        <f t="shared" si="221"/>
        <v>111.69521800376626</v>
      </c>
      <c r="G216" s="32">
        <f t="shared" si="221"/>
        <v>110.8198778311675</v>
      </c>
      <c r="H216" s="32">
        <f t="shared" si="221"/>
        <v>114.55167995697698</v>
      </c>
      <c r="I216" s="32">
        <f t="shared" si="221"/>
        <v>112.42880892423128</v>
      </c>
      <c r="J216" s="32">
        <f t="shared" si="221"/>
        <v>119.80663242592597</v>
      </c>
      <c r="K216" s="32">
        <f t="shared" si="221"/>
        <v>111.60472493266963</v>
      </c>
      <c r="L216" s="32">
        <f t="shared" si="221"/>
        <v>121.17284165821704</v>
      </c>
      <c r="M216" s="32">
        <f t="shared" si="221"/>
        <v>117.05311040297723</v>
      </c>
      <c r="N216" s="32">
        <f t="shared" si="221"/>
        <v>114.14268533982069</v>
      </c>
      <c r="O216" s="32">
        <f t="shared" si="221"/>
        <v>111.75348114469055</v>
      </c>
      <c r="P216" s="32">
        <f t="shared" si="221"/>
        <v>112.61827448238071</v>
      </c>
      <c r="Q216" s="32">
        <f t="shared" si="221"/>
        <v>113.243450174656</v>
      </c>
      <c r="R216" s="32">
        <f t="shared" si="221"/>
        <v>108.49345825082895</v>
      </c>
      <c r="S216" s="32">
        <f t="shared" si="221"/>
        <v>106.28852598818034</v>
      </c>
      <c r="T216" s="32">
        <f t="shared" si="221"/>
        <v>108.81162131475342</v>
      </c>
      <c r="U216" s="32">
        <f t="shared" si="221"/>
        <v>106.34402930279475</v>
      </c>
      <c r="V216" s="32">
        <f t="shared" si="221"/>
        <v>132.54402754907997</v>
      </c>
      <c r="W216" s="32">
        <f t="shared" si="221"/>
        <v>128.7708053333086</v>
      </c>
      <c r="X216" s="32">
        <f t="shared" si="221"/>
        <v>113.43318776757386</v>
      </c>
      <c r="Y216" s="32">
        <f t="shared" si="221"/>
        <v>104.67981466656823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121.02774253419192</v>
      </c>
      <c r="C217" s="141">
        <f t="shared" si="222"/>
        <v>114.99602664769574</v>
      </c>
      <c r="D217" s="141">
        <f t="shared" si="222"/>
        <v>107.13010784213591</v>
      </c>
      <c r="E217" s="141">
        <f t="shared" si="222"/>
        <v>109.31427836705571</v>
      </c>
      <c r="F217" s="141">
        <f t="shared" si="222"/>
        <v>101.31359794749616</v>
      </c>
      <c r="G217" s="141">
        <f t="shared" si="222"/>
        <v>119.03125442037943</v>
      </c>
      <c r="H217" s="141">
        <f t="shared" si="222"/>
        <v>119.96260755991334</v>
      </c>
      <c r="I217" s="141">
        <f t="shared" si="222"/>
        <v>119.02066798635946</v>
      </c>
      <c r="J217" s="141">
        <f t="shared" si="222"/>
        <v>134.13645973513547</v>
      </c>
      <c r="K217" s="141">
        <f t="shared" si="222"/>
        <v>116.32341329465402</v>
      </c>
      <c r="L217" s="141">
        <f t="shared" si="222"/>
        <v>134.47219884741025</v>
      </c>
      <c r="M217" s="141">
        <f t="shared" si="222"/>
        <v>135.34133498605362</v>
      </c>
      <c r="N217" s="141">
        <f t="shared" si="222"/>
        <v>137.382227379493</v>
      </c>
      <c r="O217" s="141">
        <f t="shared" si="222"/>
        <v>138.41294305244691</v>
      </c>
      <c r="P217" s="141">
        <f t="shared" si="222"/>
        <v>136.00857054468869</v>
      </c>
      <c r="Q217" s="141">
        <f t="shared" si="222"/>
        <v>139.72386784610271</v>
      </c>
      <c r="R217" s="141">
        <f t="shared" si="222"/>
        <v>136.54334630742542</v>
      </c>
      <c r="S217" s="141">
        <f t="shared" si="222"/>
        <v>137.86238777415343</v>
      </c>
      <c r="T217" s="141">
        <f t="shared" si="222"/>
        <v>149.66034816416015</v>
      </c>
      <c r="U217" s="141">
        <f t="shared" si="222"/>
        <v>151.01468889095753</v>
      </c>
      <c r="V217" s="141">
        <f t="shared" si="222"/>
        <v>141.77532825288563</v>
      </c>
      <c r="W217" s="141">
        <f t="shared" si="222"/>
        <v>140.63557001638191</v>
      </c>
      <c r="X217" s="141">
        <f t="shared" si="222"/>
        <v>155.38299102905336</v>
      </c>
      <c r="Y217" s="141">
        <f t="shared" si="222"/>
        <v>152.24267825757434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104.05661352985763</v>
      </c>
      <c r="C218" s="97">
        <f t="shared" si="223"/>
        <v>103.64880025028461</v>
      </c>
      <c r="D218" s="97">
        <f t="shared" si="223"/>
        <v>103.25561860892108</v>
      </c>
      <c r="E218" s="97">
        <f t="shared" si="223"/>
        <v>102.82090161263292</v>
      </c>
      <c r="F218" s="97">
        <f t="shared" si="223"/>
        <v>102.42816714387793</v>
      </c>
      <c r="G218" s="97">
        <f t="shared" si="223"/>
        <v>102.0486677562606</v>
      </c>
      <c r="H218" s="97">
        <f t="shared" si="223"/>
        <v>101.4381865860971</v>
      </c>
      <c r="I218" s="97">
        <f t="shared" si="223"/>
        <v>100.60569757178394</v>
      </c>
      <c r="J218" s="97">
        <f t="shared" si="223"/>
        <v>99.017890709577273</v>
      </c>
      <c r="K218" s="97">
        <f t="shared" si="223"/>
        <v>97.563833103192223</v>
      </c>
      <c r="L218" s="97">
        <f t="shared" si="223"/>
        <v>96.018556030954002</v>
      </c>
      <c r="M218" s="97">
        <f t="shared" si="223"/>
        <v>94.60180221049896</v>
      </c>
      <c r="N218" s="97">
        <f t="shared" si="223"/>
        <v>93.275257820337558</v>
      </c>
      <c r="O218" s="97">
        <f t="shared" si="223"/>
        <v>91.725789519533436</v>
      </c>
      <c r="P218" s="97">
        <f t="shared" si="223"/>
        <v>90.087631732569818</v>
      </c>
      <c r="Q218" s="97">
        <f t="shared" si="223"/>
        <v>88.095609462562777</v>
      </c>
      <c r="R218" s="97">
        <f t="shared" si="223"/>
        <v>85.968035201181237</v>
      </c>
      <c r="S218" s="97">
        <f t="shared" si="223"/>
        <v>84.394758588939311</v>
      </c>
      <c r="T218" s="97">
        <f t="shared" si="223"/>
        <v>85.045900640955878</v>
      </c>
      <c r="U218" s="97">
        <f t="shared" si="223"/>
        <v>86.879885337823836</v>
      </c>
      <c r="V218" s="97">
        <f t="shared" si="223"/>
        <v>86.291935718967295</v>
      </c>
      <c r="W218" s="97">
        <f t="shared" si="223"/>
        <v>85.707226575436394</v>
      </c>
      <c r="X218" s="97">
        <f t="shared" si="223"/>
        <v>84.876541009918199</v>
      </c>
      <c r="Y218" s="97">
        <f t="shared" si="223"/>
        <v>84.442103857857916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132.72251356269166</v>
      </c>
      <c r="C219" s="97">
        <f t="shared" si="224"/>
        <v>126.32196742766446</v>
      </c>
      <c r="D219" s="97">
        <f t="shared" si="224"/>
        <v>127.61884200509618</v>
      </c>
      <c r="E219" s="97">
        <f t="shared" si="224"/>
        <v>123.13944906292159</v>
      </c>
      <c r="F219" s="97">
        <f t="shared" si="224"/>
        <v>107.20692432475083</v>
      </c>
      <c r="G219" s="97">
        <f t="shared" si="224"/>
        <v>121.16837229797665</v>
      </c>
      <c r="H219" s="97">
        <f t="shared" si="224"/>
        <v>120.83675236708497</v>
      </c>
      <c r="I219" s="97">
        <f t="shared" si="224"/>
        <v>121.42867680970961</v>
      </c>
      <c r="J219" s="97">
        <f t="shared" si="224"/>
        <v>140.8352527896258</v>
      </c>
      <c r="K219" s="97">
        <f t="shared" si="224"/>
        <v>120.60727903802135</v>
      </c>
      <c r="L219" s="97">
        <f t="shared" si="224"/>
        <v>141.91309420382856</v>
      </c>
      <c r="M219" s="97">
        <f t="shared" si="224"/>
        <v>141.32719039257293</v>
      </c>
      <c r="N219" s="97">
        <f t="shared" si="224"/>
        <v>140.63288449532649</v>
      </c>
      <c r="O219" s="97">
        <f t="shared" si="224"/>
        <v>141.10951307429698</v>
      </c>
      <c r="P219" s="97">
        <f t="shared" si="224"/>
        <v>134.60272565267252</v>
      </c>
      <c r="Q219" s="97">
        <f t="shared" si="224"/>
        <v>137.82388864939679</v>
      </c>
      <c r="R219" s="97">
        <f t="shared" si="224"/>
        <v>134.82045048111806</v>
      </c>
      <c r="S219" s="97">
        <f t="shared" si="224"/>
        <v>134.7065841740021</v>
      </c>
      <c r="T219" s="97">
        <f t="shared" si="224"/>
        <v>144.27654168213016</v>
      </c>
      <c r="U219" s="97">
        <f t="shared" si="224"/>
        <v>147.62933976611754</v>
      </c>
      <c r="V219" s="97">
        <f t="shared" si="224"/>
        <v>136.43367874710546</v>
      </c>
      <c r="W219" s="97">
        <f t="shared" si="224"/>
        <v>138.70874818317171</v>
      </c>
      <c r="X219" s="97">
        <f t="shared" si="224"/>
        <v>151.82853454501443</v>
      </c>
      <c r="Y219" s="97">
        <f t="shared" si="224"/>
        <v>149.035854853948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76.442365594916737</v>
      </c>
      <c r="C220" s="97">
        <f t="shared" si="225"/>
        <v>72.416714513883363</v>
      </c>
      <c r="D220" s="97">
        <f t="shared" si="225"/>
        <v>28.439660027320635</v>
      </c>
      <c r="E220" s="97">
        <f t="shared" si="225"/>
        <v>56.17237440390133</v>
      </c>
      <c r="F220" s="97">
        <f t="shared" si="225"/>
        <v>78.256319043126126</v>
      </c>
      <c r="G220" s="97">
        <f t="shared" si="225"/>
        <v>111.37675418310816</v>
      </c>
      <c r="H220" s="97">
        <f t="shared" si="225"/>
        <v>117.54896640112614</v>
      </c>
      <c r="I220" s="97">
        <f t="shared" si="225"/>
        <v>110.20835735652719</v>
      </c>
      <c r="J220" s="97">
        <f t="shared" si="225"/>
        <v>108.45372573180622</v>
      </c>
      <c r="K220" s="97">
        <f t="shared" si="225"/>
        <v>98.321163865280468</v>
      </c>
      <c r="L220" s="97">
        <f t="shared" si="225"/>
        <v>104.64482303091664</v>
      </c>
      <c r="M220" s="97">
        <f t="shared" si="225"/>
        <v>110.71008440041031</v>
      </c>
      <c r="N220" s="97">
        <f t="shared" si="225"/>
        <v>125.83762319673374</v>
      </c>
      <c r="O220" s="97">
        <f t="shared" si="225"/>
        <v>129.52622309961188</v>
      </c>
      <c r="P220" s="97">
        <f t="shared" si="225"/>
        <v>147.31089583370226</v>
      </c>
      <c r="Q220" s="97">
        <f t="shared" si="225"/>
        <v>153.21541387603102</v>
      </c>
      <c r="R220" s="97">
        <f t="shared" si="225"/>
        <v>149.66257405516959</v>
      </c>
      <c r="S220" s="97">
        <f t="shared" si="225"/>
        <v>157.60898085180779</v>
      </c>
      <c r="T220" s="97">
        <f t="shared" si="225"/>
        <v>180.55251857544658</v>
      </c>
      <c r="U220" s="97">
        <f t="shared" si="225"/>
        <v>171.85183412256831</v>
      </c>
      <c r="V220" s="97">
        <f t="shared" si="225"/>
        <v>181.58997407199712</v>
      </c>
      <c r="W220" s="97">
        <f t="shared" si="225"/>
        <v>159.01885869671796</v>
      </c>
      <c r="X220" s="97">
        <f t="shared" si="225"/>
        <v>179.30022915623303</v>
      </c>
      <c r="Y220" s="97">
        <f t="shared" si="225"/>
        <v>173.27765541027725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0</v>
      </c>
      <c r="C221" s="130">
        <f t="shared" si="226"/>
        <v>0</v>
      </c>
      <c r="D221" s="130">
        <f t="shared" si="226"/>
        <v>0</v>
      </c>
      <c r="E221" s="130">
        <f t="shared" si="226"/>
        <v>0</v>
      </c>
      <c r="F221" s="130">
        <f t="shared" si="226"/>
        <v>0</v>
      </c>
      <c r="G221" s="130">
        <f t="shared" si="226"/>
        <v>0</v>
      </c>
      <c r="H221" s="130">
        <f t="shared" si="226"/>
        <v>0</v>
      </c>
      <c r="I221" s="130">
        <f t="shared" si="226"/>
        <v>0</v>
      </c>
      <c r="J221" s="130">
        <f t="shared" si="226"/>
        <v>0</v>
      </c>
      <c r="K221" s="130">
        <f t="shared" si="226"/>
        <v>0</v>
      </c>
      <c r="L221" s="130">
        <f t="shared" si="226"/>
        <v>0</v>
      </c>
      <c r="M221" s="130">
        <f t="shared" si="226"/>
        <v>0</v>
      </c>
      <c r="N221" s="130">
        <f t="shared" si="226"/>
        <v>0</v>
      </c>
      <c r="O221" s="130">
        <f t="shared" si="226"/>
        <v>0</v>
      </c>
      <c r="P221" s="130">
        <f t="shared" si="226"/>
        <v>0</v>
      </c>
      <c r="Q221" s="130">
        <f t="shared" si="226"/>
        <v>0</v>
      </c>
      <c r="R221" s="130">
        <f t="shared" si="226"/>
        <v>0</v>
      </c>
      <c r="S221" s="130">
        <f t="shared" si="226"/>
        <v>0</v>
      </c>
      <c r="T221" s="130">
        <f t="shared" si="226"/>
        <v>0</v>
      </c>
      <c r="U221" s="130">
        <f t="shared" si="226"/>
        <v>0</v>
      </c>
      <c r="V221" s="130">
        <f t="shared" si="226"/>
        <v>0</v>
      </c>
      <c r="W221" s="130">
        <f t="shared" si="226"/>
        <v>0</v>
      </c>
      <c r="X221" s="130">
        <f t="shared" si="226"/>
        <v>0</v>
      </c>
      <c r="Y221" s="130">
        <f t="shared" si="226"/>
        <v>0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0</v>
      </c>
      <c r="C223" s="97">
        <f t="shared" si="228"/>
        <v>0</v>
      </c>
      <c r="D223" s="97">
        <f t="shared" si="228"/>
        <v>0</v>
      </c>
      <c r="E223" s="97">
        <f t="shared" si="228"/>
        <v>0</v>
      </c>
      <c r="F223" s="97">
        <f t="shared" si="228"/>
        <v>0</v>
      </c>
      <c r="G223" s="97">
        <f t="shared" si="228"/>
        <v>0</v>
      </c>
      <c r="H223" s="97">
        <f t="shared" si="228"/>
        <v>0</v>
      </c>
      <c r="I223" s="97">
        <f t="shared" si="228"/>
        <v>0</v>
      </c>
      <c r="J223" s="97">
        <f t="shared" si="228"/>
        <v>0</v>
      </c>
      <c r="K223" s="97">
        <f t="shared" si="228"/>
        <v>0</v>
      </c>
      <c r="L223" s="97">
        <f t="shared" si="228"/>
        <v>0</v>
      </c>
      <c r="M223" s="97">
        <f t="shared" si="228"/>
        <v>0</v>
      </c>
      <c r="N223" s="97">
        <f t="shared" si="228"/>
        <v>0</v>
      </c>
      <c r="O223" s="97">
        <f t="shared" si="228"/>
        <v>0</v>
      </c>
      <c r="P223" s="97">
        <f t="shared" si="228"/>
        <v>0</v>
      </c>
      <c r="Q223" s="97">
        <f t="shared" si="228"/>
        <v>0</v>
      </c>
      <c r="R223" s="97">
        <f t="shared" si="228"/>
        <v>0</v>
      </c>
      <c r="S223" s="97">
        <f t="shared" si="228"/>
        <v>0</v>
      </c>
      <c r="T223" s="97">
        <f t="shared" si="228"/>
        <v>0</v>
      </c>
      <c r="U223" s="97">
        <f t="shared" si="228"/>
        <v>0</v>
      </c>
      <c r="V223" s="97">
        <f t="shared" si="228"/>
        <v>0</v>
      </c>
      <c r="W223" s="97">
        <f t="shared" si="228"/>
        <v>0</v>
      </c>
      <c r="X223" s="97">
        <f t="shared" si="228"/>
        <v>0</v>
      </c>
      <c r="Y223" s="97">
        <f t="shared" si="228"/>
        <v>0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127.25063720152033</v>
      </c>
      <c r="C225" s="130">
        <f t="shared" si="230"/>
        <v>102.48045127833446</v>
      </c>
      <c r="D225" s="130">
        <f t="shared" si="230"/>
        <v>109.62803801809272</v>
      </c>
      <c r="E225" s="130">
        <f t="shared" si="230"/>
        <v>97.85699120104519</v>
      </c>
      <c r="F225" s="130">
        <f t="shared" si="230"/>
        <v>121.99576711381457</v>
      </c>
      <c r="G225" s="130">
        <f t="shared" si="230"/>
        <v>102.60245101715286</v>
      </c>
      <c r="H225" s="130">
        <f t="shared" si="230"/>
        <v>108.70347319872461</v>
      </c>
      <c r="I225" s="130">
        <f t="shared" si="230"/>
        <v>105.66733748332439</v>
      </c>
      <c r="J225" s="130">
        <f t="shared" si="230"/>
        <v>105.28651965619083</v>
      </c>
      <c r="K225" s="130">
        <f t="shared" si="230"/>
        <v>106.38143222679665</v>
      </c>
      <c r="L225" s="130">
        <f t="shared" si="230"/>
        <v>107.91262723650082</v>
      </c>
      <c r="M225" s="130">
        <f t="shared" si="230"/>
        <v>100.56235852873722</v>
      </c>
      <c r="N225" s="130">
        <f t="shared" si="230"/>
        <v>93.575560114971395</v>
      </c>
      <c r="O225" s="130">
        <f t="shared" si="230"/>
        <v>90.004576565573203</v>
      </c>
      <c r="P225" s="130">
        <f t="shared" si="230"/>
        <v>93.225000674142464</v>
      </c>
      <c r="Q225" s="130">
        <f t="shared" si="230"/>
        <v>91.472063061302848</v>
      </c>
      <c r="R225" s="130">
        <f t="shared" si="230"/>
        <v>87.387902518463221</v>
      </c>
      <c r="S225" s="130">
        <f t="shared" si="230"/>
        <v>85.40522119661199</v>
      </c>
      <c r="T225" s="130">
        <f t="shared" si="230"/>
        <v>84.567106636032179</v>
      </c>
      <c r="U225" s="130">
        <f t="shared" si="230"/>
        <v>81.459846388713217</v>
      </c>
      <c r="V225" s="130">
        <f t="shared" si="230"/>
        <v>115.40177411561784</v>
      </c>
      <c r="W225" s="130">
        <f t="shared" si="230"/>
        <v>111.44128078424382</v>
      </c>
      <c r="X225" s="130">
        <f t="shared" si="230"/>
        <v>83.046729757324087</v>
      </c>
      <c r="Y225" s="130">
        <f t="shared" si="230"/>
        <v>76.514120271261717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120.95339283855576</v>
      </c>
      <c r="C227" s="97">
        <f t="shared" si="232"/>
        <v>97.457161814890711</v>
      </c>
      <c r="D227" s="97">
        <f t="shared" si="232"/>
        <v>104.66461331601644</v>
      </c>
      <c r="E227" s="97">
        <f t="shared" si="232"/>
        <v>94.435833259592997</v>
      </c>
      <c r="F227" s="97">
        <f t="shared" si="232"/>
        <v>118.01922691022133</v>
      </c>
      <c r="G227" s="97">
        <f t="shared" si="232"/>
        <v>99.321258020136966</v>
      </c>
      <c r="H227" s="97">
        <f t="shared" si="232"/>
        <v>104.76679553861223</v>
      </c>
      <c r="I227" s="97">
        <f t="shared" si="232"/>
        <v>101.60434858808125</v>
      </c>
      <c r="J227" s="97">
        <f t="shared" si="232"/>
        <v>100.78008867378288</v>
      </c>
      <c r="K227" s="97">
        <f t="shared" si="232"/>
        <v>101.02481758758336</v>
      </c>
      <c r="L227" s="97">
        <f t="shared" si="232"/>
        <v>103.24074306205407</v>
      </c>
      <c r="M227" s="97">
        <f t="shared" si="232"/>
        <v>97.630289982590114</v>
      </c>
      <c r="N227" s="97">
        <f t="shared" si="232"/>
        <v>90.211812709964391</v>
      </c>
      <c r="O227" s="97">
        <f t="shared" si="232"/>
        <v>88.791739435685969</v>
      </c>
      <c r="P227" s="97">
        <f t="shared" si="232"/>
        <v>90.523439316070792</v>
      </c>
      <c r="Q227" s="97">
        <f t="shared" si="232"/>
        <v>88.082725037425959</v>
      </c>
      <c r="R227" s="97">
        <f t="shared" si="232"/>
        <v>86.743417814228351</v>
      </c>
      <c r="S227" s="97">
        <f t="shared" si="232"/>
        <v>83.044182959740624</v>
      </c>
      <c r="T227" s="97">
        <f t="shared" si="232"/>
        <v>83.097293964313863</v>
      </c>
      <c r="U227" s="97">
        <f t="shared" si="232"/>
        <v>82.824980066484343</v>
      </c>
      <c r="V227" s="97">
        <f t="shared" si="232"/>
        <v>112.0908431784331</v>
      </c>
      <c r="W227" s="97">
        <f t="shared" si="232"/>
        <v>108.23881554001393</v>
      </c>
      <c r="X227" s="97">
        <f t="shared" si="232"/>
        <v>81.749263529829108</v>
      </c>
      <c r="Y227" s="97">
        <f t="shared" si="232"/>
        <v>75.779565397341159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240.31688012185296</v>
      </c>
      <c r="C228" s="97">
        <f t="shared" si="233"/>
        <v>191.83041589718991</v>
      </c>
      <c r="D228" s="97">
        <f t="shared" si="233"/>
        <v>209.46558374126965</v>
      </c>
      <c r="E228" s="97">
        <f t="shared" si="233"/>
        <v>166.64662369978635</v>
      </c>
      <c r="F228" s="97">
        <f t="shared" si="233"/>
        <v>205.85405986200524</v>
      </c>
      <c r="G228" s="97">
        <f t="shared" si="233"/>
        <v>175.31216230494948</v>
      </c>
      <c r="H228" s="97">
        <f t="shared" si="233"/>
        <v>199.69647496202379</v>
      </c>
      <c r="I228" s="97">
        <f t="shared" si="233"/>
        <v>213.79611858610198</v>
      </c>
      <c r="J228" s="97">
        <f t="shared" si="233"/>
        <v>223.82535873818773</v>
      </c>
      <c r="K228" s="97">
        <f t="shared" si="233"/>
        <v>260.19722627475994</v>
      </c>
      <c r="L228" s="97">
        <f t="shared" si="233"/>
        <v>222.65920347125422</v>
      </c>
      <c r="M228" s="97">
        <f t="shared" si="233"/>
        <v>153.87465648693845</v>
      </c>
      <c r="N228" s="97">
        <f t="shared" si="233"/>
        <v>162.17193553772034</v>
      </c>
      <c r="O228" s="97">
        <f t="shared" si="233"/>
        <v>106.97483430668044</v>
      </c>
      <c r="P228" s="97">
        <f t="shared" si="233"/>
        <v>145.57005525952795</v>
      </c>
      <c r="Q228" s="97">
        <f t="shared" si="233"/>
        <v>171.50379270657587</v>
      </c>
      <c r="R228" s="97">
        <f t="shared" si="233"/>
        <v>96.548615165318779</v>
      </c>
      <c r="S228" s="97">
        <f t="shared" si="233"/>
        <v>137.9299117828545</v>
      </c>
      <c r="T228" s="97">
        <f t="shared" si="233"/>
        <v>111.98418712115972</v>
      </c>
      <c r="U228" s="97">
        <f t="shared" si="233"/>
        <v>66.47222288612943</v>
      </c>
      <c r="V228" s="97">
        <f t="shared" si="233"/>
        <v>150.02554529687293</v>
      </c>
      <c r="W228" s="97">
        <f t="shared" si="233"/>
        <v>154.43977085211552</v>
      </c>
      <c r="X228" s="97">
        <f t="shared" si="233"/>
        <v>102.56597505164322</v>
      </c>
      <c r="Y228" s="97">
        <f t="shared" si="233"/>
        <v>87.211984149133855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207.19150800035885</v>
      </c>
      <c r="C229" s="32">
        <f t="shared" si="234"/>
        <v>197.0810738750227</v>
      </c>
      <c r="D229" s="32">
        <f t="shared" si="234"/>
        <v>134.90328201861323</v>
      </c>
      <c r="E229" s="32">
        <f t="shared" si="234"/>
        <v>171.84268974875951</v>
      </c>
      <c r="F229" s="32">
        <f t="shared" si="234"/>
        <v>203.4131043680608</v>
      </c>
      <c r="G229" s="32">
        <f t="shared" si="234"/>
        <v>389.37521644330337</v>
      </c>
      <c r="H229" s="32">
        <f t="shared" si="234"/>
        <v>428.26344438712943</v>
      </c>
      <c r="I229" s="32">
        <f t="shared" si="234"/>
        <v>389.48210097209147</v>
      </c>
      <c r="J229" s="32">
        <f t="shared" si="234"/>
        <v>374.9337313948119</v>
      </c>
      <c r="K229" s="32">
        <f t="shared" si="234"/>
        <v>340.82401476095561</v>
      </c>
      <c r="L229" s="32">
        <f t="shared" si="234"/>
        <v>420.73826604041409</v>
      </c>
      <c r="M229" s="32">
        <f t="shared" si="234"/>
        <v>409.66140867551729</v>
      </c>
      <c r="N229" s="32">
        <f t="shared" si="234"/>
        <v>396.56758433523805</v>
      </c>
      <c r="O229" s="32">
        <f t="shared" si="234"/>
        <v>369.19367773678113</v>
      </c>
      <c r="P229" s="32">
        <f t="shared" si="234"/>
        <v>373.85640103222039</v>
      </c>
      <c r="Q229" s="32">
        <f t="shared" si="234"/>
        <v>398.38483747974033</v>
      </c>
      <c r="R229" s="32">
        <f t="shared" si="234"/>
        <v>378.57045012580096</v>
      </c>
      <c r="S229" s="32">
        <f t="shared" si="234"/>
        <v>416.86418368810956</v>
      </c>
      <c r="T229" s="32">
        <f t="shared" si="234"/>
        <v>453.24728594386033</v>
      </c>
      <c r="U229" s="32">
        <f t="shared" si="234"/>
        <v>496.36155270026097</v>
      </c>
      <c r="V229" s="32">
        <f t="shared" si="234"/>
        <v>470.175291476719</v>
      </c>
      <c r="W229" s="32">
        <f t="shared" si="234"/>
        <v>507.95035393173248</v>
      </c>
      <c r="X229" s="32">
        <f t="shared" si="234"/>
        <v>558.72426812267327</v>
      </c>
      <c r="Y229" s="32">
        <f t="shared" si="234"/>
        <v>602.93104929359242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200.54945839360622</v>
      </c>
      <c r="C230" s="141">
        <f t="shared" si="235"/>
        <v>192.56921714297286</v>
      </c>
      <c r="D230" s="141">
        <f t="shared" si="235"/>
        <v>119.07359118817126</v>
      </c>
      <c r="E230" s="141">
        <f t="shared" si="235"/>
        <v>163.82095847936216</v>
      </c>
      <c r="F230" s="141">
        <f t="shared" si="235"/>
        <v>197.27048275492052</v>
      </c>
      <c r="G230" s="141">
        <f t="shared" si="235"/>
        <v>336.20465430726694</v>
      </c>
      <c r="H230" s="141">
        <f t="shared" si="235"/>
        <v>364.09759242966027</v>
      </c>
      <c r="I230" s="141">
        <f t="shared" si="235"/>
        <v>328.37034461940834</v>
      </c>
      <c r="J230" s="141">
        <f t="shared" si="235"/>
        <v>315.37625348601728</v>
      </c>
      <c r="K230" s="141">
        <f t="shared" si="235"/>
        <v>285.2577876476667</v>
      </c>
      <c r="L230" s="141">
        <f t="shared" si="235"/>
        <v>299.70018355548723</v>
      </c>
      <c r="M230" s="141">
        <f t="shared" si="235"/>
        <v>287.66436043001943</v>
      </c>
      <c r="N230" s="141">
        <f t="shared" si="235"/>
        <v>284.71392471972507</v>
      </c>
      <c r="O230" s="141">
        <f t="shared" si="235"/>
        <v>283.34552351981313</v>
      </c>
      <c r="P230" s="141">
        <f t="shared" si="235"/>
        <v>284.64275776170905</v>
      </c>
      <c r="Q230" s="141">
        <f t="shared" si="235"/>
        <v>297.8408014145291</v>
      </c>
      <c r="R230" s="141">
        <f t="shared" si="235"/>
        <v>290.02678135254814</v>
      </c>
      <c r="S230" s="141">
        <f t="shared" si="235"/>
        <v>311.352637754873</v>
      </c>
      <c r="T230" s="141">
        <f t="shared" si="235"/>
        <v>364.85214769836614</v>
      </c>
      <c r="U230" s="141">
        <f t="shared" si="235"/>
        <v>379.49309308809842</v>
      </c>
      <c r="V230" s="141">
        <f t="shared" si="235"/>
        <v>329.57053383392901</v>
      </c>
      <c r="W230" s="141">
        <f t="shared" si="235"/>
        <v>339.03636984201921</v>
      </c>
      <c r="X230" s="141">
        <f t="shared" si="235"/>
        <v>413.57330639990931</v>
      </c>
      <c r="Y230" s="141">
        <f t="shared" si="235"/>
        <v>413.90411761526366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1733.1165257633361</v>
      </c>
      <c r="C231" s="97">
        <f t="shared" si="236"/>
        <v>1627.455037110607</v>
      </c>
      <c r="D231" s="97">
        <f t="shared" si="236"/>
        <v>677.50327311961246</v>
      </c>
      <c r="E231" s="97">
        <f t="shared" si="236"/>
        <v>1233.9603722099564</v>
      </c>
      <c r="F231" s="97">
        <f t="shared" si="236"/>
        <v>1652.93149219369</v>
      </c>
      <c r="G231" s="97">
        <f t="shared" si="236"/>
        <v>2274.4937363661011</v>
      </c>
      <c r="H231" s="97">
        <f t="shared" si="236"/>
        <v>2331.1128606829525</v>
      </c>
      <c r="I231" s="97">
        <f t="shared" si="236"/>
        <v>2140.2625818464912</v>
      </c>
      <c r="J231" s="97">
        <f t="shared" si="236"/>
        <v>2036.7089788500375</v>
      </c>
      <c r="K231" s="97">
        <f t="shared" si="236"/>
        <v>1815.7198036166551</v>
      </c>
      <c r="L231" s="97">
        <f t="shared" si="236"/>
        <v>1747.1946641135219</v>
      </c>
      <c r="M231" s="97">
        <f t="shared" si="236"/>
        <v>1606.1841506393866</v>
      </c>
      <c r="N231" s="97">
        <f t="shared" si="236"/>
        <v>1519.5167388712994</v>
      </c>
      <c r="O231" s="97">
        <f t="shared" si="236"/>
        <v>1492.1349304106309</v>
      </c>
      <c r="P231" s="97">
        <f t="shared" si="236"/>
        <v>1462.169558321056</v>
      </c>
      <c r="Q231" s="97">
        <f t="shared" si="236"/>
        <v>1464.275154523544</v>
      </c>
      <c r="R231" s="97">
        <f t="shared" si="236"/>
        <v>1423.1104756910433</v>
      </c>
      <c r="S231" s="97">
        <f t="shared" si="236"/>
        <v>1481.6691325630077</v>
      </c>
      <c r="T231" s="97">
        <f t="shared" si="236"/>
        <v>1672.8302144006768</v>
      </c>
      <c r="U231" s="97">
        <f t="shared" si="236"/>
        <v>1716.7939632048067</v>
      </c>
      <c r="V231" s="97">
        <f t="shared" si="236"/>
        <v>1490.6041628734588</v>
      </c>
      <c r="W231" s="97">
        <f t="shared" si="236"/>
        <v>1533.1496866720831</v>
      </c>
      <c r="X231" s="97">
        <f t="shared" si="236"/>
        <v>1855.9154199088573</v>
      </c>
      <c r="Y231" s="97">
        <f t="shared" si="236"/>
        <v>1843.851114219688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150.31924142935736</v>
      </c>
      <c r="C232" s="97">
        <f t="shared" si="237"/>
        <v>142.05275311905535</v>
      </c>
      <c r="D232" s="97">
        <f t="shared" si="237"/>
        <v>55.717621434199515</v>
      </c>
      <c r="E232" s="97">
        <f t="shared" si="237"/>
        <v>109.80137032908725</v>
      </c>
      <c r="F232" s="97">
        <f t="shared" si="237"/>
        <v>152.36921596900973</v>
      </c>
      <c r="G232" s="97">
        <f t="shared" si="237"/>
        <v>215.97147147143491</v>
      </c>
      <c r="H232" s="97">
        <f t="shared" si="237"/>
        <v>226.34519637178198</v>
      </c>
      <c r="I232" s="97">
        <f t="shared" si="237"/>
        <v>209.93287223028051</v>
      </c>
      <c r="J232" s="97">
        <f t="shared" si="237"/>
        <v>202.1974220309649</v>
      </c>
      <c r="K232" s="97">
        <f t="shared" si="237"/>
        <v>181.64029763614286</v>
      </c>
      <c r="L232" s="97">
        <f t="shared" si="237"/>
        <v>180.50588782873521</v>
      </c>
      <c r="M232" s="97">
        <f t="shared" si="237"/>
        <v>168.07017311586287</v>
      </c>
      <c r="N232" s="97">
        <f t="shared" si="237"/>
        <v>162.76908069561975</v>
      </c>
      <c r="O232" s="97">
        <f t="shared" si="237"/>
        <v>161.94774779905987</v>
      </c>
      <c r="P232" s="97">
        <f t="shared" si="237"/>
        <v>157.22785457844347</v>
      </c>
      <c r="Q232" s="97">
        <f t="shared" si="237"/>
        <v>160.63889331813431</v>
      </c>
      <c r="R232" s="97">
        <f t="shared" si="237"/>
        <v>160.35586592772157</v>
      </c>
      <c r="S232" s="97">
        <f t="shared" si="237"/>
        <v>169.99823644819628</v>
      </c>
      <c r="T232" s="97">
        <f t="shared" si="237"/>
        <v>197.39897098286974</v>
      </c>
      <c r="U232" s="97">
        <f t="shared" si="237"/>
        <v>205.7506901702219</v>
      </c>
      <c r="V232" s="97">
        <f t="shared" si="237"/>
        <v>182.16181997269109</v>
      </c>
      <c r="W232" s="97">
        <f t="shared" si="237"/>
        <v>191.24208962882801</v>
      </c>
      <c r="X232" s="97">
        <f t="shared" si="237"/>
        <v>239.22494225482276</v>
      </c>
      <c r="Y232" s="97">
        <f t="shared" si="237"/>
        <v>243.0767325162418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0</v>
      </c>
      <c r="C233" s="130">
        <f t="shared" si="238"/>
        <v>0</v>
      </c>
      <c r="D233" s="130">
        <f t="shared" si="238"/>
        <v>0</v>
      </c>
      <c r="E233" s="130">
        <f t="shared" si="238"/>
        <v>0</v>
      </c>
      <c r="F233" s="130">
        <f t="shared" si="238"/>
        <v>0</v>
      </c>
      <c r="G233" s="130">
        <f t="shared" si="238"/>
        <v>0</v>
      </c>
      <c r="H233" s="130">
        <f t="shared" si="238"/>
        <v>0</v>
      </c>
      <c r="I233" s="130">
        <f t="shared" si="238"/>
        <v>0</v>
      </c>
      <c r="J233" s="130">
        <f t="shared" si="238"/>
        <v>0</v>
      </c>
      <c r="K233" s="130">
        <f t="shared" si="238"/>
        <v>0</v>
      </c>
      <c r="L233" s="130">
        <f t="shared" si="238"/>
        <v>0</v>
      </c>
      <c r="M233" s="130">
        <f t="shared" si="238"/>
        <v>0</v>
      </c>
      <c r="N233" s="130">
        <f t="shared" si="238"/>
        <v>0</v>
      </c>
      <c r="O233" s="130">
        <f t="shared" si="238"/>
        <v>0</v>
      </c>
      <c r="P233" s="130">
        <f t="shared" si="238"/>
        <v>0</v>
      </c>
      <c r="Q233" s="130">
        <f t="shared" si="238"/>
        <v>0</v>
      </c>
      <c r="R233" s="130">
        <f t="shared" si="238"/>
        <v>0</v>
      </c>
      <c r="S233" s="130">
        <f t="shared" si="238"/>
        <v>0</v>
      </c>
      <c r="T233" s="130">
        <f t="shared" si="238"/>
        <v>0</v>
      </c>
      <c r="U233" s="130">
        <f t="shared" si="238"/>
        <v>0</v>
      </c>
      <c r="V233" s="130">
        <f t="shared" si="238"/>
        <v>0</v>
      </c>
      <c r="W233" s="130">
        <f t="shared" si="238"/>
        <v>0</v>
      </c>
      <c r="X233" s="130">
        <f t="shared" si="238"/>
        <v>0</v>
      </c>
      <c r="Y233" s="130">
        <f t="shared" si="238"/>
        <v>0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754.17269251154084</v>
      </c>
      <c r="C234" s="130">
        <f t="shared" si="239"/>
        <v>553.91904994504387</v>
      </c>
      <c r="D234" s="130">
        <f t="shared" si="239"/>
        <v>599.8038531992579</v>
      </c>
      <c r="E234" s="130">
        <f t="shared" si="239"/>
        <v>527.49119281385549</v>
      </c>
      <c r="F234" s="130">
        <f t="shared" si="239"/>
        <v>722.48072382763826</v>
      </c>
      <c r="G234" s="130">
        <f t="shared" si="239"/>
        <v>601.60703743552062</v>
      </c>
      <c r="H234" s="130">
        <f t="shared" si="239"/>
        <v>658.07151505209868</v>
      </c>
      <c r="I234" s="130">
        <f t="shared" si="239"/>
        <v>589.40814290267792</v>
      </c>
      <c r="J234" s="130">
        <f t="shared" si="239"/>
        <v>589.3243295869072</v>
      </c>
      <c r="K234" s="130">
        <f t="shared" si="239"/>
        <v>539.63614191429087</v>
      </c>
      <c r="L234" s="130">
        <f t="shared" si="239"/>
        <v>602.30783426369567</v>
      </c>
      <c r="M234" s="130">
        <f t="shared" si="239"/>
        <v>606.32508311183426</v>
      </c>
      <c r="N234" s="130">
        <f t="shared" si="239"/>
        <v>484.42248558751385</v>
      </c>
      <c r="O234" s="130">
        <f t="shared" si="239"/>
        <v>409.03060487841265</v>
      </c>
      <c r="P234" s="130">
        <f t="shared" si="239"/>
        <v>425.6376359152938</v>
      </c>
      <c r="Q234" s="130">
        <f t="shared" si="239"/>
        <v>429.90741458415016</v>
      </c>
      <c r="R234" s="130">
        <f t="shared" si="239"/>
        <v>332.11958827734696</v>
      </c>
      <c r="S234" s="130">
        <f t="shared" si="239"/>
        <v>404.95393364126193</v>
      </c>
      <c r="T234" s="130">
        <f t="shared" si="239"/>
        <v>445.07253036066504</v>
      </c>
      <c r="U234" s="130">
        <f t="shared" si="239"/>
        <v>423.13223957904546</v>
      </c>
      <c r="V234" s="130">
        <f t="shared" si="239"/>
        <v>360.02341953034818</v>
      </c>
      <c r="W234" s="130">
        <f t="shared" si="239"/>
        <v>354.42336284608683</v>
      </c>
      <c r="X234" s="130">
        <f t="shared" si="239"/>
        <v>352.11334744936863</v>
      </c>
      <c r="Y234" s="130">
        <f t="shared" si="239"/>
        <v>270.49626678957566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846.63972094601854</v>
      </c>
      <c r="C236" s="97">
        <f t="shared" si="241"/>
        <v>623.99346375967934</v>
      </c>
      <c r="D236" s="97">
        <f t="shared" si="241"/>
        <v>681.52538666911016</v>
      </c>
      <c r="E236" s="97">
        <f t="shared" si="241"/>
        <v>574.66539013938507</v>
      </c>
      <c r="F236" s="97">
        <f t="shared" si="241"/>
        <v>821.75627042784947</v>
      </c>
      <c r="G236" s="97">
        <f t="shared" si="241"/>
        <v>684.16332409266897</v>
      </c>
      <c r="H236" s="97">
        <f t="shared" si="241"/>
        <v>792.84233994367287</v>
      </c>
      <c r="I236" s="97">
        <f t="shared" si="241"/>
        <v>734.20790437342589</v>
      </c>
      <c r="J236" s="97">
        <f t="shared" si="241"/>
        <v>762.44878169421054</v>
      </c>
      <c r="K236" s="97">
        <f t="shared" si="241"/>
        <v>718.93519095022543</v>
      </c>
      <c r="L236" s="97">
        <f t="shared" si="241"/>
        <v>698.9986173774754</v>
      </c>
      <c r="M236" s="97">
        <f t="shared" si="241"/>
        <v>673.83701002317537</v>
      </c>
      <c r="N236" s="97">
        <f t="shared" si="241"/>
        <v>576.53996320088982</v>
      </c>
      <c r="O236" s="97">
        <f t="shared" si="241"/>
        <v>553.02466363018664</v>
      </c>
      <c r="P236" s="97">
        <f t="shared" si="241"/>
        <v>500.18568495698923</v>
      </c>
      <c r="Q236" s="97">
        <f t="shared" si="241"/>
        <v>466.15574444814553</v>
      </c>
      <c r="R236" s="97">
        <f t="shared" si="241"/>
        <v>447.07710197334046</v>
      </c>
      <c r="S236" s="97">
        <f t="shared" si="241"/>
        <v>462.01888778315072</v>
      </c>
      <c r="T236" s="97">
        <f t="shared" si="241"/>
        <v>492.30010173256863</v>
      </c>
      <c r="U236" s="97">
        <f t="shared" si="241"/>
        <v>509.69114018606246</v>
      </c>
      <c r="V236" s="97">
        <f t="shared" si="241"/>
        <v>513.15150948319422</v>
      </c>
      <c r="W236" s="97">
        <f t="shared" si="241"/>
        <v>520.54596750542032</v>
      </c>
      <c r="X236" s="97">
        <f t="shared" si="241"/>
        <v>522.3487441187068</v>
      </c>
      <c r="Y236" s="97">
        <f t="shared" si="241"/>
        <v>472.59676216071779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260.48571164379661</v>
      </c>
      <c r="C237" s="97">
        <f t="shared" si="242"/>
        <v>198.85663764102634</v>
      </c>
      <c r="D237" s="97">
        <f t="shared" si="242"/>
        <v>217.16066865120075</v>
      </c>
      <c r="E237" s="97">
        <f t="shared" si="242"/>
        <v>205.39590227970265</v>
      </c>
      <c r="F237" s="97">
        <f t="shared" si="242"/>
        <v>268.19657175247477</v>
      </c>
      <c r="G237" s="97">
        <f t="shared" si="242"/>
        <v>289.92494661315209</v>
      </c>
      <c r="H237" s="97">
        <f t="shared" si="242"/>
        <v>261.83503945356836</v>
      </c>
      <c r="I237" s="97">
        <f t="shared" si="242"/>
        <v>259.64042553618106</v>
      </c>
      <c r="J237" s="97">
        <f t="shared" si="242"/>
        <v>301.69304173350309</v>
      </c>
      <c r="K237" s="97">
        <f t="shared" si="242"/>
        <v>316.59206189362817</v>
      </c>
      <c r="L237" s="97">
        <f t="shared" si="242"/>
        <v>348.12485685148062</v>
      </c>
      <c r="M237" s="97">
        <f t="shared" si="242"/>
        <v>346.94279733867222</v>
      </c>
      <c r="N237" s="97">
        <f t="shared" si="242"/>
        <v>254.75724920891386</v>
      </c>
      <c r="O237" s="97">
        <f t="shared" si="242"/>
        <v>161.03236311516227</v>
      </c>
      <c r="P237" s="97">
        <f t="shared" si="242"/>
        <v>169.55258770714067</v>
      </c>
      <c r="Q237" s="97">
        <f t="shared" si="242"/>
        <v>199.50796152373672</v>
      </c>
      <c r="R237" s="97">
        <f t="shared" si="242"/>
        <v>118.59233134713817</v>
      </c>
      <c r="S237" s="97">
        <f t="shared" si="242"/>
        <v>196.05700088435901</v>
      </c>
      <c r="T237" s="97">
        <f t="shared" si="242"/>
        <v>195.5984642918196</v>
      </c>
      <c r="U237" s="97">
        <f t="shared" si="242"/>
        <v>89.157530360290664</v>
      </c>
      <c r="V237" s="97">
        <f t="shared" si="242"/>
        <v>199.95353509292025</v>
      </c>
      <c r="W237" s="97">
        <f t="shared" si="242"/>
        <v>131.86039811972375</v>
      </c>
      <c r="X237" s="97">
        <f t="shared" si="242"/>
        <v>216.02578916241347</v>
      </c>
      <c r="Y237" s="97">
        <f t="shared" si="242"/>
        <v>156.06770123597389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0</v>
      </c>
      <c r="C238" s="130">
        <f t="shared" si="243"/>
        <v>0</v>
      </c>
      <c r="D238" s="130">
        <f t="shared" si="243"/>
        <v>0</v>
      </c>
      <c r="E238" s="130">
        <f t="shared" si="243"/>
        <v>0</v>
      </c>
      <c r="F238" s="130">
        <f t="shared" si="243"/>
        <v>0</v>
      </c>
      <c r="G238" s="130">
        <f t="shared" si="243"/>
        <v>11935.32789398959</v>
      </c>
      <c r="H238" s="130">
        <f t="shared" si="243"/>
        <v>12056.789490662139</v>
      </c>
      <c r="I238" s="130">
        <f t="shared" si="243"/>
        <v>12169.482850539292</v>
      </c>
      <c r="J238" s="130">
        <f t="shared" si="243"/>
        <v>12214.720853043815</v>
      </c>
      <c r="K238" s="130">
        <f t="shared" si="243"/>
        <v>11960.873472803347</v>
      </c>
      <c r="L238" s="130">
        <f t="shared" si="243"/>
        <v>12777.631066856333</v>
      </c>
      <c r="M238" s="130">
        <f t="shared" si="243"/>
        <v>13520.339521785334</v>
      </c>
      <c r="N238" s="130">
        <f t="shared" si="243"/>
        <v>11863.137292389849</v>
      </c>
      <c r="O238" s="130">
        <f t="shared" si="243"/>
        <v>9968.5237883959035</v>
      </c>
      <c r="P238" s="130">
        <f t="shared" si="243"/>
        <v>9437.0839095315023</v>
      </c>
      <c r="Q238" s="130">
        <f t="shared" si="243"/>
        <v>9679.8762227848056</v>
      </c>
      <c r="R238" s="130">
        <f t="shared" si="243"/>
        <v>9599.9259490550521</v>
      </c>
      <c r="S238" s="130">
        <f t="shared" si="243"/>
        <v>9711.9897457627103</v>
      </c>
      <c r="T238" s="130">
        <f t="shared" si="243"/>
        <v>9537.3230716528706</v>
      </c>
      <c r="U238" s="130">
        <f t="shared" si="243"/>
        <v>9854.452618539086</v>
      </c>
      <c r="V238" s="130">
        <f t="shared" si="243"/>
        <v>10050.948330632091</v>
      </c>
      <c r="W238" s="130">
        <f t="shared" si="243"/>
        <v>10238.61988714351</v>
      </c>
      <c r="X238" s="130">
        <f t="shared" si="243"/>
        <v>10101.353557873141</v>
      </c>
      <c r="Y238" s="130">
        <f t="shared" si="243"/>
        <v>10408.844940805051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11935.32789398959</v>
      </c>
      <c r="H239" s="97">
        <f t="shared" si="244"/>
        <v>12056.789490662139</v>
      </c>
      <c r="I239" s="97">
        <f t="shared" si="244"/>
        <v>12169.482850539292</v>
      </c>
      <c r="J239" s="97">
        <f t="shared" si="244"/>
        <v>12214.720853043815</v>
      </c>
      <c r="K239" s="97">
        <f t="shared" si="244"/>
        <v>11960.873472803347</v>
      </c>
      <c r="L239" s="97">
        <f t="shared" si="244"/>
        <v>12777.631066856333</v>
      </c>
      <c r="M239" s="97">
        <f t="shared" si="244"/>
        <v>13520.339521785334</v>
      </c>
      <c r="N239" s="97">
        <f t="shared" si="244"/>
        <v>11863.137292389849</v>
      </c>
      <c r="O239" s="97">
        <f t="shared" si="244"/>
        <v>9968.5237883959035</v>
      </c>
      <c r="P239" s="97">
        <f t="shared" si="244"/>
        <v>9437.0839095315023</v>
      </c>
      <c r="Q239" s="97">
        <f t="shared" si="244"/>
        <v>9679.8762227848056</v>
      </c>
      <c r="R239" s="97">
        <f t="shared" si="244"/>
        <v>9599.9259490550521</v>
      </c>
      <c r="S239" s="97">
        <f t="shared" si="244"/>
        <v>9711.9897457627103</v>
      </c>
      <c r="T239" s="97">
        <f t="shared" si="244"/>
        <v>9537.3230716528706</v>
      </c>
      <c r="U239" s="97">
        <f t="shared" si="244"/>
        <v>9854.452618539086</v>
      </c>
      <c r="V239" s="97">
        <f t="shared" si="244"/>
        <v>10050.948330632091</v>
      </c>
      <c r="W239" s="97">
        <f t="shared" si="244"/>
        <v>10238.61988714351</v>
      </c>
      <c r="X239" s="97">
        <f t="shared" si="244"/>
        <v>10101.353557873141</v>
      </c>
      <c r="Y239" s="97">
        <f t="shared" si="244"/>
        <v>10408.844940805051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0</v>
      </c>
      <c r="W240" s="98">
        <f t="shared" si="245"/>
        <v>0</v>
      </c>
      <c r="X240" s="98">
        <f t="shared" si="245"/>
        <v>0</v>
      </c>
      <c r="Y240" s="98">
        <f t="shared" si="245"/>
        <v>0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648.87989775824781</v>
      </c>
      <c r="C241" s="32">
        <f t="shared" si="246"/>
        <v>662.04154890274378</v>
      </c>
      <c r="D241" s="32">
        <f t="shared" si="246"/>
        <v>658.20974914342264</v>
      </c>
      <c r="E241" s="32">
        <f t="shared" si="246"/>
        <v>657.92170442504732</v>
      </c>
      <c r="F241" s="32">
        <f t="shared" si="246"/>
        <v>542.40242967430606</v>
      </c>
      <c r="G241" s="32">
        <f t="shared" si="246"/>
        <v>502.76441078648668</v>
      </c>
      <c r="H241" s="32">
        <f t="shared" si="246"/>
        <v>530.01175977621813</v>
      </c>
      <c r="I241" s="32">
        <f t="shared" si="246"/>
        <v>589.16659774359914</v>
      </c>
      <c r="J241" s="32">
        <f t="shared" si="246"/>
        <v>641.33273109058052</v>
      </c>
      <c r="K241" s="32">
        <f t="shared" si="246"/>
        <v>720.92049222286755</v>
      </c>
      <c r="L241" s="32">
        <f t="shared" si="246"/>
        <v>989.46518556112198</v>
      </c>
      <c r="M241" s="32">
        <f t="shared" si="246"/>
        <v>997.94856226715058</v>
      </c>
      <c r="N241" s="32">
        <f t="shared" si="246"/>
        <v>918.06575809222227</v>
      </c>
      <c r="O241" s="32">
        <f t="shared" si="246"/>
        <v>799.78633446568631</v>
      </c>
      <c r="P241" s="32">
        <f t="shared" si="246"/>
        <v>698.53859825482357</v>
      </c>
      <c r="Q241" s="32">
        <f t="shared" si="246"/>
        <v>1144.6094806445917</v>
      </c>
      <c r="R241" s="32">
        <f t="shared" si="246"/>
        <v>1357.5451778705021</v>
      </c>
      <c r="S241" s="32">
        <f t="shared" si="246"/>
        <v>1317.4656627979207</v>
      </c>
      <c r="T241" s="32">
        <f t="shared" si="246"/>
        <v>1131.8294156602512</v>
      </c>
      <c r="U241" s="32">
        <f t="shared" si="246"/>
        <v>964.70677557808494</v>
      </c>
      <c r="V241" s="32">
        <f t="shared" si="246"/>
        <v>1444.8962855502089</v>
      </c>
      <c r="W241" s="32">
        <f t="shared" si="246"/>
        <v>1701.0727432025815</v>
      </c>
      <c r="X241" s="32">
        <f t="shared" si="246"/>
        <v>1334.8357272174017</v>
      </c>
      <c r="Y241" s="32">
        <f t="shared" si="246"/>
        <v>820.75903345643201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802.98234123374812</v>
      </c>
      <c r="C242" s="97">
        <f t="shared" si="247"/>
        <v>828.99239877011973</v>
      </c>
      <c r="D242" s="97">
        <f t="shared" si="247"/>
        <v>821.17505884287095</v>
      </c>
      <c r="E242" s="97">
        <f t="shared" si="247"/>
        <v>820.23709771063056</v>
      </c>
      <c r="F242" s="97">
        <f t="shared" si="247"/>
        <v>860.10969022849224</v>
      </c>
      <c r="G242" s="97">
        <f t="shared" si="247"/>
        <v>634.76239458404098</v>
      </c>
      <c r="H242" s="97">
        <f t="shared" si="247"/>
        <v>631.05279575391432</v>
      </c>
      <c r="I242" s="97">
        <f t="shared" si="247"/>
        <v>665.96947435777133</v>
      </c>
      <c r="J242" s="97">
        <f t="shared" si="247"/>
        <v>751.65278037152666</v>
      </c>
      <c r="K242" s="97">
        <f t="shared" si="247"/>
        <v>899.55429250863949</v>
      </c>
      <c r="L242" s="97">
        <f t="shared" si="247"/>
        <v>1234.4128901583422</v>
      </c>
      <c r="M242" s="97">
        <f t="shared" si="247"/>
        <v>1380.6017267446257</v>
      </c>
      <c r="N242" s="97">
        <f t="shared" si="247"/>
        <v>1136.377759718298</v>
      </c>
      <c r="O242" s="97">
        <f t="shared" si="247"/>
        <v>1032.8882970835703</v>
      </c>
      <c r="P242" s="97">
        <f t="shared" si="247"/>
        <v>1064.1634562385116</v>
      </c>
      <c r="Q242" s="97">
        <f t="shared" si="247"/>
        <v>1403.0445185168703</v>
      </c>
      <c r="R242" s="97">
        <f t="shared" si="247"/>
        <v>1930.388345256835</v>
      </c>
      <c r="S242" s="97">
        <f t="shared" si="247"/>
        <v>1900.6669189773836</v>
      </c>
      <c r="T242" s="97">
        <f t="shared" si="247"/>
        <v>1484.4606681230107</v>
      </c>
      <c r="U242" s="97">
        <f t="shared" si="247"/>
        <v>1558.1864447765495</v>
      </c>
      <c r="V242" s="97">
        <f t="shared" si="247"/>
        <v>1528.2612972174229</v>
      </c>
      <c r="W242" s="97">
        <f t="shared" si="247"/>
        <v>1855.1714263831821</v>
      </c>
      <c r="X242" s="97">
        <f t="shared" si="247"/>
        <v>1687.2591350760836</v>
      </c>
      <c r="Y242" s="97">
        <f t="shared" si="247"/>
        <v>1110.8527508324503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513.87129625908153</v>
      </c>
      <c r="C243" s="98">
        <f t="shared" si="248"/>
        <v>518.59928009234932</v>
      </c>
      <c r="D243" s="98">
        <f t="shared" si="248"/>
        <v>518.46454662902056</v>
      </c>
      <c r="E243" s="98">
        <f t="shared" si="248"/>
        <v>518.30520276497123</v>
      </c>
      <c r="F243" s="98">
        <f t="shared" si="248"/>
        <v>398.87747554592949</v>
      </c>
      <c r="G243" s="98">
        <f t="shared" si="248"/>
        <v>390.91140912262563</v>
      </c>
      <c r="H243" s="98">
        <f t="shared" si="248"/>
        <v>451.25323172539277</v>
      </c>
      <c r="I243" s="98">
        <f t="shared" si="248"/>
        <v>533.46651953396304</v>
      </c>
      <c r="J243" s="98">
        <f t="shared" si="248"/>
        <v>526.36426120480098</v>
      </c>
      <c r="K243" s="98">
        <f t="shared" si="248"/>
        <v>560.54011117739583</v>
      </c>
      <c r="L243" s="98">
        <f t="shared" si="248"/>
        <v>769.15628208323801</v>
      </c>
      <c r="M243" s="98">
        <f t="shared" si="248"/>
        <v>724.66812652094723</v>
      </c>
      <c r="N243" s="98">
        <f t="shared" si="248"/>
        <v>686.30813718960042</v>
      </c>
      <c r="O243" s="98">
        <f t="shared" si="248"/>
        <v>571.28735001904874</v>
      </c>
      <c r="P243" s="98">
        <f t="shared" si="248"/>
        <v>468.86250974627626</v>
      </c>
      <c r="Q243" s="98">
        <f t="shared" si="248"/>
        <v>855.60895505440885</v>
      </c>
      <c r="R243" s="98">
        <f t="shared" si="248"/>
        <v>934.69923658273046</v>
      </c>
      <c r="S243" s="98">
        <f t="shared" si="248"/>
        <v>913.64807537436332</v>
      </c>
      <c r="T243" s="98">
        <f t="shared" si="248"/>
        <v>820.39317409821865</v>
      </c>
      <c r="U243" s="98">
        <f t="shared" si="248"/>
        <v>656.65728193974212</v>
      </c>
      <c r="V243" s="98">
        <f t="shared" si="248"/>
        <v>1325.173061970602</v>
      </c>
      <c r="W243" s="98">
        <f t="shared" si="248"/>
        <v>1515.1854247448753</v>
      </c>
      <c r="X243" s="98">
        <f t="shared" si="248"/>
        <v>1004.7570119978058</v>
      </c>
      <c r="Y243" s="98">
        <f t="shared" si="248"/>
        <v>575.36237590449525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2291.8961961278264</v>
      </c>
      <c r="C4" s="29">
        <f t="shared" si="0"/>
        <v>2302.9963189187183</v>
      </c>
      <c r="D4" s="29">
        <f t="shared" si="0"/>
        <v>2364.260838622854</v>
      </c>
      <c r="E4" s="29">
        <f t="shared" si="0"/>
        <v>2425.1575749927074</v>
      </c>
      <c r="F4" s="29">
        <f t="shared" si="0"/>
        <v>2482.8853665230863</v>
      </c>
      <c r="G4" s="29">
        <f t="shared" si="0"/>
        <v>2520.827496970036</v>
      </c>
      <c r="H4" s="29">
        <f t="shared" si="0"/>
        <v>2581.5894502794622</v>
      </c>
      <c r="I4" s="29">
        <f t="shared" si="0"/>
        <v>2637.9406807240889</v>
      </c>
      <c r="J4" s="29">
        <f t="shared" si="0"/>
        <v>2697.1373538741605</v>
      </c>
      <c r="K4" s="29">
        <f t="shared" si="0"/>
        <v>2721.9586775084804</v>
      </c>
      <c r="L4" s="29">
        <f t="shared" ref="L4" si="1">L5+L6+L13</f>
        <v>2737.8711032092456</v>
      </c>
      <c r="M4" s="29">
        <f t="shared" ref="M4:V4" si="2">M5+M6+M13</f>
        <v>2745.4120493660544</v>
      </c>
      <c r="N4" s="29">
        <f t="shared" si="2"/>
        <v>2757.3135128134222</v>
      </c>
      <c r="O4" s="29">
        <f t="shared" si="2"/>
        <v>2802.874989623298</v>
      </c>
      <c r="P4" s="29">
        <f t="shared" si="2"/>
        <v>2952.1513110831997</v>
      </c>
      <c r="Q4" s="29">
        <f t="shared" si="2"/>
        <v>3093.0684721114208</v>
      </c>
      <c r="R4" s="29">
        <f t="shared" si="2"/>
        <v>3193.266890291623</v>
      </c>
      <c r="S4" s="29">
        <f t="shared" si="2"/>
        <v>3225.2520855609264</v>
      </c>
      <c r="T4" s="29">
        <f t="shared" si="2"/>
        <v>3288.9302298531707</v>
      </c>
      <c r="U4" s="29">
        <f t="shared" si="2"/>
        <v>3376.7759239253769</v>
      </c>
      <c r="V4" s="29">
        <f t="shared" si="2"/>
        <v>2809.0062432253785</v>
      </c>
      <c r="W4" s="29">
        <f t="shared" ref="W4:Y4" si="3">W5+W6+W13</f>
        <v>3003.0479066330722</v>
      </c>
      <c r="X4" s="29">
        <f t="shared" si="3"/>
        <v>3272.9569482039997</v>
      </c>
      <c r="Y4" s="29">
        <f t="shared" si="3"/>
        <v>3473.3328724771254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31.896196127826524</v>
      </c>
      <c r="C5" s="152">
        <f t="shared" si="4"/>
        <v>32.996318918718025</v>
      </c>
      <c r="D5" s="152">
        <f t="shared" si="4"/>
        <v>34.260838622853925</v>
      </c>
      <c r="E5" s="152">
        <f t="shared" si="4"/>
        <v>35.157574992707161</v>
      </c>
      <c r="F5" s="152">
        <f t="shared" si="4"/>
        <v>32.885366523086454</v>
      </c>
      <c r="G5" s="152">
        <f t="shared" si="4"/>
        <v>30.82749697003571</v>
      </c>
      <c r="H5" s="152">
        <f t="shared" si="4"/>
        <v>31.589450279462547</v>
      </c>
      <c r="I5" s="152">
        <f t="shared" si="4"/>
        <v>32.940680724089084</v>
      </c>
      <c r="J5" s="152">
        <f t="shared" si="4"/>
        <v>37.137353874160787</v>
      </c>
      <c r="K5" s="152">
        <f t="shared" si="4"/>
        <v>37.070105269604163</v>
      </c>
      <c r="L5" s="152">
        <f t="shared" ref="L5:L7" si="5">IF(L32=0,0,L32*L142)</f>
        <v>37.871103209245206</v>
      </c>
      <c r="M5" s="152">
        <f t="shared" ref="M5:V5" si="6">IF(M32=0,0,M32*M142)</f>
        <v>40.015743006003092</v>
      </c>
      <c r="N5" s="152">
        <f t="shared" si="6"/>
        <v>40.412719907214459</v>
      </c>
      <c r="O5" s="152">
        <f t="shared" si="6"/>
        <v>43.165602922553362</v>
      </c>
      <c r="P5" s="152">
        <f t="shared" si="6"/>
        <v>47.096125951277962</v>
      </c>
      <c r="Q5" s="152">
        <f t="shared" si="6"/>
        <v>48.930270910826124</v>
      </c>
      <c r="R5" s="152">
        <f t="shared" si="6"/>
        <v>53.284445601172884</v>
      </c>
      <c r="S5" s="152">
        <f t="shared" si="6"/>
        <v>50.843695566852851</v>
      </c>
      <c r="T5" s="152">
        <f t="shared" si="6"/>
        <v>48.958964746139515</v>
      </c>
      <c r="U5" s="152">
        <f t="shared" si="6"/>
        <v>52.452838343033086</v>
      </c>
      <c r="V5" s="152">
        <f t="shared" si="6"/>
        <v>47.478501589309701</v>
      </c>
      <c r="W5" s="152">
        <f t="shared" ref="W5:Y5" si="7">IF(W32=0,0,W32*W142)</f>
        <v>50.221701933334714</v>
      </c>
      <c r="X5" s="152">
        <f t="shared" si="7"/>
        <v>52.423445581003989</v>
      </c>
      <c r="Y5" s="152">
        <f t="shared" si="7"/>
        <v>57.6798425540618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1800</v>
      </c>
      <c r="C6" s="116">
        <f t="shared" si="8"/>
        <v>1800.0000000000002</v>
      </c>
      <c r="D6" s="116">
        <f t="shared" si="8"/>
        <v>1850</v>
      </c>
      <c r="E6" s="116">
        <f t="shared" si="8"/>
        <v>1900.0000000000002</v>
      </c>
      <c r="F6" s="116">
        <f t="shared" si="8"/>
        <v>1950</v>
      </c>
      <c r="G6" s="116">
        <f t="shared" si="8"/>
        <v>2000</v>
      </c>
      <c r="H6" s="116">
        <f t="shared" si="8"/>
        <v>2049.9999999999995</v>
      </c>
      <c r="I6" s="116">
        <f t="shared" si="8"/>
        <v>2100</v>
      </c>
      <c r="J6" s="116">
        <f t="shared" si="8"/>
        <v>2149.9999999999995</v>
      </c>
      <c r="K6" s="116">
        <f t="shared" si="8"/>
        <v>2200</v>
      </c>
      <c r="L6" s="116">
        <f t="shared" ref="L6" si="9">SUM(L7:L12)</f>
        <v>2200.0000000000005</v>
      </c>
      <c r="M6" s="116">
        <f t="shared" ref="M6:V6" si="10">SUM(M7:M12)</f>
        <v>2229.7181531995434</v>
      </c>
      <c r="N6" s="116">
        <f t="shared" si="10"/>
        <v>2240.4488975013951</v>
      </c>
      <c r="O6" s="116">
        <f t="shared" si="10"/>
        <v>2291.2353623027689</v>
      </c>
      <c r="P6" s="116">
        <f t="shared" si="10"/>
        <v>2413.5009155436642</v>
      </c>
      <c r="Q6" s="116">
        <f t="shared" si="10"/>
        <v>2504.2317396135668</v>
      </c>
      <c r="R6" s="116">
        <f t="shared" si="10"/>
        <v>2593.9190716426601</v>
      </c>
      <c r="S6" s="116">
        <f t="shared" si="10"/>
        <v>2618.2962299592714</v>
      </c>
      <c r="T6" s="116">
        <f t="shared" si="10"/>
        <v>2671.9139301479654</v>
      </c>
      <c r="U6" s="116">
        <f t="shared" si="10"/>
        <v>2720.8325236161963</v>
      </c>
      <c r="V6" s="116">
        <f t="shared" si="10"/>
        <v>2376.5231368112977</v>
      </c>
      <c r="W6" s="116">
        <f t="shared" ref="W6:Y6" si="11">SUM(W7:W12)</f>
        <v>2536.8676166241589</v>
      </c>
      <c r="X6" s="116">
        <f t="shared" si="11"/>
        <v>2669.2956758175596</v>
      </c>
      <c r="Y6" s="116">
        <f t="shared" si="11"/>
        <v>2802.4922006795291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1525.2615329971184</v>
      </c>
      <c r="C7" s="87">
        <f t="shared" si="12"/>
        <v>1500.2453093801505</v>
      </c>
      <c r="D7" s="87">
        <f t="shared" si="12"/>
        <v>1529.8656633322942</v>
      </c>
      <c r="E7" s="87">
        <f t="shared" si="12"/>
        <v>1559.4351129665592</v>
      </c>
      <c r="F7" s="87">
        <f t="shared" si="12"/>
        <v>1573.489029767946</v>
      </c>
      <c r="G7" s="87">
        <f t="shared" si="12"/>
        <v>1636.9015789940545</v>
      </c>
      <c r="H7" s="87">
        <f t="shared" si="12"/>
        <v>1673.8930513851335</v>
      </c>
      <c r="I7" s="87">
        <f t="shared" si="12"/>
        <v>1685.0642649413207</v>
      </c>
      <c r="J7" s="87">
        <f t="shared" si="12"/>
        <v>1742.7126470048572</v>
      </c>
      <c r="K7" s="87">
        <f t="shared" si="12"/>
        <v>1770.6307237999481</v>
      </c>
      <c r="L7" s="87">
        <f t="shared" si="5"/>
        <v>1417.3147251214266</v>
      </c>
      <c r="M7" s="87">
        <f t="shared" ref="M7:V7" si="13">IF(M34=0,0,M34*M144)</f>
        <v>1368.3734773372605</v>
      </c>
      <c r="N7" s="87">
        <f t="shared" si="13"/>
        <v>1326.2265604267855</v>
      </c>
      <c r="O7" s="87">
        <f t="shared" si="13"/>
        <v>1327.1102742719645</v>
      </c>
      <c r="P7" s="87">
        <f t="shared" si="13"/>
        <v>1395.4904967107045</v>
      </c>
      <c r="Q7" s="87">
        <f t="shared" si="13"/>
        <v>1426.7185181357779</v>
      </c>
      <c r="R7" s="87">
        <f t="shared" si="13"/>
        <v>1455.7103250704879</v>
      </c>
      <c r="S7" s="87">
        <f t="shared" si="13"/>
        <v>1508.3201367002848</v>
      </c>
      <c r="T7" s="87">
        <f t="shared" si="13"/>
        <v>1477.9644043519902</v>
      </c>
      <c r="U7" s="87">
        <f t="shared" si="13"/>
        <v>1498.6314316274661</v>
      </c>
      <c r="V7" s="87">
        <f t="shared" si="13"/>
        <v>1330.0186751885151</v>
      </c>
      <c r="W7" s="87">
        <f t="shared" ref="W7:Y7" si="14">IF(W34=0,0,W34*W144)</f>
        <v>1405.4437847243553</v>
      </c>
      <c r="X7" s="87">
        <f t="shared" si="14"/>
        <v>1456.5172045208672</v>
      </c>
      <c r="Y7" s="87">
        <f t="shared" si="14"/>
        <v>1509.2436190412081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274.73846700288163</v>
      </c>
      <c r="C8" s="87">
        <f t="shared" si="15"/>
        <v>299.75469061984973</v>
      </c>
      <c r="D8" s="87">
        <f t="shared" si="15"/>
        <v>320.13433666770584</v>
      </c>
      <c r="E8" s="87">
        <f t="shared" si="15"/>
        <v>340.46575889386895</v>
      </c>
      <c r="F8" s="87">
        <f t="shared" si="15"/>
        <v>376.35875157097189</v>
      </c>
      <c r="G8" s="87">
        <f t="shared" si="15"/>
        <v>362.93073232472392</v>
      </c>
      <c r="H8" s="87">
        <f t="shared" si="15"/>
        <v>375.91743521750664</v>
      </c>
      <c r="I8" s="87">
        <f t="shared" si="15"/>
        <v>414.61238510623843</v>
      </c>
      <c r="J8" s="87">
        <f t="shared" si="15"/>
        <v>406.94644454174158</v>
      </c>
      <c r="K8" s="87">
        <f t="shared" si="15"/>
        <v>429.00034730088419</v>
      </c>
      <c r="L8" s="87">
        <f t="shared" ref="L8" si="16">IF(L35=0,0,L35*L145)</f>
        <v>779.36389682067579</v>
      </c>
      <c r="M8" s="87">
        <f t="shared" ref="M8:V8" si="17">IF(M35=0,0,M35*M145)</f>
        <v>858.08867887834776</v>
      </c>
      <c r="N8" s="87">
        <f t="shared" si="17"/>
        <v>910.27428426441713</v>
      </c>
      <c r="O8" s="87">
        <f t="shared" si="17"/>
        <v>958.8542233336841</v>
      </c>
      <c r="P8" s="87">
        <f t="shared" si="17"/>
        <v>1009.042005716624</v>
      </c>
      <c r="Q8" s="87">
        <f t="shared" si="17"/>
        <v>1064.2531577615891</v>
      </c>
      <c r="R8" s="87">
        <f t="shared" si="17"/>
        <v>1099.8259655485474</v>
      </c>
      <c r="S8" s="87">
        <f t="shared" si="17"/>
        <v>1081.6455973758148</v>
      </c>
      <c r="T8" s="87">
        <f t="shared" si="17"/>
        <v>1165.5593564269509</v>
      </c>
      <c r="U8" s="87">
        <f t="shared" si="17"/>
        <v>1180.6224190925859</v>
      </c>
      <c r="V8" s="87">
        <f t="shared" si="17"/>
        <v>1005.3572837727482</v>
      </c>
      <c r="W8" s="87">
        <f t="shared" ref="W8:Y8" si="18">IF(W35=0,0,W35*W145)</f>
        <v>1074.650332954149</v>
      </c>
      <c r="X8" s="87">
        <f t="shared" si="18"/>
        <v>1129.9722929251052</v>
      </c>
      <c r="Y8" s="87">
        <f t="shared" si="18"/>
        <v>1183.6834327852434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0</v>
      </c>
      <c r="I9" s="87">
        <f t="shared" si="19"/>
        <v>0</v>
      </c>
      <c r="J9" s="87">
        <f t="shared" si="19"/>
        <v>0</v>
      </c>
      <c r="K9" s="87">
        <f t="shared" si="19"/>
        <v>0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24.910936862189608</v>
      </c>
      <c r="S9" s="87">
        <f t="shared" si="21"/>
        <v>14.163223769443761</v>
      </c>
      <c r="T9" s="87">
        <f t="shared" si="21"/>
        <v>11.456932400082559</v>
      </c>
      <c r="U9" s="87">
        <f t="shared" si="21"/>
        <v>16.283192394385161</v>
      </c>
      <c r="V9" s="87">
        <f t="shared" si="21"/>
        <v>12.806710150556356</v>
      </c>
      <c r="W9" s="87">
        <f t="shared" ref="W9:Y9" si="22">IF(W36=0,0,W36*W146)</f>
        <v>12.859238623978991</v>
      </c>
      <c r="X9" s="87">
        <f t="shared" si="22"/>
        <v>12.611959676492335</v>
      </c>
      <c r="Y9" s="87">
        <f t="shared" si="22"/>
        <v>12.150954961475943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:Y10" si="26">IF(W37=0,0,W37*W147)</f>
        <v>0</v>
      </c>
      <c r="X10" s="87">
        <f t="shared" si="26"/>
        <v>0</v>
      </c>
      <c r="Y10" s="87">
        <f t="shared" si="26"/>
        <v>0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2.9149771099512973</v>
      </c>
      <c r="M11" s="87">
        <f t="shared" ref="M11:V11" si="29">IF(M38=0,0,M38*M148)</f>
        <v>2.9172421869190446</v>
      </c>
      <c r="N11" s="87">
        <f t="shared" si="29"/>
        <v>3.5193869594095593</v>
      </c>
      <c r="O11" s="87">
        <f t="shared" si="29"/>
        <v>4.6086323976281074</v>
      </c>
      <c r="P11" s="87">
        <f t="shared" si="29"/>
        <v>7.9909720288512416</v>
      </c>
      <c r="Q11" s="87">
        <f t="shared" si="29"/>
        <v>11.734110493572103</v>
      </c>
      <c r="R11" s="87">
        <f t="shared" si="29"/>
        <v>11.889117819706744</v>
      </c>
      <c r="S11" s="87">
        <f t="shared" si="29"/>
        <v>12.195173996972104</v>
      </c>
      <c r="T11" s="87">
        <f t="shared" si="29"/>
        <v>13.538650486215733</v>
      </c>
      <c r="U11" s="87">
        <f t="shared" si="29"/>
        <v>14.607445407333726</v>
      </c>
      <c r="V11" s="87">
        <f t="shared" si="29"/>
        <v>15.367559176400176</v>
      </c>
      <c r="W11" s="87">
        <f t="shared" ref="W11:Y11" si="30">IF(W38=0,0,W38*W148)</f>
        <v>24.916767569626128</v>
      </c>
      <c r="X11" s="87">
        <f t="shared" si="30"/>
        <v>42.745550594726438</v>
      </c>
      <c r="Y11" s="87">
        <f t="shared" si="30"/>
        <v>58.884487948264045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9.9128139572046636E-2</v>
      </c>
      <c r="F12" s="87">
        <f t="shared" si="31"/>
        <v>0.15221866108217461</v>
      </c>
      <c r="G12" s="87">
        <f t="shared" si="31"/>
        <v>0.16768868122147221</v>
      </c>
      <c r="H12" s="87">
        <f t="shared" si="31"/>
        <v>0.1895133973595288</v>
      </c>
      <c r="I12" s="87">
        <f t="shared" si="31"/>
        <v>0.32334995244078613</v>
      </c>
      <c r="J12" s="87">
        <f t="shared" si="31"/>
        <v>0.3409084534011193</v>
      </c>
      <c r="K12" s="87">
        <f t="shared" si="31"/>
        <v>0.36892889916753091</v>
      </c>
      <c r="L12" s="87">
        <f t="shared" ref="L12" si="32">IF(L39=0,0,L39*L149)</f>
        <v>0.40640094794649756</v>
      </c>
      <c r="M12" s="87">
        <f t="shared" ref="M12:V12" si="33">IF(M39=0,0,M39*M149)</f>
        <v>0.3387547970166605</v>
      </c>
      <c r="N12" s="87">
        <f t="shared" si="33"/>
        <v>0.42866585078319525</v>
      </c>
      <c r="O12" s="87">
        <f t="shared" si="33"/>
        <v>0.66223229949195339</v>
      </c>
      <c r="P12" s="87">
        <f t="shared" si="33"/>
        <v>0.97744108748474157</v>
      </c>
      <c r="Q12" s="87">
        <f t="shared" si="33"/>
        <v>1.5259532226274899</v>
      </c>
      <c r="R12" s="87">
        <f t="shared" si="33"/>
        <v>1.5827263417283262</v>
      </c>
      <c r="S12" s="87">
        <f t="shared" si="33"/>
        <v>1.9720981167555953</v>
      </c>
      <c r="T12" s="87">
        <f t="shared" si="33"/>
        <v>3.3945864827255288</v>
      </c>
      <c r="U12" s="87">
        <f t="shared" si="33"/>
        <v>10.688035094425503</v>
      </c>
      <c r="V12" s="87">
        <f t="shared" si="33"/>
        <v>12.972908523077839</v>
      </c>
      <c r="W12" s="87">
        <f t="shared" ref="W12:Y12" si="34">IF(W39=0,0,W39*W149)</f>
        <v>18.997492752049315</v>
      </c>
      <c r="X12" s="87">
        <f t="shared" si="34"/>
        <v>27.448668100368575</v>
      </c>
      <c r="Y12" s="87">
        <f t="shared" si="34"/>
        <v>38.529705943337525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460</v>
      </c>
      <c r="C13" s="116">
        <f t="shared" si="35"/>
        <v>470</v>
      </c>
      <c r="D13" s="116">
        <f t="shared" si="35"/>
        <v>480</v>
      </c>
      <c r="E13" s="116">
        <f t="shared" si="35"/>
        <v>490</v>
      </c>
      <c r="F13" s="116">
        <f t="shared" si="35"/>
        <v>500</v>
      </c>
      <c r="G13" s="116">
        <f t="shared" si="35"/>
        <v>490.00000000000006</v>
      </c>
      <c r="H13" s="116">
        <f t="shared" si="35"/>
        <v>500</v>
      </c>
      <c r="I13" s="116">
        <f t="shared" si="35"/>
        <v>504.99999999999994</v>
      </c>
      <c r="J13" s="116">
        <f t="shared" si="35"/>
        <v>510</v>
      </c>
      <c r="K13" s="116">
        <f t="shared" si="35"/>
        <v>484.88857223887641</v>
      </c>
      <c r="L13" s="116">
        <f t="shared" ref="L13" si="36">SUM(L14:L18)</f>
        <v>500</v>
      </c>
      <c r="M13" s="116">
        <f t="shared" ref="M13:V13" si="37">SUM(M14:M18)</f>
        <v>475.67815316050809</v>
      </c>
      <c r="N13" s="116">
        <f t="shared" si="37"/>
        <v>476.45189540481243</v>
      </c>
      <c r="O13" s="116">
        <f t="shared" si="37"/>
        <v>468.47402439797605</v>
      </c>
      <c r="P13" s="116">
        <f t="shared" si="37"/>
        <v>491.55426958825763</v>
      </c>
      <c r="Q13" s="116">
        <f t="shared" si="37"/>
        <v>539.90646158702805</v>
      </c>
      <c r="R13" s="116">
        <f t="shared" si="37"/>
        <v>546.06337304778992</v>
      </c>
      <c r="S13" s="116">
        <f t="shared" si="37"/>
        <v>556.11216003480183</v>
      </c>
      <c r="T13" s="116">
        <f t="shared" si="37"/>
        <v>568.05733495906577</v>
      </c>
      <c r="U13" s="116">
        <f t="shared" si="37"/>
        <v>603.49056196614765</v>
      </c>
      <c r="V13" s="116">
        <f t="shared" si="37"/>
        <v>385.00460482477075</v>
      </c>
      <c r="W13" s="116">
        <f t="shared" ref="W13:Y13" si="38">SUM(W14:W18)</f>
        <v>415.95858807557846</v>
      </c>
      <c r="X13" s="116">
        <f t="shared" si="38"/>
        <v>551.23782680543604</v>
      </c>
      <c r="Y13" s="116">
        <f t="shared" si="38"/>
        <v>613.16082924353452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2.1807919069552821</v>
      </c>
      <c r="M14" s="101">
        <f t="shared" ref="M14:V14" si="41">IF(M41=0,0,M41*M151)</f>
        <v>1.8111930992161229</v>
      </c>
      <c r="N14" s="101">
        <f t="shared" si="41"/>
        <v>1.688727354236577</v>
      </c>
      <c r="O14" s="101">
        <f t="shared" si="41"/>
        <v>1.5681488755646358</v>
      </c>
      <c r="P14" s="101">
        <f t="shared" si="41"/>
        <v>1.4481226060274395</v>
      </c>
      <c r="Q14" s="101">
        <f t="shared" si="41"/>
        <v>1.2076423671101084</v>
      </c>
      <c r="R14" s="101">
        <f t="shared" si="41"/>
        <v>1.1624006025761098</v>
      </c>
      <c r="S14" s="101">
        <f t="shared" si="41"/>
        <v>1.1243220445524418</v>
      </c>
      <c r="T14" s="101">
        <f t="shared" si="41"/>
        <v>1.2166691636654046</v>
      </c>
      <c r="U14" s="101">
        <f t="shared" si="41"/>
        <v>1.2989157258176671</v>
      </c>
      <c r="V14" s="101">
        <f t="shared" si="41"/>
        <v>0.85398457947960915</v>
      </c>
      <c r="W14" s="101">
        <f t="shared" ref="W14:Y14" si="42">IF(W41=0,0,W41*W151)</f>
        <v>0.806472867687407</v>
      </c>
      <c r="X14" s="101">
        <f t="shared" si="42"/>
        <v>0.95141970144758758</v>
      </c>
      <c r="Y14" s="101">
        <f t="shared" si="42"/>
        <v>1.069858076507171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460</v>
      </c>
      <c r="C15" s="101">
        <f t="shared" si="43"/>
        <v>470</v>
      </c>
      <c r="D15" s="101">
        <f t="shared" si="43"/>
        <v>480</v>
      </c>
      <c r="E15" s="101">
        <f t="shared" si="43"/>
        <v>490</v>
      </c>
      <c r="F15" s="101">
        <f t="shared" si="43"/>
        <v>500</v>
      </c>
      <c r="G15" s="101">
        <f t="shared" si="43"/>
        <v>490.00000000000006</v>
      </c>
      <c r="H15" s="101">
        <f t="shared" si="43"/>
        <v>500</v>
      </c>
      <c r="I15" s="101">
        <f t="shared" si="43"/>
        <v>504.99999999999994</v>
      </c>
      <c r="J15" s="101">
        <f t="shared" si="43"/>
        <v>510</v>
      </c>
      <c r="K15" s="101">
        <f t="shared" si="43"/>
        <v>484.88857223887641</v>
      </c>
      <c r="L15" s="101">
        <f t="shared" ref="L15" si="44">IF(L42=0,0,L42*L152)</f>
        <v>497.81920809304472</v>
      </c>
      <c r="M15" s="101">
        <f t="shared" ref="M15:V15" si="45">IF(M42=0,0,M42*M152)</f>
        <v>473.86696006129199</v>
      </c>
      <c r="N15" s="101">
        <f t="shared" si="45"/>
        <v>474.76316805057587</v>
      </c>
      <c r="O15" s="101">
        <f t="shared" si="45"/>
        <v>466.90587552241141</v>
      </c>
      <c r="P15" s="101">
        <f t="shared" si="45"/>
        <v>490.1061469822302</v>
      </c>
      <c r="Q15" s="101">
        <f t="shared" si="45"/>
        <v>538.69881921991794</v>
      </c>
      <c r="R15" s="101">
        <f t="shared" si="45"/>
        <v>544.90097244521382</v>
      </c>
      <c r="S15" s="101">
        <f t="shared" si="45"/>
        <v>554.98783799024943</v>
      </c>
      <c r="T15" s="101">
        <f t="shared" si="45"/>
        <v>564.66890431800334</v>
      </c>
      <c r="U15" s="101">
        <f t="shared" si="45"/>
        <v>599.30143519456794</v>
      </c>
      <c r="V15" s="101">
        <f t="shared" si="45"/>
        <v>381.96161378832085</v>
      </c>
      <c r="W15" s="101">
        <f t="shared" ref="W15:Y15" si="46">IF(W42=0,0,W42*W152)</f>
        <v>411.93149684673762</v>
      </c>
      <c r="X15" s="101">
        <f t="shared" si="46"/>
        <v>546.48375382119696</v>
      </c>
      <c r="Y15" s="101">
        <f t="shared" si="46"/>
        <v>594.16872149188862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4.8853684575624561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:Y17" si="54">IF(W44=0,0,W44*W154)</f>
        <v>0</v>
      </c>
      <c r="X17" s="101">
        <f t="shared" si="54"/>
        <v>0</v>
      </c>
      <c r="Y17" s="101">
        <f t="shared" si="54"/>
        <v>0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0</v>
      </c>
      <c r="Q18" s="101">
        <f t="shared" si="57"/>
        <v>0</v>
      </c>
      <c r="R18" s="101">
        <f t="shared" si="57"/>
        <v>0</v>
      </c>
      <c r="S18" s="101">
        <f t="shared" si="57"/>
        <v>0</v>
      </c>
      <c r="T18" s="101">
        <f t="shared" si="57"/>
        <v>2.1717614773969749</v>
      </c>
      <c r="U18" s="101">
        <f t="shared" si="57"/>
        <v>2.8902110457620718</v>
      </c>
      <c r="V18" s="101">
        <f t="shared" si="57"/>
        <v>2.1890064569702896</v>
      </c>
      <c r="W18" s="101">
        <f t="shared" ref="W18:Y18" si="58">IF(W45=0,0,W45*W155)</f>
        <v>3.2206183611534258</v>
      </c>
      <c r="X18" s="101">
        <f t="shared" si="58"/>
        <v>3.8026532827915673</v>
      </c>
      <c r="Y18" s="101">
        <f t="shared" si="58"/>
        <v>13.036881217576257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911.22168627992528</v>
      </c>
      <c r="C19" s="29">
        <f t="shared" si="59"/>
        <v>851.09562832357688</v>
      </c>
      <c r="D19" s="29">
        <f t="shared" si="59"/>
        <v>288.21852275506274</v>
      </c>
      <c r="E19" s="29">
        <f t="shared" si="59"/>
        <v>627.1315313798267</v>
      </c>
      <c r="F19" s="29">
        <f t="shared" si="59"/>
        <v>1000.3771031043218</v>
      </c>
      <c r="G19" s="29">
        <f t="shared" si="59"/>
        <v>508.15613439465278</v>
      </c>
      <c r="H19" s="29">
        <f t="shared" si="59"/>
        <v>477.76340924011521</v>
      </c>
      <c r="I19" s="29">
        <f t="shared" si="59"/>
        <v>553.6532614799396</v>
      </c>
      <c r="J19" s="29">
        <f t="shared" si="59"/>
        <v>576.03160797261273</v>
      </c>
      <c r="K19" s="29">
        <f t="shared" si="59"/>
        <v>569.2682635041092</v>
      </c>
      <c r="L19" s="29">
        <f t="shared" ref="L19" si="60">L20+L26</f>
        <v>454.91608451225989</v>
      </c>
      <c r="M19" s="29">
        <f t="shared" ref="M19:V19" si="61">M20+M26</f>
        <v>428.90067552186571</v>
      </c>
      <c r="N19" s="29">
        <f t="shared" si="61"/>
        <v>397.45688370358044</v>
      </c>
      <c r="O19" s="29">
        <f t="shared" si="61"/>
        <v>400.09675208514665</v>
      </c>
      <c r="P19" s="29">
        <f t="shared" si="61"/>
        <v>384.20345589645268</v>
      </c>
      <c r="Q19" s="29">
        <f t="shared" si="61"/>
        <v>368.45410193152787</v>
      </c>
      <c r="R19" s="29">
        <f t="shared" si="61"/>
        <v>375.13590489638915</v>
      </c>
      <c r="S19" s="29">
        <f t="shared" si="61"/>
        <v>373.35940645706984</v>
      </c>
      <c r="T19" s="29">
        <f t="shared" si="61"/>
        <v>359.28681604175773</v>
      </c>
      <c r="U19" s="29">
        <f t="shared" si="61"/>
        <v>371.40597202177099</v>
      </c>
      <c r="V19" s="29">
        <f t="shared" si="61"/>
        <v>370.43404925221648</v>
      </c>
      <c r="W19" s="29">
        <f t="shared" ref="W19:Y19" si="62">W20+W26</f>
        <v>369.38408349083846</v>
      </c>
      <c r="X19" s="29">
        <f t="shared" si="62"/>
        <v>368.43400258381257</v>
      </c>
      <c r="Y19" s="29">
        <f t="shared" si="62"/>
        <v>367.96905170095312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28.917703775078909</v>
      </c>
      <c r="C20" s="152">
        <f t="shared" si="63"/>
        <v>28.944577608691755</v>
      </c>
      <c r="D20" s="152">
        <f t="shared" si="63"/>
        <v>29.367618826049796</v>
      </c>
      <c r="E20" s="152">
        <f t="shared" si="63"/>
        <v>30.13576103069763</v>
      </c>
      <c r="F20" s="152">
        <f t="shared" si="63"/>
        <v>29.934245252396366</v>
      </c>
      <c r="G20" s="152">
        <f t="shared" si="63"/>
        <v>29.680140194620733</v>
      </c>
      <c r="H20" s="152">
        <f t="shared" si="63"/>
        <v>31.268560177707418</v>
      </c>
      <c r="I20" s="152">
        <f t="shared" si="63"/>
        <v>33.969996184081033</v>
      </c>
      <c r="J20" s="152">
        <f t="shared" si="63"/>
        <v>35.537843318119194</v>
      </c>
      <c r="K20" s="152">
        <f t="shared" si="63"/>
        <v>36.097477749175091</v>
      </c>
      <c r="L20" s="152">
        <f t="shared" ref="L20" si="64">SUM(L21:L25)</f>
        <v>34.610193887259889</v>
      </c>
      <c r="M20" s="152">
        <f t="shared" ref="M20:V20" si="65">SUM(M21:M25)</f>
        <v>35.667567751382379</v>
      </c>
      <c r="N20" s="152">
        <f t="shared" si="65"/>
        <v>35.723531489054679</v>
      </c>
      <c r="O20" s="152">
        <f t="shared" si="65"/>
        <v>36.51430145408164</v>
      </c>
      <c r="P20" s="152">
        <f t="shared" si="65"/>
        <v>37.513741798061297</v>
      </c>
      <c r="Q20" s="152">
        <f t="shared" si="65"/>
        <v>38.778152568574335</v>
      </c>
      <c r="R20" s="152">
        <f t="shared" si="65"/>
        <v>38.522303399670683</v>
      </c>
      <c r="S20" s="152">
        <f t="shared" si="65"/>
        <v>40.235699006723834</v>
      </c>
      <c r="T20" s="152">
        <f t="shared" si="65"/>
        <v>40.777039910596201</v>
      </c>
      <c r="U20" s="152">
        <f t="shared" si="65"/>
        <v>42.704909375308922</v>
      </c>
      <c r="V20" s="152">
        <f t="shared" si="65"/>
        <v>41.732986605754427</v>
      </c>
      <c r="W20" s="152">
        <f t="shared" ref="W20:Y20" si="66">SUM(W21:W25)</f>
        <v>40.683020844376408</v>
      </c>
      <c r="X20" s="152">
        <f t="shared" si="66"/>
        <v>39.732939937350551</v>
      </c>
      <c r="Y20" s="152">
        <f t="shared" si="66"/>
        <v>39.267989054491046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0.82017858884990114</v>
      </c>
      <c r="C21" s="87">
        <f t="shared" si="67"/>
        <v>0.9585258637521229</v>
      </c>
      <c r="D21" s="87">
        <f t="shared" si="67"/>
        <v>0.94978891363879969</v>
      </c>
      <c r="E21" s="87">
        <f t="shared" si="67"/>
        <v>0.93945811890339503</v>
      </c>
      <c r="F21" s="87">
        <f t="shared" si="67"/>
        <v>0.91721297643354283</v>
      </c>
      <c r="G21" s="87">
        <f t="shared" si="67"/>
        <v>0.90882311333913202</v>
      </c>
      <c r="H21" s="87">
        <f t="shared" si="67"/>
        <v>0.916928226411175</v>
      </c>
      <c r="I21" s="87">
        <f t="shared" si="67"/>
        <v>0.91298119005929135</v>
      </c>
      <c r="J21" s="87">
        <f t="shared" si="67"/>
        <v>0.86515271702514451</v>
      </c>
      <c r="K21" s="87">
        <f t="shared" si="67"/>
        <v>0.84557886488873457</v>
      </c>
      <c r="L21" s="87">
        <f t="shared" ref="L21" si="68">IF(L48=0,0,L48*L158)</f>
        <v>0.88061881225096938</v>
      </c>
      <c r="M21" s="87">
        <f t="shared" ref="M21:V21" si="69">IF(M48=0,0,M48*M158)</f>
        <v>0.8175258502399132</v>
      </c>
      <c r="N21" s="87">
        <f t="shared" si="69"/>
        <v>0.78137184673484417</v>
      </c>
      <c r="O21" s="87">
        <f t="shared" si="69"/>
        <v>0.78654265257604616</v>
      </c>
      <c r="P21" s="87">
        <f t="shared" si="69"/>
        <v>0.72790338450312786</v>
      </c>
      <c r="Q21" s="87">
        <f t="shared" si="69"/>
        <v>0.70707732539345713</v>
      </c>
      <c r="R21" s="87">
        <f t="shared" si="69"/>
        <v>0.66928640877013013</v>
      </c>
      <c r="S21" s="87">
        <f t="shared" si="69"/>
        <v>0.65070841909291088</v>
      </c>
      <c r="T21" s="87">
        <f t="shared" si="69"/>
        <v>0.62601643374850968</v>
      </c>
      <c r="U21" s="87">
        <f t="shared" si="69"/>
        <v>0.64793909975776909</v>
      </c>
      <c r="V21" s="87">
        <f t="shared" si="69"/>
        <v>0.62919335168251844</v>
      </c>
      <c r="W21" s="87">
        <f t="shared" ref="W21:Y21" si="70">IF(W48=0,0,W48*W158)</f>
        <v>0.64736685915167369</v>
      </c>
      <c r="X21" s="87">
        <f t="shared" si="70"/>
        <v>0.73793462427706047</v>
      </c>
      <c r="Y21" s="87">
        <f t="shared" si="70"/>
        <v>0.82730799017530277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28.097525186229007</v>
      </c>
      <c r="C22" s="87">
        <f t="shared" si="71"/>
        <v>27.986051744939633</v>
      </c>
      <c r="D22" s="87">
        <f t="shared" si="71"/>
        <v>28.417829912410998</v>
      </c>
      <c r="E22" s="87">
        <f t="shared" si="71"/>
        <v>29.196302911794234</v>
      </c>
      <c r="F22" s="87">
        <f t="shared" si="71"/>
        <v>29.017032275962823</v>
      </c>
      <c r="G22" s="87">
        <f t="shared" si="71"/>
        <v>28.771317081281602</v>
      </c>
      <c r="H22" s="87">
        <f t="shared" si="71"/>
        <v>30.351631951296241</v>
      </c>
      <c r="I22" s="87">
        <f t="shared" si="71"/>
        <v>33.057014994021742</v>
      </c>
      <c r="J22" s="87">
        <f t="shared" si="71"/>
        <v>34.66937069631021</v>
      </c>
      <c r="K22" s="87">
        <f t="shared" si="71"/>
        <v>35.248506617585385</v>
      </c>
      <c r="L22" s="87">
        <f t="shared" ref="L22" si="72">IF(L49=0,0,L49*L159)</f>
        <v>33.725037780741644</v>
      </c>
      <c r="M22" s="87">
        <f t="shared" ref="M22:V22" si="73">IF(M49=0,0,M49*M159)</f>
        <v>34.844503094370026</v>
      </c>
      <c r="N22" s="87">
        <f t="shared" si="73"/>
        <v>34.936600363882775</v>
      </c>
      <c r="O22" s="87">
        <f t="shared" si="73"/>
        <v>35.710881545926831</v>
      </c>
      <c r="P22" s="87">
        <f t="shared" si="73"/>
        <v>36.768954583232208</v>
      </c>
      <c r="Q22" s="87">
        <f t="shared" si="73"/>
        <v>38.052123698115345</v>
      </c>
      <c r="R22" s="87">
        <f t="shared" si="73"/>
        <v>37.832474722275883</v>
      </c>
      <c r="S22" s="87">
        <f t="shared" si="73"/>
        <v>39.55500630196714</v>
      </c>
      <c r="T22" s="87">
        <f t="shared" si="73"/>
        <v>40.113318603997705</v>
      </c>
      <c r="U22" s="87">
        <f t="shared" si="73"/>
        <v>41.938498137853067</v>
      </c>
      <c r="V22" s="87">
        <f t="shared" si="73"/>
        <v>40.982987560636055</v>
      </c>
      <c r="W22" s="87">
        <f t="shared" ref="W22:Y22" si="74">IF(W49=0,0,W49*W159)</f>
        <v>39.911754499883671</v>
      </c>
      <c r="X22" s="87">
        <f t="shared" si="74"/>
        <v>38.851629001450938</v>
      </c>
      <c r="Y22" s="87">
        <f t="shared" si="74"/>
        <v>38.23069822900343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1.9960970625315599E-3</v>
      </c>
      <c r="T23" s="87">
        <f t="shared" si="77"/>
        <v>1.9315869539273595E-3</v>
      </c>
      <c r="U23" s="87">
        <f t="shared" si="77"/>
        <v>3.8956046041237181E-3</v>
      </c>
      <c r="V23" s="87">
        <f t="shared" si="77"/>
        <v>3.7146866098090284E-3</v>
      </c>
      <c r="W23" s="87">
        <f t="shared" ref="W23:Y23" si="78">IF(W50=0,0,W50*W160)</f>
        <v>3.5748150158844321E-3</v>
      </c>
      <c r="X23" s="87">
        <f t="shared" si="78"/>
        <v>3.439943069112745E-3</v>
      </c>
      <c r="Y23" s="87">
        <f t="shared" si="78"/>
        <v>4.1549807053616571E-3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:Y24" si="82">IF(W51=0,0,W51*W161)</f>
        <v>0</v>
      </c>
      <c r="X24" s="87">
        <f t="shared" si="82"/>
        <v>0</v>
      </c>
      <c r="Y24" s="87">
        <f t="shared" si="82"/>
        <v>0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3.3199047838333978E-3</v>
      </c>
      <c r="K25" s="87">
        <f t="shared" si="83"/>
        <v>3.3922667009670896E-3</v>
      </c>
      <c r="L25" s="87">
        <f t="shared" ref="L25" si="84">IF(L52=0,0,L52*L162)</f>
        <v>4.5372942672747838E-3</v>
      </c>
      <c r="M25" s="87">
        <f t="shared" ref="M25:V25" si="85">IF(M52=0,0,M52*M162)</f>
        <v>5.538806772441957E-3</v>
      </c>
      <c r="N25" s="87">
        <f t="shared" si="85"/>
        <v>5.5592784370614426E-3</v>
      </c>
      <c r="O25" s="87">
        <f t="shared" si="85"/>
        <v>1.6877255578763913E-2</v>
      </c>
      <c r="P25" s="87">
        <f t="shared" si="85"/>
        <v>1.6883830325961868E-2</v>
      </c>
      <c r="Q25" s="87">
        <f t="shared" si="85"/>
        <v>1.8951545065532368E-2</v>
      </c>
      <c r="R25" s="87">
        <f t="shared" si="85"/>
        <v>2.0542268624672094E-2</v>
      </c>
      <c r="S25" s="87">
        <f t="shared" si="85"/>
        <v>2.7988188601256226E-2</v>
      </c>
      <c r="T25" s="87">
        <f t="shared" si="85"/>
        <v>3.5773285896052852E-2</v>
      </c>
      <c r="U25" s="87">
        <f t="shared" si="85"/>
        <v>0.11457653309395842</v>
      </c>
      <c r="V25" s="87">
        <f t="shared" si="85"/>
        <v>0.11709100682604147</v>
      </c>
      <c r="W25" s="87">
        <f t="shared" ref="W25:Y25" si="86">IF(W52=0,0,W52*W162)</f>
        <v>0.12032467032518059</v>
      </c>
      <c r="X25" s="87">
        <f t="shared" si="86"/>
        <v>0.13993636855344138</v>
      </c>
      <c r="Y25" s="87">
        <f t="shared" si="86"/>
        <v>0.20582785460695699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882.30398250484632</v>
      </c>
      <c r="C26" s="116">
        <f t="shared" si="87"/>
        <v>822.15105071488517</v>
      </c>
      <c r="D26" s="116">
        <f t="shared" si="87"/>
        <v>258.85090392901293</v>
      </c>
      <c r="E26" s="116">
        <f t="shared" si="87"/>
        <v>596.99577034912909</v>
      </c>
      <c r="F26" s="116">
        <f t="shared" si="87"/>
        <v>970.4428578519254</v>
      </c>
      <c r="G26" s="116">
        <f t="shared" si="87"/>
        <v>478.47599420003206</v>
      </c>
      <c r="H26" s="116">
        <f t="shared" si="87"/>
        <v>446.49484906240781</v>
      </c>
      <c r="I26" s="116">
        <f t="shared" si="87"/>
        <v>519.68326529585852</v>
      </c>
      <c r="J26" s="116">
        <f t="shared" si="87"/>
        <v>540.49376465449359</v>
      </c>
      <c r="K26" s="116">
        <f t="shared" si="87"/>
        <v>533.17078575493406</v>
      </c>
      <c r="L26" s="116">
        <f t="shared" ref="L26" si="88">SUM(L27:L28)</f>
        <v>420.30589062500002</v>
      </c>
      <c r="M26" s="116">
        <f t="shared" ref="M26:V26" si="89">SUM(M27:M28)</f>
        <v>393.23310777048334</v>
      </c>
      <c r="N26" s="116">
        <f t="shared" si="89"/>
        <v>361.73335221452578</v>
      </c>
      <c r="O26" s="116">
        <f t="shared" si="89"/>
        <v>363.582450631065</v>
      </c>
      <c r="P26" s="116">
        <f t="shared" si="89"/>
        <v>346.68971409839139</v>
      </c>
      <c r="Q26" s="116">
        <f t="shared" si="89"/>
        <v>329.67594936295353</v>
      </c>
      <c r="R26" s="116">
        <f t="shared" si="89"/>
        <v>336.61360149671845</v>
      </c>
      <c r="S26" s="116">
        <f t="shared" si="89"/>
        <v>333.12370745034599</v>
      </c>
      <c r="T26" s="116">
        <f t="shared" si="89"/>
        <v>318.50977613116152</v>
      </c>
      <c r="U26" s="116">
        <f t="shared" si="89"/>
        <v>328.70106264646205</v>
      </c>
      <c r="V26" s="116">
        <f t="shared" si="89"/>
        <v>328.70106264646205</v>
      </c>
      <c r="W26" s="116">
        <f t="shared" ref="W26:Y26" si="90">SUM(W27:W28)</f>
        <v>328.70106264646205</v>
      </c>
      <c r="X26" s="116">
        <f t="shared" si="90"/>
        <v>328.70106264646205</v>
      </c>
      <c r="Y26" s="116">
        <f t="shared" si="90"/>
        <v>328.70106264646205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882.30398250484632</v>
      </c>
      <c r="C27" s="101">
        <f t="shared" si="91"/>
        <v>822.15105071488517</v>
      </c>
      <c r="D27" s="101">
        <f t="shared" si="91"/>
        <v>258.85090392901293</v>
      </c>
      <c r="E27" s="101">
        <f t="shared" si="91"/>
        <v>596.99577034912909</v>
      </c>
      <c r="F27" s="101">
        <f t="shared" si="91"/>
        <v>970.4428578519254</v>
      </c>
      <c r="G27" s="101">
        <f t="shared" si="91"/>
        <v>478.47599420003206</v>
      </c>
      <c r="H27" s="101">
        <f t="shared" si="91"/>
        <v>446.49484906240781</v>
      </c>
      <c r="I27" s="101">
        <f t="shared" si="91"/>
        <v>519.68326529585852</v>
      </c>
      <c r="J27" s="101">
        <f t="shared" si="91"/>
        <v>540.49376465449359</v>
      </c>
      <c r="K27" s="101">
        <f t="shared" si="91"/>
        <v>533.17078575493406</v>
      </c>
      <c r="L27" s="101">
        <f t="shared" ref="L27:V27" si="92">IF(L54=0,0,L54*L164)</f>
        <v>420.30589062500002</v>
      </c>
      <c r="M27" s="101">
        <f t="shared" si="92"/>
        <v>393.23310777048334</v>
      </c>
      <c r="N27" s="101">
        <f t="shared" si="92"/>
        <v>361.73335221452578</v>
      </c>
      <c r="O27" s="101">
        <f t="shared" si="92"/>
        <v>363.582450631065</v>
      </c>
      <c r="P27" s="101">
        <f t="shared" si="92"/>
        <v>346.68971409839139</v>
      </c>
      <c r="Q27" s="101">
        <f t="shared" si="92"/>
        <v>329.67594936295353</v>
      </c>
      <c r="R27" s="101">
        <f t="shared" si="92"/>
        <v>336.61360149671845</v>
      </c>
      <c r="S27" s="101">
        <f t="shared" si="92"/>
        <v>333.12370745034599</v>
      </c>
      <c r="T27" s="101">
        <f t="shared" si="92"/>
        <v>318.50977613116152</v>
      </c>
      <c r="U27" s="101">
        <f t="shared" si="92"/>
        <v>328.70106264646205</v>
      </c>
      <c r="V27" s="101">
        <f t="shared" si="92"/>
        <v>328.70106264646205</v>
      </c>
      <c r="W27" s="101">
        <f t="shared" ref="W27:Y27" si="93">IF(W54=0,0,W54*W164)</f>
        <v>328.70106264646205</v>
      </c>
      <c r="X27" s="101">
        <f t="shared" si="93"/>
        <v>328.70106264646205</v>
      </c>
      <c r="Y27" s="101">
        <f t="shared" si="93"/>
        <v>328.70106264646205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0</v>
      </c>
      <c r="C28" s="88">
        <f t="shared" si="94"/>
        <v>0</v>
      </c>
      <c r="D28" s="88">
        <f t="shared" si="94"/>
        <v>0</v>
      </c>
      <c r="E28" s="88">
        <f t="shared" si="94"/>
        <v>0</v>
      </c>
      <c r="F28" s="88">
        <f t="shared" si="94"/>
        <v>0</v>
      </c>
      <c r="G28" s="88">
        <f t="shared" si="94"/>
        <v>0</v>
      </c>
      <c r="H28" s="88">
        <f t="shared" si="94"/>
        <v>0</v>
      </c>
      <c r="I28" s="88">
        <f t="shared" si="94"/>
        <v>0</v>
      </c>
      <c r="J28" s="88">
        <f t="shared" si="94"/>
        <v>0</v>
      </c>
      <c r="K28" s="88">
        <f t="shared" si="94"/>
        <v>0</v>
      </c>
      <c r="L28" s="88">
        <f t="shared" ref="L28:V28" si="95">IF(L55=0,0,L55*L165)</f>
        <v>0</v>
      </c>
      <c r="M28" s="88">
        <f t="shared" si="95"/>
        <v>0</v>
      </c>
      <c r="N28" s="88">
        <f t="shared" si="95"/>
        <v>0</v>
      </c>
      <c r="O28" s="88">
        <f t="shared" si="95"/>
        <v>0</v>
      </c>
      <c r="P28" s="88">
        <f t="shared" si="95"/>
        <v>0</v>
      </c>
      <c r="Q28" s="88">
        <f t="shared" si="95"/>
        <v>0</v>
      </c>
      <c r="R28" s="88">
        <f t="shared" si="95"/>
        <v>0</v>
      </c>
      <c r="S28" s="88">
        <f t="shared" si="95"/>
        <v>0</v>
      </c>
      <c r="T28" s="88">
        <f t="shared" si="95"/>
        <v>0</v>
      </c>
      <c r="U28" s="88">
        <f t="shared" si="95"/>
        <v>0</v>
      </c>
      <c r="V28" s="88">
        <f t="shared" si="95"/>
        <v>0</v>
      </c>
      <c r="W28" s="88">
        <f t="shared" ref="W28:Y28" si="96">IF(W55=0,0,W55*W165)</f>
        <v>0</v>
      </c>
      <c r="X28" s="88">
        <f t="shared" si="96"/>
        <v>0</v>
      </c>
      <c r="Y28" s="88">
        <f t="shared" si="96"/>
        <v>0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2016.7137524736368</v>
      </c>
      <c r="C30" s="62">
        <f t="shared" ref="C30:V30" si="98">C31+C46</f>
        <v>2021.7704518423004</v>
      </c>
      <c r="D30" s="62">
        <f t="shared" si="98"/>
        <v>1898.7854939337049</v>
      </c>
      <c r="E30" s="62">
        <f t="shared" si="98"/>
        <v>2086.5911182329687</v>
      </c>
      <c r="F30" s="62">
        <f t="shared" si="98"/>
        <v>2174.5912995605117</v>
      </c>
      <c r="G30" s="62">
        <f t="shared" si="98"/>
        <v>2166.6735721579826</v>
      </c>
      <c r="H30" s="62">
        <f t="shared" si="98"/>
        <v>2236.7512707056799</v>
      </c>
      <c r="I30" s="62">
        <f t="shared" si="98"/>
        <v>2245.4144147282041</v>
      </c>
      <c r="J30" s="62">
        <f t="shared" si="98"/>
        <v>2428.8641798316271</v>
      </c>
      <c r="K30" s="62">
        <f t="shared" si="98"/>
        <v>2518.6437370143367</v>
      </c>
      <c r="L30" s="62">
        <f t="shared" si="98"/>
        <v>2487.4485556423078</v>
      </c>
      <c r="M30" s="62">
        <f t="shared" si="98"/>
        <v>2532.565400043522</v>
      </c>
      <c r="N30" s="62">
        <f t="shared" si="98"/>
        <v>2544.1613889283958</v>
      </c>
      <c r="O30" s="62">
        <f t="shared" si="98"/>
        <v>2613.2006965732289</v>
      </c>
      <c r="P30" s="62">
        <f t="shared" si="98"/>
        <v>2760.7780189287514</v>
      </c>
      <c r="Q30" s="62">
        <f t="shared" si="98"/>
        <v>2871.1769004906259</v>
      </c>
      <c r="R30" s="62">
        <f t="shared" si="98"/>
        <v>2948.7467695696409</v>
      </c>
      <c r="S30" s="62">
        <f t="shared" si="98"/>
        <v>2950.4538660817534</v>
      </c>
      <c r="T30" s="62">
        <f t="shared" si="98"/>
        <v>3010.4720718661574</v>
      </c>
      <c r="U30" s="62">
        <f t="shared" si="98"/>
        <v>3047.909717053295</v>
      </c>
      <c r="V30" s="62">
        <f t="shared" si="98"/>
        <v>2765.4708492580644</v>
      </c>
      <c r="W30" s="62">
        <f t="shared" ref="W30:Y30" si="99">W31+W46</f>
        <v>2878.9154163732665</v>
      </c>
      <c r="X30" s="62">
        <f t="shared" si="99"/>
        <v>2913.22510488636</v>
      </c>
      <c r="Y30" s="62">
        <f t="shared" si="99"/>
        <v>2988.997758509789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1457.9803451499752</v>
      </c>
      <c r="C31" s="29">
        <f t="shared" ref="C31:V31" si="101">C32+C33+C40</f>
        <v>1482.8424882317822</v>
      </c>
      <c r="D31" s="29">
        <f t="shared" si="101"/>
        <v>1547.6010153960576</v>
      </c>
      <c r="E31" s="29">
        <f t="shared" si="101"/>
        <v>1612.8148619976434</v>
      </c>
      <c r="F31" s="29">
        <f t="shared" si="101"/>
        <v>1575.6647565608048</v>
      </c>
      <c r="G31" s="29">
        <f t="shared" si="101"/>
        <v>1738.0935193190187</v>
      </c>
      <c r="H31" s="29">
        <f t="shared" si="101"/>
        <v>1803.9508728974815</v>
      </c>
      <c r="I31" s="29">
        <f t="shared" si="101"/>
        <v>1760.1402930726044</v>
      </c>
      <c r="J31" s="29">
        <f t="shared" si="101"/>
        <v>1920.1875369400191</v>
      </c>
      <c r="K31" s="29">
        <f t="shared" si="101"/>
        <v>2004.7371898047568</v>
      </c>
      <c r="L31" s="29">
        <f t="shared" si="101"/>
        <v>2029.7351143448204</v>
      </c>
      <c r="M31" s="29">
        <f t="shared" si="101"/>
        <v>2072.2252153029845</v>
      </c>
      <c r="N31" s="29">
        <f t="shared" si="101"/>
        <v>2094.5369836295372</v>
      </c>
      <c r="O31" s="29">
        <f t="shared" si="101"/>
        <v>2155.6414404505053</v>
      </c>
      <c r="P31" s="29">
        <f t="shared" si="101"/>
        <v>2288.9645651134192</v>
      </c>
      <c r="Q31" s="29">
        <f t="shared" si="101"/>
        <v>2392.378774080139</v>
      </c>
      <c r="R31" s="29">
        <f t="shared" si="101"/>
        <v>2472.4976461993906</v>
      </c>
      <c r="S31" s="29">
        <f t="shared" si="101"/>
        <v>2458.9012498571387</v>
      </c>
      <c r="T31" s="29">
        <f t="shared" si="101"/>
        <v>2521.9326700315382</v>
      </c>
      <c r="U31" s="29">
        <f t="shared" si="101"/>
        <v>2536.9938920150926</v>
      </c>
      <c r="V31" s="29">
        <f t="shared" si="101"/>
        <v>2268.353349582756</v>
      </c>
      <c r="W31" s="29">
        <f t="shared" ref="W31:Y31" si="102">W32+W33+W40</f>
        <v>2394.917359544861</v>
      </c>
      <c r="X31" s="29">
        <f t="shared" si="102"/>
        <v>2441.0541801067229</v>
      </c>
      <c r="Y31" s="29">
        <f t="shared" si="102"/>
        <v>2523.6964738828187</v>
      </c>
      <c r="DA31" s="173" t="s">
        <v>475</v>
      </c>
    </row>
    <row r="32" spans="1:105" ht="11.45" customHeight="1" x14ac:dyDescent="0.25">
      <c r="A32" s="136" t="s">
        <v>173</v>
      </c>
      <c r="B32" s="152">
        <v>28.612222826086953</v>
      </c>
      <c r="C32" s="152">
        <v>29.599646739130431</v>
      </c>
      <c r="D32" s="152">
        <v>30.739336956521736</v>
      </c>
      <c r="E32" s="152">
        <v>31.530660326086956</v>
      </c>
      <c r="F32" s="152">
        <v>29.488907608695651</v>
      </c>
      <c r="G32" s="152">
        <v>27.668633152173914</v>
      </c>
      <c r="H32" s="152">
        <v>28.344603260869562</v>
      </c>
      <c r="I32" s="152">
        <v>29.509671195652171</v>
      </c>
      <c r="J32" s="152">
        <v>33.251730978260866</v>
      </c>
      <c r="K32" s="152">
        <v>33.175597826086957</v>
      </c>
      <c r="L32" s="152">
        <v>33.950771739130431</v>
      </c>
      <c r="M32" s="152">
        <v>35.904855978260869</v>
      </c>
      <c r="N32" s="152">
        <v>36.486236413043478</v>
      </c>
      <c r="O32" s="152">
        <v>38.991709239130437</v>
      </c>
      <c r="P32" s="152">
        <v>42.45</v>
      </c>
      <c r="Q32" s="152">
        <v>44.027109782608697</v>
      </c>
      <c r="R32" s="152">
        <v>47.904110390336292</v>
      </c>
      <c r="S32" s="152">
        <v>45.731249857138614</v>
      </c>
      <c r="T32" s="152">
        <v>44.052670031537971</v>
      </c>
      <c r="U32" s="152">
        <v>47.163892015092671</v>
      </c>
      <c r="V32" s="152">
        <v>42.733687191865783</v>
      </c>
      <c r="W32" s="152">
        <v>45.177359544860806</v>
      </c>
      <c r="X32" s="152">
        <v>47.144180106721954</v>
      </c>
      <c r="Y32" s="152">
        <v>51.801473882818755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1399.1904593020497</v>
      </c>
      <c r="C33" s="116">
        <f t="shared" ref="C33:V33" si="104">SUM(C34:C39)</f>
        <v>1422.4034977262309</v>
      </c>
      <c r="D33" s="116">
        <f t="shared" si="104"/>
        <v>1485.3546458773531</v>
      </c>
      <c r="E33" s="116">
        <f t="shared" si="104"/>
        <v>1549.0972140501681</v>
      </c>
      <c r="F33" s="116">
        <f t="shared" si="104"/>
        <v>1513.2838525272475</v>
      </c>
      <c r="G33" s="116">
        <f t="shared" si="104"/>
        <v>1678.09618444635</v>
      </c>
      <c r="H33" s="116">
        <f t="shared" si="104"/>
        <v>1742.4239993232993</v>
      </c>
      <c r="I33" s="116">
        <f t="shared" si="104"/>
        <v>1696.7215980584547</v>
      </c>
      <c r="J33" s="116">
        <f t="shared" si="104"/>
        <v>1851.8792119804391</v>
      </c>
      <c r="K33" s="116">
        <f t="shared" si="104"/>
        <v>1936.6320606648981</v>
      </c>
      <c r="L33" s="116">
        <f t="shared" si="104"/>
        <v>1956.22734260569</v>
      </c>
      <c r="M33" s="116">
        <f t="shared" si="104"/>
        <v>1990.9291643929078</v>
      </c>
      <c r="N33" s="116">
        <f t="shared" si="104"/>
        <v>2004.2365291452477</v>
      </c>
      <c r="O33" s="116">
        <f t="shared" si="104"/>
        <v>2061.5031215324316</v>
      </c>
      <c r="P33" s="116">
        <f t="shared" si="104"/>
        <v>2178.1131243794066</v>
      </c>
      <c r="Q33" s="116">
        <f t="shared" si="104"/>
        <v>2270.6437456635963</v>
      </c>
      <c r="R33" s="116">
        <f t="shared" si="104"/>
        <v>2346.503535809054</v>
      </c>
      <c r="S33" s="116">
        <f t="shared" si="104"/>
        <v>2333.17</v>
      </c>
      <c r="T33" s="116">
        <f t="shared" si="104"/>
        <v>2395.9500000000003</v>
      </c>
      <c r="U33" s="116">
        <f t="shared" si="104"/>
        <v>2408.39</v>
      </c>
      <c r="V33" s="116">
        <f t="shared" si="104"/>
        <v>2161.3196623908898</v>
      </c>
      <c r="W33" s="116">
        <f t="shared" ref="W33:Y33" si="105">SUM(W34:W39)</f>
        <v>2290.3100000000004</v>
      </c>
      <c r="X33" s="116">
        <f t="shared" si="105"/>
        <v>2321.0100000000007</v>
      </c>
      <c r="Y33" s="116">
        <f t="shared" si="105"/>
        <v>2391.6210000000001</v>
      </c>
      <c r="DA33" s="176" t="s">
        <v>477</v>
      </c>
    </row>
    <row r="34" spans="1:105" ht="11.45" customHeight="1" x14ac:dyDescent="0.25">
      <c r="A34" s="111" t="s">
        <v>110</v>
      </c>
      <c r="B34" s="87">
        <v>1201.992523562566</v>
      </c>
      <c r="C34" s="87">
        <v>1203.4050720754888</v>
      </c>
      <c r="D34" s="87">
        <v>1247.5766587473645</v>
      </c>
      <c r="E34" s="87">
        <v>1292.0795900583821</v>
      </c>
      <c r="F34" s="87">
        <v>1242.482357783085</v>
      </c>
      <c r="G34" s="87">
        <v>1396.0323114134103</v>
      </c>
      <c r="H34" s="87">
        <v>1446.4013829258804</v>
      </c>
      <c r="I34" s="87">
        <v>1385.8697496879679</v>
      </c>
      <c r="J34" s="87">
        <v>1526.8381859659576</v>
      </c>
      <c r="K34" s="87">
        <v>1586.2475332900653</v>
      </c>
      <c r="L34" s="87">
        <v>1301.3512577619558</v>
      </c>
      <c r="M34" s="87">
        <v>1265.2296471882648</v>
      </c>
      <c r="N34" s="87">
        <v>1230.9806511026177</v>
      </c>
      <c r="O34" s="87">
        <v>1240.3075562336048</v>
      </c>
      <c r="P34" s="87">
        <v>1308.1064291027722</v>
      </c>
      <c r="Q34" s="87">
        <v>1344.516698682995</v>
      </c>
      <c r="R34" s="87">
        <v>1368.979655852309</v>
      </c>
      <c r="S34" s="87">
        <v>1395.6351350353834</v>
      </c>
      <c r="T34" s="87">
        <v>1379.0874520083144</v>
      </c>
      <c r="U34" s="87">
        <v>1380.1396691773305</v>
      </c>
      <c r="V34" s="87">
        <v>1257.1184447070511</v>
      </c>
      <c r="W34" s="87">
        <v>1318.7072754374908</v>
      </c>
      <c r="X34" s="87">
        <v>1316.0622970843729</v>
      </c>
      <c r="Y34" s="87">
        <v>1338.1592005188038</v>
      </c>
      <c r="DA34" s="171" t="s">
        <v>478</v>
      </c>
    </row>
    <row r="35" spans="1:105" ht="11.45" customHeight="1" x14ac:dyDescent="0.25">
      <c r="A35" s="111" t="s">
        <v>111</v>
      </c>
      <c r="B35" s="87">
        <v>197.19793573948374</v>
      </c>
      <c r="C35" s="87">
        <v>218.99842565074215</v>
      </c>
      <c r="D35" s="87">
        <v>237.77798712998845</v>
      </c>
      <c r="E35" s="87">
        <v>256.93356533646909</v>
      </c>
      <c r="F35" s="87">
        <v>270.67863373022698</v>
      </c>
      <c r="G35" s="87">
        <v>281.91753708862024</v>
      </c>
      <c r="H35" s="87">
        <v>295.85508341831394</v>
      </c>
      <c r="I35" s="87">
        <v>310.58012655617972</v>
      </c>
      <c r="J35" s="87">
        <v>324.73562366200508</v>
      </c>
      <c r="K35" s="87">
        <v>350.04675235872975</v>
      </c>
      <c r="L35" s="87">
        <v>651.76939815654953</v>
      </c>
      <c r="M35" s="87">
        <v>722.64055240919799</v>
      </c>
      <c r="N35" s="87">
        <v>769.54004460692124</v>
      </c>
      <c r="O35" s="87">
        <v>816.20717571297371</v>
      </c>
      <c r="P35" s="87">
        <v>861.4912838830794</v>
      </c>
      <c r="Q35" s="87">
        <v>913.47842557568094</v>
      </c>
      <c r="R35" s="87">
        <v>942.04455882103503</v>
      </c>
      <c r="S35" s="87">
        <v>911.56742469908988</v>
      </c>
      <c r="T35" s="87">
        <v>990.57570542230678</v>
      </c>
      <c r="U35" s="87">
        <v>990.2951971020193</v>
      </c>
      <c r="V35" s="87">
        <v>865.49454136517738</v>
      </c>
      <c r="W35" s="87">
        <v>918.39084445146932</v>
      </c>
      <c r="X35" s="87">
        <v>929.9381576421506</v>
      </c>
      <c r="Y35" s="87">
        <v>955.89337176577806</v>
      </c>
      <c r="DA35" s="171" t="s">
        <v>479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22.658922561723021</v>
      </c>
      <c r="S36" s="87">
        <v>12.690365294323852</v>
      </c>
      <c r="T36" s="87">
        <v>10.330183607076277</v>
      </c>
      <c r="U36" s="87">
        <v>14.492688668770903</v>
      </c>
      <c r="V36" s="87">
        <v>11.711133767249271</v>
      </c>
      <c r="W36" s="87">
        <v>11.673366570924701</v>
      </c>
      <c r="X36" s="87">
        <v>11.026744349383312</v>
      </c>
      <c r="Y36" s="87">
        <v>10.426601136363589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7">
        <v>0</v>
      </c>
      <c r="Y37" s="87">
        <v>0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2.7308390994166278</v>
      </c>
      <c r="M38" s="87">
        <v>2.7443698768011249</v>
      </c>
      <c r="N38" s="87">
        <v>3.3169984670119605</v>
      </c>
      <c r="O38" s="87">
        <v>4.3686844958427526</v>
      </c>
      <c r="P38" s="87">
        <v>7.597958096116427</v>
      </c>
      <c r="Q38" s="87">
        <v>11.209570633560112</v>
      </c>
      <c r="R38" s="87">
        <v>11.331273994666448</v>
      </c>
      <c r="S38" s="87">
        <v>11.449326065643895</v>
      </c>
      <c r="T38" s="87">
        <v>12.790719727621628</v>
      </c>
      <c r="U38" s="87">
        <v>13.622712663823377</v>
      </c>
      <c r="V38" s="87">
        <v>14.724690374332988</v>
      </c>
      <c r="W38" s="87">
        <v>23.700225880441305</v>
      </c>
      <c r="X38" s="87">
        <v>39.159358053067102</v>
      </c>
      <c r="Y38" s="87">
        <v>52.943563337444516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8.4058655316705103E-2</v>
      </c>
      <c r="F39" s="87">
        <v>0.12286101393549187</v>
      </c>
      <c r="G39" s="87">
        <v>0.14633594431932559</v>
      </c>
      <c r="H39" s="87">
        <v>0.16753297910481044</v>
      </c>
      <c r="I39" s="87">
        <v>0.27172181430709724</v>
      </c>
      <c r="J39" s="87">
        <v>0.30540235247637004</v>
      </c>
      <c r="K39" s="87">
        <v>0.33777501610308097</v>
      </c>
      <c r="L39" s="87">
        <v>0.37584758776801769</v>
      </c>
      <c r="M39" s="87">
        <v>0.31459491864360312</v>
      </c>
      <c r="N39" s="87">
        <v>0.39883496869706531</v>
      </c>
      <c r="O39" s="87">
        <v>0.61970509001017926</v>
      </c>
      <c r="P39" s="87">
        <v>0.91745329743865645</v>
      </c>
      <c r="Q39" s="87">
        <v>1.4390507713607728</v>
      </c>
      <c r="R39" s="87">
        <v>1.4891245793206112</v>
      </c>
      <c r="S39" s="87">
        <v>1.8277489055591039</v>
      </c>
      <c r="T39" s="87">
        <v>3.1659392346808262</v>
      </c>
      <c r="U39" s="87">
        <v>9.8397323880558609</v>
      </c>
      <c r="V39" s="87">
        <v>12.270852177079378</v>
      </c>
      <c r="W39" s="87">
        <v>17.838287659673874</v>
      </c>
      <c r="X39" s="87">
        <v>24.823442871026376</v>
      </c>
      <c r="Y39" s="87">
        <v>34.198263241610043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30.177663021838544</v>
      </c>
      <c r="C40" s="116">
        <f t="shared" ref="C40:V40" si="107">SUM(C41:C45)</f>
        <v>30.83934376642096</v>
      </c>
      <c r="D40" s="116">
        <f t="shared" si="107"/>
        <v>31.507032562182854</v>
      </c>
      <c r="E40" s="116">
        <f t="shared" si="107"/>
        <v>32.186987621388504</v>
      </c>
      <c r="F40" s="116">
        <f t="shared" si="107"/>
        <v>32.891996424861659</v>
      </c>
      <c r="G40" s="116">
        <f t="shared" si="107"/>
        <v>32.32870172049477</v>
      </c>
      <c r="H40" s="116">
        <f t="shared" si="107"/>
        <v>33.182270313312749</v>
      </c>
      <c r="I40" s="116">
        <f t="shared" si="107"/>
        <v>33.909023818497566</v>
      </c>
      <c r="J40" s="116">
        <f t="shared" si="107"/>
        <v>35.056593981319089</v>
      </c>
      <c r="K40" s="116">
        <f t="shared" si="107"/>
        <v>34.929531313771804</v>
      </c>
      <c r="L40" s="116">
        <f t="shared" si="107"/>
        <v>39.557000000000002</v>
      </c>
      <c r="M40" s="116">
        <f t="shared" si="107"/>
        <v>45.391194931815811</v>
      </c>
      <c r="N40" s="116">
        <f t="shared" si="107"/>
        <v>53.814218071245882</v>
      </c>
      <c r="O40" s="116">
        <f t="shared" si="107"/>
        <v>55.146609678943051</v>
      </c>
      <c r="P40" s="116">
        <f t="shared" si="107"/>
        <v>68.401440734012738</v>
      </c>
      <c r="Q40" s="116">
        <f t="shared" si="107"/>
        <v>77.707918633934298</v>
      </c>
      <c r="R40" s="116">
        <f t="shared" si="107"/>
        <v>78.09</v>
      </c>
      <c r="S40" s="116">
        <f t="shared" si="107"/>
        <v>80</v>
      </c>
      <c r="T40" s="116">
        <f t="shared" si="107"/>
        <v>81.93</v>
      </c>
      <c r="U40" s="116">
        <f t="shared" si="107"/>
        <v>81.44</v>
      </c>
      <c r="V40" s="116">
        <f t="shared" si="107"/>
        <v>64.3</v>
      </c>
      <c r="W40" s="116">
        <f t="shared" ref="W40:Y40" si="108">SUM(W41:W45)</f>
        <v>59.429999999999993</v>
      </c>
      <c r="X40" s="116">
        <f t="shared" si="108"/>
        <v>72.900000000000006</v>
      </c>
      <c r="Y40" s="116">
        <f t="shared" si="108"/>
        <v>80.274000000000001</v>
      </c>
      <c r="DA40" s="176" t="s">
        <v>484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0.33622268536939026</v>
      </c>
      <c r="M41" s="101">
        <v>0.28286373735825404</v>
      </c>
      <c r="N41" s="101">
        <v>0.26633873726279328</v>
      </c>
      <c r="O41" s="101">
        <v>0.24786075379662026</v>
      </c>
      <c r="P41" s="101">
        <v>0.23072515521806911</v>
      </c>
      <c r="Q41" s="101">
        <v>0.19269166710796562</v>
      </c>
      <c r="R41" s="101">
        <v>0.18542184725117078</v>
      </c>
      <c r="S41" s="101">
        <v>0.17939319821430838</v>
      </c>
      <c r="T41" s="101">
        <v>0.19414919886017631</v>
      </c>
      <c r="U41" s="101">
        <v>0.20666885567953278</v>
      </c>
      <c r="V41" s="101">
        <v>0.13706971992472675</v>
      </c>
      <c r="W41" s="101">
        <v>0.12864052665457443</v>
      </c>
      <c r="X41" s="101">
        <v>0.15123915438539454</v>
      </c>
      <c r="Y41" s="101">
        <v>0.16998649861568324</v>
      </c>
      <c r="DA41" s="175" t="s">
        <v>485</v>
      </c>
    </row>
    <row r="42" spans="1:105" ht="11.45" customHeight="1" x14ac:dyDescent="0.25">
      <c r="A42" s="111" t="s">
        <v>111</v>
      </c>
      <c r="B42" s="101">
        <v>30.177663021838544</v>
      </c>
      <c r="C42" s="101">
        <v>30.83934376642096</v>
      </c>
      <c r="D42" s="101">
        <v>31.507032562182854</v>
      </c>
      <c r="E42" s="101">
        <v>32.186987621388504</v>
      </c>
      <c r="F42" s="101">
        <v>32.891996424861659</v>
      </c>
      <c r="G42" s="101">
        <v>32.32870172049477</v>
      </c>
      <c r="H42" s="101">
        <v>33.182270313312749</v>
      </c>
      <c r="I42" s="101">
        <v>33.909023818497566</v>
      </c>
      <c r="J42" s="101">
        <v>35.056593981319089</v>
      </c>
      <c r="K42" s="101">
        <v>34.929531313771804</v>
      </c>
      <c r="L42" s="101">
        <v>39.22077731463061</v>
      </c>
      <c r="M42" s="101">
        <v>45.108331194457556</v>
      </c>
      <c r="N42" s="101">
        <v>53.54787933398309</v>
      </c>
      <c r="O42" s="101">
        <v>54.898748925146428</v>
      </c>
      <c r="P42" s="101">
        <v>68.17071557879467</v>
      </c>
      <c r="Q42" s="101">
        <v>77.515226966826333</v>
      </c>
      <c r="R42" s="101">
        <v>77.904578152748826</v>
      </c>
      <c r="S42" s="101">
        <v>79.820606801785686</v>
      </c>
      <c r="T42" s="101">
        <v>81.422692654938203</v>
      </c>
      <c r="U42" s="101">
        <v>80.84345281833707</v>
      </c>
      <c r="V42" s="101">
        <v>63.797310491171807</v>
      </c>
      <c r="W42" s="101">
        <v>58.841318345852727</v>
      </c>
      <c r="X42" s="101">
        <v>72.246043877364443</v>
      </c>
      <c r="Y42" s="101">
        <v>77.758538404414239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0.63934552103862341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X44" s="101">
        <v>0</v>
      </c>
      <c r="Y44" s="101">
        <v>0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0</v>
      </c>
      <c r="S45" s="101">
        <v>0</v>
      </c>
      <c r="T45" s="101">
        <v>0.31315814620162447</v>
      </c>
      <c r="U45" s="101">
        <v>0.38987832598339245</v>
      </c>
      <c r="V45" s="101">
        <v>0.36561978890346708</v>
      </c>
      <c r="W45" s="101">
        <v>0.46004112749269632</v>
      </c>
      <c r="X45" s="101">
        <v>0.50271696825016832</v>
      </c>
      <c r="Y45" s="101">
        <v>1.7061295759314539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558.7334073236616</v>
      </c>
      <c r="C46" s="29">
        <f t="shared" ref="C46:V46" si="110">C47+C53</f>
        <v>538.92796361051819</v>
      </c>
      <c r="D46" s="29">
        <f t="shared" si="110"/>
        <v>351.18447853764718</v>
      </c>
      <c r="E46" s="29">
        <f t="shared" si="110"/>
        <v>473.77625623532515</v>
      </c>
      <c r="F46" s="29">
        <f t="shared" si="110"/>
        <v>598.92654299970695</v>
      </c>
      <c r="G46" s="29">
        <f t="shared" si="110"/>
        <v>428.58005283896387</v>
      </c>
      <c r="H46" s="29">
        <f t="shared" si="110"/>
        <v>432.80039780819845</v>
      </c>
      <c r="I46" s="29">
        <f t="shared" si="110"/>
        <v>485.27412165559963</v>
      </c>
      <c r="J46" s="29">
        <f t="shared" si="110"/>
        <v>508.6766428916082</v>
      </c>
      <c r="K46" s="29">
        <f t="shared" si="110"/>
        <v>513.90654720958003</v>
      </c>
      <c r="L46" s="29">
        <f t="shared" si="110"/>
        <v>457.71344129748752</v>
      </c>
      <c r="M46" s="29">
        <f t="shared" si="110"/>
        <v>460.34018474053767</v>
      </c>
      <c r="N46" s="29">
        <f t="shared" si="110"/>
        <v>449.62440529885856</v>
      </c>
      <c r="O46" s="29">
        <f t="shared" si="110"/>
        <v>457.55925612272381</v>
      </c>
      <c r="P46" s="29">
        <f t="shared" si="110"/>
        <v>471.81345381533208</v>
      </c>
      <c r="Q46" s="29">
        <f t="shared" si="110"/>
        <v>478.79812641048676</v>
      </c>
      <c r="R46" s="29">
        <f t="shared" si="110"/>
        <v>476.24912337025046</v>
      </c>
      <c r="S46" s="29">
        <f t="shared" si="110"/>
        <v>491.55261622461461</v>
      </c>
      <c r="T46" s="29">
        <f t="shared" si="110"/>
        <v>488.53940183461918</v>
      </c>
      <c r="U46" s="29">
        <f t="shared" si="110"/>
        <v>510.91582503820246</v>
      </c>
      <c r="V46" s="29">
        <f t="shared" si="110"/>
        <v>497.11749967530852</v>
      </c>
      <c r="W46" s="29">
        <f t="shared" ref="W46:Y46" si="111">W47+W53</f>
        <v>483.99805682840548</v>
      </c>
      <c r="X46" s="29">
        <f t="shared" si="111"/>
        <v>472.17092477963729</v>
      </c>
      <c r="Y46" s="29">
        <f t="shared" si="111"/>
        <v>465.30128462697013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257.84110778382058</v>
      </c>
      <c r="C47" s="152">
        <f t="shared" ref="C47:V47" si="113">SUM(C48:C52)</f>
        <v>258.54963015180061</v>
      </c>
      <c r="D47" s="152">
        <f t="shared" si="113"/>
        <v>262.90850419595893</v>
      </c>
      <c r="E47" s="152">
        <f t="shared" si="113"/>
        <v>270.18267203100407</v>
      </c>
      <c r="F47" s="152">
        <f t="shared" si="113"/>
        <v>267.97622557951206</v>
      </c>
      <c r="G47" s="152">
        <f t="shared" si="113"/>
        <v>265.40529105138631</v>
      </c>
      <c r="H47" s="152">
        <f t="shared" si="113"/>
        <v>280.53217219544126</v>
      </c>
      <c r="I47" s="152">
        <f t="shared" si="113"/>
        <v>308.04643615505819</v>
      </c>
      <c r="J47" s="152">
        <f t="shared" si="113"/>
        <v>324.35194872879686</v>
      </c>
      <c r="K47" s="152">
        <f t="shared" si="113"/>
        <v>332.07920997166286</v>
      </c>
      <c r="L47" s="152">
        <f t="shared" si="113"/>
        <v>314.37644129748753</v>
      </c>
      <c r="M47" s="152">
        <f t="shared" si="113"/>
        <v>326.23582116694473</v>
      </c>
      <c r="N47" s="152">
        <f t="shared" si="113"/>
        <v>326.26240951699543</v>
      </c>
      <c r="O47" s="152">
        <f t="shared" si="113"/>
        <v>333.56666194658794</v>
      </c>
      <c r="P47" s="152">
        <f t="shared" si="113"/>
        <v>353.58179287946859</v>
      </c>
      <c r="Q47" s="152">
        <f t="shared" si="113"/>
        <v>366.36867298653101</v>
      </c>
      <c r="R47" s="152">
        <f t="shared" si="113"/>
        <v>361.45372108362534</v>
      </c>
      <c r="S47" s="152">
        <f t="shared" si="113"/>
        <v>377.94737318648595</v>
      </c>
      <c r="T47" s="152">
        <f t="shared" si="113"/>
        <v>379.91795064956943</v>
      </c>
      <c r="U47" s="152">
        <f t="shared" si="113"/>
        <v>398.818837421647</v>
      </c>
      <c r="V47" s="152">
        <f t="shared" si="113"/>
        <v>385.02051205875307</v>
      </c>
      <c r="W47" s="152">
        <f t="shared" ref="W47:Y47" si="114">SUM(W48:W52)</f>
        <v>371.90106921185003</v>
      </c>
      <c r="X47" s="152">
        <f t="shared" si="114"/>
        <v>360.07393716308184</v>
      </c>
      <c r="Y47" s="152">
        <f t="shared" si="114"/>
        <v>353.20429701041468</v>
      </c>
      <c r="DA47" s="174" t="s">
        <v>491</v>
      </c>
    </row>
    <row r="48" spans="1:105" ht="11.45" customHeight="1" x14ac:dyDescent="0.25">
      <c r="A48" s="111" t="s">
        <v>110</v>
      </c>
      <c r="B48" s="87">
        <v>8.4558677264213333</v>
      </c>
      <c r="C48" s="87">
        <v>10.212450399454077</v>
      </c>
      <c r="D48" s="87">
        <v>10.153378911967577</v>
      </c>
      <c r="E48" s="87">
        <v>10.03821909540336</v>
      </c>
      <c r="F48" s="87">
        <v>9.8126693351102485</v>
      </c>
      <c r="G48" s="87">
        <v>9.7762296492322385</v>
      </c>
      <c r="H48" s="87">
        <v>9.8600358972829518</v>
      </c>
      <c r="I48" s="87">
        <v>9.782165927101941</v>
      </c>
      <c r="J48" s="87">
        <v>9.1705315593021677</v>
      </c>
      <c r="K48" s="87">
        <v>9.0112468912834025</v>
      </c>
      <c r="L48" s="87">
        <v>9.5203298985299156</v>
      </c>
      <c r="M48" s="87">
        <v>8.8067640388330535</v>
      </c>
      <c r="N48" s="87">
        <v>8.4977615406005267</v>
      </c>
      <c r="O48" s="87">
        <v>8.5731486937045851</v>
      </c>
      <c r="P48" s="87">
        <v>8.8715448986385024</v>
      </c>
      <c r="Q48" s="87">
        <v>8.6106961095247012</v>
      </c>
      <c r="R48" s="87">
        <v>8.0808398018223411</v>
      </c>
      <c r="S48" s="87">
        <v>7.8526060190976859</v>
      </c>
      <c r="T48" s="87">
        <v>7.4803201507707291</v>
      </c>
      <c r="U48" s="87">
        <v>7.7454853054539781</v>
      </c>
      <c r="V48" s="87">
        <v>7.444954426062905</v>
      </c>
      <c r="W48" s="87">
        <v>7.5805224549578112</v>
      </c>
      <c r="X48" s="87">
        <v>8.5520149682510311</v>
      </c>
      <c r="Y48" s="87">
        <v>9.490173931625991</v>
      </c>
      <c r="DA48" s="171" t="s">
        <v>492</v>
      </c>
    </row>
    <row r="49" spans="1:105" ht="11.45" customHeight="1" x14ac:dyDescent="0.25">
      <c r="A49" s="111" t="s">
        <v>111</v>
      </c>
      <c r="B49" s="87">
        <v>249.38524005739924</v>
      </c>
      <c r="C49" s="87">
        <v>248.33717975234654</v>
      </c>
      <c r="D49" s="87">
        <v>252.75512528399136</v>
      </c>
      <c r="E49" s="87">
        <v>260.14445293560073</v>
      </c>
      <c r="F49" s="87">
        <v>258.16355624440183</v>
      </c>
      <c r="G49" s="87">
        <v>255.62906140215406</v>
      </c>
      <c r="H49" s="87">
        <v>270.67213629815831</v>
      </c>
      <c r="I49" s="87">
        <v>298.26427022795627</v>
      </c>
      <c r="J49" s="87">
        <v>315.15058942932302</v>
      </c>
      <c r="K49" s="87">
        <v>323.03629314761633</v>
      </c>
      <c r="L49" s="87">
        <v>304.81302865711802</v>
      </c>
      <c r="M49" s="87">
        <v>317.3762391091476</v>
      </c>
      <c r="N49" s="87">
        <v>317.7115858227491</v>
      </c>
      <c r="O49" s="87">
        <v>324.83194396523089</v>
      </c>
      <c r="P49" s="87">
        <v>344.54860001266144</v>
      </c>
      <c r="Q49" s="87">
        <v>357.57607049679791</v>
      </c>
      <c r="R49" s="87">
        <v>353.17643017162271</v>
      </c>
      <c r="S49" s="87">
        <v>369.80739046424469</v>
      </c>
      <c r="T49" s="87">
        <v>372.07806209224429</v>
      </c>
      <c r="U49" s="87">
        <v>389.94433453308739</v>
      </c>
      <c r="V49" s="87">
        <v>376.42968695387816</v>
      </c>
      <c r="W49" s="87">
        <v>363.15080743006382</v>
      </c>
      <c r="X49" s="87">
        <v>350.17460600890678</v>
      </c>
      <c r="Y49" s="87">
        <v>341.74983175337115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1.9775643614722976E-2</v>
      </c>
      <c r="T50" s="87">
        <v>1.8978288941339936E-2</v>
      </c>
      <c r="U50" s="87">
        <v>3.8351656421199122E-2</v>
      </c>
      <c r="V50" s="87">
        <v>3.6138345309694779E-2</v>
      </c>
      <c r="W50" s="87">
        <v>3.4445500922278958E-2</v>
      </c>
      <c r="X50" s="87">
        <v>3.2828769663410182E-2</v>
      </c>
      <c r="Y50" s="87">
        <v>3.9314186986616144E-2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3.0827740171691952E-2</v>
      </c>
      <c r="K52" s="87">
        <v>3.1669932763095536E-2</v>
      </c>
      <c r="L52" s="87">
        <v>4.3082741839640032E-2</v>
      </c>
      <c r="M52" s="87">
        <v>5.2818018964019268E-2</v>
      </c>
      <c r="N52" s="87">
        <v>5.3062153645784205E-2</v>
      </c>
      <c r="O52" s="87">
        <v>0.16156928765249592</v>
      </c>
      <c r="P52" s="87">
        <v>0.16164796816865012</v>
      </c>
      <c r="Q52" s="87">
        <v>0.18190638020837241</v>
      </c>
      <c r="R52" s="87">
        <v>0.19645111018028855</v>
      </c>
      <c r="S52" s="87">
        <v>0.26760105952889041</v>
      </c>
      <c r="T52" s="87">
        <v>0.34059011761305541</v>
      </c>
      <c r="U52" s="87">
        <v>1.0906659266844427</v>
      </c>
      <c r="V52" s="87">
        <v>1.1097323335023408</v>
      </c>
      <c r="W52" s="87">
        <v>1.1352938259061247</v>
      </c>
      <c r="X52" s="87">
        <v>1.3144874162605764</v>
      </c>
      <c r="Y52" s="87">
        <v>1.9249771384309085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300.89229953984102</v>
      </c>
      <c r="C53" s="116">
        <f t="shared" ref="C53:V53" si="116">SUM(C54:C55)</f>
        <v>280.37833345871752</v>
      </c>
      <c r="D53" s="116">
        <f t="shared" si="116"/>
        <v>88.275974341688254</v>
      </c>
      <c r="E53" s="116">
        <f t="shared" si="116"/>
        <v>203.5935842043211</v>
      </c>
      <c r="F53" s="116">
        <f t="shared" si="116"/>
        <v>330.95031742019484</v>
      </c>
      <c r="G53" s="116">
        <f t="shared" si="116"/>
        <v>163.17476178757755</v>
      </c>
      <c r="H53" s="116">
        <f t="shared" si="116"/>
        <v>152.26822561275719</v>
      </c>
      <c r="I53" s="116">
        <f t="shared" si="116"/>
        <v>177.22768550054144</v>
      </c>
      <c r="J53" s="116">
        <f t="shared" si="116"/>
        <v>184.32469416281134</v>
      </c>
      <c r="K53" s="116">
        <f t="shared" si="116"/>
        <v>181.82733723791713</v>
      </c>
      <c r="L53" s="116">
        <f t="shared" si="116"/>
        <v>143.33700000000002</v>
      </c>
      <c r="M53" s="116">
        <f t="shared" si="116"/>
        <v>134.10436357359291</v>
      </c>
      <c r="N53" s="116">
        <f t="shared" si="116"/>
        <v>123.36199578186314</v>
      </c>
      <c r="O53" s="116">
        <f t="shared" si="116"/>
        <v>123.99259417613585</v>
      </c>
      <c r="P53" s="116">
        <f t="shared" si="116"/>
        <v>118.2316609358635</v>
      </c>
      <c r="Q53" s="116">
        <f t="shared" si="116"/>
        <v>112.42945342395574</v>
      </c>
      <c r="R53" s="116">
        <f t="shared" si="116"/>
        <v>114.79540228662512</v>
      </c>
      <c r="S53" s="116">
        <f t="shared" si="116"/>
        <v>113.60524303812865</v>
      </c>
      <c r="T53" s="116">
        <f t="shared" si="116"/>
        <v>108.62145118504975</v>
      </c>
      <c r="U53" s="116">
        <f t="shared" si="116"/>
        <v>112.09698761655545</v>
      </c>
      <c r="V53" s="116">
        <f t="shared" si="116"/>
        <v>112.09698761655545</v>
      </c>
      <c r="W53" s="116">
        <f t="shared" ref="W53:Y53" si="117">SUM(W54:W55)</f>
        <v>112.09698761655545</v>
      </c>
      <c r="X53" s="116">
        <f t="shared" si="117"/>
        <v>112.09698761655545</v>
      </c>
      <c r="Y53" s="116">
        <f t="shared" si="117"/>
        <v>112.09698761655545</v>
      </c>
      <c r="DA53" s="176" t="s">
        <v>497</v>
      </c>
    </row>
    <row r="54" spans="1:105" ht="11.45" customHeight="1" x14ac:dyDescent="0.25">
      <c r="A54" s="128" t="s">
        <v>27</v>
      </c>
      <c r="B54" s="101">
        <v>300.89229953984102</v>
      </c>
      <c r="C54" s="101">
        <v>280.37833345871752</v>
      </c>
      <c r="D54" s="101">
        <v>88.275974341688254</v>
      </c>
      <c r="E54" s="101">
        <v>203.5935842043211</v>
      </c>
      <c r="F54" s="101">
        <v>330.95031742019484</v>
      </c>
      <c r="G54" s="101">
        <v>163.17476178757755</v>
      </c>
      <c r="H54" s="101">
        <v>152.26822561275719</v>
      </c>
      <c r="I54" s="101">
        <v>177.22768550054144</v>
      </c>
      <c r="J54" s="101">
        <v>184.32469416281134</v>
      </c>
      <c r="K54" s="101">
        <v>181.82733723791713</v>
      </c>
      <c r="L54" s="101">
        <v>143.33700000000002</v>
      </c>
      <c r="M54" s="101">
        <v>134.10436357359291</v>
      </c>
      <c r="N54" s="101">
        <v>123.36199578186314</v>
      </c>
      <c r="O54" s="101">
        <v>123.99259417613585</v>
      </c>
      <c r="P54" s="101">
        <v>118.2316609358635</v>
      </c>
      <c r="Q54" s="101">
        <v>112.42945342395574</v>
      </c>
      <c r="R54" s="101">
        <v>114.79540228662512</v>
      </c>
      <c r="S54" s="101">
        <v>113.60524303812865</v>
      </c>
      <c r="T54" s="101">
        <v>108.62145118504975</v>
      </c>
      <c r="U54" s="101">
        <v>112.09698761655545</v>
      </c>
      <c r="V54" s="101">
        <v>112.09698761655545</v>
      </c>
      <c r="W54" s="101">
        <v>112.09698761655545</v>
      </c>
      <c r="X54" s="101">
        <v>112.09698761655545</v>
      </c>
      <c r="Y54" s="101">
        <v>112.09698761655545</v>
      </c>
      <c r="DA54" s="175" t="s">
        <v>498</v>
      </c>
    </row>
    <row r="55" spans="1:105" ht="11.45" customHeight="1" x14ac:dyDescent="0.25">
      <c r="A55" s="138" t="s">
        <v>116</v>
      </c>
      <c r="B55" s="88">
        <v>0</v>
      </c>
      <c r="C55" s="88">
        <v>0</v>
      </c>
      <c r="D55" s="88">
        <v>0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  <c r="X55" s="88">
        <v>0</v>
      </c>
      <c r="Y55" s="88">
        <v>0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235023</v>
      </c>
      <c r="C57" s="54">
        <f t="shared" si="118"/>
        <v>241828</v>
      </c>
      <c r="D57" s="54">
        <f t="shared" si="118"/>
        <v>249013</v>
      </c>
      <c r="E57" s="54">
        <f t="shared" si="118"/>
        <v>256749</v>
      </c>
      <c r="F57" s="54">
        <f t="shared" si="118"/>
        <v>258691</v>
      </c>
      <c r="G57" s="54">
        <f t="shared" si="118"/>
        <v>259262</v>
      </c>
      <c r="H57" s="54">
        <f t="shared" si="118"/>
        <v>266153</v>
      </c>
      <c r="I57" s="54">
        <f t="shared" si="118"/>
        <v>274144</v>
      </c>
      <c r="J57" s="54">
        <f t="shared" si="118"/>
        <v>280622</v>
      </c>
      <c r="K57" s="54">
        <f t="shared" si="118"/>
        <v>286389</v>
      </c>
      <c r="L57" s="54">
        <f t="shared" ref="L57" si="119">L58+L73</f>
        <v>298160</v>
      </c>
      <c r="M57" s="54">
        <f t="shared" ref="M57:V57" si="120">M58+M73</f>
        <v>305338</v>
      </c>
      <c r="N57" s="54">
        <f t="shared" si="120"/>
        <v>308017</v>
      </c>
      <c r="O57" s="54">
        <f t="shared" si="120"/>
        <v>316204</v>
      </c>
      <c r="P57" s="54">
        <f t="shared" si="120"/>
        <v>328093</v>
      </c>
      <c r="Q57" s="54">
        <f t="shared" si="120"/>
        <v>339647</v>
      </c>
      <c r="R57" s="54">
        <f t="shared" si="120"/>
        <v>351394</v>
      </c>
      <c r="S57" s="54">
        <f t="shared" si="120"/>
        <v>364266</v>
      </c>
      <c r="T57" s="54">
        <f t="shared" si="120"/>
        <v>377235</v>
      </c>
      <c r="U57" s="54">
        <f t="shared" si="120"/>
        <v>389219</v>
      </c>
      <c r="V57" s="54">
        <f t="shared" si="120"/>
        <v>394415</v>
      </c>
      <c r="W57" s="54">
        <f t="shared" ref="W57:Y57" si="121">W58+W73</f>
        <v>403050</v>
      </c>
      <c r="X57" s="54">
        <f t="shared" si="121"/>
        <v>412896</v>
      </c>
      <c r="Y57" s="54">
        <f t="shared" si="121"/>
        <v>424421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195845</v>
      </c>
      <c r="C58" s="28">
        <f t="shared" si="122"/>
        <v>202671</v>
      </c>
      <c r="D58" s="28">
        <f t="shared" si="122"/>
        <v>209729</v>
      </c>
      <c r="E58" s="28">
        <f t="shared" si="122"/>
        <v>216925</v>
      </c>
      <c r="F58" s="28">
        <f t="shared" si="122"/>
        <v>218922</v>
      </c>
      <c r="G58" s="28">
        <f t="shared" si="122"/>
        <v>219630</v>
      </c>
      <c r="H58" s="28">
        <f t="shared" si="122"/>
        <v>225610</v>
      </c>
      <c r="I58" s="28">
        <f t="shared" si="122"/>
        <v>232706</v>
      </c>
      <c r="J58" s="28">
        <f t="shared" si="122"/>
        <v>238667</v>
      </c>
      <c r="K58" s="28">
        <f t="shared" si="122"/>
        <v>245153</v>
      </c>
      <c r="L58" s="28">
        <f t="shared" ref="L58" si="123">L59+L60+L67</f>
        <v>256841</v>
      </c>
      <c r="M58" s="28">
        <f t="shared" ref="M58:V58" si="124">M59+M60+M67</f>
        <v>264053</v>
      </c>
      <c r="N58" s="28">
        <f t="shared" si="124"/>
        <v>266647</v>
      </c>
      <c r="O58" s="28">
        <f t="shared" si="124"/>
        <v>274256</v>
      </c>
      <c r="P58" s="28">
        <f t="shared" si="124"/>
        <v>285676</v>
      </c>
      <c r="Q58" s="28">
        <f t="shared" si="124"/>
        <v>296363</v>
      </c>
      <c r="R58" s="28">
        <f t="shared" si="124"/>
        <v>307203</v>
      </c>
      <c r="S58" s="28">
        <f t="shared" si="124"/>
        <v>318475</v>
      </c>
      <c r="T58" s="28">
        <f t="shared" si="124"/>
        <v>329582</v>
      </c>
      <c r="U58" s="28">
        <f t="shared" si="124"/>
        <v>339721</v>
      </c>
      <c r="V58" s="28">
        <f t="shared" si="124"/>
        <v>343517</v>
      </c>
      <c r="W58" s="28">
        <f t="shared" ref="W58:Y58" si="125">W59+W60+W67</f>
        <v>351423</v>
      </c>
      <c r="X58" s="28">
        <f t="shared" si="125"/>
        <v>360316</v>
      </c>
      <c r="Y58" s="28">
        <f t="shared" si="125"/>
        <v>370441</v>
      </c>
      <c r="DA58" s="173" t="s">
        <v>501</v>
      </c>
    </row>
    <row r="59" spans="1:105" ht="11.45" customHeight="1" x14ac:dyDescent="0.25">
      <c r="A59" s="136" t="s">
        <v>173</v>
      </c>
      <c r="B59" s="137">
        <v>12167</v>
      </c>
      <c r="C59" s="137">
        <v>12605</v>
      </c>
      <c r="D59" s="137">
        <v>13097</v>
      </c>
      <c r="E59" s="137">
        <v>13420</v>
      </c>
      <c r="F59" s="137">
        <v>12639</v>
      </c>
      <c r="G59" s="137">
        <v>11905</v>
      </c>
      <c r="H59" s="137">
        <v>12192</v>
      </c>
      <c r="I59" s="137">
        <v>12695</v>
      </c>
      <c r="J59" s="137">
        <v>14310</v>
      </c>
      <c r="K59" s="137">
        <v>14402</v>
      </c>
      <c r="L59" s="137">
        <v>14047</v>
      </c>
      <c r="M59" s="137">
        <v>14758</v>
      </c>
      <c r="N59" s="137">
        <v>15021</v>
      </c>
      <c r="O59" s="137">
        <v>16102</v>
      </c>
      <c r="P59" s="137">
        <v>17555</v>
      </c>
      <c r="Q59" s="137">
        <v>19206</v>
      </c>
      <c r="R59" s="137">
        <v>22286</v>
      </c>
      <c r="S59" s="137">
        <v>24606</v>
      </c>
      <c r="T59" s="137">
        <v>27329</v>
      </c>
      <c r="U59" s="137">
        <v>30316</v>
      </c>
      <c r="V59" s="137">
        <v>32152</v>
      </c>
      <c r="W59" s="137">
        <v>35921</v>
      </c>
      <c r="X59" s="137">
        <v>40684</v>
      </c>
      <c r="Y59" s="137">
        <v>44088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182105</v>
      </c>
      <c r="C60" s="110">
        <f t="shared" si="126"/>
        <v>188495</v>
      </c>
      <c r="D60" s="110">
        <f t="shared" si="126"/>
        <v>195055</v>
      </c>
      <c r="E60" s="110">
        <f t="shared" si="126"/>
        <v>201924</v>
      </c>
      <c r="F60" s="110">
        <f t="shared" si="126"/>
        <v>204702</v>
      </c>
      <c r="G60" s="110">
        <f t="shared" si="126"/>
        <v>206148</v>
      </c>
      <c r="H60" s="110">
        <f t="shared" si="126"/>
        <v>211840</v>
      </c>
      <c r="I60" s="110">
        <f t="shared" si="126"/>
        <v>218429</v>
      </c>
      <c r="J60" s="110">
        <f t="shared" si="126"/>
        <v>222775</v>
      </c>
      <c r="K60" s="110">
        <f t="shared" si="126"/>
        <v>229016</v>
      </c>
      <c r="L60" s="110">
        <f t="shared" ref="L60" si="127">SUM(L61:L66)</f>
        <v>240943</v>
      </c>
      <c r="M60" s="110">
        <f t="shared" ref="M60:V60" si="128">SUM(M61:M66)</f>
        <v>247539</v>
      </c>
      <c r="N60" s="110">
        <f t="shared" si="128"/>
        <v>249880</v>
      </c>
      <c r="O60" s="110">
        <f t="shared" si="128"/>
        <v>256442</v>
      </c>
      <c r="P60" s="110">
        <f t="shared" si="128"/>
        <v>266326</v>
      </c>
      <c r="Q60" s="110">
        <f t="shared" si="128"/>
        <v>275205</v>
      </c>
      <c r="R60" s="110">
        <f t="shared" si="128"/>
        <v>282921</v>
      </c>
      <c r="S60" s="110">
        <f t="shared" si="128"/>
        <v>291799</v>
      </c>
      <c r="T60" s="110">
        <f t="shared" si="128"/>
        <v>300141</v>
      </c>
      <c r="U60" s="110">
        <f t="shared" si="128"/>
        <v>307130</v>
      </c>
      <c r="V60" s="110">
        <f t="shared" si="128"/>
        <v>309143</v>
      </c>
      <c r="W60" s="110">
        <f t="shared" ref="W60:Y60" si="129">SUM(W61:W66)</f>
        <v>313177</v>
      </c>
      <c r="X60" s="110">
        <f t="shared" si="129"/>
        <v>317234</v>
      </c>
      <c r="Y60" s="110">
        <f t="shared" si="129"/>
        <v>323852</v>
      </c>
      <c r="DA60" s="176" t="s">
        <v>503</v>
      </c>
    </row>
    <row r="61" spans="1:105" ht="11.45" customHeight="1" x14ac:dyDescent="0.25">
      <c r="A61" s="111" t="s">
        <v>110</v>
      </c>
      <c r="B61" s="84">
        <v>155927</v>
      </c>
      <c r="C61" s="84">
        <v>159509</v>
      </c>
      <c r="D61" s="84">
        <v>164132</v>
      </c>
      <c r="E61" s="84">
        <v>169534</v>
      </c>
      <c r="F61" s="84">
        <v>171445</v>
      </c>
      <c r="G61" s="84">
        <v>172297</v>
      </c>
      <c r="H61" s="84">
        <v>177080</v>
      </c>
      <c r="I61" s="84">
        <v>182663</v>
      </c>
      <c r="J61" s="84">
        <v>186088</v>
      </c>
      <c r="K61" s="84">
        <v>190756</v>
      </c>
      <c r="L61" s="84">
        <v>173252</v>
      </c>
      <c r="M61" s="84">
        <v>175812</v>
      </c>
      <c r="N61" s="84">
        <v>175215</v>
      </c>
      <c r="O61" s="84">
        <v>178079</v>
      </c>
      <c r="P61" s="84">
        <v>183303</v>
      </c>
      <c r="Q61" s="84">
        <v>188764</v>
      </c>
      <c r="R61" s="84">
        <v>192302</v>
      </c>
      <c r="S61" s="84">
        <v>197670</v>
      </c>
      <c r="T61" s="84">
        <v>202972</v>
      </c>
      <c r="U61" s="84">
        <v>206556</v>
      </c>
      <c r="V61" s="84">
        <v>207585</v>
      </c>
      <c r="W61" s="84">
        <v>211352</v>
      </c>
      <c r="X61" s="84">
        <v>214301</v>
      </c>
      <c r="Y61" s="84">
        <v>219323</v>
      </c>
      <c r="DA61" s="171" t="s">
        <v>504</v>
      </c>
    </row>
    <row r="62" spans="1:105" ht="11.45" customHeight="1" x14ac:dyDescent="0.25">
      <c r="A62" s="111" t="s">
        <v>111</v>
      </c>
      <c r="B62" s="84">
        <v>26178</v>
      </c>
      <c r="C62" s="84">
        <v>28986</v>
      </c>
      <c r="D62" s="84">
        <v>30923</v>
      </c>
      <c r="E62" s="84">
        <v>32381</v>
      </c>
      <c r="F62" s="84">
        <v>33244</v>
      </c>
      <c r="G62" s="84">
        <v>33836</v>
      </c>
      <c r="H62" s="84">
        <v>34743</v>
      </c>
      <c r="I62" s="84">
        <v>35739</v>
      </c>
      <c r="J62" s="84">
        <v>36657</v>
      </c>
      <c r="K62" s="84">
        <v>38227</v>
      </c>
      <c r="L62" s="84">
        <v>67467</v>
      </c>
      <c r="M62" s="84">
        <v>71474</v>
      </c>
      <c r="N62" s="84">
        <v>74345</v>
      </c>
      <c r="O62" s="84">
        <v>77854</v>
      </c>
      <c r="P62" s="84">
        <v>82144</v>
      </c>
      <c r="Q62" s="84">
        <v>85178</v>
      </c>
      <c r="R62" s="84">
        <v>87415</v>
      </c>
      <c r="S62" s="84">
        <v>91687</v>
      </c>
      <c r="T62" s="84">
        <v>94771</v>
      </c>
      <c r="U62" s="84">
        <v>97019</v>
      </c>
      <c r="V62" s="84">
        <v>97604</v>
      </c>
      <c r="W62" s="84">
        <v>96852</v>
      </c>
      <c r="X62" s="84">
        <v>96102</v>
      </c>
      <c r="Y62" s="84">
        <v>95904</v>
      </c>
      <c r="DA62" s="171" t="s">
        <v>505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2000</v>
      </c>
      <c r="S63" s="84">
        <v>1200</v>
      </c>
      <c r="T63" s="84">
        <v>950</v>
      </c>
      <c r="U63" s="84">
        <v>1400</v>
      </c>
      <c r="V63" s="84">
        <v>1300</v>
      </c>
      <c r="W63" s="84">
        <v>1200</v>
      </c>
      <c r="X63" s="84">
        <v>1100</v>
      </c>
      <c r="Y63" s="84">
        <v>1000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188</v>
      </c>
      <c r="M65" s="84">
        <v>223</v>
      </c>
      <c r="N65" s="84">
        <v>282</v>
      </c>
      <c r="O65" s="84">
        <v>450</v>
      </c>
      <c r="P65" s="84">
        <v>792</v>
      </c>
      <c r="Q65" s="84">
        <v>1127</v>
      </c>
      <c r="R65" s="84">
        <v>1064</v>
      </c>
      <c r="S65" s="84">
        <v>1064</v>
      </c>
      <c r="T65" s="84">
        <v>1134</v>
      </c>
      <c r="U65" s="84">
        <v>1172</v>
      </c>
      <c r="V65" s="84">
        <v>1361</v>
      </c>
      <c r="W65" s="84">
        <v>1990</v>
      </c>
      <c r="X65" s="84">
        <v>3130</v>
      </c>
      <c r="Y65" s="84">
        <v>3991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9</v>
      </c>
      <c r="F66" s="84">
        <v>13</v>
      </c>
      <c r="G66" s="84">
        <v>15</v>
      </c>
      <c r="H66" s="84">
        <v>17</v>
      </c>
      <c r="I66" s="84">
        <v>27</v>
      </c>
      <c r="J66" s="84">
        <v>30</v>
      </c>
      <c r="K66" s="84">
        <v>33</v>
      </c>
      <c r="L66" s="84">
        <v>36</v>
      </c>
      <c r="M66" s="84">
        <v>30</v>
      </c>
      <c r="N66" s="84">
        <v>38</v>
      </c>
      <c r="O66" s="84">
        <v>59</v>
      </c>
      <c r="P66" s="84">
        <v>87</v>
      </c>
      <c r="Q66" s="84">
        <v>136</v>
      </c>
      <c r="R66" s="84">
        <v>140</v>
      </c>
      <c r="S66" s="84">
        <v>178</v>
      </c>
      <c r="T66" s="84">
        <v>314</v>
      </c>
      <c r="U66" s="84">
        <v>983</v>
      </c>
      <c r="V66" s="84">
        <v>1293</v>
      </c>
      <c r="W66" s="84">
        <v>1783</v>
      </c>
      <c r="X66" s="84">
        <v>2601</v>
      </c>
      <c r="Y66" s="84">
        <v>3634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1573</v>
      </c>
      <c r="C67" s="110">
        <f t="shared" si="130"/>
        <v>1571</v>
      </c>
      <c r="D67" s="110">
        <f t="shared" si="130"/>
        <v>1577</v>
      </c>
      <c r="E67" s="110">
        <f t="shared" si="130"/>
        <v>1581</v>
      </c>
      <c r="F67" s="110">
        <f t="shared" si="130"/>
        <v>1581</v>
      </c>
      <c r="G67" s="110">
        <f t="shared" si="130"/>
        <v>1577</v>
      </c>
      <c r="H67" s="110">
        <f t="shared" si="130"/>
        <v>1578</v>
      </c>
      <c r="I67" s="110">
        <f t="shared" si="130"/>
        <v>1582</v>
      </c>
      <c r="J67" s="110">
        <f t="shared" si="130"/>
        <v>1582</v>
      </c>
      <c r="K67" s="110">
        <f t="shared" si="130"/>
        <v>1735</v>
      </c>
      <c r="L67" s="110">
        <f t="shared" ref="L67" si="131">SUM(L68:L72)</f>
        <v>1851</v>
      </c>
      <c r="M67" s="110">
        <f t="shared" ref="M67:V67" si="132">SUM(M68:M72)</f>
        <v>1756</v>
      </c>
      <c r="N67" s="110">
        <f t="shared" si="132"/>
        <v>1746</v>
      </c>
      <c r="O67" s="110">
        <f t="shared" si="132"/>
        <v>1712</v>
      </c>
      <c r="P67" s="110">
        <f t="shared" si="132"/>
        <v>1795</v>
      </c>
      <c r="Q67" s="110">
        <f t="shared" si="132"/>
        <v>1952</v>
      </c>
      <c r="R67" s="110">
        <f t="shared" si="132"/>
        <v>1996</v>
      </c>
      <c r="S67" s="110">
        <f t="shared" si="132"/>
        <v>2070</v>
      </c>
      <c r="T67" s="110">
        <f t="shared" si="132"/>
        <v>2112</v>
      </c>
      <c r="U67" s="110">
        <f t="shared" si="132"/>
        <v>2275</v>
      </c>
      <c r="V67" s="110">
        <f t="shared" si="132"/>
        <v>2222</v>
      </c>
      <c r="W67" s="110">
        <f t="shared" ref="W67:Y67" si="133">SUM(W68:W72)</f>
        <v>2325</v>
      </c>
      <c r="X67" s="110">
        <f t="shared" si="133"/>
        <v>2398</v>
      </c>
      <c r="Y67" s="110">
        <f t="shared" si="133"/>
        <v>2501</v>
      </c>
      <c r="DA67" s="176" t="s">
        <v>510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18</v>
      </c>
      <c r="M68" s="102">
        <v>15</v>
      </c>
      <c r="N68" s="102">
        <v>14</v>
      </c>
      <c r="O68" s="102">
        <v>13</v>
      </c>
      <c r="P68" s="102">
        <v>12</v>
      </c>
      <c r="Q68" s="102">
        <v>10</v>
      </c>
      <c r="R68" s="102">
        <v>10</v>
      </c>
      <c r="S68" s="102">
        <v>10</v>
      </c>
      <c r="T68" s="102">
        <v>11</v>
      </c>
      <c r="U68" s="102">
        <v>13</v>
      </c>
      <c r="V68" s="102">
        <v>11</v>
      </c>
      <c r="W68" s="102">
        <v>12</v>
      </c>
      <c r="X68" s="102">
        <v>12</v>
      </c>
      <c r="Y68" s="102">
        <v>13</v>
      </c>
      <c r="DA68" s="175" t="s">
        <v>511</v>
      </c>
    </row>
    <row r="69" spans="1:105" ht="11.45" customHeight="1" x14ac:dyDescent="0.25">
      <c r="A69" s="111" t="s">
        <v>111</v>
      </c>
      <c r="B69" s="102">
        <v>1573</v>
      </c>
      <c r="C69" s="102">
        <v>1571</v>
      </c>
      <c r="D69" s="102">
        <v>1577</v>
      </c>
      <c r="E69" s="102">
        <v>1581</v>
      </c>
      <c r="F69" s="102">
        <v>1581</v>
      </c>
      <c r="G69" s="102">
        <v>1577</v>
      </c>
      <c r="H69" s="102">
        <v>1578</v>
      </c>
      <c r="I69" s="102">
        <v>1582</v>
      </c>
      <c r="J69" s="102">
        <v>1582</v>
      </c>
      <c r="K69" s="102">
        <v>1735</v>
      </c>
      <c r="L69" s="102">
        <v>1833</v>
      </c>
      <c r="M69" s="102">
        <v>1741</v>
      </c>
      <c r="N69" s="102">
        <v>1732</v>
      </c>
      <c r="O69" s="102">
        <v>1699</v>
      </c>
      <c r="P69" s="102">
        <v>1783</v>
      </c>
      <c r="Q69" s="102">
        <v>1942</v>
      </c>
      <c r="R69" s="102">
        <v>1986</v>
      </c>
      <c r="S69" s="102">
        <v>2060</v>
      </c>
      <c r="T69" s="102">
        <v>2093</v>
      </c>
      <c r="U69" s="102">
        <v>2252</v>
      </c>
      <c r="V69" s="102">
        <v>2200</v>
      </c>
      <c r="W69" s="102">
        <v>2301</v>
      </c>
      <c r="X69" s="102">
        <v>2373</v>
      </c>
      <c r="Y69" s="102">
        <v>2423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21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8</v>
      </c>
      <c r="U72" s="102">
        <v>10</v>
      </c>
      <c r="V72" s="102">
        <v>11</v>
      </c>
      <c r="W72" s="102">
        <v>12</v>
      </c>
      <c r="X72" s="102">
        <v>13</v>
      </c>
      <c r="Y72" s="102">
        <v>44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39178</v>
      </c>
      <c r="C73" s="28">
        <f t="shared" si="134"/>
        <v>39157</v>
      </c>
      <c r="D73" s="28">
        <f t="shared" si="134"/>
        <v>39284</v>
      </c>
      <c r="E73" s="28">
        <f t="shared" si="134"/>
        <v>39824</v>
      </c>
      <c r="F73" s="28">
        <f t="shared" si="134"/>
        <v>39769</v>
      </c>
      <c r="G73" s="28">
        <f t="shared" si="134"/>
        <v>39632</v>
      </c>
      <c r="H73" s="28">
        <f t="shared" si="134"/>
        <v>40543</v>
      </c>
      <c r="I73" s="28">
        <f t="shared" si="134"/>
        <v>41438</v>
      </c>
      <c r="J73" s="28">
        <f t="shared" si="134"/>
        <v>41955</v>
      </c>
      <c r="K73" s="28">
        <f t="shared" si="134"/>
        <v>41236</v>
      </c>
      <c r="L73" s="28">
        <f t="shared" ref="L73" si="135">L74+L80</f>
        <v>41319</v>
      </c>
      <c r="M73" s="28">
        <f t="shared" ref="M73:V73" si="136">M74+M80</f>
        <v>41285</v>
      </c>
      <c r="N73" s="28">
        <f t="shared" si="136"/>
        <v>41370</v>
      </c>
      <c r="O73" s="28">
        <f t="shared" si="136"/>
        <v>41948</v>
      </c>
      <c r="P73" s="28">
        <f t="shared" si="136"/>
        <v>42417</v>
      </c>
      <c r="Q73" s="28">
        <f t="shared" si="136"/>
        <v>43284</v>
      </c>
      <c r="R73" s="28">
        <f t="shared" si="136"/>
        <v>44191</v>
      </c>
      <c r="S73" s="28">
        <f t="shared" si="136"/>
        <v>45791</v>
      </c>
      <c r="T73" s="28">
        <f t="shared" si="136"/>
        <v>47653</v>
      </c>
      <c r="U73" s="28">
        <f t="shared" si="136"/>
        <v>49498</v>
      </c>
      <c r="V73" s="28">
        <f t="shared" si="136"/>
        <v>50898</v>
      </c>
      <c r="W73" s="28">
        <f t="shared" ref="W73:Y73" si="137">W74+W80</f>
        <v>51627</v>
      </c>
      <c r="X73" s="28">
        <f t="shared" si="137"/>
        <v>52580</v>
      </c>
      <c r="Y73" s="28">
        <f t="shared" si="137"/>
        <v>53980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28249</v>
      </c>
      <c r="C74" s="137">
        <f t="shared" si="138"/>
        <v>28210</v>
      </c>
      <c r="D74" s="137">
        <f t="shared" si="138"/>
        <v>28332</v>
      </c>
      <c r="E74" s="137">
        <f t="shared" si="138"/>
        <v>28852</v>
      </c>
      <c r="F74" s="137">
        <f t="shared" si="138"/>
        <v>28799</v>
      </c>
      <c r="G74" s="137">
        <f t="shared" si="138"/>
        <v>28667</v>
      </c>
      <c r="H74" s="137">
        <f t="shared" si="138"/>
        <v>29751</v>
      </c>
      <c r="I74" s="137">
        <f t="shared" si="138"/>
        <v>30877</v>
      </c>
      <c r="J74" s="137">
        <f t="shared" si="138"/>
        <v>31391</v>
      </c>
      <c r="K74" s="137">
        <f t="shared" si="138"/>
        <v>30849</v>
      </c>
      <c r="L74" s="137">
        <f t="shared" ref="L74" si="139">SUM(L75:L79)</f>
        <v>31160</v>
      </c>
      <c r="M74" s="137">
        <f t="shared" ref="M74:V74" si="140">SUM(M75:M79)</f>
        <v>31126</v>
      </c>
      <c r="N74" s="137">
        <f t="shared" si="140"/>
        <v>31283</v>
      </c>
      <c r="O74" s="137">
        <f t="shared" si="140"/>
        <v>31927</v>
      </c>
      <c r="P74" s="137">
        <f t="shared" si="140"/>
        <v>32393</v>
      </c>
      <c r="Q74" s="137">
        <f t="shared" si="140"/>
        <v>33089</v>
      </c>
      <c r="R74" s="137">
        <f t="shared" si="140"/>
        <v>33728</v>
      </c>
      <c r="S74" s="137">
        <f t="shared" si="140"/>
        <v>34985</v>
      </c>
      <c r="T74" s="137">
        <f t="shared" si="140"/>
        <v>36571</v>
      </c>
      <c r="U74" s="137">
        <f t="shared" si="140"/>
        <v>37953</v>
      </c>
      <c r="V74" s="137">
        <f t="shared" si="140"/>
        <v>38931</v>
      </c>
      <c r="W74" s="137">
        <f t="shared" ref="W74:Y74" si="141">SUM(W75:W79)</f>
        <v>39450</v>
      </c>
      <c r="X74" s="137">
        <f t="shared" si="141"/>
        <v>40140</v>
      </c>
      <c r="Y74" s="137">
        <f t="shared" si="141"/>
        <v>41136</v>
      </c>
      <c r="DA74" s="174" t="s">
        <v>517</v>
      </c>
    </row>
    <row r="75" spans="1:105" ht="11.45" customHeight="1" x14ac:dyDescent="0.25">
      <c r="A75" s="111" t="s">
        <v>110</v>
      </c>
      <c r="B75" s="84">
        <v>1661</v>
      </c>
      <c r="C75" s="84">
        <v>1702</v>
      </c>
      <c r="D75" s="84">
        <v>1664</v>
      </c>
      <c r="E75" s="84">
        <v>1649</v>
      </c>
      <c r="F75" s="84">
        <v>1602</v>
      </c>
      <c r="G75" s="84">
        <v>1553</v>
      </c>
      <c r="H75" s="84">
        <v>1569</v>
      </c>
      <c r="I75" s="84">
        <v>1585</v>
      </c>
      <c r="J75" s="84">
        <v>1568</v>
      </c>
      <c r="K75" s="84">
        <v>1500</v>
      </c>
      <c r="L75" s="84">
        <v>1475</v>
      </c>
      <c r="M75" s="84">
        <v>1389</v>
      </c>
      <c r="N75" s="84">
        <v>1278</v>
      </c>
      <c r="O75" s="84">
        <v>1275</v>
      </c>
      <c r="P75" s="84">
        <v>1258</v>
      </c>
      <c r="Q75" s="84">
        <v>1226</v>
      </c>
      <c r="R75" s="84">
        <v>1201</v>
      </c>
      <c r="S75" s="84">
        <v>1170</v>
      </c>
      <c r="T75" s="84">
        <v>1171</v>
      </c>
      <c r="U75" s="84">
        <v>1210</v>
      </c>
      <c r="V75" s="84">
        <v>1224</v>
      </c>
      <c r="W75" s="84">
        <v>1313</v>
      </c>
      <c r="X75" s="84">
        <v>1560</v>
      </c>
      <c r="Y75" s="84">
        <v>1822</v>
      </c>
      <c r="DA75" s="171" t="s">
        <v>518</v>
      </c>
    </row>
    <row r="76" spans="1:105" ht="11.45" customHeight="1" x14ac:dyDescent="0.25">
      <c r="A76" s="111" t="s">
        <v>111</v>
      </c>
      <c r="B76" s="84">
        <v>26588</v>
      </c>
      <c r="C76" s="84">
        <v>26508</v>
      </c>
      <c r="D76" s="84">
        <v>26668</v>
      </c>
      <c r="E76" s="84">
        <v>27203</v>
      </c>
      <c r="F76" s="84">
        <v>27197</v>
      </c>
      <c r="G76" s="84">
        <v>27114</v>
      </c>
      <c r="H76" s="84">
        <v>28182</v>
      </c>
      <c r="I76" s="84">
        <v>29292</v>
      </c>
      <c r="J76" s="84">
        <v>29819</v>
      </c>
      <c r="K76" s="84">
        <v>29345</v>
      </c>
      <c r="L76" s="84">
        <v>29680</v>
      </c>
      <c r="M76" s="84">
        <v>29731</v>
      </c>
      <c r="N76" s="84">
        <v>29999</v>
      </c>
      <c r="O76" s="84">
        <v>30634</v>
      </c>
      <c r="P76" s="84">
        <v>31117</v>
      </c>
      <c r="Q76" s="84">
        <v>31843</v>
      </c>
      <c r="R76" s="84">
        <v>32505</v>
      </c>
      <c r="S76" s="84">
        <v>33783</v>
      </c>
      <c r="T76" s="84">
        <v>35359</v>
      </c>
      <c r="U76" s="84">
        <v>36614</v>
      </c>
      <c r="V76" s="84">
        <v>37573</v>
      </c>
      <c r="W76" s="84">
        <v>37997</v>
      </c>
      <c r="X76" s="84">
        <v>38415</v>
      </c>
      <c r="Y76" s="84">
        <v>39068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2</v>
      </c>
      <c r="T77" s="84">
        <v>2</v>
      </c>
      <c r="U77" s="84">
        <v>4</v>
      </c>
      <c r="V77" s="84">
        <v>4</v>
      </c>
      <c r="W77" s="84">
        <v>4</v>
      </c>
      <c r="X77" s="84">
        <v>4</v>
      </c>
      <c r="Y77" s="84">
        <v>5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4</v>
      </c>
      <c r="K79" s="84">
        <v>4</v>
      </c>
      <c r="L79" s="84">
        <v>5</v>
      </c>
      <c r="M79" s="84">
        <v>6</v>
      </c>
      <c r="N79" s="84">
        <v>6</v>
      </c>
      <c r="O79" s="84">
        <v>18</v>
      </c>
      <c r="P79" s="84">
        <v>18</v>
      </c>
      <c r="Q79" s="84">
        <v>20</v>
      </c>
      <c r="R79" s="84">
        <v>22</v>
      </c>
      <c r="S79" s="84">
        <v>30</v>
      </c>
      <c r="T79" s="84">
        <v>39</v>
      </c>
      <c r="U79" s="84">
        <v>125</v>
      </c>
      <c r="V79" s="84">
        <v>130</v>
      </c>
      <c r="W79" s="84">
        <v>136</v>
      </c>
      <c r="X79" s="84">
        <v>161</v>
      </c>
      <c r="Y79" s="84">
        <v>241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10929</v>
      </c>
      <c r="C80" s="110">
        <f t="shared" si="142"/>
        <v>10947</v>
      </c>
      <c r="D80" s="110">
        <f t="shared" si="142"/>
        <v>10952</v>
      </c>
      <c r="E80" s="110">
        <f t="shared" si="142"/>
        <v>10972</v>
      </c>
      <c r="F80" s="110">
        <f t="shared" si="142"/>
        <v>10970</v>
      </c>
      <c r="G80" s="110">
        <f t="shared" si="142"/>
        <v>10965</v>
      </c>
      <c r="H80" s="110">
        <f t="shared" si="142"/>
        <v>10792</v>
      </c>
      <c r="I80" s="110">
        <f t="shared" si="142"/>
        <v>10561</v>
      </c>
      <c r="J80" s="110">
        <f t="shared" si="142"/>
        <v>10564</v>
      </c>
      <c r="K80" s="110">
        <f t="shared" si="142"/>
        <v>10387</v>
      </c>
      <c r="L80" s="110">
        <f t="shared" ref="L80" si="143">SUM(L81:L82)</f>
        <v>10159</v>
      </c>
      <c r="M80" s="110">
        <f t="shared" ref="M80:V80" si="144">SUM(M81:M82)</f>
        <v>10159</v>
      </c>
      <c r="N80" s="110">
        <f t="shared" si="144"/>
        <v>10087</v>
      </c>
      <c r="O80" s="110">
        <f t="shared" si="144"/>
        <v>10021</v>
      </c>
      <c r="P80" s="110">
        <f t="shared" si="144"/>
        <v>10024</v>
      </c>
      <c r="Q80" s="110">
        <f t="shared" si="144"/>
        <v>10195</v>
      </c>
      <c r="R80" s="110">
        <f t="shared" si="144"/>
        <v>10463</v>
      </c>
      <c r="S80" s="110">
        <f t="shared" si="144"/>
        <v>10806</v>
      </c>
      <c r="T80" s="110">
        <f t="shared" si="144"/>
        <v>11082</v>
      </c>
      <c r="U80" s="110">
        <f t="shared" si="144"/>
        <v>11545</v>
      </c>
      <c r="V80" s="110">
        <f t="shared" si="144"/>
        <v>11967</v>
      </c>
      <c r="W80" s="110">
        <f t="shared" ref="W80:Y80" si="145">SUM(W81:W82)</f>
        <v>12177</v>
      </c>
      <c r="X80" s="110">
        <f t="shared" si="145"/>
        <v>12440</v>
      </c>
      <c r="Y80" s="110">
        <f t="shared" si="145"/>
        <v>12844</v>
      </c>
      <c r="DA80" s="176" t="s">
        <v>523</v>
      </c>
    </row>
    <row r="81" spans="1:105" ht="11.45" customHeight="1" x14ac:dyDescent="0.25">
      <c r="A81" s="128" t="s">
        <v>27</v>
      </c>
      <c r="B81" s="102">
        <v>10929</v>
      </c>
      <c r="C81" s="102">
        <v>10947</v>
      </c>
      <c r="D81" s="102">
        <v>10952</v>
      </c>
      <c r="E81" s="102">
        <v>10972</v>
      </c>
      <c r="F81" s="102">
        <v>10970</v>
      </c>
      <c r="G81" s="102">
        <v>10965</v>
      </c>
      <c r="H81" s="102">
        <v>10792</v>
      </c>
      <c r="I81" s="102">
        <v>10561</v>
      </c>
      <c r="J81" s="102">
        <v>10564</v>
      </c>
      <c r="K81" s="102">
        <v>10387</v>
      </c>
      <c r="L81" s="102">
        <v>10159</v>
      </c>
      <c r="M81" s="102">
        <v>10159</v>
      </c>
      <c r="N81" s="102">
        <v>10087</v>
      </c>
      <c r="O81" s="102">
        <v>10021</v>
      </c>
      <c r="P81" s="102">
        <v>10024</v>
      </c>
      <c r="Q81" s="102">
        <v>10195</v>
      </c>
      <c r="R81" s="102">
        <v>10463</v>
      </c>
      <c r="S81" s="102">
        <v>10806</v>
      </c>
      <c r="T81" s="102">
        <v>11082</v>
      </c>
      <c r="U81" s="102">
        <v>11545</v>
      </c>
      <c r="V81" s="102">
        <v>11967</v>
      </c>
      <c r="W81" s="102">
        <v>12177</v>
      </c>
      <c r="X81" s="102">
        <v>12440</v>
      </c>
      <c r="Y81" s="102">
        <v>12844</v>
      </c>
      <c r="DA81" s="175" t="s">
        <v>524</v>
      </c>
    </row>
    <row r="82" spans="1:105" ht="11.45" customHeight="1" x14ac:dyDescent="0.25">
      <c r="A82" s="138" t="s">
        <v>116</v>
      </c>
      <c r="B82" s="86">
        <v>0</v>
      </c>
      <c r="C82" s="86">
        <v>0</v>
      </c>
      <c r="D82" s="86">
        <v>0</v>
      </c>
      <c r="E82" s="86">
        <v>0</v>
      </c>
      <c r="F82" s="86">
        <v>0</v>
      </c>
      <c r="G82" s="86">
        <v>0</v>
      </c>
      <c r="H82" s="86">
        <v>0</v>
      </c>
      <c r="I82" s="86">
        <v>0</v>
      </c>
      <c r="J82" s="86">
        <v>0</v>
      </c>
      <c r="K82" s="86">
        <v>0</v>
      </c>
      <c r="L82" s="86">
        <v>0</v>
      </c>
      <c r="M82" s="86">
        <v>0</v>
      </c>
      <c r="N82" s="86">
        <v>0</v>
      </c>
      <c r="O82" s="86">
        <v>0</v>
      </c>
      <c r="P82" s="86">
        <v>0</v>
      </c>
      <c r="Q82" s="86">
        <v>0</v>
      </c>
      <c r="R82" s="86">
        <v>0</v>
      </c>
      <c r="S82" s="86">
        <v>0</v>
      </c>
      <c r="T82" s="86">
        <v>0</v>
      </c>
      <c r="U82" s="86">
        <v>0</v>
      </c>
      <c r="V82" s="86">
        <v>0</v>
      </c>
      <c r="W82" s="86">
        <v>0</v>
      </c>
      <c r="X82" s="86">
        <v>0</v>
      </c>
      <c r="Y82" s="86">
        <v>0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235023</v>
      </c>
      <c r="C84" s="54">
        <f t="shared" si="146"/>
        <v>241828</v>
      </c>
      <c r="D84" s="54">
        <f t="shared" ref="D84:V84" si="147">D85+D100</f>
        <v>249013</v>
      </c>
      <c r="E84" s="54">
        <f t="shared" si="147"/>
        <v>256749</v>
      </c>
      <c r="F84" s="54">
        <f t="shared" si="147"/>
        <v>258691</v>
      </c>
      <c r="G84" s="54">
        <f t="shared" si="147"/>
        <v>259262</v>
      </c>
      <c r="H84" s="54">
        <f t="shared" si="147"/>
        <v>266153</v>
      </c>
      <c r="I84" s="54">
        <f t="shared" si="147"/>
        <v>274144</v>
      </c>
      <c r="J84" s="54">
        <f t="shared" si="147"/>
        <v>280622</v>
      </c>
      <c r="K84" s="54">
        <f t="shared" si="147"/>
        <v>286389</v>
      </c>
      <c r="L84" s="54">
        <f t="shared" si="147"/>
        <v>298160</v>
      </c>
      <c r="M84" s="54">
        <f t="shared" si="147"/>
        <v>305338</v>
      </c>
      <c r="N84" s="54">
        <f t="shared" si="147"/>
        <v>308017</v>
      </c>
      <c r="O84" s="54">
        <f t="shared" si="147"/>
        <v>316204</v>
      </c>
      <c r="P84" s="54">
        <f t="shared" si="147"/>
        <v>328093</v>
      </c>
      <c r="Q84" s="54">
        <f t="shared" si="147"/>
        <v>339647</v>
      </c>
      <c r="R84" s="54">
        <f t="shared" si="147"/>
        <v>351394</v>
      </c>
      <c r="S84" s="54">
        <f t="shared" si="147"/>
        <v>364266</v>
      </c>
      <c r="T84" s="54">
        <f t="shared" si="147"/>
        <v>377235</v>
      </c>
      <c r="U84" s="54">
        <f t="shared" si="147"/>
        <v>389219</v>
      </c>
      <c r="V84" s="54">
        <f t="shared" si="147"/>
        <v>394415</v>
      </c>
      <c r="W84" s="54">
        <f t="shared" ref="W84:Y84" si="148">W85+W100</f>
        <v>403050</v>
      </c>
      <c r="X84" s="54">
        <f t="shared" si="148"/>
        <v>412896</v>
      </c>
      <c r="Y84" s="54">
        <f t="shared" si="148"/>
        <v>424421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195845</v>
      </c>
      <c r="C85" s="28">
        <f t="shared" si="149"/>
        <v>202671</v>
      </c>
      <c r="D85" s="28">
        <f t="shared" ref="D85:V85" si="150">D86+D87+D94</f>
        <v>209729</v>
      </c>
      <c r="E85" s="28">
        <f t="shared" si="150"/>
        <v>216925</v>
      </c>
      <c r="F85" s="28">
        <f t="shared" si="150"/>
        <v>218922</v>
      </c>
      <c r="G85" s="28">
        <f t="shared" si="150"/>
        <v>219630</v>
      </c>
      <c r="H85" s="28">
        <f t="shared" si="150"/>
        <v>225610</v>
      </c>
      <c r="I85" s="28">
        <f t="shared" si="150"/>
        <v>232706</v>
      </c>
      <c r="J85" s="28">
        <f t="shared" si="150"/>
        <v>238667</v>
      </c>
      <c r="K85" s="28">
        <f t="shared" si="150"/>
        <v>245153</v>
      </c>
      <c r="L85" s="28">
        <f t="shared" si="150"/>
        <v>256841</v>
      </c>
      <c r="M85" s="28">
        <f t="shared" si="150"/>
        <v>264053</v>
      </c>
      <c r="N85" s="28">
        <f t="shared" si="150"/>
        <v>266647</v>
      </c>
      <c r="O85" s="28">
        <f t="shared" si="150"/>
        <v>274256</v>
      </c>
      <c r="P85" s="28">
        <f t="shared" si="150"/>
        <v>285676</v>
      </c>
      <c r="Q85" s="28">
        <f t="shared" si="150"/>
        <v>296363</v>
      </c>
      <c r="R85" s="28">
        <f t="shared" si="150"/>
        <v>307203</v>
      </c>
      <c r="S85" s="28">
        <f t="shared" si="150"/>
        <v>318475</v>
      </c>
      <c r="T85" s="28">
        <f t="shared" si="150"/>
        <v>329582</v>
      </c>
      <c r="U85" s="28">
        <f t="shared" si="150"/>
        <v>339721</v>
      </c>
      <c r="V85" s="28">
        <f t="shared" si="150"/>
        <v>343517</v>
      </c>
      <c r="W85" s="28">
        <f t="shared" ref="W85:Y85" si="151">W86+W87+W94</f>
        <v>351423</v>
      </c>
      <c r="X85" s="28">
        <f t="shared" si="151"/>
        <v>360316</v>
      </c>
      <c r="Y85" s="28">
        <f t="shared" si="151"/>
        <v>370441</v>
      </c>
      <c r="DA85" s="173"/>
    </row>
    <row r="86" spans="1:105" ht="11.45" hidden="1" customHeight="1" x14ac:dyDescent="0.25">
      <c r="A86" s="136" t="s">
        <v>173</v>
      </c>
      <c r="B86" s="137">
        <v>12167</v>
      </c>
      <c r="C86" s="137">
        <v>12605</v>
      </c>
      <c r="D86" s="137">
        <v>13097</v>
      </c>
      <c r="E86" s="137">
        <v>13420</v>
      </c>
      <c r="F86" s="137">
        <v>12639</v>
      </c>
      <c r="G86" s="137">
        <v>11905</v>
      </c>
      <c r="H86" s="137">
        <v>12192</v>
      </c>
      <c r="I86" s="137">
        <v>12695</v>
      </c>
      <c r="J86" s="137">
        <v>14310</v>
      </c>
      <c r="K86" s="137">
        <v>14402</v>
      </c>
      <c r="L86" s="137">
        <v>14047</v>
      </c>
      <c r="M86" s="137">
        <v>14758</v>
      </c>
      <c r="N86" s="137">
        <v>15021</v>
      </c>
      <c r="O86" s="137">
        <v>16102</v>
      </c>
      <c r="P86" s="137">
        <v>17555</v>
      </c>
      <c r="Q86" s="137">
        <v>19206</v>
      </c>
      <c r="R86" s="137">
        <v>22286</v>
      </c>
      <c r="S86" s="137">
        <v>24606</v>
      </c>
      <c r="T86" s="137">
        <v>27329</v>
      </c>
      <c r="U86" s="137">
        <v>30316</v>
      </c>
      <c r="V86" s="137">
        <v>32152</v>
      </c>
      <c r="W86" s="137">
        <v>35921</v>
      </c>
      <c r="X86" s="137">
        <v>40684</v>
      </c>
      <c r="Y86" s="137">
        <v>44088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182105</v>
      </c>
      <c r="C87" s="110">
        <f t="shared" si="152"/>
        <v>188495</v>
      </c>
      <c r="D87" s="110">
        <f t="shared" ref="D87:V87" si="153">SUM(D88:D93)</f>
        <v>195055</v>
      </c>
      <c r="E87" s="110">
        <f t="shared" si="153"/>
        <v>201924</v>
      </c>
      <c r="F87" s="110">
        <f t="shared" si="153"/>
        <v>204702</v>
      </c>
      <c r="G87" s="110">
        <f t="shared" si="153"/>
        <v>206148</v>
      </c>
      <c r="H87" s="110">
        <f t="shared" si="153"/>
        <v>211840</v>
      </c>
      <c r="I87" s="110">
        <f t="shared" si="153"/>
        <v>218429</v>
      </c>
      <c r="J87" s="110">
        <f t="shared" si="153"/>
        <v>222775</v>
      </c>
      <c r="K87" s="110">
        <f t="shared" si="153"/>
        <v>229016</v>
      </c>
      <c r="L87" s="110">
        <f t="shared" si="153"/>
        <v>240943</v>
      </c>
      <c r="M87" s="110">
        <f t="shared" si="153"/>
        <v>247539</v>
      </c>
      <c r="N87" s="110">
        <f t="shared" si="153"/>
        <v>249880</v>
      </c>
      <c r="O87" s="110">
        <f t="shared" si="153"/>
        <v>256442</v>
      </c>
      <c r="P87" s="110">
        <f t="shared" si="153"/>
        <v>266326</v>
      </c>
      <c r="Q87" s="110">
        <f t="shared" si="153"/>
        <v>275205</v>
      </c>
      <c r="R87" s="110">
        <f t="shared" si="153"/>
        <v>282921</v>
      </c>
      <c r="S87" s="110">
        <f t="shared" si="153"/>
        <v>291799</v>
      </c>
      <c r="T87" s="110">
        <f t="shared" si="153"/>
        <v>300141</v>
      </c>
      <c r="U87" s="110">
        <f t="shared" si="153"/>
        <v>307130</v>
      </c>
      <c r="V87" s="110">
        <f t="shared" si="153"/>
        <v>309143</v>
      </c>
      <c r="W87" s="110">
        <f t="shared" ref="W87:Y87" si="154">SUM(W88:W93)</f>
        <v>313177</v>
      </c>
      <c r="X87" s="110">
        <f t="shared" si="154"/>
        <v>317234</v>
      </c>
      <c r="Y87" s="110">
        <f t="shared" si="154"/>
        <v>323852</v>
      </c>
      <c r="DA87" s="176"/>
    </row>
    <row r="88" spans="1:105" ht="11.45" hidden="1" customHeight="1" x14ac:dyDescent="0.25">
      <c r="A88" s="111" t="s">
        <v>110</v>
      </c>
      <c r="B88" s="84">
        <v>155927</v>
      </c>
      <c r="C88" s="84">
        <v>159509</v>
      </c>
      <c r="D88" s="84">
        <v>164132</v>
      </c>
      <c r="E88" s="84">
        <v>169534</v>
      </c>
      <c r="F88" s="84">
        <v>171445</v>
      </c>
      <c r="G88" s="84">
        <v>172297</v>
      </c>
      <c r="H88" s="84">
        <v>177080</v>
      </c>
      <c r="I88" s="84">
        <v>182663</v>
      </c>
      <c r="J88" s="84">
        <v>186088</v>
      </c>
      <c r="K88" s="84">
        <v>190756</v>
      </c>
      <c r="L88" s="84">
        <v>173252</v>
      </c>
      <c r="M88" s="84">
        <v>175812</v>
      </c>
      <c r="N88" s="84">
        <v>175215</v>
      </c>
      <c r="O88" s="84">
        <v>178079</v>
      </c>
      <c r="P88" s="84">
        <v>183303</v>
      </c>
      <c r="Q88" s="84">
        <v>188764</v>
      </c>
      <c r="R88" s="84">
        <v>192302</v>
      </c>
      <c r="S88" s="84">
        <v>197670</v>
      </c>
      <c r="T88" s="84">
        <v>202972</v>
      </c>
      <c r="U88" s="84">
        <v>206556</v>
      </c>
      <c r="V88" s="84">
        <v>207585</v>
      </c>
      <c r="W88" s="84">
        <v>211352</v>
      </c>
      <c r="X88" s="84">
        <v>214301</v>
      </c>
      <c r="Y88" s="84">
        <v>219323</v>
      </c>
      <c r="DA88" s="171"/>
    </row>
    <row r="89" spans="1:105" ht="11.45" hidden="1" customHeight="1" x14ac:dyDescent="0.25">
      <c r="A89" s="111" t="s">
        <v>111</v>
      </c>
      <c r="B89" s="84">
        <v>26178</v>
      </c>
      <c r="C89" s="84">
        <v>28986</v>
      </c>
      <c r="D89" s="84">
        <v>30923</v>
      </c>
      <c r="E89" s="84">
        <v>32381</v>
      </c>
      <c r="F89" s="84">
        <v>33244</v>
      </c>
      <c r="G89" s="84">
        <v>33836</v>
      </c>
      <c r="H89" s="84">
        <v>34743</v>
      </c>
      <c r="I89" s="84">
        <v>35739</v>
      </c>
      <c r="J89" s="84">
        <v>36657</v>
      </c>
      <c r="K89" s="84">
        <v>38227</v>
      </c>
      <c r="L89" s="84">
        <v>67467</v>
      </c>
      <c r="M89" s="84">
        <v>71474</v>
      </c>
      <c r="N89" s="84">
        <v>74345</v>
      </c>
      <c r="O89" s="84">
        <v>77854</v>
      </c>
      <c r="P89" s="84">
        <v>82144</v>
      </c>
      <c r="Q89" s="84">
        <v>85178</v>
      </c>
      <c r="R89" s="84">
        <v>87415</v>
      </c>
      <c r="S89" s="84">
        <v>91687</v>
      </c>
      <c r="T89" s="84">
        <v>94771</v>
      </c>
      <c r="U89" s="84">
        <v>97019</v>
      </c>
      <c r="V89" s="84">
        <v>97604</v>
      </c>
      <c r="W89" s="84">
        <v>96852</v>
      </c>
      <c r="X89" s="84">
        <v>96102</v>
      </c>
      <c r="Y89" s="84">
        <v>95904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2000</v>
      </c>
      <c r="S90" s="84">
        <v>1200</v>
      </c>
      <c r="T90" s="84">
        <v>950</v>
      </c>
      <c r="U90" s="84">
        <v>1400</v>
      </c>
      <c r="V90" s="84">
        <v>1300</v>
      </c>
      <c r="W90" s="84">
        <v>1200</v>
      </c>
      <c r="X90" s="84">
        <v>1100</v>
      </c>
      <c r="Y90" s="84">
        <v>1000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X91" s="84">
        <v>0</v>
      </c>
      <c r="Y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188</v>
      </c>
      <c r="M92" s="84">
        <v>223</v>
      </c>
      <c r="N92" s="84">
        <v>282</v>
      </c>
      <c r="O92" s="84">
        <v>450</v>
      </c>
      <c r="P92" s="84">
        <v>792</v>
      </c>
      <c r="Q92" s="84">
        <v>1127</v>
      </c>
      <c r="R92" s="84">
        <v>1064</v>
      </c>
      <c r="S92" s="84">
        <v>1064</v>
      </c>
      <c r="T92" s="84">
        <v>1134</v>
      </c>
      <c r="U92" s="84">
        <v>1172</v>
      </c>
      <c r="V92" s="84">
        <v>1361</v>
      </c>
      <c r="W92" s="84">
        <v>1990</v>
      </c>
      <c r="X92" s="84">
        <v>3130</v>
      </c>
      <c r="Y92" s="84">
        <v>3991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9</v>
      </c>
      <c r="F93" s="84">
        <v>13</v>
      </c>
      <c r="G93" s="84">
        <v>15</v>
      </c>
      <c r="H93" s="84">
        <v>17</v>
      </c>
      <c r="I93" s="84">
        <v>27</v>
      </c>
      <c r="J93" s="84">
        <v>30</v>
      </c>
      <c r="K93" s="84">
        <v>33</v>
      </c>
      <c r="L93" s="84">
        <v>36</v>
      </c>
      <c r="M93" s="84">
        <v>30</v>
      </c>
      <c r="N93" s="84">
        <v>38</v>
      </c>
      <c r="O93" s="84">
        <v>59</v>
      </c>
      <c r="P93" s="84">
        <v>87</v>
      </c>
      <c r="Q93" s="84">
        <v>136</v>
      </c>
      <c r="R93" s="84">
        <v>140</v>
      </c>
      <c r="S93" s="84">
        <v>178</v>
      </c>
      <c r="T93" s="84">
        <v>314</v>
      </c>
      <c r="U93" s="84">
        <v>983</v>
      </c>
      <c r="V93" s="84">
        <v>1293</v>
      </c>
      <c r="W93" s="84">
        <v>1783</v>
      </c>
      <c r="X93" s="84">
        <v>2601</v>
      </c>
      <c r="Y93" s="84">
        <v>3634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1573</v>
      </c>
      <c r="C94" s="110">
        <f t="shared" si="155"/>
        <v>1571</v>
      </c>
      <c r="D94" s="110">
        <f t="shared" ref="D94:V94" si="156">SUM(D95:D99)</f>
        <v>1577</v>
      </c>
      <c r="E94" s="110">
        <f t="shared" si="156"/>
        <v>1581</v>
      </c>
      <c r="F94" s="110">
        <f t="shared" si="156"/>
        <v>1581</v>
      </c>
      <c r="G94" s="110">
        <f t="shared" si="156"/>
        <v>1577</v>
      </c>
      <c r="H94" s="110">
        <f t="shared" si="156"/>
        <v>1578</v>
      </c>
      <c r="I94" s="110">
        <f t="shared" si="156"/>
        <v>1582</v>
      </c>
      <c r="J94" s="110">
        <f t="shared" si="156"/>
        <v>1582</v>
      </c>
      <c r="K94" s="110">
        <f t="shared" si="156"/>
        <v>1735</v>
      </c>
      <c r="L94" s="110">
        <f t="shared" si="156"/>
        <v>1851</v>
      </c>
      <c r="M94" s="110">
        <f t="shared" si="156"/>
        <v>1756</v>
      </c>
      <c r="N94" s="110">
        <f t="shared" si="156"/>
        <v>1746</v>
      </c>
      <c r="O94" s="110">
        <f t="shared" si="156"/>
        <v>1712</v>
      </c>
      <c r="P94" s="110">
        <f t="shared" si="156"/>
        <v>1795</v>
      </c>
      <c r="Q94" s="110">
        <f t="shared" si="156"/>
        <v>1952</v>
      </c>
      <c r="R94" s="110">
        <f t="shared" si="156"/>
        <v>1996</v>
      </c>
      <c r="S94" s="110">
        <f t="shared" si="156"/>
        <v>2070</v>
      </c>
      <c r="T94" s="110">
        <f t="shared" si="156"/>
        <v>2112</v>
      </c>
      <c r="U94" s="110">
        <f t="shared" si="156"/>
        <v>2275</v>
      </c>
      <c r="V94" s="110">
        <f t="shared" si="156"/>
        <v>2222</v>
      </c>
      <c r="W94" s="110">
        <f t="shared" ref="W94:Y94" si="157">SUM(W95:W99)</f>
        <v>2325</v>
      </c>
      <c r="X94" s="110">
        <f t="shared" si="157"/>
        <v>2398</v>
      </c>
      <c r="Y94" s="110">
        <f t="shared" si="157"/>
        <v>2501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18</v>
      </c>
      <c r="M95" s="102">
        <v>15</v>
      </c>
      <c r="N95" s="102">
        <v>14</v>
      </c>
      <c r="O95" s="102">
        <v>13</v>
      </c>
      <c r="P95" s="102">
        <v>12</v>
      </c>
      <c r="Q95" s="102">
        <v>10</v>
      </c>
      <c r="R95" s="102">
        <v>10</v>
      </c>
      <c r="S95" s="102">
        <v>10</v>
      </c>
      <c r="T95" s="102">
        <v>11</v>
      </c>
      <c r="U95" s="102">
        <v>13</v>
      </c>
      <c r="V95" s="102">
        <v>11</v>
      </c>
      <c r="W95" s="102">
        <v>12</v>
      </c>
      <c r="X95" s="102">
        <v>12</v>
      </c>
      <c r="Y95" s="102">
        <v>13</v>
      </c>
      <c r="DA95" s="175"/>
    </row>
    <row r="96" spans="1:105" ht="11.45" hidden="1" customHeight="1" x14ac:dyDescent="0.25">
      <c r="A96" s="111" t="s">
        <v>111</v>
      </c>
      <c r="B96" s="102">
        <v>1573</v>
      </c>
      <c r="C96" s="102">
        <v>1571</v>
      </c>
      <c r="D96" s="102">
        <v>1577</v>
      </c>
      <c r="E96" s="102">
        <v>1581</v>
      </c>
      <c r="F96" s="102">
        <v>1581</v>
      </c>
      <c r="G96" s="102">
        <v>1577</v>
      </c>
      <c r="H96" s="102">
        <v>1578</v>
      </c>
      <c r="I96" s="102">
        <v>1582</v>
      </c>
      <c r="J96" s="102">
        <v>1582</v>
      </c>
      <c r="K96" s="102">
        <v>1735</v>
      </c>
      <c r="L96" s="102">
        <v>1833</v>
      </c>
      <c r="M96" s="102">
        <v>1741</v>
      </c>
      <c r="N96" s="102">
        <v>1732</v>
      </c>
      <c r="O96" s="102">
        <v>1699</v>
      </c>
      <c r="P96" s="102">
        <v>1783</v>
      </c>
      <c r="Q96" s="102">
        <v>1942</v>
      </c>
      <c r="R96" s="102">
        <v>1986</v>
      </c>
      <c r="S96" s="102">
        <v>2060</v>
      </c>
      <c r="T96" s="102">
        <v>2093</v>
      </c>
      <c r="U96" s="102">
        <v>2252</v>
      </c>
      <c r="V96" s="102">
        <v>2200</v>
      </c>
      <c r="W96" s="102">
        <v>2301</v>
      </c>
      <c r="X96" s="102">
        <v>2373</v>
      </c>
      <c r="Y96" s="102">
        <v>2423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21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X98" s="102">
        <v>0</v>
      </c>
      <c r="Y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v>0</v>
      </c>
      <c r="R99" s="102">
        <v>0</v>
      </c>
      <c r="S99" s="102">
        <v>0</v>
      </c>
      <c r="T99" s="102">
        <v>8</v>
      </c>
      <c r="U99" s="102">
        <v>10</v>
      </c>
      <c r="V99" s="102">
        <v>11</v>
      </c>
      <c r="W99" s="102">
        <v>12</v>
      </c>
      <c r="X99" s="102">
        <v>13</v>
      </c>
      <c r="Y99" s="102">
        <v>44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39178</v>
      </c>
      <c r="C100" s="28">
        <f t="shared" si="158"/>
        <v>39157</v>
      </c>
      <c r="D100" s="28">
        <f t="shared" ref="D100:V100" si="159">D101+D107</f>
        <v>39284</v>
      </c>
      <c r="E100" s="28">
        <f t="shared" si="159"/>
        <v>39824</v>
      </c>
      <c r="F100" s="28">
        <f t="shared" si="159"/>
        <v>39769</v>
      </c>
      <c r="G100" s="28">
        <f t="shared" si="159"/>
        <v>39632</v>
      </c>
      <c r="H100" s="28">
        <f t="shared" si="159"/>
        <v>40543</v>
      </c>
      <c r="I100" s="28">
        <f t="shared" si="159"/>
        <v>41438</v>
      </c>
      <c r="J100" s="28">
        <f t="shared" si="159"/>
        <v>41955</v>
      </c>
      <c r="K100" s="28">
        <f t="shared" si="159"/>
        <v>41236</v>
      </c>
      <c r="L100" s="28">
        <f t="shared" si="159"/>
        <v>41319</v>
      </c>
      <c r="M100" s="28">
        <f t="shared" si="159"/>
        <v>41285</v>
      </c>
      <c r="N100" s="28">
        <f t="shared" si="159"/>
        <v>41370</v>
      </c>
      <c r="O100" s="28">
        <f t="shared" si="159"/>
        <v>41948</v>
      </c>
      <c r="P100" s="28">
        <f t="shared" si="159"/>
        <v>42417</v>
      </c>
      <c r="Q100" s="28">
        <f t="shared" si="159"/>
        <v>43284</v>
      </c>
      <c r="R100" s="28">
        <f t="shared" si="159"/>
        <v>44191</v>
      </c>
      <c r="S100" s="28">
        <f t="shared" si="159"/>
        <v>45791</v>
      </c>
      <c r="T100" s="28">
        <f t="shared" si="159"/>
        <v>47653</v>
      </c>
      <c r="U100" s="28">
        <f t="shared" si="159"/>
        <v>49498</v>
      </c>
      <c r="V100" s="28">
        <f t="shared" si="159"/>
        <v>50898</v>
      </c>
      <c r="W100" s="28">
        <f t="shared" ref="W100:Y100" si="160">W101+W107</f>
        <v>51627</v>
      </c>
      <c r="X100" s="28">
        <f t="shared" si="160"/>
        <v>52580</v>
      </c>
      <c r="Y100" s="28">
        <f t="shared" si="160"/>
        <v>53980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28249</v>
      </c>
      <c r="C101" s="137">
        <f t="shared" si="161"/>
        <v>28210</v>
      </c>
      <c r="D101" s="137">
        <f t="shared" ref="D101:V101" si="162">SUM(D102:D106)</f>
        <v>28332</v>
      </c>
      <c r="E101" s="137">
        <f t="shared" si="162"/>
        <v>28852</v>
      </c>
      <c r="F101" s="137">
        <f t="shared" si="162"/>
        <v>28799</v>
      </c>
      <c r="G101" s="137">
        <f t="shared" si="162"/>
        <v>28667</v>
      </c>
      <c r="H101" s="137">
        <f t="shared" si="162"/>
        <v>29751</v>
      </c>
      <c r="I101" s="137">
        <f t="shared" si="162"/>
        <v>30877</v>
      </c>
      <c r="J101" s="137">
        <f t="shared" si="162"/>
        <v>31391</v>
      </c>
      <c r="K101" s="137">
        <f t="shared" si="162"/>
        <v>30849</v>
      </c>
      <c r="L101" s="137">
        <f t="shared" si="162"/>
        <v>31160</v>
      </c>
      <c r="M101" s="137">
        <f t="shared" si="162"/>
        <v>31126</v>
      </c>
      <c r="N101" s="137">
        <f t="shared" si="162"/>
        <v>31283</v>
      </c>
      <c r="O101" s="137">
        <f t="shared" si="162"/>
        <v>31927</v>
      </c>
      <c r="P101" s="137">
        <f t="shared" si="162"/>
        <v>32393</v>
      </c>
      <c r="Q101" s="137">
        <f t="shared" si="162"/>
        <v>33089</v>
      </c>
      <c r="R101" s="137">
        <f t="shared" si="162"/>
        <v>33728</v>
      </c>
      <c r="S101" s="137">
        <f t="shared" si="162"/>
        <v>34985</v>
      </c>
      <c r="T101" s="137">
        <f t="shared" si="162"/>
        <v>36571</v>
      </c>
      <c r="U101" s="137">
        <f t="shared" si="162"/>
        <v>37953</v>
      </c>
      <c r="V101" s="137">
        <f t="shared" si="162"/>
        <v>38931</v>
      </c>
      <c r="W101" s="137">
        <f t="shared" ref="W101:Y101" si="163">SUM(W102:W106)</f>
        <v>39450</v>
      </c>
      <c r="X101" s="137">
        <f t="shared" si="163"/>
        <v>40140</v>
      </c>
      <c r="Y101" s="137">
        <f t="shared" si="163"/>
        <v>41136</v>
      </c>
      <c r="DA101" s="174"/>
    </row>
    <row r="102" spans="1:105" ht="11.45" hidden="1" customHeight="1" x14ac:dyDescent="0.25">
      <c r="A102" s="111" t="s">
        <v>110</v>
      </c>
      <c r="B102" s="84">
        <v>1661</v>
      </c>
      <c r="C102" s="84">
        <v>1702</v>
      </c>
      <c r="D102" s="84">
        <v>1664</v>
      </c>
      <c r="E102" s="84">
        <v>1649</v>
      </c>
      <c r="F102" s="84">
        <v>1602</v>
      </c>
      <c r="G102" s="84">
        <v>1553</v>
      </c>
      <c r="H102" s="84">
        <v>1569</v>
      </c>
      <c r="I102" s="84">
        <v>1585</v>
      </c>
      <c r="J102" s="84">
        <v>1568</v>
      </c>
      <c r="K102" s="84">
        <v>1500</v>
      </c>
      <c r="L102" s="84">
        <v>1475</v>
      </c>
      <c r="M102" s="84">
        <v>1389</v>
      </c>
      <c r="N102" s="84">
        <v>1278</v>
      </c>
      <c r="O102" s="84">
        <v>1275</v>
      </c>
      <c r="P102" s="84">
        <v>1258</v>
      </c>
      <c r="Q102" s="84">
        <v>1226</v>
      </c>
      <c r="R102" s="84">
        <v>1201</v>
      </c>
      <c r="S102" s="84">
        <v>1170</v>
      </c>
      <c r="T102" s="84">
        <v>1171</v>
      </c>
      <c r="U102" s="84">
        <v>1210</v>
      </c>
      <c r="V102" s="84">
        <v>1224</v>
      </c>
      <c r="W102" s="84">
        <v>1313</v>
      </c>
      <c r="X102" s="84">
        <v>1560</v>
      </c>
      <c r="Y102" s="84">
        <v>1822</v>
      </c>
      <c r="DA102" s="171"/>
    </row>
    <row r="103" spans="1:105" ht="11.45" hidden="1" customHeight="1" x14ac:dyDescent="0.25">
      <c r="A103" s="111" t="s">
        <v>111</v>
      </c>
      <c r="B103" s="84">
        <v>26588</v>
      </c>
      <c r="C103" s="84">
        <v>26508</v>
      </c>
      <c r="D103" s="84">
        <v>26668</v>
      </c>
      <c r="E103" s="84">
        <v>27203</v>
      </c>
      <c r="F103" s="84">
        <v>27197</v>
      </c>
      <c r="G103" s="84">
        <v>27114</v>
      </c>
      <c r="H103" s="84">
        <v>28182</v>
      </c>
      <c r="I103" s="84">
        <v>29292</v>
      </c>
      <c r="J103" s="84">
        <v>29819</v>
      </c>
      <c r="K103" s="84">
        <v>29345</v>
      </c>
      <c r="L103" s="84">
        <v>29680</v>
      </c>
      <c r="M103" s="84">
        <v>29731</v>
      </c>
      <c r="N103" s="84">
        <v>29999</v>
      </c>
      <c r="O103" s="84">
        <v>30634</v>
      </c>
      <c r="P103" s="84">
        <v>31117</v>
      </c>
      <c r="Q103" s="84">
        <v>31843</v>
      </c>
      <c r="R103" s="84">
        <v>32505</v>
      </c>
      <c r="S103" s="84">
        <v>33783</v>
      </c>
      <c r="T103" s="84">
        <v>35359</v>
      </c>
      <c r="U103" s="84">
        <v>36614</v>
      </c>
      <c r="V103" s="84">
        <v>37573</v>
      </c>
      <c r="W103" s="84">
        <v>37997</v>
      </c>
      <c r="X103" s="84">
        <v>38415</v>
      </c>
      <c r="Y103" s="84">
        <v>39068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2</v>
      </c>
      <c r="T104" s="84">
        <v>2</v>
      </c>
      <c r="U104" s="84">
        <v>4</v>
      </c>
      <c r="V104" s="84">
        <v>4</v>
      </c>
      <c r="W104" s="84">
        <v>4</v>
      </c>
      <c r="X104" s="84">
        <v>4</v>
      </c>
      <c r="Y104" s="84">
        <v>5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X105" s="84">
        <v>0</v>
      </c>
      <c r="Y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4</v>
      </c>
      <c r="K106" s="84">
        <v>4</v>
      </c>
      <c r="L106" s="84">
        <v>5</v>
      </c>
      <c r="M106" s="84">
        <v>6</v>
      </c>
      <c r="N106" s="84">
        <v>6</v>
      </c>
      <c r="O106" s="84">
        <v>18</v>
      </c>
      <c r="P106" s="84">
        <v>18</v>
      </c>
      <c r="Q106" s="84">
        <v>20</v>
      </c>
      <c r="R106" s="84">
        <v>22</v>
      </c>
      <c r="S106" s="84">
        <v>30</v>
      </c>
      <c r="T106" s="84">
        <v>39</v>
      </c>
      <c r="U106" s="84">
        <v>125</v>
      </c>
      <c r="V106" s="84">
        <v>130</v>
      </c>
      <c r="W106" s="84">
        <v>136</v>
      </c>
      <c r="X106" s="84">
        <v>161</v>
      </c>
      <c r="Y106" s="84">
        <v>241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10929</v>
      </c>
      <c r="C107" s="110">
        <f t="shared" si="164"/>
        <v>10947</v>
      </c>
      <c r="D107" s="110">
        <f t="shared" ref="D107:V107" si="165">SUM(D108:D109)</f>
        <v>10952</v>
      </c>
      <c r="E107" s="110">
        <f t="shared" si="165"/>
        <v>10972</v>
      </c>
      <c r="F107" s="110">
        <f t="shared" si="165"/>
        <v>10970</v>
      </c>
      <c r="G107" s="110">
        <f t="shared" si="165"/>
        <v>10965</v>
      </c>
      <c r="H107" s="110">
        <f t="shared" si="165"/>
        <v>10792</v>
      </c>
      <c r="I107" s="110">
        <f t="shared" si="165"/>
        <v>10561</v>
      </c>
      <c r="J107" s="110">
        <f t="shared" si="165"/>
        <v>10564</v>
      </c>
      <c r="K107" s="110">
        <f t="shared" si="165"/>
        <v>10387</v>
      </c>
      <c r="L107" s="110">
        <f t="shared" si="165"/>
        <v>10159</v>
      </c>
      <c r="M107" s="110">
        <f t="shared" si="165"/>
        <v>10159</v>
      </c>
      <c r="N107" s="110">
        <f t="shared" si="165"/>
        <v>10087</v>
      </c>
      <c r="O107" s="110">
        <f t="shared" si="165"/>
        <v>10021</v>
      </c>
      <c r="P107" s="110">
        <f t="shared" si="165"/>
        <v>10024</v>
      </c>
      <c r="Q107" s="110">
        <f t="shared" si="165"/>
        <v>10195</v>
      </c>
      <c r="R107" s="110">
        <f t="shared" si="165"/>
        <v>10463</v>
      </c>
      <c r="S107" s="110">
        <f t="shared" si="165"/>
        <v>10806</v>
      </c>
      <c r="T107" s="110">
        <f t="shared" si="165"/>
        <v>11082</v>
      </c>
      <c r="U107" s="110">
        <f t="shared" si="165"/>
        <v>11545</v>
      </c>
      <c r="V107" s="110">
        <f t="shared" si="165"/>
        <v>11967</v>
      </c>
      <c r="W107" s="110">
        <f t="shared" ref="W107:Y107" si="166">SUM(W108:W109)</f>
        <v>12177</v>
      </c>
      <c r="X107" s="110">
        <f t="shared" si="166"/>
        <v>12440</v>
      </c>
      <c r="Y107" s="110">
        <f t="shared" si="166"/>
        <v>12844</v>
      </c>
      <c r="DA107" s="176"/>
    </row>
    <row r="108" spans="1:105" ht="11.45" hidden="1" customHeight="1" x14ac:dyDescent="0.25">
      <c r="A108" s="128" t="s">
        <v>27</v>
      </c>
      <c r="B108" s="102">
        <v>10929</v>
      </c>
      <c r="C108" s="102">
        <v>10947</v>
      </c>
      <c r="D108" s="102">
        <v>10952</v>
      </c>
      <c r="E108" s="102">
        <v>10972</v>
      </c>
      <c r="F108" s="102">
        <v>10970</v>
      </c>
      <c r="G108" s="102">
        <v>10965</v>
      </c>
      <c r="H108" s="102">
        <v>10792</v>
      </c>
      <c r="I108" s="102">
        <v>10561</v>
      </c>
      <c r="J108" s="102">
        <v>10564</v>
      </c>
      <c r="K108" s="102">
        <v>10387</v>
      </c>
      <c r="L108" s="102">
        <v>10159</v>
      </c>
      <c r="M108" s="102">
        <v>10159</v>
      </c>
      <c r="N108" s="102">
        <v>10087</v>
      </c>
      <c r="O108" s="102">
        <v>10021</v>
      </c>
      <c r="P108" s="102">
        <v>10024</v>
      </c>
      <c r="Q108" s="102">
        <v>10195</v>
      </c>
      <c r="R108" s="102">
        <v>10463</v>
      </c>
      <c r="S108" s="102">
        <v>10806</v>
      </c>
      <c r="T108" s="102">
        <v>11082</v>
      </c>
      <c r="U108" s="102">
        <v>11545</v>
      </c>
      <c r="V108" s="102">
        <v>11967</v>
      </c>
      <c r="W108" s="102">
        <v>12177</v>
      </c>
      <c r="X108" s="102">
        <v>12440</v>
      </c>
      <c r="Y108" s="102">
        <v>12844</v>
      </c>
      <c r="DA108" s="175"/>
    </row>
    <row r="109" spans="1:105" ht="11.45" hidden="1" customHeight="1" x14ac:dyDescent="0.25">
      <c r="A109" s="138" t="s">
        <v>116</v>
      </c>
      <c r="B109" s="86">
        <v>0</v>
      </c>
      <c r="C109" s="86">
        <v>0</v>
      </c>
      <c r="D109" s="86">
        <v>0</v>
      </c>
      <c r="E109" s="86">
        <v>0</v>
      </c>
      <c r="F109" s="86">
        <v>0</v>
      </c>
      <c r="G109" s="86">
        <v>0</v>
      </c>
      <c r="H109" s="86">
        <v>0</v>
      </c>
      <c r="I109" s="86">
        <v>0</v>
      </c>
      <c r="J109" s="86">
        <v>0</v>
      </c>
      <c r="K109" s="86">
        <v>0</v>
      </c>
      <c r="L109" s="86">
        <v>0</v>
      </c>
      <c r="M109" s="86">
        <v>0</v>
      </c>
      <c r="N109" s="86">
        <v>0</v>
      </c>
      <c r="O109" s="86">
        <v>0</v>
      </c>
      <c r="P109" s="86">
        <v>0</v>
      </c>
      <c r="Q109" s="86">
        <v>0</v>
      </c>
      <c r="R109" s="86">
        <v>0</v>
      </c>
      <c r="S109" s="86">
        <v>0</v>
      </c>
      <c r="T109" s="86">
        <v>0</v>
      </c>
      <c r="U109" s="86">
        <v>0</v>
      </c>
      <c r="V109" s="86">
        <v>0</v>
      </c>
      <c r="W109" s="86">
        <v>0</v>
      </c>
      <c r="X109" s="86">
        <v>0</v>
      </c>
      <c r="Y109" s="86">
        <v>0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14060</v>
      </c>
      <c r="C111" s="54">
        <f t="shared" si="167"/>
        <v>15734</v>
      </c>
      <c r="D111" s="54">
        <f t="shared" si="167"/>
        <v>16776</v>
      </c>
      <c r="E111" s="54">
        <f t="shared" si="167"/>
        <v>13450</v>
      </c>
      <c r="F111" s="54">
        <f t="shared" si="167"/>
        <v>9150</v>
      </c>
      <c r="G111" s="54">
        <f t="shared" si="167"/>
        <v>13043</v>
      </c>
      <c r="H111" s="54">
        <f t="shared" si="167"/>
        <v>19157</v>
      </c>
      <c r="I111" s="54">
        <f t="shared" si="167"/>
        <v>18843</v>
      </c>
      <c r="J111" s="54">
        <f t="shared" si="167"/>
        <v>17839</v>
      </c>
      <c r="K111" s="54">
        <f t="shared" si="167"/>
        <v>19433</v>
      </c>
      <c r="L111" s="54">
        <f t="shared" ref="L111" si="168">L112+L127</f>
        <v>43259</v>
      </c>
      <c r="M111" s="54">
        <f t="shared" ref="M111:V111" si="169">M112+M127</f>
        <v>20070</v>
      </c>
      <c r="N111" s="54">
        <f t="shared" si="169"/>
        <v>17275</v>
      </c>
      <c r="O111" s="54">
        <f t="shared" si="169"/>
        <v>18475</v>
      </c>
      <c r="P111" s="54">
        <f t="shared" si="169"/>
        <v>20959</v>
      </c>
      <c r="Q111" s="54">
        <f t="shared" si="169"/>
        <v>18715</v>
      </c>
      <c r="R111" s="54">
        <f t="shared" si="169"/>
        <v>21796</v>
      </c>
      <c r="S111" s="54">
        <f t="shared" si="169"/>
        <v>22862</v>
      </c>
      <c r="T111" s="54">
        <f t="shared" si="169"/>
        <v>23671</v>
      </c>
      <c r="U111" s="54">
        <f t="shared" si="169"/>
        <v>23366</v>
      </c>
      <c r="V111" s="54">
        <f t="shared" si="169"/>
        <v>17599</v>
      </c>
      <c r="W111" s="54">
        <f t="shared" ref="W111:Y111" si="170">W112+W127</f>
        <v>26783</v>
      </c>
      <c r="X111" s="54">
        <f t="shared" si="170"/>
        <v>30657</v>
      </c>
      <c r="Y111" s="54">
        <f t="shared" si="170"/>
        <v>32578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13776</v>
      </c>
      <c r="C112" s="28">
        <f t="shared" si="171"/>
        <v>14003</v>
      </c>
      <c r="D112" s="28">
        <f t="shared" si="171"/>
        <v>14627</v>
      </c>
      <c r="E112" s="28">
        <f t="shared" si="171"/>
        <v>10630</v>
      </c>
      <c r="F112" s="28">
        <f t="shared" si="171"/>
        <v>6691</v>
      </c>
      <c r="G112" s="28">
        <f t="shared" si="171"/>
        <v>10453</v>
      </c>
      <c r="H112" s="28">
        <f t="shared" si="171"/>
        <v>15345</v>
      </c>
      <c r="I112" s="28">
        <f t="shared" si="171"/>
        <v>14902</v>
      </c>
      <c r="J112" s="28">
        <f t="shared" si="171"/>
        <v>14155</v>
      </c>
      <c r="K112" s="28">
        <f t="shared" si="171"/>
        <v>16923</v>
      </c>
      <c r="L112" s="28">
        <f t="shared" ref="L112" si="172">L113+L114+L121</f>
        <v>40151</v>
      </c>
      <c r="M112" s="28">
        <f t="shared" ref="M112:V112" si="173">M113+M114+M121</f>
        <v>17259</v>
      </c>
      <c r="N112" s="28">
        <f t="shared" si="173"/>
        <v>14234</v>
      </c>
      <c r="O112" s="28">
        <f t="shared" si="173"/>
        <v>14956</v>
      </c>
      <c r="P112" s="28">
        <f t="shared" si="173"/>
        <v>17582</v>
      </c>
      <c r="Q112" s="28">
        <f t="shared" si="173"/>
        <v>14997</v>
      </c>
      <c r="R112" s="28">
        <f t="shared" si="173"/>
        <v>18065</v>
      </c>
      <c r="S112" s="28">
        <f t="shared" si="173"/>
        <v>18316</v>
      </c>
      <c r="T112" s="28">
        <f t="shared" si="173"/>
        <v>18888</v>
      </c>
      <c r="U112" s="28">
        <f t="shared" si="173"/>
        <v>18595</v>
      </c>
      <c r="V112" s="28">
        <f t="shared" si="173"/>
        <v>13630</v>
      </c>
      <c r="W112" s="28">
        <f t="shared" ref="W112:Y112" si="174">W113+W114+W121</f>
        <v>23293</v>
      </c>
      <c r="X112" s="28">
        <f t="shared" si="174"/>
        <v>26413</v>
      </c>
      <c r="Y112" s="28">
        <f t="shared" si="174"/>
        <v>27851</v>
      </c>
      <c r="DA112" s="173" t="s">
        <v>527</v>
      </c>
    </row>
    <row r="113" spans="1:105" ht="11.45" customHeight="1" x14ac:dyDescent="0.25">
      <c r="A113" s="136" t="s">
        <v>173</v>
      </c>
      <c r="B113" s="137">
        <v>721</v>
      </c>
      <c r="C113" s="137">
        <v>738</v>
      </c>
      <c r="D113" s="137">
        <v>786</v>
      </c>
      <c r="E113" s="137">
        <v>706</v>
      </c>
      <c r="F113" s="137">
        <v>473</v>
      </c>
      <c r="G113" s="137">
        <v>425</v>
      </c>
      <c r="H113" s="137">
        <v>576</v>
      </c>
      <c r="I113" s="137">
        <v>721</v>
      </c>
      <c r="J113" s="137">
        <v>1615</v>
      </c>
      <c r="K113" s="137">
        <v>988</v>
      </c>
      <c r="L113" s="137">
        <v>949</v>
      </c>
      <c r="M113" s="137">
        <v>1099</v>
      </c>
      <c r="N113" s="137">
        <v>1163</v>
      </c>
      <c r="O113" s="137">
        <v>1400</v>
      </c>
      <c r="P113" s="137">
        <v>1740</v>
      </c>
      <c r="Q113" s="137">
        <v>2174</v>
      </c>
      <c r="R113" s="137">
        <v>3428</v>
      </c>
      <c r="S113" s="137">
        <v>2930</v>
      </c>
      <c r="T113" s="137">
        <v>3092</v>
      </c>
      <c r="U113" s="137">
        <v>3351</v>
      </c>
      <c r="V113" s="137">
        <v>2290</v>
      </c>
      <c r="W113" s="137">
        <v>4251</v>
      </c>
      <c r="X113" s="137">
        <v>5347</v>
      </c>
      <c r="Y113" s="137">
        <v>4014.0000000000005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13055</v>
      </c>
      <c r="C114" s="110">
        <f t="shared" si="175"/>
        <v>13265</v>
      </c>
      <c r="D114" s="110">
        <f t="shared" si="175"/>
        <v>13835</v>
      </c>
      <c r="E114" s="110">
        <f t="shared" si="175"/>
        <v>9920</v>
      </c>
      <c r="F114" s="110">
        <f t="shared" si="175"/>
        <v>6218</v>
      </c>
      <c r="G114" s="110">
        <f t="shared" si="175"/>
        <v>10024</v>
      </c>
      <c r="H114" s="110">
        <f t="shared" si="175"/>
        <v>14767</v>
      </c>
      <c r="I114" s="110">
        <f t="shared" si="175"/>
        <v>14173</v>
      </c>
      <c r="J114" s="110">
        <f t="shared" si="175"/>
        <v>12531</v>
      </c>
      <c r="K114" s="110">
        <f t="shared" si="175"/>
        <v>15782</v>
      </c>
      <c r="L114" s="110">
        <f t="shared" ref="L114" si="176">SUM(L115:L120)</f>
        <v>39086</v>
      </c>
      <c r="M114" s="110">
        <f t="shared" ref="M114:V114" si="177">SUM(M115:M120)</f>
        <v>15854</v>
      </c>
      <c r="N114" s="110">
        <f t="shared" si="177"/>
        <v>13026</v>
      </c>
      <c r="O114" s="110">
        <f t="shared" si="177"/>
        <v>13533</v>
      </c>
      <c r="P114" s="110">
        <f t="shared" si="177"/>
        <v>15758</v>
      </c>
      <c r="Q114" s="110">
        <f t="shared" si="177"/>
        <v>12630</v>
      </c>
      <c r="R114" s="110">
        <f t="shared" si="177"/>
        <v>14509</v>
      </c>
      <c r="S114" s="110">
        <f t="shared" si="177"/>
        <v>15312</v>
      </c>
      <c r="T114" s="110">
        <f t="shared" si="177"/>
        <v>15754</v>
      </c>
      <c r="U114" s="110">
        <f t="shared" si="177"/>
        <v>15081</v>
      </c>
      <c r="V114" s="110">
        <f t="shared" si="177"/>
        <v>11192</v>
      </c>
      <c r="W114" s="110">
        <f t="shared" ref="W114:Y114" si="178">SUM(W115:W120)</f>
        <v>18933</v>
      </c>
      <c r="X114" s="110">
        <f t="shared" si="178"/>
        <v>20971</v>
      </c>
      <c r="Y114" s="110">
        <f t="shared" si="178"/>
        <v>23723</v>
      </c>
      <c r="DA114" s="176" t="s">
        <v>529</v>
      </c>
    </row>
    <row r="115" spans="1:105" ht="11.45" customHeight="1" x14ac:dyDescent="0.25">
      <c r="A115" s="111" t="s">
        <v>110</v>
      </c>
      <c r="B115" s="84">
        <v>6853</v>
      </c>
      <c r="C115" s="84">
        <v>7838</v>
      </c>
      <c r="D115" s="84">
        <v>8426</v>
      </c>
      <c r="E115" s="84">
        <v>7110</v>
      </c>
      <c r="F115" s="84">
        <v>4795</v>
      </c>
      <c r="G115" s="84">
        <v>8276</v>
      </c>
      <c r="H115" s="84">
        <v>13134</v>
      </c>
      <c r="I115" s="84">
        <v>12514</v>
      </c>
      <c r="J115" s="84">
        <v>11087</v>
      </c>
      <c r="K115" s="84">
        <v>12354</v>
      </c>
      <c r="L115" s="84">
        <v>9655</v>
      </c>
      <c r="M115" s="84">
        <v>9791</v>
      </c>
      <c r="N115" s="84">
        <v>7671</v>
      </c>
      <c r="O115" s="84">
        <v>8075</v>
      </c>
      <c r="P115" s="84">
        <v>9614</v>
      </c>
      <c r="Q115" s="84">
        <v>9207</v>
      </c>
      <c r="R115" s="84">
        <v>7560</v>
      </c>
      <c r="S115" s="84">
        <v>9051</v>
      </c>
      <c r="T115" s="84">
        <v>9681</v>
      </c>
      <c r="U115" s="84">
        <v>8758</v>
      </c>
      <c r="V115" s="84">
        <v>6776</v>
      </c>
      <c r="W115" s="84">
        <v>14294</v>
      </c>
      <c r="X115" s="84">
        <v>15217</v>
      </c>
      <c r="Y115" s="84">
        <v>17080</v>
      </c>
      <c r="DA115" s="171" t="s">
        <v>530</v>
      </c>
    </row>
    <row r="116" spans="1:105" ht="11.45" customHeight="1" x14ac:dyDescent="0.25">
      <c r="A116" s="111" t="s">
        <v>111</v>
      </c>
      <c r="B116" s="84">
        <v>6202</v>
      </c>
      <c r="C116" s="84">
        <v>5427</v>
      </c>
      <c r="D116" s="84">
        <v>5409</v>
      </c>
      <c r="E116" s="84">
        <v>2801</v>
      </c>
      <c r="F116" s="84">
        <v>1419</v>
      </c>
      <c r="G116" s="84">
        <v>1746</v>
      </c>
      <c r="H116" s="84">
        <v>1631</v>
      </c>
      <c r="I116" s="84">
        <v>1649</v>
      </c>
      <c r="J116" s="84">
        <v>1440</v>
      </c>
      <c r="K116" s="84">
        <v>3425</v>
      </c>
      <c r="L116" s="84">
        <v>29240</v>
      </c>
      <c r="M116" s="84">
        <v>6028</v>
      </c>
      <c r="N116" s="84">
        <v>5287</v>
      </c>
      <c r="O116" s="84">
        <v>5267</v>
      </c>
      <c r="P116" s="84">
        <v>5769</v>
      </c>
      <c r="Q116" s="84">
        <v>3034</v>
      </c>
      <c r="R116" s="84">
        <v>4927</v>
      </c>
      <c r="S116" s="84">
        <v>6202</v>
      </c>
      <c r="T116" s="84">
        <v>5702</v>
      </c>
      <c r="U116" s="84">
        <v>5143</v>
      </c>
      <c r="V116" s="84">
        <v>3889</v>
      </c>
      <c r="W116" s="84">
        <v>3474</v>
      </c>
      <c r="X116" s="84">
        <v>3556</v>
      </c>
      <c r="Y116" s="84">
        <v>4164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2000</v>
      </c>
      <c r="S117" s="84">
        <v>0</v>
      </c>
      <c r="T117" s="84">
        <v>0</v>
      </c>
      <c r="U117" s="84">
        <v>450</v>
      </c>
      <c r="V117" s="84">
        <v>0</v>
      </c>
      <c r="W117" s="84">
        <v>4</v>
      </c>
      <c r="X117" s="84">
        <v>2</v>
      </c>
      <c r="Y117" s="84">
        <v>1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X118" s="84">
        <v>0</v>
      </c>
      <c r="Y118" s="84">
        <v>0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188</v>
      </c>
      <c r="M119" s="84">
        <v>35</v>
      </c>
      <c r="N119" s="84">
        <v>60</v>
      </c>
      <c r="O119" s="84">
        <v>170</v>
      </c>
      <c r="P119" s="84">
        <v>345</v>
      </c>
      <c r="Q119" s="84">
        <v>340</v>
      </c>
      <c r="R119" s="84">
        <v>1</v>
      </c>
      <c r="S119" s="84">
        <v>11</v>
      </c>
      <c r="T119" s="84">
        <v>86</v>
      </c>
      <c r="U119" s="84">
        <v>60</v>
      </c>
      <c r="V119" s="84">
        <v>215</v>
      </c>
      <c r="W119" s="84">
        <v>668</v>
      </c>
      <c r="X119" s="84">
        <v>1206</v>
      </c>
      <c r="Y119" s="84">
        <v>962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9</v>
      </c>
      <c r="F120" s="84">
        <v>4</v>
      </c>
      <c r="G120" s="84">
        <v>2</v>
      </c>
      <c r="H120" s="84">
        <v>2</v>
      </c>
      <c r="I120" s="84">
        <v>10</v>
      </c>
      <c r="J120" s="84">
        <v>4</v>
      </c>
      <c r="K120" s="84">
        <v>3</v>
      </c>
      <c r="L120" s="84">
        <v>3</v>
      </c>
      <c r="M120" s="84">
        <v>0</v>
      </c>
      <c r="N120" s="84">
        <v>8</v>
      </c>
      <c r="O120" s="84">
        <v>21</v>
      </c>
      <c r="P120" s="84">
        <v>30</v>
      </c>
      <c r="Q120" s="84">
        <v>49</v>
      </c>
      <c r="R120" s="84">
        <v>21</v>
      </c>
      <c r="S120" s="84">
        <v>48</v>
      </c>
      <c r="T120" s="84">
        <v>285</v>
      </c>
      <c r="U120" s="84">
        <v>670</v>
      </c>
      <c r="V120" s="84">
        <v>312</v>
      </c>
      <c r="W120" s="84">
        <v>493</v>
      </c>
      <c r="X120" s="84">
        <v>990</v>
      </c>
      <c r="Y120" s="84">
        <v>1516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0</v>
      </c>
      <c r="C121" s="110">
        <f t="shared" si="179"/>
        <v>0</v>
      </c>
      <c r="D121" s="110">
        <f t="shared" si="179"/>
        <v>6</v>
      </c>
      <c r="E121" s="110">
        <f t="shared" si="179"/>
        <v>4</v>
      </c>
      <c r="F121" s="110">
        <f t="shared" si="179"/>
        <v>0</v>
      </c>
      <c r="G121" s="110">
        <f t="shared" si="179"/>
        <v>4</v>
      </c>
      <c r="H121" s="110">
        <f t="shared" si="179"/>
        <v>2</v>
      </c>
      <c r="I121" s="110">
        <f t="shared" si="179"/>
        <v>8</v>
      </c>
      <c r="J121" s="110">
        <f t="shared" si="179"/>
        <v>9</v>
      </c>
      <c r="K121" s="110">
        <f t="shared" si="179"/>
        <v>153</v>
      </c>
      <c r="L121" s="110">
        <f t="shared" ref="L121" si="180">SUM(L122:L126)</f>
        <v>116</v>
      </c>
      <c r="M121" s="110">
        <f t="shared" ref="M121:V121" si="181">SUM(M122:M126)</f>
        <v>306</v>
      </c>
      <c r="N121" s="110">
        <f t="shared" si="181"/>
        <v>45</v>
      </c>
      <c r="O121" s="110">
        <f t="shared" si="181"/>
        <v>23</v>
      </c>
      <c r="P121" s="110">
        <f t="shared" si="181"/>
        <v>84</v>
      </c>
      <c r="Q121" s="110">
        <f t="shared" si="181"/>
        <v>193</v>
      </c>
      <c r="R121" s="110">
        <f t="shared" si="181"/>
        <v>128</v>
      </c>
      <c r="S121" s="110">
        <f t="shared" si="181"/>
        <v>74</v>
      </c>
      <c r="T121" s="110">
        <f t="shared" si="181"/>
        <v>42</v>
      </c>
      <c r="U121" s="110">
        <f t="shared" si="181"/>
        <v>163</v>
      </c>
      <c r="V121" s="110">
        <f t="shared" si="181"/>
        <v>148</v>
      </c>
      <c r="W121" s="110">
        <f t="shared" ref="W121:Y121" si="182">SUM(W122:W126)</f>
        <v>109</v>
      </c>
      <c r="X121" s="110">
        <f t="shared" si="182"/>
        <v>95</v>
      </c>
      <c r="Y121" s="110">
        <f t="shared" si="182"/>
        <v>114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18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1</v>
      </c>
      <c r="U122" s="102">
        <v>2</v>
      </c>
      <c r="V122" s="102">
        <v>0</v>
      </c>
      <c r="W122" s="102">
        <v>1</v>
      </c>
      <c r="X122" s="102">
        <v>0</v>
      </c>
      <c r="Y122" s="102">
        <v>1</v>
      </c>
      <c r="DA122" s="175" t="s">
        <v>537</v>
      </c>
    </row>
    <row r="123" spans="1:105" ht="11.45" customHeight="1" x14ac:dyDescent="0.25">
      <c r="A123" s="111" t="s">
        <v>111</v>
      </c>
      <c r="B123" s="102">
        <v>0</v>
      </c>
      <c r="C123" s="102">
        <v>0</v>
      </c>
      <c r="D123" s="102">
        <v>6</v>
      </c>
      <c r="E123" s="102">
        <v>4</v>
      </c>
      <c r="F123" s="102">
        <v>0</v>
      </c>
      <c r="G123" s="102">
        <v>4</v>
      </c>
      <c r="H123" s="102">
        <v>2</v>
      </c>
      <c r="I123" s="102">
        <v>8</v>
      </c>
      <c r="J123" s="102">
        <v>9</v>
      </c>
      <c r="K123" s="102">
        <v>153</v>
      </c>
      <c r="L123" s="102">
        <v>98</v>
      </c>
      <c r="M123" s="102">
        <v>306</v>
      </c>
      <c r="N123" s="102">
        <v>45</v>
      </c>
      <c r="O123" s="102">
        <v>23</v>
      </c>
      <c r="P123" s="102">
        <v>84</v>
      </c>
      <c r="Q123" s="102">
        <v>193</v>
      </c>
      <c r="R123" s="102">
        <v>128</v>
      </c>
      <c r="S123" s="102">
        <v>74</v>
      </c>
      <c r="T123" s="102">
        <v>33</v>
      </c>
      <c r="U123" s="102">
        <v>159</v>
      </c>
      <c r="V123" s="102">
        <v>147</v>
      </c>
      <c r="W123" s="102">
        <v>102</v>
      </c>
      <c r="X123" s="102">
        <v>93</v>
      </c>
      <c r="Y123" s="102">
        <v>61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21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X125" s="102">
        <v>0</v>
      </c>
      <c r="Y125" s="102">
        <v>0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8</v>
      </c>
      <c r="U126" s="102">
        <v>2</v>
      </c>
      <c r="V126" s="102">
        <v>1</v>
      </c>
      <c r="W126" s="102">
        <v>6</v>
      </c>
      <c r="X126" s="102">
        <v>2</v>
      </c>
      <c r="Y126" s="102">
        <v>31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284</v>
      </c>
      <c r="C127" s="28">
        <f t="shared" si="183"/>
        <v>1731</v>
      </c>
      <c r="D127" s="28">
        <f t="shared" si="183"/>
        <v>2149</v>
      </c>
      <c r="E127" s="28">
        <f t="shared" si="183"/>
        <v>2820</v>
      </c>
      <c r="F127" s="28">
        <f t="shared" si="183"/>
        <v>2459</v>
      </c>
      <c r="G127" s="28">
        <f t="shared" si="183"/>
        <v>2590</v>
      </c>
      <c r="H127" s="28">
        <f t="shared" si="183"/>
        <v>3812</v>
      </c>
      <c r="I127" s="28">
        <f t="shared" si="183"/>
        <v>3941</v>
      </c>
      <c r="J127" s="28">
        <f t="shared" si="183"/>
        <v>3684</v>
      </c>
      <c r="K127" s="28">
        <f t="shared" si="183"/>
        <v>2510</v>
      </c>
      <c r="L127" s="28">
        <f t="shared" ref="L127" si="184">L128+L134</f>
        <v>3108</v>
      </c>
      <c r="M127" s="28">
        <f t="shared" ref="M127:V127" si="185">M128+M134</f>
        <v>2811</v>
      </c>
      <c r="N127" s="28">
        <f t="shared" si="185"/>
        <v>3041</v>
      </c>
      <c r="O127" s="28">
        <f t="shared" si="185"/>
        <v>3519</v>
      </c>
      <c r="P127" s="28">
        <f t="shared" si="185"/>
        <v>3377</v>
      </c>
      <c r="Q127" s="28">
        <f t="shared" si="185"/>
        <v>3718</v>
      </c>
      <c r="R127" s="28">
        <f t="shared" si="185"/>
        <v>3731</v>
      </c>
      <c r="S127" s="28">
        <f t="shared" si="185"/>
        <v>4546</v>
      </c>
      <c r="T127" s="28">
        <f t="shared" si="185"/>
        <v>4783</v>
      </c>
      <c r="U127" s="28">
        <f t="shared" si="185"/>
        <v>4771</v>
      </c>
      <c r="V127" s="28">
        <f t="shared" si="185"/>
        <v>3969</v>
      </c>
      <c r="W127" s="28">
        <f t="shared" ref="W127:Y127" si="186">W128+W134</f>
        <v>3490</v>
      </c>
      <c r="X127" s="28">
        <f t="shared" si="186"/>
        <v>4244</v>
      </c>
      <c r="Y127" s="28">
        <f t="shared" si="186"/>
        <v>4727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1199</v>
      </c>
      <c r="D128" s="137">
        <f t="shared" si="187"/>
        <v>1540</v>
      </c>
      <c r="E128" s="137">
        <f t="shared" si="187"/>
        <v>2109</v>
      </c>
      <c r="F128" s="137">
        <f t="shared" si="187"/>
        <v>1694</v>
      </c>
      <c r="G128" s="137">
        <f t="shared" si="187"/>
        <v>1758</v>
      </c>
      <c r="H128" s="137">
        <f t="shared" si="187"/>
        <v>3094</v>
      </c>
      <c r="I128" s="137">
        <f t="shared" si="187"/>
        <v>3238</v>
      </c>
      <c r="J128" s="137">
        <f t="shared" si="187"/>
        <v>2708</v>
      </c>
      <c r="K128" s="137">
        <f t="shared" si="187"/>
        <v>1714</v>
      </c>
      <c r="L128" s="137">
        <f t="shared" ref="L128" si="188">SUM(L129:L133)</f>
        <v>2606</v>
      </c>
      <c r="M128" s="137">
        <f t="shared" ref="M128:V128" si="189">SUM(M129:M133)</f>
        <v>2276</v>
      </c>
      <c r="N128" s="137">
        <f t="shared" si="189"/>
        <v>2468</v>
      </c>
      <c r="O128" s="137">
        <f t="shared" si="189"/>
        <v>2931</v>
      </c>
      <c r="P128" s="137">
        <f t="shared" si="189"/>
        <v>2732</v>
      </c>
      <c r="Q128" s="137">
        <f t="shared" si="189"/>
        <v>2935</v>
      </c>
      <c r="R128" s="137">
        <f t="shared" si="189"/>
        <v>2857</v>
      </c>
      <c r="S128" s="137">
        <f t="shared" si="189"/>
        <v>3457</v>
      </c>
      <c r="T128" s="137">
        <f t="shared" si="189"/>
        <v>3783</v>
      </c>
      <c r="U128" s="137">
        <f t="shared" si="189"/>
        <v>3595</v>
      </c>
      <c r="V128" s="137">
        <f t="shared" si="189"/>
        <v>2896</v>
      </c>
      <c r="W128" s="137">
        <f t="shared" ref="W128:Y128" si="190">SUM(W129:W133)</f>
        <v>2600</v>
      </c>
      <c r="X128" s="137">
        <f t="shared" si="190"/>
        <v>3217</v>
      </c>
      <c r="Y128" s="137">
        <f t="shared" si="190"/>
        <v>3559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114</v>
      </c>
      <c r="D129" s="84">
        <v>45</v>
      </c>
      <c r="E129" s="84">
        <v>79</v>
      </c>
      <c r="F129" s="84">
        <v>56</v>
      </c>
      <c r="G129" s="84">
        <v>62</v>
      </c>
      <c r="H129" s="84">
        <v>133</v>
      </c>
      <c r="I129" s="84">
        <v>138</v>
      </c>
      <c r="J129" s="84">
        <v>109</v>
      </c>
      <c r="K129" s="84">
        <v>60</v>
      </c>
      <c r="L129" s="84">
        <v>104</v>
      </c>
      <c r="M129" s="84">
        <v>41</v>
      </c>
      <c r="N129" s="84">
        <v>17</v>
      </c>
      <c r="O129" s="84">
        <v>114</v>
      </c>
      <c r="P129" s="84">
        <v>98</v>
      </c>
      <c r="Q129" s="84">
        <v>79</v>
      </c>
      <c r="R129" s="84">
        <v>80</v>
      </c>
      <c r="S129" s="84">
        <v>68</v>
      </c>
      <c r="T129" s="84">
        <v>96</v>
      </c>
      <c r="U129" s="84">
        <v>130</v>
      </c>
      <c r="V129" s="84">
        <v>83</v>
      </c>
      <c r="W129" s="84">
        <v>159</v>
      </c>
      <c r="X129" s="84">
        <v>342</v>
      </c>
      <c r="Y129" s="84">
        <v>355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1085</v>
      </c>
      <c r="D130" s="84">
        <v>1495</v>
      </c>
      <c r="E130" s="84">
        <v>2030</v>
      </c>
      <c r="F130" s="84">
        <v>1638</v>
      </c>
      <c r="G130" s="84">
        <v>1696</v>
      </c>
      <c r="H130" s="84">
        <v>2961</v>
      </c>
      <c r="I130" s="84">
        <v>3100</v>
      </c>
      <c r="J130" s="84">
        <v>2595</v>
      </c>
      <c r="K130" s="84">
        <v>1654</v>
      </c>
      <c r="L130" s="84">
        <v>2501</v>
      </c>
      <c r="M130" s="84">
        <v>2234</v>
      </c>
      <c r="N130" s="84">
        <v>2451</v>
      </c>
      <c r="O130" s="84">
        <v>2805</v>
      </c>
      <c r="P130" s="84">
        <v>2633</v>
      </c>
      <c r="Q130" s="84">
        <v>2854</v>
      </c>
      <c r="R130" s="84">
        <v>2773</v>
      </c>
      <c r="S130" s="84">
        <v>3379</v>
      </c>
      <c r="T130" s="84">
        <v>3678</v>
      </c>
      <c r="U130" s="84">
        <v>3377</v>
      </c>
      <c r="V130" s="84">
        <v>2794</v>
      </c>
      <c r="W130" s="84">
        <v>2401</v>
      </c>
      <c r="X130" s="84">
        <v>2848</v>
      </c>
      <c r="Y130" s="84">
        <v>3111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2</v>
      </c>
      <c r="T131" s="84">
        <v>0</v>
      </c>
      <c r="U131" s="84">
        <v>2</v>
      </c>
      <c r="V131" s="84">
        <v>0</v>
      </c>
      <c r="W131" s="84">
        <v>0</v>
      </c>
      <c r="X131" s="84">
        <v>0</v>
      </c>
      <c r="Y131" s="84">
        <v>1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X132" s="84">
        <v>0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4</v>
      </c>
      <c r="K133" s="84">
        <v>0</v>
      </c>
      <c r="L133" s="84">
        <v>1</v>
      </c>
      <c r="M133" s="84">
        <v>1</v>
      </c>
      <c r="N133" s="84">
        <v>0</v>
      </c>
      <c r="O133" s="84">
        <v>12</v>
      </c>
      <c r="P133" s="84">
        <v>1</v>
      </c>
      <c r="Q133" s="84">
        <v>2</v>
      </c>
      <c r="R133" s="84">
        <v>4</v>
      </c>
      <c r="S133" s="84">
        <v>8</v>
      </c>
      <c r="T133" s="84">
        <v>9</v>
      </c>
      <c r="U133" s="84">
        <v>86</v>
      </c>
      <c r="V133" s="84">
        <v>19</v>
      </c>
      <c r="W133" s="84">
        <v>40</v>
      </c>
      <c r="X133" s="84">
        <v>27</v>
      </c>
      <c r="Y133" s="84">
        <v>92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284</v>
      </c>
      <c r="C134" s="110">
        <f t="shared" si="191"/>
        <v>532</v>
      </c>
      <c r="D134" s="110">
        <f t="shared" si="191"/>
        <v>609</v>
      </c>
      <c r="E134" s="110">
        <f t="shared" si="191"/>
        <v>711</v>
      </c>
      <c r="F134" s="110">
        <f t="shared" si="191"/>
        <v>765</v>
      </c>
      <c r="G134" s="110">
        <f t="shared" si="191"/>
        <v>832</v>
      </c>
      <c r="H134" s="110">
        <f t="shared" si="191"/>
        <v>718</v>
      </c>
      <c r="I134" s="110">
        <f t="shared" si="191"/>
        <v>703</v>
      </c>
      <c r="J134" s="110">
        <f t="shared" si="191"/>
        <v>976</v>
      </c>
      <c r="K134" s="110">
        <f t="shared" si="191"/>
        <v>796</v>
      </c>
      <c r="L134" s="110">
        <f t="shared" ref="L134" si="192">SUM(L135:L136)</f>
        <v>502</v>
      </c>
      <c r="M134" s="110">
        <f t="shared" ref="M134:V134" si="193">SUM(M135:M136)</f>
        <v>535</v>
      </c>
      <c r="N134" s="110">
        <f t="shared" si="193"/>
        <v>573</v>
      </c>
      <c r="O134" s="110">
        <f t="shared" si="193"/>
        <v>588</v>
      </c>
      <c r="P134" s="110">
        <f t="shared" si="193"/>
        <v>645</v>
      </c>
      <c r="Q134" s="110">
        <f t="shared" si="193"/>
        <v>783</v>
      </c>
      <c r="R134" s="110">
        <f t="shared" si="193"/>
        <v>874</v>
      </c>
      <c r="S134" s="110">
        <f t="shared" si="193"/>
        <v>1089</v>
      </c>
      <c r="T134" s="110">
        <f t="shared" si="193"/>
        <v>1000</v>
      </c>
      <c r="U134" s="110">
        <f t="shared" si="193"/>
        <v>1176</v>
      </c>
      <c r="V134" s="110">
        <f t="shared" si="193"/>
        <v>1073</v>
      </c>
      <c r="W134" s="110">
        <f t="shared" ref="W134:Y134" si="194">SUM(W135:W136)</f>
        <v>890</v>
      </c>
      <c r="X134" s="110">
        <f t="shared" si="194"/>
        <v>1027</v>
      </c>
      <c r="Y134" s="110">
        <f t="shared" si="194"/>
        <v>1168</v>
      </c>
      <c r="DA134" s="176" t="s">
        <v>549</v>
      </c>
    </row>
    <row r="135" spans="1:105" ht="11.45" customHeight="1" x14ac:dyDescent="0.25">
      <c r="A135" s="128" t="s">
        <v>27</v>
      </c>
      <c r="B135" s="102">
        <v>284</v>
      </c>
      <c r="C135" s="102">
        <v>532</v>
      </c>
      <c r="D135" s="102">
        <v>609</v>
      </c>
      <c r="E135" s="102">
        <v>711</v>
      </c>
      <c r="F135" s="102">
        <v>765</v>
      </c>
      <c r="G135" s="102">
        <v>832</v>
      </c>
      <c r="H135" s="102">
        <v>718</v>
      </c>
      <c r="I135" s="102">
        <v>703</v>
      </c>
      <c r="J135" s="102">
        <v>976</v>
      </c>
      <c r="K135" s="102">
        <v>796</v>
      </c>
      <c r="L135" s="102">
        <v>502</v>
      </c>
      <c r="M135" s="102">
        <v>535</v>
      </c>
      <c r="N135" s="102">
        <v>573</v>
      </c>
      <c r="O135" s="102">
        <v>588</v>
      </c>
      <c r="P135" s="102">
        <v>645</v>
      </c>
      <c r="Q135" s="102">
        <v>783</v>
      </c>
      <c r="R135" s="102">
        <v>874</v>
      </c>
      <c r="S135" s="102">
        <v>1089</v>
      </c>
      <c r="T135" s="102">
        <v>1000</v>
      </c>
      <c r="U135" s="102">
        <v>1176</v>
      </c>
      <c r="V135" s="102">
        <v>1073</v>
      </c>
      <c r="W135" s="102">
        <v>890</v>
      </c>
      <c r="X135" s="102">
        <v>1027</v>
      </c>
      <c r="Y135" s="102">
        <v>1168</v>
      </c>
      <c r="DA135" s="175" t="s">
        <v>550</v>
      </c>
    </row>
    <row r="136" spans="1:105" ht="11.45" customHeight="1" x14ac:dyDescent="0.25">
      <c r="A136" s="138" t="s">
        <v>116</v>
      </c>
      <c r="B136" s="86">
        <v>0</v>
      </c>
      <c r="C136" s="86">
        <v>0</v>
      </c>
      <c r="D136" s="86">
        <v>0</v>
      </c>
      <c r="E136" s="86">
        <v>0</v>
      </c>
      <c r="F136" s="86">
        <v>0</v>
      </c>
      <c r="G136" s="86">
        <v>0</v>
      </c>
      <c r="H136" s="86">
        <v>0</v>
      </c>
      <c r="I136" s="86">
        <v>0</v>
      </c>
      <c r="J136" s="86">
        <v>0</v>
      </c>
      <c r="K136" s="86">
        <v>0</v>
      </c>
      <c r="L136" s="86">
        <v>0</v>
      </c>
      <c r="M136" s="86">
        <v>0</v>
      </c>
      <c r="N136" s="86">
        <v>0</v>
      </c>
      <c r="O136" s="86">
        <v>0</v>
      </c>
      <c r="P136" s="86">
        <v>0</v>
      </c>
      <c r="Q136" s="86">
        <v>0</v>
      </c>
      <c r="R136" s="86">
        <v>0</v>
      </c>
      <c r="S136" s="86">
        <v>0</v>
      </c>
      <c r="T136" s="86">
        <v>0</v>
      </c>
      <c r="U136" s="86">
        <v>0</v>
      </c>
      <c r="V136" s="86">
        <v>0</v>
      </c>
      <c r="W136" s="86">
        <v>0</v>
      </c>
      <c r="X136" s="86">
        <v>0</v>
      </c>
      <c r="Y136" s="86">
        <v>0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1.5719664560307023</v>
      </c>
      <c r="C141" s="32">
        <f t="shared" si="195"/>
        <v>1.5530957179848075</v>
      </c>
      <c r="D141" s="32">
        <f t="shared" si="195"/>
        <v>1.5276940342519736</v>
      </c>
      <c r="E141" s="32">
        <f t="shared" si="195"/>
        <v>1.5036800764527249</v>
      </c>
      <c r="F141" s="32">
        <f t="shared" si="195"/>
        <v>1.5757700717648004</v>
      </c>
      <c r="G141" s="32">
        <f t="shared" si="195"/>
        <v>1.4503405420657058</v>
      </c>
      <c r="H141" s="32">
        <f t="shared" si="195"/>
        <v>1.4310752521397372</v>
      </c>
      <c r="I141" s="32">
        <f t="shared" si="195"/>
        <v>1.4987104670612048</v>
      </c>
      <c r="J141" s="32">
        <f t="shared" si="195"/>
        <v>1.4046218413500779</v>
      </c>
      <c r="K141" s="32">
        <f t="shared" si="195"/>
        <v>1.3577633474109265</v>
      </c>
      <c r="L141" s="32">
        <f t="shared" ref="L141" si="196">IF(L4=0,0,L4/L31)</f>
        <v>1.3488809864202427</v>
      </c>
      <c r="M141" s="32">
        <f t="shared" ref="M141:V141" si="197">IF(M4=0,0,M4/M31)</f>
        <v>1.3248618099479317</v>
      </c>
      <c r="N141" s="32">
        <f t="shared" si="197"/>
        <v>1.3164310462713276</v>
      </c>
      <c r="O141" s="32">
        <f t="shared" si="197"/>
        <v>1.3002510236755924</v>
      </c>
      <c r="P141" s="32">
        <f t="shared" si="197"/>
        <v>1.2897322029696512</v>
      </c>
      <c r="Q141" s="32">
        <f t="shared" si="197"/>
        <v>1.2928840974609861</v>
      </c>
      <c r="R141" s="32">
        <f t="shared" si="197"/>
        <v>1.2915146330675646</v>
      </c>
      <c r="S141" s="32">
        <f t="shared" si="197"/>
        <v>1.311663933534668</v>
      </c>
      <c r="T141" s="32">
        <f t="shared" si="197"/>
        <v>1.3041308631812287</v>
      </c>
      <c r="U141" s="32">
        <f t="shared" si="197"/>
        <v>1.3310146053379968</v>
      </c>
      <c r="V141" s="32">
        <f t="shared" si="197"/>
        <v>1.2383459762748477</v>
      </c>
      <c r="W141" s="32">
        <f t="shared" ref="W141:Y141" si="198">IF(W4=0,0,W4/W31)</f>
        <v>1.2539254829251321</v>
      </c>
      <c r="X141" s="32">
        <f t="shared" si="198"/>
        <v>1.3407965193385858</v>
      </c>
      <c r="Y141" s="32">
        <f t="shared" si="198"/>
        <v>1.3762878810593451</v>
      </c>
      <c r="DA141" s="173" t="s">
        <v>552</v>
      </c>
    </row>
    <row r="142" spans="1:105" ht="11.45" customHeight="1" x14ac:dyDescent="0.25">
      <c r="A142" s="136" t="s">
        <v>173</v>
      </c>
      <c r="B142" s="141">
        <v>1.1147751896698301</v>
      </c>
      <c r="C142" s="141">
        <v>1.1147538080276218</v>
      </c>
      <c r="D142" s="141">
        <v>1.1145601049011911</v>
      </c>
      <c r="E142" s="141">
        <v>1.1150281861880156</v>
      </c>
      <c r="F142" s="141">
        <v>1.1151775087588955</v>
      </c>
      <c r="G142" s="141">
        <v>1.1141676858588732</v>
      </c>
      <c r="H142" s="141">
        <v>1.1144784772158931</v>
      </c>
      <c r="I142" s="141">
        <v>1.1162672910073774</v>
      </c>
      <c r="J142" s="141">
        <v>1.1168547555746871</v>
      </c>
      <c r="K142" s="141">
        <v>1.1173907238667704</v>
      </c>
      <c r="L142" s="141">
        <v>1.1154710561585361</v>
      </c>
      <c r="M142" s="141">
        <v>1.1144939010542536</v>
      </c>
      <c r="N142" s="141">
        <v>1.107615470385082</v>
      </c>
      <c r="O142" s="141">
        <v>1.107045671114981</v>
      </c>
      <c r="P142" s="141">
        <v>1.1094493745884089</v>
      </c>
      <c r="Q142" s="141">
        <v>1.1113668635626461</v>
      </c>
      <c r="R142" s="141">
        <v>1.112314687967193</v>
      </c>
      <c r="S142" s="141">
        <v>1.1117932644676272</v>
      </c>
      <c r="T142" s="141">
        <v>1.1113733789822287</v>
      </c>
      <c r="U142" s="141">
        <v>1.1121397344868809</v>
      </c>
      <c r="V142" s="141">
        <v>1.1110321788087381</v>
      </c>
      <c r="W142" s="141">
        <v>1.1116564234672659</v>
      </c>
      <c r="X142" s="141">
        <v>1.1119812766354442</v>
      </c>
      <c r="Y142" s="141">
        <v>1.1134787918301443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1.2864581716043746</v>
      </c>
      <c r="C143" s="130">
        <f t="shared" si="199"/>
        <v>1.2654637048329624</v>
      </c>
      <c r="D143" s="130">
        <f t="shared" si="199"/>
        <v>1.245493798490974</v>
      </c>
      <c r="E143" s="130">
        <f t="shared" si="199"/>
        <v>1.226520829530372</v>
      </c>
      <c r="F143" s="130">
        <f t="shared" si="199"/>
        <v>1.2885883879243265</v>
      </c>
      <c r="G143" s="130">
        <f t="shared" si="199"/>
        <v>1.1918267966623468</v>
      </c>
      <c r="H143" s="130">
        <f t="shared" si="199"/>
        <v>1.1765219032773611</v>
      </c>
      <c r="I143" s="130">
        <f t="shared" si="199"/>
        <v>1.2376809503710058</v>
      </c>
      <c r="J143" s="130">
        <f t="shared" si="199"/>
        <v>1.1609828470944084</v>
      </c>
      <c r="K143" s="130">
        <f t="shared" si="199"/>
        <v>1.1359927601553186</v>
      </c>
      <c r="L143" s="130">
        <f t="shared" ref="L143" si="200">IF(L6=0,0,L6/L33)</f>
        <v>1.1246136643144993</v>
      </c>
      <c r="M143" s="130">
        <f t="shared" ref="M143:V143" si="201">IF(M6=0,0,M6/M33)</f>
        <v>1.1199384654548719</v>
      </c>
      <c r="N143" s="130">
        <f t="shared" si="201"/>
        <v>1.1178565328598644</v>
      </c>
      <c r="O143" s="130">
        <f t="shared" si="201"/>
        <v>1.1114391913215074</v>
      </c>
      <c r="P143" s="130">
        <f t="shared" si="201"/>
        <v>1.1080695894669497</v>
      </c>
      <c r="Q143" s="130">
        <f t="shared" si="201"/>
        <v>1.1028730263812054</v>
      </c>
      <c r="R143" s="130">
        <f t="shared" si="201"/>
        <v>1.1054400865193239</v>
      </c>
      <c r="S143" s="130">
        <f t="shared" si="201"/>
        <v>1.1222055100825363</v>
      </c>
      <c r="T143" s="130">
        <f t="shared" si="201"/>
        <v>1.1151793360245268</v>
      </c>
      <c r="U143" s="130">
        <f t="shared" si="201"/>
        <v>1.1297308673496387</v>
      </c>
      <c r="V143" s="130">
        <f t="shared" si="201"/>
        <v>1.0995704051395832</v>
      </c>
      <c r="W143" s="130">
        <f t="shared" ref="W143:Y143" si="202">IF(W6=0,0,W6/W33)</f>
        <v>1.1076525084482705</v>
      </c>
      <c r="X143" s="130">
        <f t="shared" si="202"/>
        <v>1.1500578092371678</v>
      </c>
      <c r="Y143" s="130">
        <f t="shared" si="202"/>
        <v>1.1717961168092808</v>
      </c>
      <c r="DA143" s="176" t="s">
        <v>554</v>
      </c>
    </row>
    <row r="144" spans="1:105" ht="11.45" customHeight="1" x14ac:dyDescent="0.25">
      <c r="A144" s="111" t="s">
        <v>110</v>
      </c>
      <c r="B144" s="96">
        <v>1.2689442763557468</v>
      </c>
      <c r="C144" s="96">
        <v>1.2466669321849435</v>
      </c>
      <c r="D144" s="96">
        <v>1.2262698669501908</v>
      </c>
      <c r="E144" s="96">
        <v>1.2069187726246002</v>
      </c>
      <c r="F144" s="96">
        <v>1.2664075428607806</v>
      </c>
      <c r="G144" s="96">
        <v>1.1725384617615164</v>
      </c>
      <c r="H144" s="96">
        <v>1.1572811469518007</v>
      </c>
      <c r="I144" s="96">
        <v>1.2158893469755849</v>
      </c>
      <c r="J144" s="96">
        <v>1.1413866007695677</v>
      </c>
      <c r="K144" s="96">
        <v>1.1162385987308363</v>
      </c>
      <c r="L144" s="96">
        <v>1.089110043631804</v>
      </c>
      <c r="M144" s="96">
        <v>1.0815218252103194</v>
      </c>
      <c r="N144" s="96">
        <v>1.0773740100941911</v>
      </c>
      <c r="O144" s="96">
        <v>1.0699848336826636</v>
      </c>
      <c r="P144" s="96">
        <v>1.066801955608359</v>
      </c>
      <c r="Q144" s="96">
        <v>1.0611385634208208</v>
      </c>
      <c r="R144" s="96">
        <v>1.0633542425903924</v>
      </c>
      <c r="S144" s="96">
        <v>1.080741018075648</v>
      </c>
      <c r="T144" s="96">
        <v>1.0716973765512006</v>
      </c>
      <c r="U144" s="96">
        <v>1.0858549066419965</v>
      </c>
      <c r="V144" s="96">
        <v>1.0579899458069379</v>
      </c>
      <c r="W144" s="96">
        <v>1.0657738915242498</v>
      </c>
      <c r="X144" s="96">
        <v>1.1067236009630095</v>
      </c>
      <c r="Y144" s="96">
        <v>1.1278505714836284</v>
      </c>
      <c r="DA144" s="171" t="s">
        <v>555</v>
      </c>
    </row>
    <row r="145" spans="1:105" ht="11.45" customHeight="1" x14ac:dyDescent="0.25">
      <c r="A145" s="111" t="s">
        <v>111</v>
      </c>
      <c r="B145" s="96">
        <v>1.3932116782694719</v>
      </c>
      <c r="C145" s="96">
        <v>1.3687527192451026</v>
      </c>
      <c r="D145" s="96">
        <v>1.3463581744120612</v>
      </c>
      <c r="E145" s="96">
        <v>1.3251120321629044</v>
      </c>
      <c r="F145" s="96">
        <v>1.3904265230852002</v>
      </c>
      <c r="G145" s="96">
        <v>1.2873648658850101</v>
      </c>
      <c r="H145" s="96">
        <v>1.2706134059761662</v>
      </c>
      <c r="I145" s="96">
        <v>1.3349610926610294</v>
      </c>
      <c r="J145" s="96">
        <v>1.2531623107827063</v>
      </c>
      <c r="K145" s="96">
        <v>1.2255515710691194</v>
      </c>
      <c r="L145" s="96">
        <v>1.1957663232195495</v>
      </c>
      <c r="M145" s="96">
        <v>1.1874349924282297</v>
      </c>
      <c r="N145" s="96">
        <v>1.1828809827945763</v>
      </c>
      <c r="O145" s="96">
        <v>1.1747681861484558</v>
      </c>
      <c r="P145" s="96">
        <v>1.1712736096045866</v>
      </c>
      <c r="Q145" s="96">
        <v>1.1650556028084504</v>
      </c>
      <c r="R145" s="96">
        <v>1.1674882628959453</v>
      </c>
      <c r="S145" s="96">
        <v>1.1865777210422674</v>
      </c>
      <c r="T145" s="96">
        <v>1.1766484379202944</v>
      </c>
      <c r="U145" s="96">
        <v>1.1921924114622957</v>
      </c>
      <c r="V145" s="96">
        <v>1.1615986418434945</v>
      </c>
      <c r="W145" s="96">
        <v>1.170144867456741</v>
      </c>
      <c r="X145" s="96">
        <v>1.2151047719024017</v>
      </c>
      <c r="Y145" s="96">
        <v>1.2383007014670258</v>
      </c>
      <c r="DA145" s="171" t="s">
        <v>556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1.0993875279961829</v>
      </c>
      <c r="S146" s="96">
        <v>1.1160611567090735</v>
      </c>
      <c r="T146" s="96">
        <v>1.109073452695889</v>
      </c>
      <c r="U146" s="96">
        <v>1.1235453107795288</v>
      </c>
      <c r="V146" s="96">
        <v>1.0935499845771479</v>
      </c>
      <c r="W146" s="96">
        <v>1.1015878363665874</v>
      </c>
      <c r="X146" s="96">
        <v>1.1437609576209753</v>
      </c>
      <c r="Y146" s="96">
        <v>1.1653802425699911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X147" s="96">
        <v>0</v>
      </c>
      <c r="Y147" s="96">
        <v>0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1.0674290955384393</v>
      </c>
      <c r="M148" s="96">
        <v>1.0629916220766211</v>
      </c>
      <c r="N148" s="96">
        <v>1.0610155519848388</v>
      </c>
      <c r="O148" s="96">
        <v>1.0549245206454458</v>
      </c>
      <c r="P148" s="96">
        <v>1.0517262569447043</v>
      </c>
      <c r="Q148" s="96">
        <v>1.0467939296837634</v>
      </c>
      <c r="R148" s="96">
        <v>1.049230459461387</v>
      </c>
      <c r="S148" s="96">
        <v>1.065143391589334</v>
      </c>
      <c r="T148" s="96">
        <v>1.058474485761653</v>
      </c>
      <c r="U148" s="96">
        <v>1.072286098063671</v>
      </c>
      <c r="V148" s="96">
        <v>1.0436592407530545</v>
      </c>
      <c r="W148" s="96">
        <v>1.0513303837407211</v>
      </c>
      <c r="X148" s="96">
        <v>1.0915794517570865</v>
      </c>
      <c r="Y148" s="96">
        <v>1.1122124057452285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1.1792734394639639</v>
      </c>
      <c r="F149" s="96">
        <v>1.2389500640300508</v>
      </c>
      <c r="G149" s="96">
        <v>1.1459158718759619</v>
      </c>
      <c r="H149" s="96">
        <v>1.1312005455413479</v>
      </c>
      <c r="I149" s="96">
        <v>1.1900036560014253</v>
      </c>
      <c r="J149" s="96">
        <v>1.1162600767048658</v>
      </c>
      <c r="K149" s="96">
        <v>1.0922326447464146</v>
      </c>
      <c r="L149" s="96">
        <v>1.0812918884485117</v>
      </c>
      <c r="M149" s="96">
        <v>1.0767967851395195</v>
      </c>
      <c r="N149" s="96">
        <v>1.0747950516565361</v>
      </c>
      <c r="O149" s="96">
        <v>1.068624915572463</v>
      </c>
      <c r="P149" s="96">
        <v>1.0653851157476451</v>
      </c>
      <c r="Q149" s="96">
        <v>1.0603887319309393</v>
      </c>
      <c r="R149" s="96">
        <v>1.0628569051290653</v>
      </c>
      <c r="S149" s="96">
        <v>1.0789764998668323</v>
      </c>
      <c r="T149" s="96">
        <v>1.0722209843890935</v>
      </c>
      <c r="U149" s="96">
        <v>1.0862119692807266</v>
      </c>
      <c r="V149" s="96">
        <v>1.0572133325271269</v>
      </c>
      <c r="W149" s="96">
        <v>1.0649841013045214</v>
      </c>
      <c r="X149" s="96">
        <v>1.1057558874077991</v>
      </c>
      <c r="Y149" s="96">
        <v>1.1266568033331379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15.24306238250171</v>
      </c>
      <c r="C150" s="130">
        <f t="shared" si="203"/>
        <v>15.24027241175455</v>
      </c>
      <c r="D150" s="130">
        <f t="shared" si="203"/>
        <v>15.234694002129945</v>
      </c>
      <c r="E150" s="130">
        <f t="shared" si="203"/>
        <v>15.223543307743132</v>
      </c>
      <c r="F150" s="130">
        <f t="shared" si="203"/>
        <v>15.201266397501835</v>
      </c>
      <c r="G150" s="130">
        <f t="shared" si="203"/>
        <v>15.156810324039851</v>
      </c>
      <c r="H150" s="130">
        <f t="shared" si="203"/>
        <v>15.06828783199321</v>
      </c>
      <c r="I150" s="130">
        <f t="shared" si="203"/>
        <v>14.892790860128494</v>
      </c>
      <c r="J150" s="130">
        <f t="shared" si="203"/>
        <v>14.547905032410396</v>
      </c>
      <c r="K150" s="130">
        <f t="shared" si="203"/>
        <v>13.881908917790073</v>
      </c>
      <c r="L150" s="130">
        <f t="shared" ref="L150" si="204">IF(L13=0,0,L13/L40)</f>
        <v>12.639987865611648</v>
      </c>
      <c r="M150" s="130">
        <f t="shared" ref="M150:V150" si="205">IF(M13=0,0,M13/M40)</f>
        <v>10.479524803765267</v>
      </c>
      <c r="N150" s="130">
        <f t="shared" si="205"/>
        <v>8.8536433768121796</v>
      </c>
      <c r="O150" s="130">
        <f t="shared" si="205"/>
        <v>8.495064830374444</v>
      </c>
      <c r="P150" s="130">
        <f t="shared" si="205"/>
        <v>7.1863145617023738</v>
      </c>
      <c r="Q150" s="130">
        <f t="shared" si="205"/>
        <v>6.9478950289534085</v>
      </c>
      <c r="R150" s="130">
        <f t="shared" si="205"/>
        <v>6.9927439242897922</v>
      </c>
      <c r="S150" s="130">
        <f t="shared" si="205"/>
        <v>6.9514020004350225</v>
      </c>
      <c r="T150" s="130">
        <f t="shared" si="205"/>
        <v>6.9334472715618913</v>
      </c>
      <c r="U150" s="130">
        <f t="shared" si="205"/>
        <v>7.4102475683466071</v>
      </c>
      <c r="V150" s="130">
        <f t="shared" si="205"/>
        <v>5.9876299350664191</v>
      </c>
      <c r="W150" s="130">
        <f t="shared" ref="W150:Y150" si="206">IF(W13=0,0,W13/W40)</f>
        <v>6.9991349162978045</v>
      </c>
      <c r="X150" s="130">
        <f t="shared" si="206"/>
        <v>7.5615614102254591</v>
      </c>
      <c r="Y150" s="130">
        <f t="shared" si="206"/>
        <v>7.6383490201501667</v>
      </c>
      <c r="DA150" s="176" t="s">
        <v>561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6.486153379446602</v>
      </c>
      <c r="M151" s="97">
        <v>6.4030586462986641</v>
      </c>
      <c r="N151" s="97">
        <v>6.340524745262007</v>
      </c>
      <c r="O151" s="97">
        <v>6.3267332627067097</v>
      </c>
      <c r="P151" s="97">
        <v>6.2763967139116286</v>
      </c>
      <c r="Q151" s="97">
        <v>6.2672267318828236</v>
      </c>
      <c r="R151" s="97">
        <v>6.2689516893957613</v>
      </c>
      <c r="S151" s="97">
        <v>6.267361615401347</v>
      </c>
      <c r="T151" s="97">
        <v>6.2666710489062263</v>
      </c>
      <c r="U151" s="97">
        <v>6.285009521859485</v>
      </c>
      <c r="V151" s="97">
        <v>6.2302934590410164</v>
      </c>
      <c r="W151" s="97">
        <v>6.2691974967806852</v>
      </c>
      <c r="X151" s="97">
        <v>6.2908292850086713</v>
      </c>
      <c r="Y151" s="97">
        <v>6.2937826546211602</v>
      </c>
      <c r="DA151" s="175" t="s">
        <v>562</v>
      </c>
    </row>
    <row r="152" spans="1:105" ht="11.45" customHeight="1" x14ac:dyDescent="0.25">
      <c r="A152" s="111" t="s">
        <v>111</v>
      </c>
      <c r="B152" s="97">
        <v>15.24306238250171</v>
      </c>
      <c r="C152" s="97">
        <v>15.24027241175455</v>
      </c>
      <c r="D152" s="97">
        <v>15.234694002129945</v>
      </c>
      <c r="E152" s="97">
        <v>15.223543307743132</v>
      </c>
      <c r="F152" s="97">
        <v>15.201266397501835</v>
      </c>
      <c r="G152" s="97">
        <v>15.156810324039851</v>
      </c>
      <c r="H152" s="97">
        <v>15.06828783199321</v>
      </c>
      <c r="I152" s="97">
        <v>14.892790860128494</v>
      </c>
      <c r="J152" s="97">
        <v>14.547905032410396</v>
      </c>
      <c r="K152" s="97">
        <v>13.881908917790073</v>
      </c>
      <c r="L152" s="97">
        <v>12.692742015272149</v>
      </c>
      <c r="M152" s="97">
        <v>10.505087364427169</v>
      </c>
      <c r="N152" s="97">
        <v>8.8661432339726094</v>
      </c>
      <c r="O152" s="97">
        <v>8.5048545670690991</v>
      </c>
      <c r="P152" s="97">
        <v>7.189394196922346</v>
      </c>
      <c r="Q152" s="97">
        <v>6.9495870721047002</v>
      </c>
      <c r="R152" s="97">
        <v>6.994466632972677</v>
      </c>
      <c r="S152" s="97">
        <v>6.9529393502159351</v>
      </c>
      <c r="T152" s="97">
        <v>6.9350310817036922</v>
      </c>
      <c r="U152" s="97">
        <v>7.4131103299268437</v>
      </c>
      <c r="V152" s="97">
        <v>5.9871115388347951</v>
      </c>
      <c r="W152" s="97">
        <v>7.0007183460017002</v>
      </c>
      <c r="X152" s="97">
        <v>7.5642031659039661</v>
      </c>
      <c r="Y152" s="97">
        <v>7.6412022870295946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7.6412022870295928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X154" s="97">
        <v>0</v>
      </c>
      <c r="Y154" s="97">
        <v>0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6.9350310817036931</v>
      </c>
      <c r="U155" s="97">
        <v>7.4131103299268437</v>
      </c>
      <c r="V155" s="97">
        <v>5.9871115388347951</v>
      </c>
      <c r="W155" s="97">
        <v>7.0007183460016993</v>
      </c>
      <c r="X155" s="97">
        <v>7.564203165903967</v>
      </c>
      <c r="Y155" s="97">
        <v>7.6412022870295937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1.6308702403256787</v>
      </c>
      <c r="C156" s="32">
        <f t="shared" si="207"/>
        <v>1.5792382021183473</v>
      </c>
      <c r="D156" s="32">
        <f t="shared" si="207"/>
        <v>0.82070404693060928</v>
      </c>
      <c r="E156" s="32">
        <f t="shared" si="207"/>
        <v>1.3236871268372086</v>
      </c>
      <c r="F156" s="32">
        <f t="shared" si="207"/>
        <v>1.6702834676418929</v>
      </c>
      <c r="G156" s="32">
        <f t="shared" si="207"/>
        <v>1.1856737872623042</v>
      </c>
      <c r="H156" s="32">
        <f t="shared" si="207"/>
        <v>1.1038885630873259</v>
      </c>
      <c r="I156" s="32">
        <f t="shared" si="207"/>
        <v>1.1409082759061049</v>
      </c>
      <c r="J156" s="32">
        <f t="shared" si="207"/>
        <v>1.1324121443794244</v>
      </c>
      <c r="K156" s="32">
        <f t="shared" si="207"/>
        <v>1.1077272056468892</v>
      </c>
      <c r="L156" s="32">
        <f t="shared" ref="L156" si="208">IF(L19=0,0,L19/L46)</f>
        <v>0.99388841023043173</v>
      </c>
      <c r="M156" s="32">
        <f t="shared" ref="M156:V156" si="209">IF(M19=0,0,M19/M46)</f>
        <v>0.93170374809578649</v>
      </c>
      <c r="N156" s="32">
        <f t="shared" si="209"/>
        <v>0.88397533367744319</v>
      </c>
      <c r="O156" s="32">
        <f t="shared" si="209"/>
        <v>0.87441516422483889</v>
      </c>
      <c r="P156" s="32">
        <f t="shared" si="209"/>
        <v>0.81431220917839708</v>
      </c>
      <c r="Q156" s="32">
        <f t="shared" si="209"/>
        <v>0.76953956502252907</v>
      </c>
      <c r="R156" s="32">
        <f t="shared" si="209"/>
        <v>0.78768838930701224</v>
      </c>
      <c r="S156" s="32">
        <f t="shared" si="209"/>
        <v>0.75955125480700025</v>
      </c>
      <c r="T156" s="32">
        <f t="shared" si="209"/>
        <v>0.73543058081399915</v>
      </c>
      <c r="U156" s="32">
        <f t="shared" si="209"/>
        <v>0.72694160920539119</v>
      </c>
      <c r="V156" s="32">
        <f t="shared" si="209"/>
        <v>0.74516396927117812</v>
      </c>
      <c r="W156" s="32">
        <f t="shared" ref="W156:Y156" si="210">IF(W19=0,0,W19/W46)</f>
        <v>0.76319331922813538</v>
      </c>
      <c r="X156" s="32">
        <f t="shared" si="210"/>
        <v>0.78029794561315091</v>
      </c>
      <c r="Y156" s="32">
        <f t="shared" si="210"/>
        <v>0.79081890348949324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0.11215319397139777</v>
      </c>
      <c r="C157" s="141">
        <f t="shared" si="211"/>
        <v>0.11194979312752336</v>
      </c>
      <c r="D157" s="141">
        <f t="shared" si="211"/>
        <v>0.11170281051144938</v>
      </c>
      <c r="E157" s="141">
        <f t="shared" si="211"/>
        <v>0.11153846693484282</v>
      </c>
      <c r="F157" s="141">
        <f t="shared" si="211"/>
        <v>0.11170485436781585</v>
      </c>
      <c r="G157" s="141">
        <f t="shared" si="211"/>
        <v>0.11182949698193556</v>
      </c>
      <c r="H157" s="141">
        <f t="shared" si="211"/>
        <v>0.1114615836501035</v>
      </c>
      <c r="I157" s="141">
        <f t="shared" si="211"/>
        <v>0.11027556951505163</v>
      </c>
      <c r="J157" s="141">
        <f t="shared" si="211"/>
        <v>0.10956568461327097</v>
      </c>
      <c r="K157" s="141">
        <f t="shared" si="211"/>
        <v>0.10870140817383714</v>
      </c>
      <c r="L157" s="141">
        <f t="shared" ref="L157" si="212">IF(L20=0,0,L20/L47)</f>
        <v>0.11009156330040971</v>
      </c>
      <c r="M157" s="141">
        <f t="shared" ref="M157:V157" si="213">IF(M20=0,0,M20/M47)</f>
        <v>0.10933062967702191</v>
      </c>
      <c r="N157" s="141">
        <f t="shared" si="213"/>
        <v>0.10949324974930584</v>
      </c>
      <c r="O157" s="141">
        <f t="shared" si="213"/>
        <v>0.10946627951665164</v>
      </c>
      <c r="P157" s="141">
        <f t="shared" si="213"/>
        <v>0.10609636172881005</v>
      </c>
      <c r="Q157" s="141">
        <f t="shared" si="213"/>
        <v>0.10584461889840661</v>
      </c>
      <c r="R157" s="141">
        <f t="shared" si="213"/>
        <v>0.10657603215200606</v>
      </c>
      <c r="S157" s="141">
        <f t="shared" si="213"/>
        <v>0.10645846977978816</v>
      </c>
      <c r="T157" s="141">
        <f t="shared" si="213"/>
        <v>0.10733117464146442</v>
      </c>
      <c r="U157" s="141">
        <f t="shared" si="213"/>
        <v>0.10707846613112612</v>
      </c>
      <c r="V157" s="141">
        <f t="shared" si="213"/>
        <v>0.10839159291177215</v>
      </c>
      <c r="W157" s="141">
        <f t="shared" ref="W157:Y157" si="214">IF(W20=0,0,W20/W47)</f>
        <v>0.10939205130706871</v>
      </c>
      <c r="X157" s="141">
        <f t="shared" si="214"/>
        <v>0.11034661450477329</v>
      </c>
      <c r="Y157" s="141">
        <f t="shared" si="214"/>
        <v>0.11117641938918195</v>
      </c>
      <c r="DA157" s="174" t="s">
        <v>568</v>
      </c>
    </row>
    <row r="158" spans="1:105" ht="11.45" customHeight="1" x14ac:dyDescent="0.25">
      <c r="A158" s="111" t="s">
        <v>110</v>
      </c>
      <c r="B158" s="96">
        <v>9.6995200893121664E-2</v>
      </c>
      <c r="C158" s="96">
        <v>9.3858557570410561E-2</v>
      </c>
      <c r="D158" s="96">
        <v>9.3544121801590913E-2</v>
      </c>
      <c r="E158" s="96">
        <v>9.3588126536666844E-2</v>
      </c>
      <c r="F158" s="96">
        <v>9.3472320844615278E-2</v>
      </c>
      <c r="G158" s="96">
        <v>9.2962537291716038E-2</v>
      </c>
      <c r="H158" s="96">
        <v>9.2994410564351523E-2</v>
      </c>
      <c r="I158" s="96">
        <v>9.3331190337902048E-2</v>
      </c>
      <c r="J158" s="96">
        <v>9.434052011386114E-2</v>
      </c>
      <c r="K158" s="96">
        <v>9.3835944691146436E-2</v>
      </c>
      <c r="L158" s="96">
        <v>9.2498770697741303E-2</v>
      </c>
      <c r="M158" s="96">
        <v>9.2829312405222575E-2</v>
      </c>
      <c r="N158" s="96">
        <v>9.1950314562442473E-2</v>
      </c>
      <c r="O158" s="96">
        <v>9.1744898015546889E-2</v>
      </c>
      <c r="P158" s="96">
        <v>8.2049225114651417E-2</v>
      </c>
      <c r="Q158" s="96">
        <v>8.2116163013966459E-2</v>
      </c>
      <c r="R158" s="96">
        <v>8.2823867962237882E-2</v>
      </c>
      <c r="S158" s="96">
        <v>8.2865282876840599E-2</v>
      </c>
      <c r="T158" s="96">
        <v>8.368845465578216E-2</v>
      </c>
      <c r="U158" s="96">
        <v>8.3653776904272642E-2</v>
      </c>
      <c r="V158" s="96">
        <v>8.4512720384139817E-2</v>
      </c>
      <c r="W158" s="96">
        <v>8.5398712687445838E-2</v>
      </c>
      <c r="X158" s="96">
        <v>8.6287807846058426E-2</v>
      </c>
      <c r="Y158" s="96">
        <v>8.717521893021371E-2</v>
      </c>
      <c r="DA158" s="171" t="s">
        <v>569</v>
      </c>
    </row>
    <row r="159" spans="1:105" ht="11.45" customHeight="1" x14ac:dyDescent="0.25">
      <c r="A159" s="111" t="s">
        <v>111</v>
      </c>
      <c r="B159" s="96">
        <v>0.11266715375682217</v>
      </c>
      <c r="C159" s="96">
        <v>0.1126937648758379</v>
      </c>
      <c r="D159" s="96">
        <v>0.11243225980276841</v>
      </c>
      <c r="E159" s="96">
        <v>0.11223111845103165</v>
      </c>
      <c r="F159" s="96">
        <v>0.11239786396687447</v>
      </c>
      <c r="G159" s="96">
        <v>0.1125510414327217</v>
      </c>
      <c r="H159" s="96">
        <v>0.11213430523880177</v>
      </c>
      <c r="I159" s="96">
        <v>0.11083129390173706</v>
      </c>
      <c r="J159" s="96">
        <v>0.11000890323286325</v>
      </c>
      <c r="K159" s="96">
        <v>0.10911624286586909</v>
      </c>
      <c r="L159" s="96">
        <v>0.1106417200384131</v>
      </c>
      <c r="M159" s="96">
        <v>0.1097892620826816</v>
      </c>
      <c r="N159" s="96">
        <v>0.10996325574155756</v>
      </c>
      <c r="O159" s="96">
        <v>0.10993648318574611</v>
      </c>
      <c r="P159" s="96">
        <v>0.10671630818375412</v>
      </c>
      <c r="Q159" s="96">
        <v>0.10641686297756914</v>
      </c>
      <c r="R159" s="96">
        <v>0.10712061023973642</v>
      </c>
      <c r="S159" s="96">
        <v>0.10696110278464423</v>
      </c>
      <c r="T159" s="96">
        <v>0.10780887854133403</v>
      </c>
      <c r="U159" s="96">
        <v>0.10754996142736502</v>
      </c>
      <c r="V159" s="96">
        <v>0.1088728890972339</v>
      </c>
      <c r="W159" s="96">
        <v>0.10990407754378996</v>
      </c>
      <c r="X159" s="96">
        <v>0.11094930453198749</v>
      </c>
      <c r="Y159" s="96">
        <v>0.11186749685539914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0.10093714780769333</v>
      </c>
      <c r="T160" s="96">
        <v>0.10177877256994605</v>
      </c>
      <c r="U160" s="96">
        <v>0.10157591529659193</v>
      </c>
      <c r="V160" s="96">
        <v>0.10279072209796211</v>
      </c>
      <c r="W160" s="96">
        <v>0.10378176888617353</v>
      </c>
      <c r="X160" s="96">
        <v>0.10478440417908159</v>
      </c>
      <c r="Y160" s="96">
        <v>0.10568654788095072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X161" s="96">
        <v>0</v>
      </c>
      <c r="Y161" s="96">
        <v>0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0.10769212291733117</v>
      </c>
      <c r="K162" s="96">
        <v>0.10711316396983461</v>
      </c>
      <c r="L162" s="96">
        <v>0.10531581959577284</v>
      </c>
      <c r="M162" s="96">
        <v>0.10486585602945668</v>
      </c>
      <c r="N162" s="96">
        <v>0.10476918208356829</v>
      </c>
      <c r="O162" s="96">
        <v>0.10445831521559718</v>
      </c>
      <c r="P162" s="96">
        <v>0.1044481444291751</v>
      </c>
      <c r="Q162" s="96">
        <v>0.10418295962914283</v>
      </c>
      <c r="R162" s="96">
        <v>0.10456682380577995</v>
      </c>
      <c r="S162" s="96">
        <v>0.10458922939441725</v>
      </c>
      <c r="T162" s="96">
        <v>0.10503324684451032</v>
      </c>
      <c r="U162" s="96">
        <v>0.10505190479569122</v>
      </c>
      <c r="V162" s="96">
        <v>0.10551283700682988</v>
      </c>
      <c r="W162" s="96">
        <v>0.10598548814369224</v>
      </c>
      <c r="X162" s="96">
        <v>0.10645698606345669</v>
      </c>
      <c r="Y162" s="96">
        <v>0.10692483068901891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2.9322916666666665</v>
      </c>
      <c r="C163" s="130">
        <f t="shared" si="215"/>
        <v>2.9322916666666665</v>
      </c>
      <c r="D163" s="130">
        <f t="shared" si="215"/>
        <v>2.9322916666666665</v>
      </c>
      <c r="E163" s="130">
        <f t="shared" si="215"/>
        <v>2.932291666666667</v>
      </c>
      <c r="F163" s="130">
        <f t="shared" si="215"/>
        <v>2.9322916666666665</v>
      </c>
      <c r="G163" s="130">
        <f t="shared" si="215"/>
        <v>2.9322916666666665</v>
      </c>
      <c r="H163" s="130">
        <f t="shared" si="215"/>
        <v>2.9322916666666665</v>
      </c>
      <c r="I163" s="130">
        <f t="shared" si="215"/>
        <v>2.932291666666667</v>
      </c>
      <c r="J163" s="130">
        <f t="shared" si="215"/>
        <v>2.9322916666666661</v>
      </c>
      <c r="K163" s="130">
        <f t="shared" si="215"/>
        <v>2.9322916666666665</v>
      </c>
      <c r="L163" s="130">
        <f t="shared" ref="L163" si="216">IF(L26=0,0,L26/L53)</f>
        <v>2.9322916666666665</v>
      </c>
      <c r="M163" s="130">
        <f t="shared" ref="M163:V163" si="217">IF(M26=0,0,M26/M53)</f>
        <v>2.9322916666666665</v>
      </c>
      <c r="N163" s="130">
        <f t="shared" si="217"/>
        <v>2.9322916666666665</v>
      </c>
      <c r="O163" s="130">
        <f t="shared" si="217"/>
        <v>2.9322916666666665</v>
      </c>
      <c r="P163" s="130">
        <f t="shared" si="217"/>
        <v>2.9322916666666665</v>
      </c>
      <c r="Q163" s="130">
        <f t="shared" si="217"/>
        <v>2.9322916666666665</v>
      </c>
      <c r="R163" s="130">
        <f t="shared" si="217"/>
        <v>2.9322916666666665</v>
      </c>
      <c r="S163" s="130">
        <f t="shared" si="217"/>
        <v>2.9322916666666665</v>
      </c>
      <c r="T163" s="130">
        <f t="shared" si="217"/>
        <v>2.932291666666667</v>
      </c>
      <c r="U163" s="130">
        <f t="shared" si="217"/>
        <v>2.9322916666666665</v>
      </c>
      <c r="V163" s="130">
        <f t="shared" si="217"/>
        <v>2.9322916666666665</v>
      </c>
      <c r="W163" s="130">
        <f t="shared" ref="W163:Y163" si="218">IF(W26=0,0,W26/W53)</f>
        <v>2.9322916666666665</v>
      </c>
      <c r="X163" s="130">
        <f t="shared" si="218"/>
        <v>2.9322916666666665</v>
      </c>
      <c r="Y163" s="130">
        <f t="shared" si="218"/>
        <v>2.9322916666666665</v>
      </c>
      <c r="DA163" s="176" t="s">
        <v>574</v>
      </c>
    </row>
    <row r="164" spans="1:105" ht="11.45" customHeight="1" x14ac:dyDescent="0.25">
      <c r="A164" s="128" t="s">
        <v>27</v>
      </c>
      <c r="B164" s="97">
        <v>2.9322916666666665</v>
      </c>
      <c r="C164" s="97">
        <v>2.9322916666666665</v>
      </c>
      <c r="D164" s="97">
        <v>2.9322916666666665</v>
      </c>
      <c r="E164" s="97">
        <v>2.932291666666667</v>
      </c>
      <c r="F164" s="97">
        <v>2.9322916666666665</v>
      </c>
      <c r="G164" s="97">
        <v>2.9322916666666665</v>
      </c>
      <c r="H164" s="97">
        <v>2.9322916666666665</v>
      </c>
      <c r="I164" s="97">
        <v>2.932291666666667</v>
      </c>
      <c r="J164" s="97">
        <v>2.9322916666666661</v>
      </c>
      <c r="K164" s="97">
        <v>2.9322916666666665</v>
      </c>
      <c r="L164" s="97">
        <v>2.9322916666666665</v>
      </c>
      <c r="M164" s="97">
        <v>2.9322916666666665</v>
      </c>
      <c r="N164" s="97">
        <v>2.9322916666666665</v>
      </c>
      <c r="O164" s="97">
        <v>2.9322916666666665</v>
      </c>
      <c r="P164" s="97">
        <v>2.9322916666666665</v>
      </c>
      <c r="Q164" s="97">
        <v>2.9322916666666665</v>
      </c>
      <c r="R164" s="97">
        <v>2.9322916666666665</v>
      </c>
      <c r="S164" s="97">
        <v>2.9322916666666665</v>
      </c>
      <c r="T164" s="97">
        <v>2.932291666666667</v>
      </c>
      <c r="U164" s="97">
        <v>2.9322916666666665</v>
      </c>
      <c r="V164" s="97">
        <v>2.9322916666666665</v>
      </c>
      <c r="W164" s="97">
        <v>2.9322916666666665</v>
      </c>
      <c r="X164" s="97">
        <v>2.9322916666666665</v>
      </c>
      <c r="Y164" s="97">
        <v>2.9322916666666665</v>
      </c>
      <c r="DA164" s="175" t="s">
        <v>575</v>
      </c>
    </row>
    <row r="165" spans="1:105" ht="11.45" customHeight="1" x14ac:dyDescent="0.25">
      <c r="A165" s="138" t="s">
        <v>116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8580.9208140209121</v>
      </c>
      <c r="C167" s="54">
        <f t="shared" si="219"/>
        <v>8360.3654326310461</v>
      </c>
      <c r="D167" s="54">
        <f t="shared" si="219"/>
        <v>7625.2464487143434</v>
      </c>
      <c r="E167" s="54">
        <f t="shared" si="219"/>
        <v>8126.9688225970458</v>
      </c>
      <c r="F167" s="54">
        <f t="shared" si="219"/>
        <v>8406.1343439103475</v>
      </c>
      <c r="G167" s="54">
        <f t="shared" si="219"/>
        <v>8357.0811463229566</v>
      </c>
      <c r="H167" s="54">
        <f t="shared" si="219"/>
        <v>8404.0054807035049</v>
      </c>
      <c r="I167" s="54">
        <f t="shared" si="219"/>
        <v>8190.6385502808898</v>
      </c>
      <c r="J167" s="54">
        <f t="shared" si="219"/>
        <v>8655.2878243032501</v>
      </c>
      <c r="K167" s="54">
        <f t="shared" si="219"/>
        <v>8794.4849034506788</v>
      </c>
      <c r="L167" s="54">
        <f t="shared" si="219"/>
        <v>8342.6635217410367</v>
      </c>
      <c r="M167" s="54">
        <f>IF(M30=0,0,M30*1000000/M57)</f>
        <v>8294.3013972827557</v>
      </c>
      <c r="N167" s="54">
        <f t="shared" ref="N167:V167" si="220">IF(N30=0,0,N30*1000000/N57)</f>
        <v>8259.8083512546254</v>
      </c>
      <c r="O167" s="54">
        <f t="shared" si="220"/>
        <v>8264.2872847061662</v>
      </c>
      <c r="P167" s="54">
        <f t="shared" si="220"/>
        <v>8414.6203025628456</v>
      </c>
      <c r="Q167" s="54">
        <f t="shared" si="220"/>
        <v>8453.4145759880867</v>
      </c>
      <c r="R167" s="54">
        <f t="shared" si="220"/>
        <v>8391.5683522474519</v>
      </c>
      <c r="S167" s="54">
        <f t="shared" si="220"/>
        <v>8099.7234605528738</v>
      </c>
      <c r="T167" s="54">
        <f t="shared" si="220"/>
        <v>7980.3625640944174</v>
      </c>
      <c r="U167" s="54">
        <f t="shared" si="220"/>
        <v>7830.8348694521464</v>
      </c>
      <c r="V167" s="54">
        <f t="shared" si="220"/>
        <v>7011.5762566283338</v>
      </c>
      <c r="W167" s="54">
        <f t="shared" ref="W167:Y191" si="221">IF(W30=0,0,W30*1000000/W57)</f>
        <v>7142.8245040894835</v>
      </c>
      <c r="X167" s="54">
        <f t="shared" si="221"/>
        <v>7055.5905237308189</v>
      </c>
      <c r="Y167" s="54">
        <f t="shared" si="221"/>
        <v>7042.5303142629346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7444.5625119353317</v>
      </c>
      <c r="C168" s="28">
        <f t="shared" si="219"/>
        <v>7316.5005759668738</v>
      </c>
      <c r="D168" s="28">
        <f t="shared" si="219"/>
        <v>7379.0511345405621</v>
      </c>
      <c r="E168" s="28">
        <f t="shared" si="219"/>
        <v>7434.8962175758597</v>
      </c>
      <c r="F168" s="28">
        <f t="shared" si="219"/>
        <v>7197.3796903043312</v>
      </c>
      <c r="G168" s="28">
        <f t="shared" si="219"/>
        <v>7913.7345504667783</v>
      </c>
      <c r="H168" s="28">
        <f t="shared" si="219"/>
        <v>7995.8817113491486</v>
      </c>
      <c r="I168" s="28">
        <f t="shared" si="219"/>
        <v>7563.7941998599281</v>
      </c>
      <c r="J168" s="28">
        <f t="shared" si="219"/>
        <v>8045.4672700457922</v>
      </c>
      <c r="K168" s="28">
        <f t="shared" si="219"/>
        <v>8177.4940131459007</v>
      </c>
      <c r="L168" s="28">
        <f t="shared" si="219"/>
        <v>7902.6912149727668</v>
      </c>
      <c r="M168" s="28">
        <f t="shared" ref="M168:M192" si="222">IF(M31=0,0,M31*1000000/M58)</f>
        <v>7847.7624389913562</v>
      </c>
      <c r="N168" s="28">
        <f t="shared" si="219"/>
        <v>7855.0930017196406</v>
      </c>
      <c r="O168" s="28">
        <f t="shared" si="219"/>
        <v>7859.9609140748253</v>
      </c>
      <c r="P168" s="28">
        <f t="shared" si="219"/>
        <v>8012.449646149551</v>
      </c>
      <c r="Q168" s="28">
        <f t="shared" si="219"/>
        <v>8072.4610497266503</v>
      </c>
      <c r="R168" s="28">
        <f t="shared" si="219"/>
        <v>8048.4163442394456</v>
      </c>
      <c r="S168" s="28">
        <f t="shared" si="219"/>
        <v>7720.8611346483667</v>
      </c>
      <c r="T168" s="28">
        <f t="shared" si="219"/>
        <v>7651.9126348876398</v>
      </c>
      <c r="U168" s="28">
        <f t="shared" si="219"/>
        <v>7467.8747914173464</v>
      </c>
      <c r="V168" s="28">
        <f t="shared" si="219"/>
        <v>6603.3219595616983</v>
      </c>
      <c r="W168" s="28">
        <f t="shared" si="221"/>
        <v>6814.9135359520033</v>
      </c>
      <c r="X168" s="28">
        <f t="shared" si="221"/>
        <v>6774.7593226687768</v>
      </c>
      <c r="Y168" s="28">
        <f t="shared" si="221"/>
        <v>6812.6813011594795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2351.6251192641535</v>
      </c>
      <c r="C169" s="137">
        <f t="shared" si="219"/>
        <v>2348.2464687925767</v>
      </c>
      <c r="D169" s="137">
        <f t="shared" si="219"/>
        <v>2347.0517642606501</v>
      </c>
      <c r="E169" s="137">
        <f t="shared" si="219"/>
        <v>2349.527595088447</v>
      </c>
      <c r="F169" s="137">
        <f t="shared" si="219"/>
        <v>2333.1677829492564</v>
      </c>
      <c r="G169" s="137">
        <f t="shared" si="219"/>
        <v>2324.1187024085607</v>
      </c>
      <c r="H169" s="137">
        <f t="shared" si="219"/>
        <v>2324.8526296644982</v>
      </c>
      <c r="I169" s="137">
        <f t="shared" si="219"/>
        <v>2324.5113190746097</v>
      </c>
      <c r="J169" s="137">
        <f t="shared" si="219"/>
        <v>2323.6709279008292</v>
      </c>
      <c r="K169" s="137">
        <f t="shared" si="219"/>
        <v>2303.5410238916093</v>
      </c>
      <c r="L169" s="137">
        <f t="shared" si="219"/>
        <v>2416.9411076479269</v>
      </c>
      <c r="M169" s="137">
        <f t="shared" si="222"/>
        <v>2432.9079806383565</v>
      </c>
      <c r="N169" s="137">
        <f t="shared" si="219"/>
        <v>2429.0151396740216</v>
      </c>
      <c r="O169" s="137">
        <f t="shared" si="219"/>
        <v>2421.544481376875</v>
      </c>
      <c r="P169" s="137">
        <f t="shared" si="219"/>
        <v>2418.1144972942184</v>
      </c>
      <c r="Q169" s="137">
        <f t="shared" si="219"/>
        <v>2292.3622713010882</v>
      </c>
      <c r="R169" s="137">
        <f t="shared" si="219"/>
        <v>2149.515857055384</v>
      </c>
      <c r="S169" s="137">
        <f t="shared" si="219"/>
        <v>1858.5405940477367</v>
      </c>
      <c r="T169" s="137">
        <f t="shared" si="219"/>
        <v>1611.9386011759659</v>
      </c>
      <c r="U169" s="137">
        <f t="shared" si="219"/>
        <v>1555.7425786743854</v>
      </c>
      <c r="V169" s="137">
        <f t="shared" si="219"/>
        <v>1329.1144311976173</v>
      </c>
      <c r="W169" s="137">
        <f t="shared" si="221"/>
        <v>1257.6865773464215</v>
      </c>
      <c r="X169" s="137">
        <f t="shared" si="221"/>
        <v>1158.7892072245097</v>
      </c>
      <c r="Y169" s="137">
        <f t="shared" si="221"/>
        <v>1174.9563119855459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7683.4269201946663</v>
      </c>
      <c r="C170" s="110">
        <f t="shared" si="219"/>
        <v>7546.1073117389369</v>
      </c>
      <c r="D170" s="110">
        <f t="shared" si="219"/>
        <v>7615.0554760316472</v>
      </c>
      <c r="E170" s="110">
        <f t="shared" si="219"/>
        <v>7671.6844656908934</v>
      </c>
      <c r="F170" s="110">
        <f t="shared" si="219"/>
        <v>7392.6187947711669</v>
      </c>
      <c r="G170" s="110">
        <f t="shared" si="219"/>
        <v>8140.2496480506725</v>
      </c>
      <c r="H170" s="110">
        <f t="shared" si="219"/>
        <v>8225.1888185578719</v>
      </c>
      <c r="I170" s="110">
        <f t="shared" si="219"/>
        <v>7767.8403419804827</v>
      </c>
      <c r="J170" s="110">
        <f t="shared" si="219"/>
        <v>8312.7784175982015</v>
      </c>
      <c r="K170" s="110">
        <f t="shared" si="219"/>
        <v>8456.3177274290792</v>
      </c>
      <c r="L170" s="110">
        <f t="shared" si="219"/>
        <v>8119.0461752600822</v>
      </c>
      <c r="M170" s="110">
        <f t="shared" si="222"/>
        <v>8042.890875348563</v>
      </c>
      <c r="N170" s="110">
        <f t="shared" si="219"/>
        <v>8020.7960987083707</v>
      </c>
      <c r="O170" s="110">
        <f t="shared" si="219"/>
        <v>8038.8669622465568</v>
      </c>
      <c r="P170" s="110">
        <f t="shared" si="219"/>
        <v>8178.3720867636148</v>
      </c>
      <c r="Q170" s="110">
        <f t="shared" si="219"/>
        <v>8250.7357993626429</v>
      </c>
      <c r="R170" s="110">
        <f t="shared" si="219"/>
        <v>8293.8471722108079</v>
      </c>
      <c r="S170" s="110">
        <f t="shared" si="219"/>
        <v>7995.8121857854212</v>
      </c>
      <c r="T170" s="110">
        <f t="shared" si="219"/>
        <v>7982.7481083890589</v>
      </c>
      <c r="U170" s="110">
        <f t="shared" si="219"/>
        <v>7841.5980203822483</v>
      </c>
      <c r="V170" s="110">
        <f t="shared" si="219"/>
        <v>6991.3265459379309</v>
      </c>
      <c r="W170" s="110">
        <f t="shared" si="221"/>
        <v>7313.1487944517012</v>
      </c>
      <c r="X170" s="110">
        <f t="shared" si="221"/>
        <v>7316.3973596777159</v>
      </c>
      <c r="Y170" s="110">
        <f t="shared" si="221"/>
        <v>7384.9196546570656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7708.6875497031688</v>
      </c>
      <c r="C171" s="84">
        <f t="shared" si="219"/>
        <v>7544.4336813313903</v>
      </c>
      <c r="D171" s="84">
        <f t="shared" si="219"/>
        <v>7601.0568246738267</v>
      </c>
      <c r="E171" s="84">
        <f t="shared" si="219"/>
        <v>7621.3596686114997</v>
      </c>
      <c r="F171" s="84">
        <f t="shared" si="219"/>
        <v>7247.1192381410083</v>
      </c>
      <c r="G171" s="84">
        <f t="shared" si="219"/>
        <v>8102.4760234560681</v>
      </c>
      <c r="H171" s="84">
        <f t="shared" si="219"/>
        <v>8168.0674436745003</v>
      </c>
      <c r="I171" s="84">
        <f t="shared" si="219"/>
        <v>7587.030486130021</v>
      </c>
      <c r="J171" s="84">
        <f t="shared" si="219"/>
        <v>8204.9255511691117</v>
      </c>
      <c r="K171" s="84">
        <f t="shared" si="219"/>
        <v>8315.5839569400978</v>
      </c>
      <c r="L171" s="84">
        <f t="shared" si="219"/>
        <v>7511.3202604411827</v>
      </c>
      <c r="M171" s="84">
        <f t="shared" si="222"/>
        <v>7196.4919754525563</v>
      </c>
      <c r="N171" s="84">
        <f t="shared" si="219"/>
        <v>7025.5437668157274</v>
      </c>
      <c r="O171" s="84">
        <f t="shared" si="219"/>
        <v>6964.9288025741662</v>
      </c>
      <c r="P171" s="84">
        <f t="shared" si="219"/>
        <v>7136.3067113073557</v>
      </c>
      <c r="Q171" s="84">
        <f t="shared" si="219"/>
        <v>7122.738968675144</v>
      </c>
      <c r="R171" s="84">
        <f t="shared" si="219"/>
        <v>7118.9049300179349</v>
      </c>
      <c r="S171" s="84">
        <f t="shared" si="219"/>
        <v>7060.4296809601028</v>
      </c>
      <c r="T171" s="84">
        <f t="shared" si="219"/>
        <v>6794.4714148173853</v>
      </c>
      <c r="U171" s="84">
        <f t="shared" si="219"/>
        <v>6681.67310161569</v>
      </c>
      <c r="V171" s="84">
        <f t="shared" si="219"/>
        <v>6055.9214042780113</v>
      </c>
      <c r="W171" s="84">
        <f t="shared" si="221"/>
        <v>6239.3886759410398</v>
      </c>
      <c r="X171" s="84">
        <f t="shared" si="221"/>
        <v>6141.1859817937047</v>
      </c>
      <c r="Y171" s="84">
        <f t="shared" si="221"/>
        <v>6101.3172376759567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7532.9641584339424</v>
      </c>
      <c r="C172" s="84">
        <f t="shared" si="219"/>
        <v>7555.3172445574464</v>
      </c>
      <c r="D172" s="84">
        <f t="shared" si="219"/>
        <v>7689.3570200170889</v>
      </c>
      <c r="E172" s="84">
        <f t="shared" si="219"/>
        <v>7934.7013784771652</v>
      </c>
      <c r="F172" s="84">
        <f t="shared" si="219"/>
        <v>8142.1800544527432</v>
      </c>
      <c r="G172" s="84">
        <f t="shared" si="219"/>
        <v>8331.8813420209317</v>
      </c>
      <c r="H172" s="84">
        <f t="shared" si="219"/>
        <v>8515.5307088712525</v>
      </c>
      <c r="I172" s="84">
        <f t="shared" si="219"/>
        <v>8690.2299044791325</v>
      </c>
      <c r="J172" s="84">
        <f t="shared" si="219"/>
        <v>8858.7615915651877</v>
      </c>
      <c r="K172" s="84">
        <f t="shared" si="219"/>
        <v>9157.0552844515587</v>
      </c>
      <c r="L172" s="84">
        <f t="shared" si="219"/>
        <v>9660.5658789711943</v>
      </c>
      <c r="M172" s="84">
        <f t="shared" si="222"/>
        <v>10110.53743192207</v>
      </c>
      <c r="N172" s="84">
        <f t="shared" si="219"/>
        <v>10350.932068154163</v>
      </c>
      <c r="O172" s="84">
        <f t="shared" si="219"/>
        <v>10483.818117411742</v>
      </c>
      <c r="P172" s="84">
        <f t="shared" si="219"/>
        <v>10487.574063633125</v>
      </c>
      <c r="Q172" s="84">
        <f t="shared" si="219"/>
        <v>10724.346962545269</v>
      </c>
      <c r="R172" s="84">
        <f t="shared" si="219"/>
        <v>10776.692316204713</v>
      </c>
      <c r="S172" s="84">
        <f t="shared" si="219"/>
        <v>9942.1665525002445</v>
      </c>
      <c r="T172" s="84">
        <f t="shared" si="219"/>
        <v>10452.308252759882</v>
      </c>
      <c r="U172" s="84">
        <f t="shared" si="219"/>
        <v>10207.229481874883</v>
      </c>
      <c r="V172" s="84">
        <f t="shared" si="219"/>
        <v>8867.4085218349392</v>
      </c>
      <c r="W172" s="84">
        <f t="shared" si="221"/>
        <v>9482.4148644475008</v>
      </c>
      <c r="X172" s="84">
        <f t="shared" si="221"/>
        <v>9676.5744484209554</v>
      </c>
      <c r="Y172" s="84">
        <f t="shared" si="221"/>
        <v>9967.1898123725605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0</v>
      </c>
      <c r="I173" s="84">
        <f t="shared" si="219"/>
        <v>0</v>
      </c>
      <c r="J173" s="84">
        <f t="shared" si="219"/>
        <v>0</v>
      </c>
      <c r="K173" s="84">
        <f t="shared" si="219"/>
        <v>0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11329.461280861509</v>
      </c>
      <c r="S173" s="84">
        <f t="shared" si="219"/>
        <v>10575.304411936544</v>
      </c>
      <c r="T173" s="84">
        <f t="shared" si="219"/>
        <v>10873.877481132924</v>
      </c>
      <c r="U173" s="84">
        <f t="shared" si="219"/>
        <v>10351.920477693502</v>
      </c>
      <c r="V173" s="84">
        <f t="shared" si="219"/>
        <v>9008.564436345594</v>
      </c>
      <c r="W173" s="84">
        <f t="shared" si="221"/>
        <v>9727.805475770585</v>
      </c>
      <c r="X173" s="84">
        <f t="shared" si="221"/>
        <v>10024.313044893921</v>
      </c>
      <c r="Y173" s="84">
        <f t="shared" si="221"/>
        <v>10426.601136363588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X174" s="84">
        <f t="shared" si="221"/>
        <v>0</v>
      </c>
      <c r="Y174" s="84">
        <f t="shared" si="221"/>
        <v>0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14525.739890513978</v>
      </c>
      <c r="M175" s="84">
        <f t="shared" si="222"/>
        <v>12306.591375789798</v>
      </c>
      <c r="N175" s="84">
        <f t="shared" si="219"/>
        <v>11762.405911389931</v>
      </c>
      <c r="O175" s="84">
        <f t="shared" si="219"/>
        <v>9708.1877685394502</v>
      </c>
      <c r="P175" s="84">
        <f t="shared" si="219"/>
        <v>9593.3814344904386</v>
      </c>
      <c r="Q175" s="84">
        <f t="shared" si="219"/>
        <v>9946.3803314641627</v>
      </c>
      <c r="R175" s="84">
        <f t="shared" si="219"/>
        <v>10649.693604009819</v>
      </c>
      <c r="S175" s="84">
        <f t="shared" si="219"/>
        <v>10760.644798537496</v>
      </c>
      <c r="T175" s="84">
        <f t="shared" si="219"/>
        <v>11279.294292435297</v>
      </c>
      <c r="U175" s="84">
        <f t="shared" si="219"/>
        <v>11623.474969132574</v>
      </c>
      <c r="V175" s="84">
        <f t="shared" si="219"/>
        <v>10819.023052412189</v>
      </c>
      <c r="W175" s="84">
        <f t="shared" si="221"/>
        <v>11909.661246452917</v>
      </c>
      <c r="X175" s="84">
        <f t="shared" si="221"/>
        <v>12510.977013759459</v>
      </c>
      <c r="Y175" s="84">
        <f t="shared" si="221"/>
        <v>13265.738746540845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9339.8505907450108</v>
      </c>
      <c r="F176" s="84">
        <f t="shared" si="219"/>
        <v>9450.8472258070669</v>
      </c>
      <c r="G176" s="84">
        <f t="shared" si="219"/>
        <v>9755.7296212883721</v>
      </c>
      <c r="H176" s="84">
        <f t="shared" si="219"/>
        <v>9854.8811238123781</v>
      </c>
      <c r="I176" s="84">
        <f t="shared" si="219"/>
        <v>10063.77090026286</v>
      </c>
      <c r="J176" s="84">
        <f t="shared" si="219"/>
        <v>10180.078415879001</v>
      </c>
      <c r="K176" s="84">
        <f t="shared" si="219"/>
        <v>10235.606548578213</v>
      </c>
      <c r="L176" s="84">
        <f t="shared" si="219"/>
        <v>10440.210771333825</v>
      </c>
      <c r="M176" s="84">
        <f t="shared" si="222"/>
        <v>10486.497288120103</v>
      </c>
      <c r="N176" s="84">
        <f t="shared" si="219"/>
        <v>10495.657070975403</v>
      </c>
      <c r="O176" s="84">
        <f t="shared" si="219"/>
        <v>10503.476101867444</v>
      </c>
      <c r="P176" s="84">
        <f t="shared" si="219"/>
        <v>10545.440200444327</v>
      </c>
      <c r="Q176" s="84">
        <f t="shared" si="219"/>
        <v>10581.255671770386</v>
      </c>
      <c r="R176" s="84">
        <f t="shared" si="219"/>
        <v>10636.604138004366</v>
      </c>
      <c r="S176" s="84">
        <f t="shared" si="219"/>
        <v>10268.252278421933</v>
      </c>
      <c r="T176" s="84">
        <f t="shared" si="219"/>
        <v>10082.609027645944</v>
      </c>
      <c r="U176" s="84">
        <f t="shared" si="219"/>
        <v>10009.900699955098</v>
      </c>
      <c r="V176" s="84">
        <f t="shared" si="219"/>
        <v>9490.2182344001376</v>
      </c>
      <c r="W176" s="84">
        <f t="shared" si="221"/>
        <v>10004.64815461238</v>
      </c>
      <c r="X176" s="84">
        <f t="shared" si="221"/>
        <v>9543.807332190072</v>
      </c>
      <c r="Y176" s="84">
        <f t="shared" si="221"/>
        <v>9410.639306992307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19184.782594938682</v>
      </c>
      <c r="C177" s="110">
        <f t="shared" si="219"/>
        <v>19630.390685182025</v>
      </c>
      <c r="D177" s="110">
        <f t="shared" si="219"/>
        <v>19979.094839684753</v>
      </c>
      <c r="E177" s="110">
        <f t="shared" si="219"/>
        <v>20358.625946482291</v>
      </c>
      <c r="F177" s="110">
        <f t="shared" si="219"/>
        <v>20804.55181838182</v>
      </c>
      <c r="G177" s="110">
        <f t="shared" si="219"/>
        <v>20500.127914074044</v>
      </c>
      <c r="H177" s="110">
        <f t="shared" si="219"/>
        <v>21028.054697916825</v>
      </c>
      <c r="I177" s="110">
        <f t="shared" si="219"/>
        <v>21434.275485775961</v>
      </c>
      <c r="J177" s="110">
        <f t="shared" si="219"/>
        <v>22159.667497673257</v>
      </c>
      <c r="K177" s="110">
        <f t="shared" si="219"/>
        <v>20132.294705343982</v>
      </c>
      <c r="L177" s="110">
        <f t="shared" si="219"/>
        <v>21370.610480821178</v>
      </c>
      <c r="M177" s="110">
        <f t="shared" si="222"/>
        <v>25849.199847275519</v>
      </c>
      <c r="N177" s="110">
        <f t="shared" si="219"/>
        <v>30821.430739545176</v>
      </c>
      <c r="O177" s="110">
        <f t="shared" si="219"/>
        <v>32211.804719008793</v>
      </c>
      <c r="P177" s="110">
        <f t="shared" si="219"/>
        <v>38106.652219505704</v>
      </c>
      <c r="Q177" s="110">
        <f t="shared" si="219"/>
        <v>39809.384546072899</v>
      </c>
      <c r="R177" s="110">
        <f t="shared" si="219"/>
        <v>39123.246492985971</v>
      </c>
      <c r="S177" s="110">
        <f t="shared" si="219"/>
        <v>38647.342995169085</v>
      </c>
      <c r="T177" s="110">
        <f t="shared" si="219"/>
        <v>38792.61363636364</v>
      </c>
      <c r="U177" s="110">
        <f t="shared" si="219"/>
        <v>35797.802197802201</v>
      </c>
      <c r="V177" s="110">
        <f t="shared" si="219"/>
        <v>28937.893789378937</v>
      </c>
      <c r="W177" s="110">
        <f t="shared" si="221"/>
        <v>25561.29032258064</v>
      </c>
      <c r="X177" s="110">
        <f t="shared" si="221"/>
        <v>30400.333611342787</v>
      </c>
      <c r="Y177" s="110">
        <f t="shared" si="221"/>
        <v>32096.761295481807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18679.038076077235</v>
      </c>
      <c r="M178" s="102">
        <f t="shared" si="222"/>
        <v>18857.58249055027</v>
      </c>
      <c r="N178" s="102">
        <f t="shared" si="219"/>
        <v>19024.19551877095</v>
      </c>
      <c r="O178" s="102">
        <f t="shared" si="219"/>
        <v>19066.211830509252</v>
      </c>
      <c r="P178" s="102">
        <f t="shared" si="219"/>
        <v>19227.096268172423</v>
      </c>
      <c r="Q178" s="102">
        <f t="shared" si="219"/>
        <v>19269.166710796562</v>
      </c>
      <c r="R178" s="102">
        <f t="shared" si="219"/>
        <v>18542.184725117077</v>
      </c>
      <c r="S178" s="102">
        <f t="shared" si="219"/>
        <v>17939.31982143084</v>
      </c>
      <c r="T178" s="102">
        <f t="shared" si="219"/>
        <v>17649.927169106937</v>
      </c>
      <c r="U178" s="102">
        <f t="shared" si="219"/>
        <v>15897.604283040982</v>
      </c>
      <c r="V178" s="102">
        <f t="shared" si="219"/>
        <v>12460.883629520615</v>
      </c>
      <c r="W178" s="102">
        <f t="shared" si="221"/>
        <v>10720.043887881202</v>
      </c>
      <c r="X178" s="102">
        <f t="shared" si="221"/>
        <v>12603.262865449544</v>
      </c>
      <c r="Y178" s="102">
        <f t="shared" si="221"/>
        <v>13075.884508898711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19184.782594938682</v>
      </c>
      <c r="C179" s="102">
        <f t="shared" si="219"/>
        <v>19630.390685182025</v>
      </c>
      <c r="D179" s="102">
        <f t="shared" si="219"/>
        <v>19979.094839684753</v>
      </c>
      <c r="E179" s="102">
        <f t="shared" si="219"/>
        <v>20358.625946482291</v>
      </c>
      <c r="F179" s="102">
        <f t="shared" si="219"/>
        <v>20804.55181838182</v>
      </c>
      <c r="G179" s="102">
        <f t="shared" si="219"/>
        <v>20500.127914074044</v>
      </c>
      <c r="H179" s="102">
        <f t="shared" si="219"/>
        <v>21028.054697916825</v>
      </c>
      <c r="I179" s="102">
        <f t="shared" si="219"/>
        <v>21434.275485775961</v>
      </c>
      <c r="J179" s="102">
        <f t="shared" si="219"/>
        <v>22159.667497673257</v>
      </c>
      <c r="K179" s="102">
        <f t="shared" si="219"/>
        <v>20132.294705343982</v>
      </c>
      <c r="L179" s="102">
        <f t="shared" si="219"/>
        <v>21397.041633731922</v>
      </c>
      <c r="M179" s="102">
        <f t="shared" si="222"/>
        <v>25909.437791187567</v>
      </c>
      <c r="N179" s="102">
        <f t="shared" si="219"/>
        <v>30916.789453800862</v>
      </c>
      <c r="O179" s="102">
        <f t="shared" si="219"/>
        <v>32312.389008326329</v>
      </c>
      <c r="P179" s="102">
        <f t="shared" si="219"/>
        <v>38233.715972403072</v>
      </c>
      <c r="Q179" s="102">
        <f t="shared" si="219"/>
        <v>39915.152918036219</v>
      </c>
      <c r="R179" s="102">
        <f t="shared" si="219"/>
        <v>39226.877216892659</v>
      </c>
      <c r="S179" s="102">
        <f t="shared" si="219"/>
        <v>38747.867379507617</v>
      </c>
      <c r="T179" s="102">
        <f t="shared" si="219"/>
        <v>38902.385406086098</v>
      </c>
      <c r="U179" s="102">
        <f t="shared" si="219"/>
        <v>35898.513684874364</v>
      </c>
      <c r="V179" s="102">
        <f t="shared" si="219"/>
        <v>28998.777495987186</v>
      </c>
      <c r="W179" s="102">
        <f t="shared" si="221"/>
        <v>25572.063600979021</v>
      </c>
      <c r="X179" s="102">
        <f t="shared" si="221"/>
        <v>30445.024811363019</v>
      </c>
      <c r="Y179" s="102">
        <f t="shared" si="221"/>
        <v>32091.844161953875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30445.024811363019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X181" s="102">
        <f t="shared" si="221"/>
        <v>0</v>
      </c>
      <c r="Y181" s="102">
        <f t="shared" si="221"/>
        <v>0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0</v>
      </c>
      <c r="Q182" s="102">
        <f t="shared" si="223"/>
        <v>0</v>
      </c>
      <c r="R182" s="102">
        <f t="shared" si="223"/>
        <v>0</v>
      </c>
      <c r="S182" s="102">
        <f t="shared" si="223"/>
        <v>0</v>
      </c>
      <c r="T182" s="102">
        <f t="shared" si="223"/>
        <v>39144.76827520306</v>
      </c>
      <c r="U182" s="102">
        <f t="shared" si="223"/>
        <v>38987.832598339242</v>
      </c>
      <c r="V182" s="102">
        <f t="shared" si="223"/>
        <v>33238.162627587917</v>
      </c>
      <c r="W182" s="102">
        <f t="shared" si="221"/>
        <v>38336.760624391361</v>
      </c>
      <c r="X182" s="102">
        <f t="shared" si="221"/>
        <v>38670.536019243715</v>
      </c>
      <c r="Y182" s="102">
        <f t="shared" si="221"/>
        <v>38775.672180260313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14261.407098975485</v>
      </c>
      <c r="C183" s="28">
        <f t="shared" si="223"/>
        <v>13763.259790344466</v>
      </c>
      <c r="D183" s="28">
        <f t="shared" si="223"/>
        <v>8939.6313648723954</v>
      </c>
      <c r="E183" s="28">
        <f t="shared" si="223"/>
        <v>11896.752115189965</v>
      </c>
      <c r="F183" s="28">
        <f t="shared" si="223"/>
        <v>15060.13585958176</v>
      </c>
      <c r="G183" s="28">
        <f t="shared" si="223"/>
        <v>10813.990029243134</v>
      </c>
      <c r="H183" s="28">
        <f t="shared" si="223"/>
        <v>10675.095523473805</v>
      </c>
      <c r="I183" s="28">
        <f t="shared" si="223"/>
        <v>11710.848053853942</v>
      </c>
      <c r="J183" s="28">
        <f t="shared" si="223"/>
        <v>12124.339003494415</v>
      </c>
      <c r="K183" s="28">
        <f t="shared" si="223"/>
        <v>12462.570259229315</v>
      </c>
      <c r="L183" s="28">
        <f t="shared" si="223"/>
        <v>11077.553699205873</v>
      </c>
      <c r="M183" s="28">
        <f t="shared" si="222"/>
        <v>11150.301192698018</v>
      </c>
      <c r="N183" s="28">
        <f t="shared" si="223"/>
        <v>10868.368510970717</v>
      </c>
      <c r="O183" s="28">
        <f t="shared" si="223"/>
        <v>10907.772864563836</v>
      </c>
      <c r="P183" s="28">
        <f t="shared" si="223"/>
        <v>11123.21601752439</v>
      </c>
      <c r="Q183" s="28">
        <f t="shared" si="223"/>
        <v>11061.780944702125</v>
      </c>
      <c r="R183" s="28">
        <f t="shared" si="223"/>
        <v>10777.061468856791</v>
      </c>
      <c r="S183" s="28">
        <f t="shared" si="223"/>
        <v>10734.699312629438</v>
      </c>
      <c r="T183" s="28">
        <f t="shared" si="223"/>
        <v>10252.017749871344</v>
      </c>
      <c r="U183" s="28">
        <f t="shared" si="223"/>
        <v>10321.948867392672</v>
      </c>
      <c r="V183" s="28">
        <f t="shared" si="223"/>
        <v>9766.9358260699537</v>
      </c>
      <c r="W183" s="28">
        <f t="shared" si="221"/>
        <v>9374.9018309877683</v>
      </c>
      <c r="X183" s="28">
        <f t="shared" si="221"/>
        <v>8980.0480178706221</v>
      </c>
      <c r="Y183" s="28">
        <f t="shared" si="221"/>
        <v>8619.883005316231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9127.4419548947062</v>
      </c>
      <c r="C184" s="137">
        <f t="shared" si="223"/>
        <v>9165.1765385253675</v>
      </c>
      <c r="D184" s="137">
        <f t="shared" si="223"/>
        <v>9279.56036269797</v>
      </c>
      <c r="E184" s="137">
        <f t="shared" si="223"/>
        <v>9364.4347716277571</v>
      </c>
      <c r="F184" s="137">
        <f t="shared" si="223"/>
        <v>9305.0531469673278</v>
      </c>
      <c r="G184" s="137">
        <f t="shared" si="223"/>
        <v>9258.2164527640252</v>
      </c>
      <c r="H184" s="137">
        <f t="shared" si="223"/>
        <v>9429.3358944385473</v>
      </c>
      <c r="I184" s="137">
        <f t="shared" si="223"/>
        <v>9976.5662517426626</v>
      </c>
      <c r="J184" s="137">
        <f t="shared" si="223"/>
        <v>10332.64148095941</v>
      </c>
      <c r="K184" s="137">
        <f t="shared" si="223"/>
        <v>10764.666925075784</v>
      </c>
      <c r="L184" s="137">
        <f t="shared" si="223"/>
        <v>10089.102737403324</v>
      </c>
      <c r="M184" s="137">
        <f t="shared" si="222"/>
        <v>10481.135422699503</v>
      </c>
      <c r="N184" s="137">
        <f t="shared" si="223"/>
        <v>10429.383675382649</v>
      </c>
      <c r="O184" s="137">
        <f t="shared" si="223"/>
        <v>10447.792211814074</v>
      </c>
      <c r="P184" s="137">
        <f t="shared" si="223"/>
        <v>10915.376559116741</v>
      </c>
      <c r="Q184" s="137">
        <f t="shared" si="223"/>
        <v>11072.21955896313</v>
      </c>
      <c r="R184" s="137">
        <f t="shared" si="223"/>
        <v>10716.725601388322</v>
      </c>
      <c r="S184" s="137">
        <f t="shared" si="223"/>
        <v>10803.126288023037</v>
      </c>
      <c r="T184" s="137">
        <f t="shared" si="223"/>
        <v>10388.503203346079</v>
      </c>
      <c r="U184" s="137">
        <f t="shared" si="223"/>
        <v>10508.22958452947</v>
      </c>
      <c r="V184" s="137">
        <f t="shared" si="223"/>
        <v>9889.8181926678753</v>
      </c>
      <c r="W184" s="137">
        <f t="shared" si="221"/>
        <v>9427.1500433929032</v>
      </c>
      <c r="X184" s="137">
        <f t="shared" si="221"/>
        <v>8970.4518476104095</v>
      </c>
      <c r="Y184" s="137">
        <f t="shared" si="221"/>
        <v>8586.2577063986446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5090.8294560032109</v>
      </c>
      <c r="C185" s="84">
        <f t="shared" si="223"/>
        <v>6000.2646295264849</v>
      </c>
      <c r="D185" s="84">
        <f t="shared" si="223"/>
        <v>6101.7902115189772</v>
      </c>
      <c r="E185" s="84">
        <f t="shared" si="223"/>
        <v>6087.4585175278107</v>
      </c>
      <c r="F185" s="84">
        <f t="shared" si="223"/>
        <v>6125.2617572473464</v>
      </c>
      <c r="G185" s="84">
        <f t="shared" si="223"/>
        <v>6295.060946060682</v>
      </c>
      <c r="H185" s="84">
        <f t="shared" si="223"/>
        <v>6284.2803679304989</v>
      </c>
      <c r="I185" s="84">
        <f t="shared" si="223"/>
        <v>6171.7135186763044</v>
      </c>
      <c r="J185" s="84">
        <f t="shared" si="223"/>
        <v>5848.553290371281</v>
      </c>
      <c r="K185" s="84">
        <f t="shared" si="223"/>
        <v>6007.4979275222686</v>
      </c>
      <c r="L185" s="84">
        <f t="shared" si="223"/>
        <v>6454.4609481558746</v>
      </c>
      <c r="M185" s="84">
        <f t="shared" si="222"/>
        <v>6340.3628789294844</v>
      </c>
      <c r="N185" s="84">
        <f t="shared" si="223"/>
        <v>6649.2656812210698</v>
      </c>
      <c r="O185" s="84">
        <f t="shared" si="223"/>
        <v>6724.0381911408504</v>
      </c>
      <c r="P185" s="84">
        <f t="shared" si="223"/>
        <v>7052.1024631466626</v>
      </c>
      <c r="Q185" s="84">
        <f t="shared" si="223"/>
        <v>7023.4062883562001</v>
      </c>
      <c r="R185" s="84">
        <f t="shared" si="223"/>
        <v>6728.4261463966204</v>
      </c>
      <c r="S185" s="84">
        <f t="shared" si="223"/>
        <v>6711.6290761518685</v>
      </c>
      <c r="T185" s="84">
        <f t="shared" si="223"/>
        <v>6387.9762175668056</v>
      </c>
      <c r="U185" s="84">
        <f t="shared" si="223"/>
        <v>6401.2275251685769</v>
      </c>
      <c r="V185" s="84">
        <f t="shared" si="223"/>
        <v>6082.4791062605436</v>
      </c>
      <c r="W185" s="84">
        <f t="shared" si="221"/>
        <v>5773.4367516815009</v>
      </c>
      <c r="X185" s="84">
        <f t="shared" si="221"/>
        <v>5482.0608770839945</v>
      </c>
      <c r="Y185" s="84">
        <f t="shared" si="221"/>
        <v>5208.6574816827606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9379.6163704452847</v>
      </c>
      <c r="C186" s="84">
        <f t="shared" si="223"/>
        <v>9368.3861382354971</v>
      </c>
      <c r="D186" s="84">
        <f t="shared" si="223"/>
        <v>9477.8433059843774</v>
      </c>
      <c r="E186" s="84">
        <f t="shared" si="223"/>
        <v>9563.0795476822677</v>
      </c>
      <c r="F186" s="84">
        <f t="shared" si="223"/>
        <v>9492.3541656948128</v>
      </c>
      <c r="G186" s="84">
        <f t="shared" si="223"/>
        <v>9427.9361732741036</v>
      </c>
      <c r="H186" s="84">
        <f t="shared" si="223"/>
        <v>9604.433194881778</v>
      </c>
      <c r="I186" s="84">
        <f t="shared" si="223"/>
        <v>10182.448116480824</v>
      </c>
      <c r="J186" s="84">
        <f t="shared" si="223"/>
        <v>10568.784648355848</v>
      </c>
      <c r="K186" s="84">
        <f t="shared" si="223"/>
        <v>11008.222632394491</v>
      </c>
      <c r="L186" s="84">
        <f t="shared" si="223"/>
        <v>10269.980749902898</v>
      </c>
      <c r="M186" s="84">
        <f t="shared" si="222"/>
        <v>10674.926477721827</v>
      </c>
      <c r="N186" s="84">
        <f t="shared" si="223"/>
        <v>10590.73921873226</v>
      </c>
      <c r="O186" s="84">
        <f t="shared" si="223"/>
        <v>10603.641181864297</v>
      </c>
      <c r="P186" s="84">
        <f t="shared" si="223"/>
        <v>11072.680528735465</v>
      </c>
      <c r="Q186" s="84">
        <f t="shared" si="223"/>
        <v>11229.346182733974</v>
      </c>
      <c r="R186" s="84">
        <f t="shared" si="223"/>
        <v>10865.295498280962</v>
      </c>
      <c r="S186" s="84">
        <f t="shared" si="223"/>
        <v>10946.552717764695</v>
      </c>
      <c r="T186" s="84">
        <f t="shared" si="223"/>
        <v>10522.867221704355</v>
      </c>
      <c r="U186" s="84">
        <f t="shared" si="223"/>
        <v>10650.142965343513</v>
      </c>
      <c r="V186" s="84">
        <f t="shared" si="223"/>
        <v>10018.622067811411</v>
      </c>
      <c r="W186" s="84">
        <f t="shared" si="221"/>
        <v>9557.3547235324859</v>
      </c>
      <c r="X186" s="84">
        <f t="shared" si="221"/>
        <v>9115.5695954420607</v>
      </c>
      <c r="Y186" s="84">
        <f t="shared" si="221"/>
        <v>8747.5640358700512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9887.821807361488</v>
      </c>
      <c r="T187" s="84">
        <f t="shared" si="223"/>
        <v>9489.1444706699676</v>
      </c>
      <c r="U187" s="84">
        <f t="shared" si="223"/>
        <v>9587.9141052997802</v>
      </c>
      <c r="V187" s="84">
        <f t="shared" si="223"/>
        <v>9034.5863274236945</v>
      </c>
      <c r="W187" s="84">
        <f t="shared" si="221"/>
        <v>8611.3752305697399</v>
      </c>
      <c r="X187" s="84">
        <f t="shared" si="221"/>
        <v>8207.1924158525453</v>
      </c>
      <c r="Y187" s="84">
        <f t="shared" si="221"/>
        <v>7862.8373973232283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X188" s="84">
        <f t="shared" si="221"/>
        <v>0</v>
      </c>
      <c r="Y188" s="84">
        <f t="shared" si="221"/>
        <v>0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7706.935042922988</v>
      </c>
      <c r="K189" s="84">
        <f t="shared" si="223"/>
        <v>7917.4831907738844</v>
      </c>
      <c r="L189" s="84">
        <f t="shared" si="223"/>
        <v>8616.548367928006</v>
      </c>
      <c r="M189" s="84">
        <f t="shared" si="222"/>
        <v>8803.0031606698776</v>
      </c>
      <c r="N189" s="84">
        <f t="shared" si="223"/>
        <v>8843.6922742973675</v>
      </c>
      <c r="O189" s="84">
        <f t="shared" si="223"/>
        <v>8976.071536249774</v>
      </c>
      <c r="P189" s="84">
        <f t="shared" si="223"/>
        <v>8980.4426760361166</v>
      </c>
      <c r="Q189" s="84">
        <f t="shared" si="223"/>
        <v>9095.3190104186197</v>
      </c>
      <c r="R189" s="84">
        <f t="shared" si="223"/>
        <v>8929.5959172858438</v>
      </c>
      <c r="S189" s="84">
        <f t="shared" si="223"/>
        <v>8920.0353176296812</v>
      </c>
      <c r="T189" s="84">
        <f t="shared" si="223"/>
        <v>8733.0799387962925</v>
      </c>
      <c r="U189" s="84">
        <f t="shared" si="223"/>
        <v>8725.3274134755411</v>
      </c>
      <c r="V189" s="84">
        <f t="shared" si="223"/>
        <v>8536.4025654026209</v>
      </c>
      <c r="W189" s="84">
        <f t="shared" si="221"/>
        <v>8347.7487198979761</v>
      </c>
      <c r="X189" s="84">
        <f t="shared" si="221"/>
        <v>8164.5181134197292</v>
      </c>
      <c r="Y189" s="84">
        <f t="shared" si="221"/>
        <v>7987.45700593738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27531.549047473785</v>
      </c>
      <c r="C190" s="110">
        <f t="shared" si="223"/>
        <v>25612.344337144197</v>
      </c>
      <c r="D190" s="110">
        <f t="shared" si="223"/>
        <v>8060.2606228714631</v>
      </c>
      <c r="E190" s="110">
        <f t="shared" si="223"/>
        <v>18555.740448807977</v>
      </c>
      <c r="F190" s="110">
        <f t="shared" si="223"/>
        <v>30168.670685523688</v>
      </c>
      <c r="G190" s="110">
        <f t="shared" si="223"/>
        <v>14881.419223673282</v>
      </c>
      <c r="H190" s="110">
        <f t="shared" si="223"/>
        <v>14109.361157594256</v>
      </c>
      <c r="I190" s="110">
        <f t="shared" si="223"/>
        <v>16781.335621678008</v>
      </c>
      <c r="J190" s="110">
        <f t="shared" si="223"/>
        <v>17448.380742409252</v>
      </c>
      <c r="K190" s="110">
        <f t="shared" si="223"/>
        <v>17505.279410601437</v>
      </c>
      <c r="L190" s="110">
        <f t="shared" si="223"/>
        <v>14109.361157594254</v>
      </c>
      <c r="M190" s="110">
        <f t="shared" si="222"/>
        <v>13200.547649728605</v>
      </c>
      <c r="N190" s="110">
        <f t="shared" si="223"/>
        <v>12229.800315441969</v>
      </c>
      <c r="O190" s="110">
        <f t="shared" si="223"/>
        <v>12373.275538981723</v>
      </c>
      <c r="P190" s="110">
        <f t="shared" si="223"/>
        <v>11794.858433346319</v>
      </c>
      <c r="Q190" s="110">
        <f t="shared" si="223"/>
        <v>11027.901267675894</v>
      </c>
      <c r="R190" s="110">
        <f t="shared" si="223"/>
        <v>10971.557133386706</v>
      </c>
      <c r="S190" s="110">
        <f t="shared" si="223"/>
        <v>10513.163338712628</v>
      </c>
      <c r="T190" s="110">
        <f t="shared" si="223"/>
        <v>9801.6108270212735</v>
      </c>
      <c r="U190" s="110">
        <f t="shared" si="223"/>
        <v>9709.5701703382801</v>
      </c>
      <c r="V190" s="110">
        <f t="shared" si="223"/>
        <v>9367.1753669721274</v>
      </c>
      <c r="W190" s="110">
        <f t="shared" si="221"/>
        <v>9205.632554533584</v>
      </c>
      <c r="X190" s="110">
        <f t="shared" si="221"/>
        <v>9011.0118662825935</v>
      </c>
      <c r="Y190" s="110">
        <f t="shared" si="221"/>
        <v>8727.5761146492878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27531.549047473785</v>
      </c>
      <c r="C191" s="102">
        <f t="shared" si="223"/>
        <v>25612.344337144197</v>
      </c>
      <c r="D191" s="102">
        <f t="shared" si="223"/>
        <v>8060.2606228714631</v>
      </c>
      <c r="E191" s="102">
        <f t="shared" si="223"/>
        <v>18555.740448807977</v>
      </c>
      <c r="F191" s="102">
        <f t="shared" si="223"/>
        <v>30168.670685523688</v>
      </c>
      <c r="G191" s="102">
        <f t="shared" si="223"/>
        <v>14881.419223673282</v>
      </c>
      <c r="H191" s="102">
        <f t="shared" si="223"/>
        <v>14109.361157594256</v>
      </c>
      <c r="I191" s="102">
        <f t="shared" si="223"/>
        <v>16781.335621678008</v>
      </c>
      <c r="J191" s="102">
        <f t="shared" si="223"/>
        <v>17448.380742409252</v>
      </c>
      <c r="K191" s="102">
        <f t="shared" si="223"/>
        <v>17505.279410601437</v>
      </c>
      <c r="L191" s="102">
        <f t="shared" si="223"/>
        <v>14109.361157594254</v>
      </c>
      <c r="M191" s="102">
        <f t="shared" si="222"/>
        <v>13200.547649728605</v>
      </c>
      <c r="N191" s="102">
        <f t="shared" si="223"/>
        <v>12229.800315441969</v>
      </c>
      <c r="O191" s="102">
        <f t="shared" si="223"/>
        <v>12373.275538981723</v>
      </c>
      <c r="P191" s="102">
        <f t="shared" si="223"/>
        <v>11794.858433346319</v>
      </c>
      <c r="Q191" s="102">
        <f t="shared" si="223"/>
        <v>11027.901267675894</v>
      </c>
      <c r="R191" s="102">
        <f t="shared" si="223"/>
        <v>10971.557133386706</v>
      </c>
      <c r="S191" s="102">
        <f t="shared" si="223"/>
        <v>10513.163338712628</v>
      </c>
      <c r="T191" s="102">
        <f t="shared" si="223"/>
        <v>9801.6108270212735</v>
      </c>
      <c r="U191" s="102">
        <f t="shared" si="223"/>
        <v>9709.5701703382801</v>
      </c>
      <c r="V191" s="102">
        <f t="shared" si="223"/>
        <v>9367.1753669721274</v>
      </c>
      <c r="W191" s="102">
        <f t="shared" si="221"/>
        <v>9205.632554533584</v>
      </c>
      <c r="X191" s="102">
        <f t="shared" si="221"/>
        <v>9011.0118662825935</v>
      </c>
      <c r="Y191" s="102">
        <f t="shared" si="221"/>
        <v>8727.5761146492878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0</v>
      </c>
      <c r="C192" s="86">
        <f t="shared" si="223"/>
        <v>0</v>
      </c>
      <c r="D192" s="86">
        <f t="shared" si="223"/>
        <v>0</v>
      </c>
      <c r="E192" s="86">
        <f t="shared" si="223"/>
        <v>0</v>
      </c>
      <c r="F192" s="86">
        <f t="shared" si="223"/>
        <v>0</v>
      </c>
      <c r="G192" s="86">
        <f t="shared" si="223"/>
        <v>0</v>
      </c>
      <c r="H192" s="86">
        <f t="shared" si="223"/>
        <v>0</v>
      </c>
      <c r="I192" s="86">
        <f t="shared" si="223"/>
        <v>0</v>
      </c>
      <c r="J192" s="86">
        <f t="shared" si="223"/>
        <v>0</v>
      </c>
      <c r="K192" s="86">
        <f t="shared" si="223"/>
        <v>0</v>
      </c>
      <c r="L192" s="86">
        <f t="shared" si="223"/>
        <v>0</v>
      </c>
      <c r="M192" s="86">
        <f t="shared" si="222"/>
        <v>0</v>
      </c>
      <c r="N192" s="86">
        <f t="shared" si="223"/>
        <v>0</v>
      </c>
      <c r="O192" s="86">
        <f t="shared" si="223"/>
        <v>0</v>
      </c>
      <c r="P192" s="86">
        <f t="shared" si="223"/>
        <v>0</v>
      </c>
      <c r="Q192" s="86">
        <f t="shared" si="223"/>
        <v>0</v>
      </c>
      <c r="R192" s="86">
        <f t="shared" si="223"/>
        <v>0</v>
      </c>
      <c r="S192" s="86">
        <f t="shared" si="223"/>
        <v>0</v>
      </c>
      <c r="T192" s="86">
        <f t="shared" si="223"/>
        <v>0</v>
      </c>
      <c r="U192" s="86">
        <f t="shared" si="223"/>
        <v>0</v>
      </c>
      <c r="V192" s="86">
        <f t="shared" ref="V192:W192" si="224">IF(V55=0,0,V55*1000000/V82)</f>
        <v>0</v>
      </c>
      <c r="W192" s="86">
        <f t="shared" si="224"/>
        <v>0</v>
      </c>
      <c r="X192" s="86">
        <f t="shared" ref="X192:Y192" si="225">IF(X55=0,0,X55*1000000/X82)</f>
        <v>0</v>
      </c>
      <c r="Y192" s="86">
        <f t="shared" si="225"/>
        <v>0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11702.602548586005</v>
      </c>
      <c r="C195" s="28">
        <f t="shared" si="226"/>
        <v>11363.225715167529</v>
      </c>
      <c r="D195" s="28">
        <f t="shared" si="226"/>
        <v>11272.932396677874</v>
      </c>
      <c r="E195" s="28">
        <f t="shared" si="226"/>
        <v>11179.705312862543</v>
      </c>
      <c r="F195" s="28">
        <f t="shared" si="226"/>
        <v>11341.415511109373</v>
      </c>
      <c r="G195" s="28">
        <f t="shared" si="226"/>
        <v>11477.610057688094</v>
      </c>
      <c r="H195" s="28">
        <f t="shared" si="226"/>
        <v>11442.708436148496</v>
      </c>
      <c r="I195" s="28">
        <f t="shared" si="226"/>
        <v>11335.937538026903</v>
      </c>
      <c r="J195" s="28">
        <f t="shared" si="226"/>
        <v>11300.839051373505</v>
      </c>
      <c r="K195" s="28">
        <f t="shared" si="226"/>
        <v>11103.101644721788</v>
      </c>
      <c r="L195" s="28">
        <f t="shared" si="226"/>
        <v>10659.789921427053</v>
      </c>
      <c r="M195" s="28">
        <f>IF(M4=0,0,M4*1000000/M58)</f>
        <v>10397.200748963483</v>
      </c>
      <c r="N195" s="28">
        <f t="shared" ref="N195:V195" si="227">IF(N4=0,0,N4*1000000/N58)</f>
        <v>10340.688298812371</v>
      </c>
      <c r="O195" s="28">
        <f t="shared" si="227"/>
        <v>10219.922224575937</v>
      </c>
      <c r="P195" s="28">
        <f t="shared" si="227"/>
        <v>10333.914333311865</v>
      </c>
      <c r="Q195" s="28">
        <f t="shared" si="227"/>
        <v>10436.756518564804</v>
      </c>
      <c r="R195" s="28">
        <f t="shared" si="227"/>
        <v>10394.647481605398</v>
      </c>
      <c r="S195" s="28">
        <f t="shared" si="227"/>
        <v>10127.175086147818</v>
      </c>
      <c r="T195" s="28">
        <f t="shared" si="227"/>
        <v>9979.0954295233678</v>
      </c>
      <c r="U195" s="28">
        <f t="shared" si="227"/>
        <v>9939.8504182119359</v>
      </c>
      <c r="V195" s="28">
        <f t="shared" si="227"/>
        <v>8177.1971786705708</v>
      </c>
      <c r="W195" s="28">
        <f t="shared" ref="W195:Y195" si="228">IF(W4=0,0,W4*1000000/W58)</f>
        <v>8545.3937466616371</v>
      </c>
      <c r="X195" s="28">
        <f t="shared" si="228"/>
        <v>9083.5737191909302</v>
      </c>
      <c r="Y195" s="28">
        <f t="shared" si="228"/>
        <v>9376.2107123054029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2621.5333383600332</v>
      </c>
      <c r="C196" s="137">
        <f t="shared" si="229"/>
        <v>2617.716693273941</v>
      </c>
      <c r="D196" s="137">
        <f t="shared" si="229"/>
        <v>2615.9302605828761</v>
      </c>
      <c r="E196" s="137">
        <f t="shared" si="229"/>
        <v>2619.7894927501611</v>
      </c>
      <c r="F196" s="137">
        <f t="shared" si="229"/>
        <v>2601.8962357058672</v>
      </c>
      <c r="G196" s="137">
        <f t="shared" si="229"/>
        <v>2589.4579563238731</v>
      </c>
      <c r="H196" s="137">
        <f t="shared" si="229"/>
        <v>2590.9982184598543</v>
      </c>
      <c r="I196" s="137">
        <f t="shared" si="229"/>
        <v>2594.7759530594003</v>
      </c>
      <c r="J196" s="137">
        <f t="shared" si="229"/>
        <v>2595.202926216687</v>
      </c>
      <c r="K196" s="137">
        <f t="shared" si="229"/>
        <v>2573.955372143047</v>
      </c>
      <c r="L196" s="137">
        <f t="shared" si="229"/>
        <v>2696.0278500210156</v>
      </c>
      <c r="M196" s="137">
        <f>IF(M5=0,0,M5*1000000/M59)</f>
        <v>2711.4611062476683</v>
      </c>
      <c r="N196" s="137">
        <f t="shared" ref="N196:V196" si="230">IF(N5=0,0,N5*1000000/N59)</f>
        <v>2690.4147465025271</v>
      </c>
      <c r="O196" s="137">
        <f t="shared" si="230"/>
        <v>2680.7603355206411</v>
      </c>
      <c r="P196" s="137">
        <f t="shared" si="230"/>
        <v>2682.7756167062353</v>
      </c>
      <c r="Q196" s="137">
        <f t="shared" si="230"/>
        <v>2547.6554676052342</v>
      </c>
      <c r="R196" s="137">
        <f t="shared" si="230"/>
        <v>2390.9380598210932</v>
      </c>
      <c r="S196" s="137">
        <f t="shared" si="230"/>
        <v>2066.3129142019366</v>
      </c>
      <c r="T196" s="137">
        <f t="shared" si="230"/>
        <v>1791.4656499008202</v>
      </c>
      <c r="U196" s="137">
        <f t="shared" si="230"/>
        <v>1730.2031383768665</v>
      </c>
      <c r="V196" s="137">
        <f t="shared" si="230"/>
        <v>1476.688902379625</v>
      </c>
      <c r="W196" s="137">
        <f t="shared" ref="W196:Y196" si="231">IF(W5=0,0,W5*1000000/W59)</f>
        <v>1398.1153624157098</v>
      </c>
      <c r="X196" s="137">
        <f t="shared" si="231"/>
        <v>1288.5519020008846</v>
      </c>
      <c r="Y196" s="137">
        <f t="shared" si="231"/>
        <v>1308.2889347228679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9884.4073474094621</v>
      </c>
      <c r="C197" s="110">
        <f t="shared" si="232"/>
        <v>9549.3249157802602</v>
      </c>
      <c r="D197" s="110">
        <f t="shared" si="232"/>
        <v>9484.5043705621483</v>
      </c>
      <c r="E197" s="110">
        <f t="shared" si="232"/>
        <v>9409.4807947544632</v>
      </c>
      <c r="F197" s="110">
        <f t="shared" si="232"/>
        <v>9526.0427352932547</v>
      </c>
      <c r="G197" s="110">
        <f t="shared" si="232"/>
        <v>9701.7676620680286</v>
      </c>
      <c r="H197" s="110">
        <f t="shared" si="232"/>
        <v>9677.1148036253762</v>
      </c>
      <c r="I197" s="110">
        <f t="shared" si="232"/>
        <v>9614.1080167926411</v>
      </c>
      <c r="J197" s="110">
        <f t="shared" si="232"/>
        <v>9650.9931545281088</v>
      </c>
      <c r="K197" s="110">
        <f t="shared" si="232"/>
        <v>9606.315715932511</v>
      </c>
      <c r="L197" s="110">
        <f t="shared" si="232"/>
        <v>9130.7902698978614</v>
      </c>
      <c r="M197" s="110">
        <f>IF(M6=0,0,M6*1000000/M60)</f>
        <v>9007.5428647588597</v>
      </c>
      <c r="N197" s="110">
        <f t="shared" ref="N197:V197" si="233">IF(N6=0,0,N6*1000000/N60)</f>
        <v>8966.0993176780667</v>
      </c>
      <c r="O197" s="110">
        <f t="shared" si="233"/>
        <v>8934.7117956604943</v>
      </c>
      <c r="P197" s="110">
        <f t="shared" si="233"/>
        <v>9062.205400688119</v>
      </c>
      <c r="Q197" s="110">
        <f t="shared" si="233"/>
        <v>9099.5139609148337</v>
      </c>
      <c r="R197" s="110">
        <f t="shared" si="233"/>
        <v>9168.3511356267663</v>
      </c>
      <c r="S197" s="110">
        <f t="shared" si="233"/>
        <v>8972.9444924734889</v>
      </c>
      <c r="T197" s="110">
        <f t="shared" si="233"/>
        <v>8902.1957351643578</v>
      </c>
      <c r="U197" s="110">
        <f t="shared" si="233"/>
        <v>8858.8953329736469</v>
      </c>
      <c r="V197" s="110">
        <f t="shared" si="233"/>
        <v>7687.4557625800935</v>
      </c>
      <c r="W197" s="110">
        <f t="shared" ref="W197:Y209" si="234">IF(W6=0,0,W6*1000000/W60)</f>
        <v>8100.4276068298723</v>
      </c>
      <c r="X197" s="110">
        <f t="shared" si="234"/>
        <v>8414.2799189795533</v>
      </c>
      <c r="Y197" s="110">
        <f t="shared" si="234"/>
        <v>8653.6201742756857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9781.8949444106438</v>
      </c>
      <c r="C198" s="84">
        <f t="shared" si="232"/>
        <v>9405.3959925781655</v>
      </c>
      <c r="D198" s="84">
        <f t="shared" si="232"/>
        <v>9320.9469410736128</v>
      </c>
      <c r="E198" s="84">
        <f t="shared" si="232"/>
        <v>9198.362056971222</v>
      </c>
      <c r="F198" s="84">
        <f t="shared" si="232"/>
        <v>9177.8064671932461</v>
      </c>
      <c r="G198" s="84">
        <f t="shared" si="232"/>
        <v>9500.4647730027482</v>
      </c>
      <c r="H198" s="84">
        <f t="shared" si="232"/>
        <v>9452.7504595952869</v>
      </c>
      <c r="I198" s="84">
        <f t="shared" si="232"/>
        <v>9224.9895432644844</v>
      </c>
      <c r="J198" s="84">
        <f t="shared" si="232"/>
        <v>9364.9920844162825</v>
      </c>
      <c r="K198" s="84">
        <f t="shared" si="232"/>
        <v>9282.1757837234381</v>
      </c>
      <c r="L198" s="84">
        <f t="shared" si="232"/>
        <v>8180.6543365815496</v>
      </c>
      <c r="M198" s="84">
        <f t="shared" ref="M198:M219" si="235">IF(M7=0,0,M7*1000000/M61)</f>
        <v>7783.1631364028653</v>
      </c>
      <c r="N198" s="84">
        <f t="shared" si="232"/>
        <v>7569.1382611465087</v>
      </c>
      <c r="O198" s="84">
        <f t="shared" si="232"/>
        <v>7452.3681864339114</v>
      </c>
      <c r="P198" s="84">
        <f t="shared" si="232"/>
        <v>7613.0259554437434</v>
      </c>
      <c r="Q198" s="84">
        <f t="shared" si="232"/>
        <v>7558.212996841442</v>
      </c>
      <c r="R198" s="84">
        <f t="shared" si="232"/>
        <v>7569.9177599322311</v>
      </c>
      <c r="S198" s="84">
        <f t="shared" si="232"/>
        <v>7630.4959614523432</v>
      </c>
      <c r="T198" s="84">
        <f t="shared" si="232"/>
        <v>7281.6171903119157</v>
      </c>
      <c r="U198" s="84">
        <f t="shared" si="232"/>
        <v>7255.327521967245</v>
      </c>
      <c r="V198" s="84">
        <f t="shared" si="232"/>
        <v>6407.1039583231695</v>
      </c>
      <c r="W198" s="84">
        <f t="shared" si="234"/>
        <v>6649.7775498900182</v>
      </c>
      <c r="X198" s="84">
        <f t="shared" si="234"/>
        <v>6796.5954639542842</v>
      </c>
      <c r="Y198" s="84">
        <f t="shared" si="234"/>
        <v>6881.3741333157413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10495.013637515534</v>
      </c>
      <c r="C199" s="84">
        <f t="shared" si="232"/>
        <v>10341.36102324742</v>
      </c>
      <c r="D199" s="84">
        <f t="shared" si="232"/>
        <v>10352.628679872776</v>
      </c>
      <c r="E199" s="84">
        <f t="shared" si="232"/>
        <v>10514.368268239676</v>
      </c>
      <c r="F199" s="84">
        <f t="shared" si="232"/>
        <v>11321.103103446394</v>
      </c>
      <c r="G199" s="84">
        <f t="shared" si="232"/>
        <v>10726.171306440592</v>
      </c>
      <c r="H199" s="84">
        <f t="shared" si="232"/>
        <v>10819.94747769354</v>
      </c>
      <c r="I199" s="84">
        <f t="shared" si="232"/>
        <v>11601.118808759014</v>
      </c>
      <c r="J199" s="84">
        <f t="shared" si="232"/>
        <v>11101.466146758918</v>
      </c>
      <c r="K199" s="84">
        <f t="shared" si="232"/>
        <v>11222.443490226389</v>
      </c>
      <c r="L199" s="84">
        <f t="shared" si="232"/>
        <v>11551.77934131762</v>
      </c>
      <c r="M199" s="84">
        <f t="shared" si="235"/>
        <v>12005.605938919716</v>
      </c>
      <c r="N199" s="84">
        <f t="shared" si="232"/>
        <v>12243.920697618094</v>
      </c>
      <c r="O199" s="84">
        <f t="shared" si="232"/>
        <v>12316.05599370211</v>
      </c>
      <c r="P199" s="84">
        <f t="shared" si="232"/>
        <v>12283.818729507013</v>
      </c>
      <c r="Q199" s="84">
        <f t="shared" si="232"/>
        <v>12494.460515175153</v>
      </c>
      <c r="R199" s="84">
        <f t="shared" si="232"/>
        <v>12581.661792009923</v>
      </c>
      <c r="S199" s="84">
        <f t="shared" si="232"/>
        <v>11797.153330088395</v>
      </c>
      <c r="T199" s="84">
        <f t="shared" si="232"/>
        <v>12298.692178271316</v>
      </c>
      <c r="U199" s="84">
        <f t="shared" si="232"/>
        <v>12168.981530345456</v>
      </c>
      <c r="V199" s="84">
        <f t="shared" si="232"/>
        <v>10300.369695634894</v>
      </c>
      <c r="W199" s="84">
        <f t="shared" si="234"/>
        <v>11095.799084728751</v>
      </c>
      <c r="X199" s="84">
        <f t="shared" si="234"/>
        <v>11758.051787945153</v>
      </c>
      <c r="Y199" s="84">
        <f t="shared" si="234"/>
        <v>12342.378136315936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0</v>
      </c>
      <c r="C200" s="84">
        <f t="shared" si="232"/>
        <v>0</v>
      </c>
      <c r="D200" s="84">
        <f t="shared" si="232"/>
        <v>0</v>
      </c>
      <c r="E200" s="84">
        <f t="shared" si="232"/>
        <v>0</v>
      </c>
      <c r="F200" s="84">
        <f t="shared" si="232"/>
        <v>0</v>
      </c>
      <c r="G200" s="84">
        <f t="shared" si="232"/>
        <v>0</v>
      </c>
      <c r="H200" s="84">
        <f t="shared" si="232"/>
        <v>0</v>
      </c>
      <c r="I200" s="84">
        <f t="shared" si="232"/>
        <v>0</v>
      </c>
      <c r="J200" s="84">
        <f t="shared" si="232"/>
        <v>0</v>
      </c>
      <c r="K200" s="84">
        <f t="shared" si="232"/>
        <v>0</v>
      </c>
      <c r="L200" s="84">
        <f t="shared" si="232"/>
        <v>0</v>
      </c>
      <c r="M200" s="84">
        <f t="shared" si="235"/>
        <v>0</v>
      </c>
      <c r="N200" s="84">
        <f t="shared" si="232"/>
        <v>0</v>
      </c>
      <c r="O200" s="84">
        <f t="shared" si="232"/>
        <v>0</v>
      </c>
      <c r="P200" s="84">
        <f t="shared" si="232"/>
        <v>0</v>
      </c>
      <c r="Q200" s="84">
        <f t="shared" si="232"/>
        <v>0</v>
      </c>
      <c r="R200" s="84">
        <f t="shared" si="232"/>
        <v>12455.468431094805</v>
      </c>
      <c r="S200" s="84">
        <f t="shared" si="232"/>
        <v>11802.686474536466</v>
      </c>
      <c r="T200" s="84">
        <f t="shared" si="232"/>
        <v>12059.928842192166</v>
      </c>
      <c r="U200" s="84">
        <f t="shared" si="232"/>
        <v>11630.851710275116</v>
      </c>
      <c r="V200" s="84">
        <f t="shared" si="232"/>
        <v>9851.3155004279652</v>
      </c>
      <c r="W200" s="84">
        <f t="shared" si="234"/>
        <v>10716.032186649159</v>
      </c>
      <c r="X200" s="84">
        <f t="shared" si="234"/>
        <v>11465.417887720305</v>
      </c>
      <c r="Y200" s="84">
        <f t="shared" si="234"/>
        <v>12150.954961475942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0</v>
      </c>
      <c r="M201" s="84">
        <f t="shared" si="235"/>
        <v>0</v>
      </c>
      <c r="N201" s="84">
        <f t="shared" si="232"/>
        <v>0</v>
      </c>
      <c r="O201" s="84">
        <f t="shared" si="232"/>
        <v>0</v>
      </c>
      <c r="P201" s="84">
        <f t="shared" si="232"/>
        <v>0</v>
      </c>
      <c r="Q201" s="84">
        <f t="shared" si="232"/>
        <v>0</v>
      </c>
      <c r="R201" s="84">
        <f t="shared" si="232"/>
        <v>0</v>
      </c>
      <c r="S201" s="84">
        <f t="shared" si="232"/>
        <v>0</v>
      </c>
      <c r="T201" s="84">
        <f t="shared" si="232"/>
        <v>0</v>
      </c>
      <c r="U201" s="84">
        <f t="shared" si="232"/>
        <v>0</v>
      </c>
      <c r="V201" s="84">
        <f t="shared" si="232"/>
        <v>0</v>
      </c>
      <c r="W201" s="84">
        <f t="shared" si="234"/>
        <v>0</v>
      </c>
      <c r="X201" s="84">
        <f t="shared" si="234"/>
        <v>0</v>
      </c>
      <c r="Y201" s="84">
        <f t="shared" si="234"/>
        <v>0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15505.197393357965</v>
      </c>
      <c r="M202" s="84">
        <f t="shared" si="235"/>
        <v>13081.803528784954</v>
      </c>
      <c r="N202" s="84">
        <f t="shared" si="232"/>
        <v>12480.095600743118</v>
      </c>
      <c r="O202" s="84">
        <f t="shared" si="232"/>
        <v>10241.405328062459</v>
      </c>
      <c r="P202" s="84">
        <f t="shared" si="232"/>
        <v>10089.611147539446</v>
      </c>
      <c r="Q202" s="84">
        <f t="shared" si="232"/>
        <v>10411.810553302665</v>
      </c>
      <c r="R202" s="84">
        <f t="shared" si="232"/>
        <v>11173.982913258218</v>
      </c>
      <c r="S202" s="84">
        <f t="shared" si="232"/>
        <v>11461.629696402351</v>
      </c>
      <c r="T202" s="84">
        <f t="shared" si="232"/>
        <v>11938.8452259398</v>
      </c>
      <c r="U202" s="84">
        <f t="shared" si="232"/>
        <v>12463.690620591917</v>
      </c>
      <c r="V202" s="84">
        <f t="shared" si="232"/>
        <v>11291.373384570297</v>
      </c>
      <c r="W202" s="84">
        <f t="shared" si="234"/>
        <v>12520.988728455341</v>
      </c>
      <c r="X202" s="84">
        <f t="shared" si="234"/>
        <v>13656.725429625059</v>
      </c>
      <c r="Y202" s="84">
        <f t="shared" si="234"/>
        <v>14754.319205277887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11014.237730227404</v>
      </c>
      <c r="F203" s="84">
        <f t="shared" si="232"/>
        <v>11709.127775551893</v>
      </c>
      <c r="G203" s="84">
        <f t="shared" si="232"/>
        <v>11179.245414764815</v>
      </c>
      <c r="H203" s="84">
        <f t="shared" si="232"/>
        <v>11147.846903501693</v>
      </c>
      <c r="I203" s="84">
        <f t="shared" si="232"/>
        <v>11975.924164473559</v>
      </c>
      <c r="J203" s="84">
        <f t="shared" si="232"/>
        <v>11363.615113370644</v>
      </c>
      <c r="K203" s="84">
        <f t="shared" si="232"/>
        <v>11179.663611137301</v>
      </c>
      <c r="L203" s="84">
        <f t="shared" si="232"/>
        <v>11288.915220736044</v>
      </c>
      <c r="M203" s="84">
        <f t="shared" si="235"/>
        <v>11291.826567222017</v>
      </c>
      <c r="N203" s="84">
        <f t="shared" si="232"/>
        <v>11280.680283768295</v>
      </c>
      <c r="O203" s="84">
        <f t="shared" si="232"/>
        <v>11224.27626257548</v>
      </c>
      <c r="P203" s="84">
        <f t="shared" si="232"/>
        <v>11234.955028560247</v>
      </c>
      <c r="Q203" s="84">
        <f t="shared" si="232"/>
        <v>11220.244284025661</v>
      </c>
      <c r="R203" s="84">
        <f t="shared" si="232"/>
        <v>11305.18815520233</v>
      </c>
      <c r="S203" s="84">
        <f t="shared" si="232"/>
        <v>11079.202903121322</v>
      </c>
      <c r="T203" s="84">
        <f t="shared" si="232"/>
        <v>10810.784976832894</v>
      </c>
      <c r="U203" s="84">
        <f t="shared" si="232"/>
        <v>10872.873951602751</v>
      </c>
      <c r="V203" s="84">
        <f t="shared" si="232"/>
        <v>10033.185245999875</v>
      </c>
      <c r="W203" s="84">
        <f t="shared" si="234"/>
        <v>10654.791223807804</v>
      </c>
      <c r="X203" s="84">
        <f t="shared" si="234"/>
        <v>10553.121145854891</v>
      </c>
      <c r="Y203" s="84">
        <f t="shared" si="234"/>
        <v>10602.560798937127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292434.83788938337</v>
      </c>
      <c r="C204" s="110">
        <f t="shared" si="232"/>
        <v>299172.50159134308</v>
      </c>
      <c r="D204" s="110">
        <f t="shared" si="232"/>
        <v>304375.39632213063</v>
      </c>
      <c r="E204" s="110">
        <f t="shared" si="232"/>
        <v>309930.42378241621</v>
      </c>
      <c r="F204" s="110">
        <f t="shared" si="232"/>
        <v>316255.53447185323</v>
      </c>
      <c r="G204" s="110">
        <f t="shared" si="232"/>
        <v>310716.55041217507</v>
      </c>
      <c r="H204" s="110">
        <f t="shared" si="232"/>
        <v>316856.78073510772</v>
      </c>
      <c r="I204" s="110">
        <f t="shared" si="232"/>
        <v>319216.18204804044</v>
      </c>
      <c r="J204" s="110">
        <f t="shared" si="232"/>
        <v>322376.73830594186</v>
      </c>
      <c r="K204" s="110">
        <f t="shared" si="232"/>
        <v>279474.68140569248</v>
      </c>
      <c r="L204" s="110">
        <f t="shared" si="232"/>
        <v>270124.25715829281</v>
      </c>
      <c r="M204" s="110">
        <f t="shared" si="235"/>
        <v>270887.33095700917</v>
      </c>
      <c r="N204" s="110">
        <f t="shared" si="232"/>
        <v>272881.95613104949</v>
      </c>
      <c r="O204" s="110">
        <f t="shared" si="232"/>
        <v>273641.36939134117</v>
      </c>
      <c r="P204" s="110">
        <f t="shared" si="232"/>
        <v>273846.38974276191</v>
      </c>
      <c r="Q204" s="110">
        <f t="shared" si="232"/>
        <v>276591.42499335454</v>
      </c>
      <c r="R204" s="110">
        <f t="shared" si="232"/>
        <v>273578.84421231959</v>
      </c>
      <c r="S204" s="110">
        <f t="shared" si="232"/>
        <v>268653.21740811685</v>
      </c>
      <c r="T204" s="110">
        <f t="shared" si="232"/>
        <v>268966.54117380007</v>
      </c>
      <c r="U204" s="110">
        <f t="shared" si="232"/>
        <v>265270.57668841654</v>
      </c>
      <c r="V204" s="110">
        <f t="shared" si="232"/>
        <v>173269.39911105795</v>
      </c>
      <c r="W204" s="110">
        <f t="shared" si="234"/>
        <v>178906.91960239934</v>
      </c>
      <c r="X204" s="110">
        <f t="shared" si="234"/>
        <v>229873.98949350961</v>
      </c>
      <c r="Y204" s="110">
        <f t="shared" si="234"/>
        <v>245166.2651913373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0</v>
      </c>
      <c r="C205" s="102">
        <f t="shared" si="232"/>
        <v>0</v>
      </c>
      <c r="D205" s="102">
        <f t="shared" si="232"/>
        <v>0</v>
      </c>
      <c r="E205" s="102">
        <f t="shared" si="232"/>
        <v>0</v>
      </c>
      <c r="F205" s="102">
        <f t="shared" si="232"/>
        <v>0</v>
      </c>
      <c r="G205" s="102">
        <f t="shared" si="232"/>
        <v>0</v>
      </c>
      <c r="H205" s="102">
        <f t="shared" si="232"/>
        <v>0</v>
      </c>
      <c r="I205" s="102">
        <f t="shared" si="232"/>
        <v>0</v>
      </c>
      <c r="J205" s="102">
        <f t="shared" si="232"/>
        <v>0</v>
      </c>
      <c r="K205" s="102">
        <f t="shared" si="232"/>
        <v>0</v>
      </c>
      <c r="L205" s="102">
        <f t="shared" si="232"/>
        <v>121155.10594196012</v>
      </c>
      <c r="M205" s="102">
        <f t="shared" si="235"/>
        <v>120746.20661440819</v>
      </c>
      <c r="N205" s="102">
        <f t="shared" si="232"/>
        <v>120623.38244546978</v>
      </c>
      <c r="O205" s="102">
        <f t="shared" si="232"/>
        <v>120626.83658189506</v>
      </c>
      <c r="P205" s="102">
        <f t="shared" si="232"/>
        <v>120676.88383561996</v>
      </c>
      <c r="Q205" s="102">
        <f t="shared" si="232"/>
        <v>120764.23671101085</v>
      </c>
      <c r="R205" s="102">
        <f t="shared" si="232"/>
        <v>116240.06025761098</v>
      </c>
      <c r="S205" s="102">
        <f t="shared" si="232"/>
        <v>112432.20445524417</v>
      </c>
      <c r="T205" s="102">
        <f t="shared" si="232"/>
        <v>110606.28760594586</v>
      </c>
      <c r="U205" s="102">
        <f t="shared" si="232"/>
        <v>99916.594293666698</v>
      </c>
      <c r="V205" s="102">
        <f t="shared" si="232"/>
        <v>77634.96177087356</v>
      </c>
      <c r="W205" s="102">
        <f t="shared" si="234"/>
        <v>67206.072307283917</v>
      </c>
      <c r="X205" s="102">
        <f t="shared" si="234"/>
        <v>79284.975120632298</v>
      </c>
      <c r="Y205" s="102">
        <f t="shared" si="234"/>
        <v>82296.775115936223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292434.83788938337</v>
      </c>
      <c r="C206" s="102">
        <f t="shared" si="232"/>
        <v>299172.50159134308</v>
      </c>
      <c r="D206" s="102">
        <f t="shared" si="232"/>
        <v>304375.39632213063</v>
      </c>
      <c r="E206" s="102">
        <f t="shared" si="232"/>
        <v>309930.42378241621</v>
      </c>
      <c r="F206" s="102">
        <f t="shared" si="232"/>
        <v>316255.53447185323</v>
      </c>
      <c r="G206" s="102">
        <f t="shared" si="232"/>
        <v>310716.55041217507</v>
      </c>
      <c r="H206" s="102">
        <f t="shared" si="232"/>
        <v>316856.78073510772</v>
      </c>
      <c r="I206" s="102">
        <f t="shared" si="232"/>
        <v>319216.18204804044</v>
      </c>
      <c r="J206" s="102">
        <f t="shared" si="232"/>
        <v>322376.73830594186</v>
      </c>
      <c r="K206" s="102">
        <f t="shared" si="232"/>
        <v>279474.68140569248</v>
      </c>
      <c r="L206" s="102">
        <f t="shared" si="232"/>
        <v>271587.12934699655</v>
      </c>
      <c r="M206" s="102">
        <f t="shared" si="235"/>
        <v>272180.90755961632</v>
      </c>
      <c r="N206" s="102">
        <f t="shared" si="232"/>
        <v>274112.68363197218</v>
      </c>
      <c r="O206" s="102">
        <f t="shared" si="232"/>
        <v>274812.16923037753</v>
      </c>
      <c r="P206" s="102">
        <f t="shared" si="232"/>
        <v>274877.25573877181</v>
      </c>
      <c r="Q206" s="102">
        <f t="shared" si="232"/>
        <v>277393.8307002667</v>
      </c>
      <c r="R206" s="102">
        <f t="shared" si="232"/>
        <v>274371.0838092718</v>
      </c>
      <c r="S206" s="102">
        <f t="shared" si="232"/>
        <v>269411.57183992688</v>
      </c>
      <c r="T206" s="102">
        <f t="shared" si="232"/>
        <v>269789.25194362318</v>
      </c>
      <c r="U206" s="102">
        <f t="shared" si="232"/>
        <v>266119.64262636233</v>
      </c>
      <c r="V206" s="102">
        <f t="shared" si="232"/>
        <v>173618.91535832765</v>
      </c>
      <c r="W206" s="102">
        <f t="shared" si="234"/>
        <v>179022.81479649615</v>
      </c>
      <c r="X206" s="102">
        <f t="shared" si="234"/>
        <v>230292.35306413693</v>
      </c>
      <c r="Y206" s="102">
        <f t="shared" si="234"/>
        <v>245220.27300531929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232636.5932172598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0</v>
      </c>
      <c r="M208" s="102">
        <f t="shared" si="235"/>
        <v>0</v>
      </c>
      <c r="N208" s="102">
        <f t="shared" si="232"/>
        <v>0</v>
      </c>
      <c r="O208" s="102">
        <f t="shared" si="232"/>
        <v>0</v>
      </c>
      <c r="P208" s="102">
        <f t="shared" si="232"/>
        <v>0</v>
      </c>
      <c r="Q208" s="102">
        <f t="shared" si="232"/>
        <v>0</v>
      </c>
      <c r="R208" s="102">
        <f t="shared" si="232"/>
        <v>0</v>
      </c>
      <c r="S208" s="102">
        <f t="shared" si="232"/>
        <v>0</v>
      </c>
      <c r="T208" s="102">
        <f t="shared" si="232"/>
        <v>0</v>
      </c>
      <c r="U208" s="102">
        <f t="shared" si="232"/>
        <v>0</v>
      </c>
      <c r="V208" s="102">
        <f t="shared" si="232"/>
        <v>0</v>
      </c>
      <c r="W208" s="102">
        <f t="shared" si="234"/>
        <v>0</v>
      </c>
      <c r="X208" s="102">
        <f t="shared" si="234"/>
        <v>0</v>
      </c>
      <c r="Y208" s="102">
        <f t="shared" si="234"/>
        <v>0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0</v>
      </c>
      <c r="M209" s="102">
        <f t="shared" si="235"/>
        <v>0</v>
      </c>
      <c r="N209" s="102">
        <f t="shared" si="232"/>
        <v>0</v>
      </c>
      <c r="O209" s="102">
        <f t="shared" si="232"/>
        <v>0</v>
      </c>
      <c r="P209" s="102">
        <f t="shared" si="232"/>
        <v>0</v>
      </c>
      <c r="Q209" s="102">
        <f t="shared" si="232"/>
        <v>0</v>
      </c>
      <c r="R209" s="102">
        <f t="shared" si="232"/>
        <v>0</v>
      </c>
      <c r="S209" s="102">
        <f t="shared" si="232"/>
        <v>0</v>
      </c>
      <c r="T209" s="102">
        <f t="shared" si="232"/>
        <v>271470.18467462185</v>
      </c>
      <c r="U209" s="102">
        <f t="shared" si="232"/>
        <v>289021.10457620717</v>
      </c>
      <c r="V209" s="102">
        <f t="shared" si="232"/>
        <v>199000.58699729908</v>
      </c>
      <c r="W209" s="102">
        <f t="shared" si="234"/>
        <v>268384.86342945212</v>
      </c>
      <c r="X209" s="102">
        <f t="shared" si="234"/>
        <v>292511.79098396673</v>
      </c>
      <c r="Y209" s="102">
        <f t="shared" si="234"/>
        <v>296292.75494491489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23258.504422888491</v>
      </c>
      <c r="C210" s="28">
        <f t="shared" si="232"/>
        <v>21735.465646591336</v>
      </c>
      <c r="D210" s="28">
        <f t="shared" si="232"/>
        <v>7336.7916392185816</v>
      </c>
      <c r="E210" s="28">
        <f t="shared" si="232"/>
        <v>15747.577626050288</v>
      </c>
      <c r="F210" s="28">
        <f t="shared" ref="B210:V219" si="236">IF(F19=0,0,F19*1000000/F73)</f>
        <v>25154.695946700242</v>
      </c>
      <c r="G210" s="28">
        <f t="shared" si="236"/>
        <v>12821.864513389502</v>
      </c>
      <c r="H210" s="28">
        <f t="shared" si="236"/>
        <v>11784.115858227444</v>
      </c>
      <c r="I210" s="28">
        <f t="shared" si="236"/>
        <v>13361.003462520865</v>
      </c>
      <c r="J210" s="28">
        <f t="shared" si="236"/>
        <v>13729.748730130204</v>
      </c>
      <c r="K210" s="28">
        <f t="shared" si="236"/>
        <v>13805.128128434115</v>
      </c>
      <c r="L210" s="28">
        <f t="shared" si="236"/>
        <v>11009.852235345965</v>
      </c>
      <c r="M210" s="28">
        <f t="shared" si="235"/>
        <v>10388.777413633661</v>
      </c>
      <c r="N210" s="28">
        <f t="shared" si="236"/>
        <v>9607.3696810147558</v>
      </c>
      <c r="O210" s="28">
        <f t="shared" si="236"/>
        <v>9537.922000694829</v>
      </c>
      <c r="P210" s="28">
        <f t="shared" si="236"/>
        <v>9057.7706083988178</v>
      </c>
      <c r="Q210" s="28">
        <f t="shared" si="236"/>
        <v>8512.4780965605732</v>
      </c>
      <c r="R210" s="28">
        <f t="shared" si="236"/>
        <v>8488.966189866469</v>
      </c>
      <c r="S210" s="28">
        <f t="shared" si="236"/>
        <v>8153.554332883532</v>
      </c>
      <c r="T210" s="28">
        <f t="shared" si="236"/>
        <v>7539.6473683033119</v>
      </c>
      <c r="U210" s="28">
        <f t="shared" si="236"/>
        <v>7503.4541197981944</v>
      </c>
      <c r="V210" s="28">
        <f t="shared" si="236"/>
        <v>7277.9686677711588</v>
      </c>
      <c r="W210" s="28">
        <f t="shared" ref="W210:Y210" si="237">IF(W19=0,0,W19*1000000/W73)</f>
        <v>7154.862445829478</v>
      </c>
      <c r="X210" s="28">
        <f t="shared" si="237"/>
        <v>7007.113019851894</v>
      </c>
      <c r="Y210" s="28">
        <f t="shared" si="237"/>
        <v>6816.7664264718996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1023.6717680299801</v>
      </c>
      <c r="C211" s="137">
        <f t="shared" si="236"/>
        <v>1026.0396174651455</v>
      </c>
      <c r="D211" s="137">
        <f t="shared" si="236"/>
        <v>1036.5529728240081</v>
      </c>
      <c r="E211" s="137">
        <f t="shared" si="236"/>
        <v>1044.494698138695</v>
      </c>
      <c r="F211" s="137">
        <f t="shared" si="236"/>
        <v>1039.4196066667721</v>
      </c>
      <c r="G211" s="137">
        <f t="shared" si="236"/>
        <v>1035.3416888624806</v>
      </c>
      <c r="H211" s="137">
        <f t="shared" si="236"/>
        <v>1051.008711562886</v>
      </c>
      <c r="I211" s="137">
        <f t="shared" si="236"/>
        <v>1100.1715252155661</v>
      </c>
      <c r="J211" s="137">
        <f t="shared" si="236"/>
        <v>1132.1029377247999</v>
      </c>
      <c r="K211" s="137">
        <f t="shared" si="236"/>
        <v>1170.1344532780672</v>
      </c>
      <c r="L211" s="137">
        <f t="shared" si="236"/>
        <v>1110.7250926591748</v>
      </c>
      <c r="M211" s="137">
        <f t="shared" si="235"/>
        <v>1145.909135493876</v>
      </c>
      <c r="N211" s="137">
        <f t="shared" si="236"/>
        <v>1141.9471115000058</v>
      </c>
      <c r="O211" s="137">
        <f t="shared" si="236"/>
        <v>1143.6809425903355</v>
      </c>
      <c r="P211" s="137">
        <f t="shared" si="236"/>
        <v>1158.0817398222239</v>
      </c>
      <c r="Q211" s="137">
        <f t="shared" si="236"/>
        <v>1171.9348595779363</v>
      </c>
      <c r="R211" s="137">
        <f t="shared" si="236"/>
        <v>1142.1460922577883</v>
      </c>
      <c r="S211" s="137">
        <f t="shared" si="236"/>
        <v>1150.0842934607356</v>
      </c>
      <c r="T211" s="137">
        <f t="shared" si="236"/>
        <v>1115.0102515817505</v>
      </c>
      <c r="U211" s="137">
        <f t="shared" si="236"/>
        <v>1125.2051056651364</v>
      </c>
      <c r="V211" s="137">
        <f t="shared" si="236"/>
        <v>1071.9731475110948</v>
      </c>
      <c r="W211" s="137">
        <f t="shared" ref="W211:Y211" si="238">IF(W20=0,0,W20*1000000/W74)</f>
        <v>1031.2552812262713</v>
      </c>
      <c r="X211" s="137">
        <f t="shared" si="238"/>
        <v>989.85899196189712</v>
      </c>
      <c r="Y211" s="137">
        <f t="shared" si="238"/>
        <v>954.58938775017123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493.78602579765266</v>
      </c>
      <c r="C212" s="84">
        <f t="shared" si="236"/>
        <v>563.17618316810979</v>
      </c>
      <c r="D212" s="84">
        <f t="shared" si="236"/>
        <v>570.78660675408639</v>
      </c>
      <c r="E212" s="84">
        <f t="shared" si="236"/>
        <v>569.71383802510309</v>
      </c>
      <c r="F212" s="84">
        <f t="shared" si="236"/>
        <v>572.5424322306759</v>
      </c>
      <c r="G212" s="84">
        <f t="shared" si="236"/>
        <v>585.20483795179143</v>
      </c>
      <c r="H212" s="84">
        <f t="shared" si="236"/>
        <v>584.40294863682277</v>
      </c>
      <c r="I212" s="84">
        <f t="shared" si="236"/>
        <v>576.01336912258125</v>
      </c>
      <c r="J212" s="84">
        <f t="shared" si="236"/>
        <v>551.75555932726047</v>
      </c>
      <c r="K212" s="84">
        <f t="shared" si="236"/>
        <v>563.71924325915631</v>
      </c>
      <c r="L212" s="84">
        <f t="shared" si="236"/>
        <v>597.02970322099623</v>
      </c>
      <c r="M212" s="84">
        <f t="shared" si="235"/>
        <v>588.57152645062149</v>
      </c>
      <c r="N212" s="84">
        <f t="shared" si="236"/>
        <v>611.40207099753059</v>
      </c>
      <c r="O212" s="84">
        <f t="shared" si="236"/>
        <v>616.89619809885971</v>
      </c>
      <c r="P212" s="84">
        <f t="shared" si="236"/>
        <v>578.61954253030831</v>
      </c>
      <c r="Q212" s="84">
        <f t="shared" si="236"/>
        <v>576.73517568797479</v>
      </c>
      <c r="R212" s="84">
        <f t="shared" si="236"/>
        <v>557.27427874282273</v>
      </c>
      <c r="S212" s="84">
        <f t="shared" si="236"/>
        <v>556.16104195975288</v>
      </c>
      <c r="T212" s="84">
        <f t="shared" si="236"/>
        <v>534.59985802605445</v>
      </c>
      <c r="U212" s="84">
        <f t="shared" si="236"/>
        <v>535.4868593039414</v>
      </c>
      <c r="V212" s="84">
        <f t="shared" si="236"/>
        <v>514.04685594977002</v>
      </c>
      <c r="W212" s="84">
        <f t="shared" ref="W212:Y212" si="239">IF(W21=0,0,W21*1000000/W75)</f>
        <v>493.04406637598913</v>
      </c>
      <c r="X212" s="84">
        <f t="shared" si="239"/>
        <v>473.03501556221829</v>
      </c>
      <c r="Y212" s="84">
        <f t="shared" si="239"/>
        <v>454.06585629819028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1056.7746797889652</v>
      </c>
      <c r="C213" s="84">
        <f t="shared" si="236"/>
        <v>1055.75870472837</v>
      </c>
      <c r="D213" s="84">
        <f t="shared" si="236"/>
        <v>1065.615340948365</v>
      </c>
      <c r="E213" s="84">
        <f t="shared" si="236"/>
        <v>1073.2751134725668</v>
      </c>
      <c r="F213" s="84">
        <f t="shared" si="236"/>
        <v>1066.9203322411597</v>
      </c>
      <c r="G213" s="84">
        <f t="shared" si="236"/>
        <v>1061.1240348632293</v>
      </c>
      <c r="H213" s="84">
        <f t="shared" si="236"/>
        <v>1076.9864435205536</v>
      </c>
      <c r="I213" s="84">
        <f t="shared" si="236"/>
        <v>1128.533899836875</v>
      </c>
      <c r="J213" s="84">
        <f t="shared" si="236"/>
        <v>1162.6604076699489</v>
      </c>
      <c r="K213" s="84">
        <f t="shared" si="236"/>
        <v>1201.1758942779138</v>
      </c>
      <c r="L213" s="84">
        <f t="shared" si="236"/>
        <v>1136.2883349306485</v>
      </c>
      <c r="M213" s="84">
        <f t="shared" si="235"/>
        <v>1171.9923007759585</v>
      </c>
      <c r="N213" s="84">
        <f t="shared" si="236"/>
        <v>1164.5921652015991</v>
      </c>
      <c r="O213" s="84">
        <f t="shared" si="236"/>
        <v>1165.7270204977094</v>
      </c>
      <c r="P213" s="84">
        <f t="shared" si="236"/>
        <v>1181.6355877247875</v>
      </c>
      <c r="Q213" s="84">
        <f t="shared" si="236"/>
        <v>1194.9917940556902</v>
      </c>
      <c r="R213" s="84">
        <f t="shared" si="236"/>
        <v>1163.8970842109177</v>
      </c>
      <c r="S213" s="84">
        <f t="shared" si="236"/>
        <v>1170.8553503823562</v>
      </c>
      <c r="T213" s="84">
        <f t="shared" si="236"/>
        <v>1134.4585142113099</v>
      </c>
      <c r="U213" s="84">
        <f t="shared" si="236"/>
        <v>1145.4224651186175</v>
      </c>
      <c r="V213" s="84">
        <f t="shared" si="236"/>
        <v>1090.7563292959319</v>
      </c>
      <c r="W213" s="84">
        <f t="shared" ref="W213:Y213" si="240">IF(W22=0,0,W22*1000000/W76)</f>
        <v>1050.3922546486215</v>
      </c>
      <c r="X213" s="84">
        <f t="shared" si="240"/>
        <v>1011.3661070272274</v>
      </c>
      <c r="Y213" s="84">
        <f t="shared" si="240"/>
        <v>978.56809227509541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0</v>
      </c>
      <c r="P214" s="84">
        <f t="shared" si="236"/>
        <v>0</v>
      </c>
      <c r="Q214" s="84">
        <f t="shared" si="236"/>
        <v>0</v>
      </c>
      <c r="R214" s="84">
        <f t="shared" si="236"/>
        <v>0</v>
      </c>
      <c r="S214" s="84">
        <f t="shared" si="236"/>
        <v>998.04853126577996</v>
      </c>
      <c r="T214" s="84">
        <f t="shared" si="236"/>
        <v>965.79347696367972</v>
      </c>
      <c r="U214" s="84">
        <f t="shared" si="236"/>
        <v>973.90115103092955</v>
      </c>
      <c r="V214" s="84">
        <f t="shared" si="236"/>
        <v>928.67165245225715</v>
      </c>
      <c r="W214" s="84">
        <f t="shared" ref="W214:Y214" si="241">IF(W23=0,0,W23*1000000/W77)</f>
        <v>893.70375397110797</v>
      </c>
      <c r="X214" s="84">
        <f t="shared" si="241"/>
        <v>859.98576727818624</v>
      </c>
      <c r="Y214" s="84">
        <f t="shared" si="241"/>
        <v>830.9961410723314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0</v>
      </c>
      <c r="R215" s="84">
        <f t="shared" si="236"/>
        <v>0</v>
      </c>
      <c r="S215" s="84">
        <f t="shared" si="236"/>
        <v>0</v>
      </c>
      <c r="T215" s="84">
        <f t="shared" si="236"/>
        <v>0</v>
      </c>
      <c r="U215" s="84">
        <f t="shared" si="236"/>
        <v>0</v>
      </c>
      <c r="V215" s="84">
        <f t="shared" si="236"/>
        <v>0</v>
      </c>
      <c r="W215" s="84">
        <f t="shared" ref="W215:Y215" si="242">IF(W24=0,0,W24*1000000/W78)</f>
        <v>0</v>
      </c>
      <c r="X215" s="84">
        <f t="shared" si="242"/>
        <v>0</v>
      </c>
      <c r="Y215" s="84">
        <f t="shared" si="242"/>
        <v>0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829.97619595834942</v>
      </c>
      <c r="K216" s="84">
        <f t="shared" si="236"/>
        <v>848.06667524177237</v>
      </c>
      <c r="L216" s="84">
        <f t="shared" si="236"/>
        <v>907.45885345495685</v>
      </c>
      <c r="M216" s="84">
        <f t="shared" si="235"/>
        <v>923.13446207365951</v>
      </c>
      <c r="N216" s="84">
        <f t="shared" si="236"/>
        <v>926.54640617690711</v>
      </c>
      <c r="O216" s="84">
        <f t="shared" si="236"/>
        <v>937.6253099313285</v>
      </c>
      <c r="P216" s="84">
        <f t="shared" si="236"/>
        <v>937.99057366454815</v>
      </c>
      <c r="Q216" s="84">
        <f t="shared" si="236"/>
        <v>947.57725327661842</v>
      </c>
      <c r="R216" s="84">
        <f t="shared" si="236"/>
        <v>933.73948293964065</v>
      </c>
      <c r="S216" s="84">
        <f t="shared" si="236"/>
        <v>932.93962004187415</v>
      </c>
      <c r="T216" s="84">
        <f t="shared" si="236"/>
        <v>917.26374092443211</v>
      </c>
      <c r="U216" s="84">
        <f t="shared" si="236"/>
        <v>916.61226475166734</v>
      </c>
      <c r="V216" s="84">
        <f t="shared" si="236"/>
        <v>900.70005250801125</v>
      </c>
      <c r="W216" s="84">
        <f t="shared" ref="W216:Y216" si="243">IF(W25=0,0,W25*1000000/W79)</f>
        <v>884.74022297926899</v>
      </c>
      <c r="X216" s="84">
        <f t="shared" si="243"/>
        <v>869.16999101516376</v>
      </c>
      <c r="Y216" s="84">
        <f t="shared" si="243"/>
        <v>854.0574879956722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80730.531842331999</v>
      </c>
      <c r="C217" s="110">
        <f t="shared" si="236"/>
        <v>75102.863863605104</v>
      </c>
      <c r="D217" s="110">
        <f t="shared" si="236"/>
        <v>23635.035055607463</v>
      </c>
      <c r="E217" s="110">
        <f t="shared" si="236"/>
        <v>54410.843086869223</v>
      </c>
      <c r="F217" s="110">
        <f t="shared" si="236"/>
        <v>88463.341645572043</v>
      </c>
      <c r="G217" s="110">
        <f t="shared" si="236"/>
        <v>43636.661577750303</v>
      </c>
      <c r="H217" s="110">
        <f t="shared" si="236"/>
        <v>41372.762144403983</v>
      </c>
      <c r="I217" s="110">
        <f t="shared" si="236"/>
        <v>49207.770598982912</v>
      </c>
      <c r="J217" s="110">
        <f t="shared" si="236"/>
        <v>51163.741447793785</v>
      </c>
      <c r="K217" s="110">
        <f t="shared" si="236"/>
        <v>51330.584938378175</v>
      </c>
      <c r="L217" s="110">
        <f t="shared" si="236"/>
        <v>41372.762144403976</v>
      </c>
      <c r="M217" s="110">
        <f t="shared" si="235"/>
        <v>38707.855868735438</v>
      </c>
      <c r="N217" s="110">
        <f t="shared" si="236"/>
        <v>35861.341549967852</v>
      </c>
      <c r="O217" s="110">
        <f t="shared" si="236"/>
        <v>36282.052752326614</v>
      </c>
      <c r="P217" s="110">
        <f t="shared" si="236"/>
        <v>34585.965093614468</v>
      </c>
      <c r="Q217" s="110">
        <f t="shared" si="236"/>
        <v>32337.022988028792</v>
      </c>
      <c r="R217" s="110">
        <f t="shared" si="236"/>
        <v>32171.805552587066</v>
      </c>
      <c r="S217" s="110">
        <f t="shared" si="236"/>
        <v>30827.661248412547</v>
      </c>
      <c r="T217" s="110">
        <f t="shared" si="236"/>
        <v>28741.181747984254</v>
      </c>
      <c r="U217" s="110">
        <f t="shared" si="236"/>
        <v>28471.291697398185</v>
      </c>
      <c r="V217" s="110">
        <f t="shared" si="236"/>
        <v>27467.29026877764</v>
      </c>
      <c r="W217" s="110">
        <f t="shared" ref="W217:Y217" si="244">IF(W26=0,0,W26*1000000/W80)</f>
        <v>26993.599626054202</v>
      </c>
      <c r="X217" s="110">
        <f t="shared" si="244"/>
        <v>26422.915003734888</v>
      </c>
      <c r="Y217" s="110">
        <f t="shared" si="244"/>
        <v>25591.798711185147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80730.531842331999</v>
      </c>
      <c r="C218" s="163">
        <f t="shared" si="236"/>
        <v>75102.863863605104</v>
      </c>
      <c r="D218" s="163">
        <f t="shared" si="236"/>
        <v>23635.035055607463</v>
      </c>
      <c r="E218" s="163">
        <f t="shared" si="236"/>
        <v>54410.843086869223</v>
      </c>
      <c r="F218" s="163">
        <f t="shared" si="236"/>
        <v>88463.341645572043</v>
      </c>
      <c r="G218" s="163">
        <f t="shared" si="236"/>
        <v>43636.661577750303</v>
      </c>
      <c r="H218" s="163">
        <f t="shared" si="236"/>
        <v>41372.762144403983</v>
      </c>
      <c r="I218" s="163">
        <f t="shared" si="236"/>
        <v>49207.770598982912</v>
      </c>
      <c r="J218" s="163">
        <f t="shared" si="236"/>
        <v>51163.741447793785</v>
      </c>
      <c r="K218" s="163">
        <f t="shared" si="236"/>
        <v>51330.584938378175</v>
      </c>
      <c r="L218" s="163">
        <f t="shared" si="236"/>
        <v>41372.762144403976</v>
      </c>
      <c r="M218" s="163">
        <f t="shared" si="235"/>
        <v>38707.855868735438</v>
      </c>
      <c r="N218" s="163">
        <f t="shared" si="236"/>
        <v>35861.341549967852</v>
      </c>
      <c r="O218" s="163">
        <f t="shared" si="236"/>
        <v>36282.052752326614</v>
      </c>
      <c r="P218" s="163">
        <f t="shared" si="236"/>
        <v>34585.965093614468</v>
      </c>
      <c r="Q218" s="163">
        <f t="shared" si="236"/>
        <v>32337.022988028792</v>
      </c>
      <c r="R218" s="163">
        <f t="shared" si="236"/>
        <v>32171.805552587066</v>
      </c>
      <c r="S218" s="163">
        <f t="shared" si="236"/>
        <v>30827.661248412547</v>
      </c>
      <c r="T218" s="163">
        <f t="shared" si="236"/>
        <v>28741.181747984254</v>
      </c>
      <c r="U218" s="163">
        <f t="shared" si="236"/>
        <v>28471.291697398185</v>
      </c>
      <c r="V218" s="163">
        <f t="shared" si="236"/>
        <v>27467.29026877764</v>
      </c>
      <c r="W218" s="163">
        <f t="shared" ref="W218:Y218" si="245">IF(W27=0,0,W27*1000000/W81)</f>
        <v>26993.599626054202</v>
      </c>
      <c r="X218" s="163">
        <f t="shared" si="245"/>
        <v>26422.915003734888</v>
      </c>
      <c r="Y218" s="163">
        <f t="shared" si="245"/>
        <v>25591.798711185147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0</v>
      </c>
      <c r="C219" s="86">
        <f t="shared" si="236"/>
        <v>0</v>
      </c>
      <c r="D219" s="86">
        <f t="shared" si="236"/>
        <v>0</v>
      </c>
      <c r="E219" s="86">
        <f t="shared" si="236"/>
        <v>0</v>
      </c>
      <c r="F219" s="86">
        <f t="shared" si="236"/>
        <v>0</v>
      </c>
      <c r="G219" s="86">
        <f t="shared" si="236"/>
        <v>0</v>
      </c>
      <c r="H219" s="86">
        <f t="shared" si="236"/>
        <v>0</v>
      </c>
      <c r="I219" s="86">
        <f t="shared" si="236"/>
        <v>0</v>
      </c>
      <c r="J219" s="86">
        <f t="shared" si="236"/>
        <v>0</v>
      </c>
      <c r="K219" s="86">
        <f t="shared" si="236"/>
        <v>0</v>
      </c>
      <c r="L219" s="86">
        <f t="shared" si="236"/>
        <v>0</v>
      </c>
      <c r="M219" s="86">
        <f t="shared" si="235"/>
        <v>0</v>
      </c>
      <c r="N219" s="86">
        <f t="shared" si="236"/>
        <v>0</v>
      </c>
      <c r="O219" s="86">
        <f t="shared" si="236"/>
        <v>0</v>
      </c>
      <c r="P219" s="86">
        <f t="shared" si="236"/>
        <v>0</v>
      </c>
      <c r="Q219" s="86">
        <f t="shared" si="236"/>
        <v>0</v>
      </c>
      <c r="R219" s="86">
        <f t="shared" si="236"/>
        <v>0</v>
      </c>
      <c r="S219" s="86">
        <f t="shared" si="236"/>
        <v>0</v>
      </c>
      <c r="T219" s="86">
        <f t="shared" si="236"/>
        <v>0</v>
      </c>
      <c r="U219" s="86">
        <f t="shared" si="236"/>
        <v>0</v>
      </c>
      <c r="V219" s="86">
        <f t="shared" si="236"/>
        <v>0</v>
      </c>
      <c r="W219" s="86">
        <f t="shared" ref="W219:Y219" si="246">IF(W28=0,0,W28*1000000/W82)</f>
        <v>0</v>
      </c>
      <c r="X219" s="86">
        <f t="shared" si="246"/>
        <v>0</v>
      </c>
      <c r="Y219" s="86">
        <f t="shared" si="246"/>
        <v>0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1.391694623068678E-2</v>
      </c>
      <c r="C223" s="154">
        <f t="shared" si="251"/>
        <v>1.4327560425372348E-2</v>
      </c>
      <c r="D223" s="154">
        <f t="shared" si="251"/>
        <v>1.4491141613126894E-2</v>
      </c>
      <c r="E223" s="154">
        <f t="shared" si="251"/>
        <v>1.4497027061349975E-2</v>
      </c>
      <c r="F223" s="154">
        <f t="shared" si="251"/>
        <v>1.3244818696216147E-2</v>
      </c>
      <c r="G223" s="154">
        <f t="shared" si="251"/>
        <v>1.2229118020606129E-2</v>
      </c>
      <c r="H223" s="154">
        <f t="shared" si="251"/>
        <v>1.2236434525266179E-2</v>
      </c>
      <c r="I223" s="154">
        <f t="shared" si="251"/>
        <v>1.2487271213030912E-2</v>
      </c>
      <c r="J223" s="154">
        <f t="shared" si="251"/>
        <v>1.3769174128568869E-2</v>
      </c>
      <c r="K223" s="154">
        <f t="shared" si="251"/>
        <v>1.3618908169295186E-2</v>
      </c>
      <c r="L223" s="154">
        <f t="shared" ref="L223" si="252">IF(L5=0,0,L5/L$4)</f>
        <v>1.3832317805193204E-2</v>
      </c>
      <c r="M223" s="154">
        <f t="shared" ref="M223:V223" si="253">IF(M5=0,0,M5/M$4)</f>
        <v>1.4575496241171946E-2</v>
      </c>
      <c r="N223" s="154">
        <f t="shared" si="253"/>
        <v>1.4656555998951087E-2</v>
      </c>
      <c r="O223" s="154">
        <f t="shared" si="253"/>
        <v>1.5400473828607944E-2</v>
      </c>
      <c r="P223" s="154">
        <f t="shared" si="253"/>
        <v>1.5953154492612205E-2</v>
      </c>
      <c r="Q223" s="154">
        <f t="shared" si="253"/>
        <v>1.5819330012253129E-2</v>
      </c>
      <c r="R223" s="154">
        <f t="shared" si="253"/>
        <v>1.6686499259793069E-2</v>
      </c>
      <c r="S223" s="154">
        <f t="shared" si="253"/>
        <v>1.5764254767704541E-2</v>
      </c>
      <c r="T223" s="154">
        <f t="shared" si="253"/>
        <v>1.4885984598197212E-2</v>
      </c>
      <c r="U223" s="154">
        <f t="shared" si="253"/>
        <v>1.5533408056895468E-2</v>
      </c>
      <c r="V223" s="154">
        <f t="shared" si="253"/>
        <v>1.6902241390105838E-2</v>
      </c>
      <c r="W223" s="154">
        <f t="shared" ref="W223:Y223" si="254">IF(W5=0,0,W5/W$4)</f>
        <v>1.6723576677683372E-2</v>
      </c>
      <c r="X223" s="154">
        <f t="shared" si="254"/>
        <v>1.6017150977122016E-2</v>
      </c>
      <c r="Y223" s="154">
        <f t="shared" si="254"/>
        <v>1.6606482785200331E-2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0.78537588353308141</v>
      </c>
      <c r="C224" s="156">
        <f t="shared" si="255"/>
        <v>0.78159048071996906</v>
      </c>
      <c r="D224" s="156">
        <f t="shared" si="255"/>
        <v>0.78248557425567178</v>
      </c>
      <c r="E224" s="156">
        <f t="shared" si="255"/>
        <v>0.78345424626921967</v>
      </c>
      <c r="F224" s="156">
        <f t="shared" si="255"/>
        <v>0.78537657287444029</v>
      </c>
      <c r="G224" s="156">
        <f t="shared" si="255"/>
        <v>0.79339026665011547</v>
      </c>
      <c r="H224" s="156">
        <f t="shared" si="255"/>
        <v>0.79408443498949188</v>
      </c>
      <c r="I224" s="156">
        <f t="shared" si="255"/>
        <v>0.79607552032730722</v>
      </c>
      <c r="J224" s="156">
        <f t="shared" si="255"/>
        <v>0.79714145700134464</v>
      </c>
      <c r="K224" s="156">
        <f t="shared" si="255"/>
        <v>0.80824151306137737</v>
      </c>
      <c r="L224" s="156">
        <f t="shared" ref="L224" si="256">IF(L6=0,0,L6/L$4)</f>
        <v>0.80354403734391666</v>
      </c>
      <c r="M224" s="156">
        <f t="shared" ref="M224:V224" si="257">IF(M6=0,0,M6/M$4)</f>
        <v>0.81216156741003953</v>
      </c>
      <c r="N224" s="156">
        <f t="shared" si="257"/>
        <v>0.81254775240097932</v>
      </c>
      <c r="O224" s="156">
        <f t="shared" si="257"/>
        <v>0.8174589914945537</v>
      </c>
      <c r="P224" s="156">
        <f t="shared" si="257"/>
        <v>0.81753970620770977</v>
      </c>
      <c r="Q224" s="156">
        <f t="shared" si="257"/>
        <v>0.80962699733061638</v>
      </c>
      <c r="R224" s="156">
        <f t="shared" si="257"/>
        <v>0.81230888640372056</v>
      </c>
      <c r="S224" s="156">
        <f t="shared" si="257"/>
        <v>0.81181134388876919</v>
      </c>
      <c r="T224" s="156">
        <f t="shared" si="257"/>
        <v>0.81239605081779098</v>
      </c>
      <c r="U224" s="156">
        <f t="shared" si="257"/>
        <v>0.8057486149253662</v>
      </c>
      <c r="V224" s="156">
        <f t="shared" si="257"/>
        <v>0.84603697216511287</v>
      </c>
      <c r="W224" s="156">
        <f t="shared" ref="W224:Y224" si="258">IF(W6=0,0,W6/W$4)</f>
        <v>0.84476428465252795</v>
      </c>
      <c r="X224" s="156">
        <f t="shared" si="258"/>
        <v>0.81556088823053641</v>
      </c>
      <c r="Y224" s="156">
        <f t="shared" si="258"/>
        <v>0.80685966579438051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0.66550201338701886</v>
      </c>
      <c r="C225" s="103">
        <f t="shared" si="259"/>
        <v>0.65143191808683909</v>
      </c>
      <c r="D225" s="103">
        <f t="shared" si="259"/>
        <v>0.64707989843600233</v>
      </c>
      <c r="E225" s="103">
        <f t="shared" si="259"/>
        <v>0.6430242426499847</v>
      </c>
      <c r="F225" s="103">
        <f t="shared" si="259"/>
        <v>0.63373406238701413</v>
      </c>
      <c r="G225" s="103">
        <f t="shared" si="259"/>
        <v>0.64935089011904401</v>
      </c>
      <c r="H225" s="103">
        <f t="shared" si="259"/>
        <v>0.64839630143512217</v>
      </c>
      <c r="I225" s="103">
        <f t="shared" si="259"/>
        <v>0.6387801959514825</v>
      </c>
      <c r="J225" s="103">
        <f t="shared" si="259"/>
        <v>0.64613418538052192</v>
      </c>
      <c r="K225" s="103">
        <f t="shared" si="259"/>
        <v>0.65049875239865085</v>
      </c>
      <c r="L225" s="103">
        <f t="shared" ref="L225" si="260">IF(L7=0,0,L7/L$4)</f>
        <v>0.5176703620050247</v>
      </c>
      <c r="M225" s="103">
        <f t="shared" ref="M225:V225" si="261">IF(M7=0,0,M7/M$4)</f>
        <v>0.49842189541392629</v>
      </c>
      <c r="N225" s="103">
        <f t="shared" si="261"/>
        <v>0.48098504368970774</v>
      </c>
      <c r="O225" s="103">
        <f t="shared" si="261"/>
        <v>0.47348179251131212</v>
      </c>
      <c r="P225" s="103">
        <f t="shared" si="261"/>
        <v>0.47270290363222367</v>
      </c>
      <c r="Q225" s="103">
        <f t="shared" si="261"/>
        <v>0.46126315372574256</v>
      </c>
      <c r="R225" s="103">
        <f t="shared" si="261"/>
        <v>0.4558686683835394</v>
      </c>
      <c r="S225" s="103">
        <f t="shared" si="261"/>
        <v>0.46765961130692896</v>
      </c>
      <c r="T225" s="103">
        <f t="shared" si="261"/>
        <v>0.4493754202921999</v>
      </c>
      <c r="U225" s="103">
        <f t="shared" si="261"/>
        <v>0.44380541243772037</v>
      </c>
      <c r="V225" s="103">
        <f t="shared" si="261"/>
        <v>0.4734837020729975</v>
      </c>
      <c r="W225" s="103">
        <f t="shared" ref="W225:Y225" si="262">IF(W7=0,0,W7/W$4)</f>
        <v>0.46800578226542411</v>
      </c>
      <c r="X225" s="103">
        <f t="shared" si="262"/>
        <v>0.44501569301732352</v>
      </c>
      <c r="Y225" s="103">
        <f t="shared" si="262"/>
        <v>0.43452317254143275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0.11987387014606249</v>
      </c>
      <c r="C226" s="103">
        <f t="shared" si="263"/>
        <v>0.13015856263312994</v>
      </c>
      <c r="D226" s="103">
        <f t="shared" si="263"/>
        <v>0.13540567581966939</v>
      </c>
      <c r="E226" s="103">
        <f t="shared" si="263"/>
        <v>0.14038912869193365</v>
      </c>
      <c r="F226" s="103">
        <f t="shared" si="263"/>
        <v>0.15158120332313474</v>
      </c>
      <c r="G226" s="103">
        <f t="shared" si="263"/>
        <v>0.14397285524731721</v>
      </c>
      <c r="H226" s="103">
        <f t="shared" si="263"/>
        <v>0.14561472397433792</v>
      </c>
      <c r="I226" s="103">
        <f t="shared" si="263"/>
        <v>0.15717274771790221</v>
      </c>
      <c r="J226" s="103">
        <f t="shared" si="263"/>
        <v>0.15088087522024227</v>
      </c>
      <c r="K226" s="103">
        <f t="shared" si="263"/>
        <v>0.15760722263923774</v>
      </c>
      <c r="L226" s="103">
        <f t="shared" ref="L226" si="264">IF(L8=0,0,L8/L$4)</f>
        <v>0.28466055100516974</v>
      </c>
      <c r="M226" s="103">
        <f t="shared" ref="M226:V226" si="265">IF(M8=0,0,M8/M$4)</f>
        <v>0.31255369447237979</v>
      </c>
      <c r="N226" s="103">
        <f t="shared" si="265"/>
        <v>0.33013086108428041</v>
      </c>
      <c r="O226" s="103">
        <f t="shared" si="265"/>
        <v>0.34209667819061479</v>
      </c>
      <c r="P226" s="103">
        <f t="shared" si="265"/>
        <v>0.34179887796685715</v>
      </c>
      <c r="Q226" s="103">
        <f t="shared" si="265"/>
        <v>0.34407681800690892</v>
      </c>
      <c r="R226" s="103">
        <f t="shared" si="265"/>
        <v>0.34442030789606393</v>
      </c>
      <c r="S226" s="103">
        <f t="shared" si="265"/>
        <v>0.33536776930343359</v>
      </c>
      <c r="T226" s="103">
        <f t="shared" si="265"/>
        <v>0.35438859293740188</v>
      </c>
      <c r="U226" s="103">
        <f t="shared" si="265"/>
        <v>0.3496300748674363</v>
      </c>
      <c r="V226" s="103">
        <f t="shared" si="265"/>
        <v>0.35790496592786825</v>
      </c>
      <c r="W226" s="103">
        <f t="shared" ref="W226:Y226" si="266">IF(W8=0,0,W8/W$4)</f>
        <v>0.35785320992731512</v>
      </c>
      <c r="X226" s="103">
        <f t="shared" si="266"/>
        <v>0.34524508290436434</v>
      </c>
      <c r="Y226" s="103">
        <f t="shared" si="266"/>
        <v>0.34079182049172829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0</v>
      </c>
      <c r="C227" s="103">
        <f t="shared" si="267"/>
        <v>0</v>
      </c>
      <c r="D227" s="103">
        <f t="shared" si="267"/>
        <v>0</v>
      </c>
      <c r="E227" s="103">
        <f t="shared" si="267"/>
        <v>0</v>
      </c>
      <c r="F227" s="103">
        <f t="shared" si="267"/>
        <v>0</v>
      </c>
      <c r="G227" s="103">
        <f t="shared" si="267"/>
        <v>0</v>
      </c>
      <c r="H227" s="103">
        <f t="shared" si="267"/>
        <v>0</v>
      </c>
      <c r="I227" s="103">
        <f t="shared" si="267"/>
        <v>0</v>
      </c>
      <c r="J227" s="103">
        <f t="shared" si="267"/>
        <v>0</v>
      </c>
      <c r="K227" s="103">
        <f t="shared" si="267"/>
        <v>0</v>
      </c>
      <c r="L227" s="103">
        <f t="shared" ref="L227" si="268">IF(L9=0,0,L9/L$4)</f>
        <v>0</v>
      </c>
      <c r="M227" s="103">
        <f t="shared" ref="M227:V227" si="269">IF(M9=0,0,M9/M$4)</f>
        <v>0</v>
      </c>
      <c r="N227" s="103">
        <f t="shared" si="269"/>
        <v>0</v>
      </c>
      <c r="O227" s="103">
        <f t="shared" si="269"/>
        <v>0</v>
      </c>
      <c r="P227" s="103">
        <f t="shared" si="269"/>
        <v>0</v>
      </c>
      <c r="Q227" s="103">
        <f t="shared" si="269"/>
        <v>0</v>
      </c>
      <c r="R227" s="103">
        <f t="shared" si="269"/>
        <v>7.80108200098321E-3</v>
      </c>
      <c r="S227" s="103">
        <f t="shared" si="269"/>
        <v>4.3913540379838358E-3</v>
      </c>
      <c r="T227" s="103">
        <f t="shared" si="269"/>
        <v>3.4834829562784726E-3</v>
      </c>
      <c r="U227" s="103">
        <f t="shared" si="269"/>
        <v>4.8221122044297664E-3</v>
      </c>
      <c r="V227" s="103">
        <f t="shared" si="269"/>
        <v>4.5591604438199249E-3</v>
      </c>
      <c r="W227" s="103">
        <f t="shared" ref="W227:Y227" si="270">IF(W9=0,0,W9/W$4)</f>
        <v>4.282062432495919E-3</v>
      </c>
      <c r="X227" s="103">
        <f t="shared" si="270"/>
        <v>3.853383920437149E-3</v>
      </c>
      <c r="Y227" s="103">
        <f t="shared" si="270"/>
        <v>3.4983560193037519E-3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0</v>
      </c>
      <c r="M228" s="103">
        <f t="shared" ref="M228:V228" si="273">IF(M10=0,0,M10/M$4)</f>
        <v>0</v>
      </c>
      <c r="N228" s="103">
        <f t="shared" si="273"/>
        <v>0</v>
      </c>
      <c r="O228" s="103">
        <f t="shared" si="273"/>
        <v>0</v>
      </c>
      <c r="P228" s="103">
        <f t="shared" si="273"/>
        <v>0</v>
      </c>
      <c r="Q228" s="103">
        <f t="shared" si="273"/>
        <v>0</v>
      </c>
      <c r="R228" s="103">
        <f t="shared" si="273"/>
        <v>0</v>
      </c>
      <c r="S228" s="103">
        <f t="shared" si="273"/>
        <v>0</v>
      </c>
      <c r="T228" s="103">
        <f t="shared" si="273"/>
        <v>0</v>
      </c>
      <c r="U228" s="103">
        <f t="shared" si="273"/>
        <v>0</v>
      </c>
      <c r="V228" s="103">
        <f t="shared" si="273"/>
        <v>0</v>
      </c>
      <c r="W228" s="103">
        <f t="shared" ref="W228:Y228" si="274">IF(W10=0,0,W10/W$4)</f>
        <v>0</v>
      </c>
      <c r="X228" s="103">
        <f t="shared" si="274"/>
        <v>0</v>
      </c>
      <c r="Y228" s="103">
        <f t="shared" si="274"/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1.0646874889524397E-3</v>
      </c>
      <c r="M229" s="103">
        <f t="shared" ref="M229:V229" si="277">IF(M11=0,0,M11/M$4)</f>
        <v>1.0625881049777821E-3</v>
      </c>
      <c r="N229" s="103">
        <f t="shared" si="277"/>
        <v>1.276382588724398E-3</v>
      </c>
      <c r="O229" s="103">
        <f t="shared" si="277"/>
        <v>1.6442518537894194E-3</v>
      </c>
      <c r="P229" s="103">
        <f t="shared" si="277"/>
        <v>2.7068301000869781E-3</v>
      </c>
      <c r="Q229" s="103">
        <f t="shared" si="277"/>
        <v>3.7936795125528048E-3</v>
      </c>
      <c r="R229" s="103">
        <f t="shared" si="277"/>
        <v>3.7231832565742659E-3</v>
      </c>
      <c r="S229" s="103">
        <f t="shared" si="277"/>
        <v>3.7811537434758852E-3</v>
      </c>
      <c r="T229" s="103">
        <f t="shared" si="277"/>
        <v>4.1164298236938115E-3</v>
      </c>
      <c r="U229" s="103">
        <f t="shared" si="277"/>
        <v>4.3258557086468183E-3</v>
      </c>
      <c r="V229" s="103">
        <f t="shared" si="277"/>
        <v>5.4708170241568139E-3</v>
      </c>
      <c r="W229" s="103">
        <f t="shared" ref="W229:Y229" si="278">IF(W11=0,0,W11/W$4)</f>
        <v>8.2971595340155819E-3</v>
      </c>
      <c r="X229" s="103">
        <f t="shared" si="278"/>
        <v>1.306022391103635E-2</v>
      </c>
      <c r="Y229" s="103">
        <f t="shared" si="278"/>
        <v>1.6953309720144551E-2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4.087492730130937E-5</v>
      </c>
      <c r="F230" s="103">
        <f t="shared" si="279"/>
        <v>6.1307164291412425E-5</v>
      </c>
      <c r="G230" s="103">
        <f t="shared" si="279"/>
        <v>6.6521283754255019E-5</v>
      </c>
      <c r="H230" s="103">
        <f t="shared" si="279"/>
        <v>7.3409580031795368E-5</v>
      </c>
      <c r="I230" s="103">
        <f t="shared" si="279"/>
        <v>1.2257665792243279E-4</v>
      </c>
      <c r="J230" s="103">
        <f t="shared" si="279"/>
        <v>1.2639640058057828E-4</v>
      </c>
      <c r="K230" s="103">
        <f t="shared" si="279"/>
        <v>1.3553802348874252E-4</v>
      </c>
      <c r="L230" s="103">
        <f t="shared" ref="L230" si="280">IF(L12=0,0,L12/L$4)</f>
        <v>1.4843684476969251E-4</v>
      </c>
      <c r="M230" s="103">
        <f t="shared" ref="M230:V230" si="281">IF(M12=0,0,M12/M$4)</f>
        <v>1.2338941875587772E-4</v>
      </c>
      <c r="N230" s="103">
        <f t="shared" si="281"/>
        <v>1.5546503826683331E-4</v>
      </c>
      <c r="O230" s="103">
        <f t="shared" si="281"/>
        <v>2.362689388373173E-4</v>
      </c>
      <c r="P230" s="103">
        <f t="shared" si="281"/>
        <v>3.310945085420097E-4</v>
      </c>
      <c r="Q230" s="103">
        <f t="shared" si="281"/>
        <v>4.9334608541201446E-4</v>
      </c>
      <c r="R230" s="103">
        <f t="shared" si="281"/>
        <v>4.9564486655977093E-4</v>
      </c>
      <c r="S230" s="103">
        <f t="shared" si="281"/>
        <v>6.114554969468732E-4</v>
      </c>
      <c r="T230" s="103">
        <f t="shared" si="281"/>
        <v>1.0321248082167662E-3</v>
      </c>
      <c r="U230" s="103">
        <f t="shared" si="281"/>
        <v>3.1651597071330273E-3</v>
      </c>
      <c r="V230" s="103">
        <f t="shared" si="281"/>
        <v>4.6183266962703459E-3</v>
      </c>
      <c r="W230" s="103">
        <f t="shared" ref="W230:Y230" si="282">IF(W12=0,0,W12/W$4)</f>
        <v>6.3260704932771913E-3</v>
      </c>
      <c r="X230" s="103">
        <f t="shared" si="282"/>
        <v>8.3865044773750348E-3</v>
      </c>
      <c r="Y230" s="103">
        <f t="shared" si="282"/>
        <v>1.1093007021771212E-2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0.20070717023623191</v>
      </c>
      <c r="C231" s="156">
        <f t="shared" si="283"/>
        <v>0.20408195885465857</v>
      </c>
      <c r="D231" s="156">
        <f t="shared" si="283"/>
        <v>0.20302328413120133</v>
      </c>
      <c r="E231" s="156">
        <f t="shared" si="283"/>
        <v>0.20204872666943033</v>
      </c>
      <c r="F231" s="156">
        <f t="shared" si="283"/>
        <v>0.20137860842934366</v>
      </c>
      <c r="G231" s="156">
        <f t="shared" si="283"/>
        <v>0.19438061532927831</v>
      </c>
      <c r="H231" s="156">
        <f t="shared" si="283"/>
        <v>0.19367913048524196</v>
      </c>
      <c r="I231" s="156">
        <f t="shared" si="283"/>
        <v>0.19143720845966194</v>
      </c>
      <c r="J231" s="156">
        <f t="shared" si="283"/>
        <v>0.18908936887008645</v>
      </c>
      <c r="K231" s="156">
        <f t="shared" si="283"/>
        <v>0.17813957876932748</v>
      </c>
      <c r="L231" s="156">
        <f t="shared" ref="L231" si="284">IF(L13=0,0,L13/L$4)</f>
        <v>0.18262364485089011</v>
      </c>
      <c r="M231" s="156">
        <f t="shared" ref="M231:V231" si="285">IF(M13=0,0,M13/M$4)</f>
        <v>0.17326293634878864</v>
      </c>
      <c r="N231" s="156">
        <f t="shared" si="285"/>
        <v>0.17279569160006952</v>
      </c>
      <c r="O231" s="156">
        <f t="shared" si="285"/>
        <v>0.16714053467683845</v>
      </c>
      <c r="P231" s="156">
        <f t="shared" si="285"/>
        <v>0.16650713929967809</v>
      </c>
      <c r="Q231" s="156">
        <f t="shared" si="285"/>
        <v>0.17455367265713059</v>
      </c>
      <c r="R231" s="156">
        <f t="shared" si="285"/>
        <v>0.17100461433648631</v>
      </c>
      <c r="S231" s="156">
        <f t="shared" si="285"/>
        <v>0.17242440134352613</v>
      </c>
      <c r="T231" s="156">
        <f t="shared" si="285"/>
        <v>0.17271796458401181</v>
      </c>
      <c r="U231" s="156">
        <f t="shared" si="285"/>
        <v>0.17871797701773834</v>
      </c>
      <c r="V231" s="156">
        <f t="shared" si="285"/>
        <v>0.1370607864447812</v>
      </c>
      <c r="W231" s="156">
        <f t="shared" ref="W231:Y231" si="286">IF(W13=0,0,W13/W$4)</f>
        <v>0.13851213866978859</v>
      </c>
      <c r="X231" s="156">
        <f t="shared" si="286"/>
        <v>0.16842196079234159</v>
      </c>
      <c r="Y231" s="156">
        <f t="shared" si="286"/>
        <v>0.17653385142041916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0</v>
      </c>
      <c r="C232" s="103">
        <f t="shared" si="287"/>
        <v>0</v>
      </c>
      <c r="D232" s="103">
        <f t="shared" si="287"/>
        <v>0</v>
      </c>
      <c r="E232" s="103">
        <f t="shared" si="287"/>
        <v>0</v>
      </c>
      <c r="F232" s="103">
        <f t="shared" si="287"/>
        <v>0</v>
      </c>
      <c r="G232" s="103">
        <f t="shared" si="287"/>
        <v>0</v>
      </c>
      <c r="H232" s="103">
        <f t="shared" si="287"/>
        <v>0</v>
      </c>
      <c r="I232" s="103">
        <f t="shared" si="287"/>
        <v>0</v>
      </c>
      <c r="J232" s="103">
        <f t="shared" si="287"/>
        <v>0</v>
      </c>
      <c r="K232" s="103">
        <f t="shared" si="287"/>
        <v>0</v>
      </c>
      <c r="L232" s="103">
        <f t="shared" ref="L232" si="288">IF(L14=0,0,L14/L$4)</f>
        <v>7.9652833341899371E-4</v>
      </c>
      <c r="M232" s="103">
        <f t="shared" ref="M232:V232" si="289">IF(M14=0,0,M14/M$4)</f>
        <v>6.5971630729687628E-4</v>
      </c>
      <c r="N232" s="103">
        <f t="shared" si="289"/>
        <v>6.1245387816399801E-4</v>
      </c>
      <c r="O232" s="103">
        <f t="shared" si="289"/>
        <v>5.5947870717394806E-4</v>
      </c>
      <c r="P232" s="103">
        <f t="shared" si="289"/>
        <v>4.9053129512392649E-4</v>
      </c>
      <c r="Q232" s="103">
        <f t="shared" si="289"/>
        <v>3.9043505761310733E-4</v>
      </c>
      <c r="R232" s="103">
        <f t="shared" si="289"/>
        <v>3.6401611343859651E-4</v>
      </c>
      <c r="S232" s="103">
        <f t="shared" si="289"/>
        <v>3.4859974188867257E-4</v>
      </c>
      <c r="T232" s="103">
        <f t="shared" si="289"/>
        <v>3.6992854169476283E-4</v>
      </c>
      <c r="U232" s="103">
        <f t="shared" si="289"/>
        <v>3.8466150999670883E-4</v>
      </c>
      <c r="V232" s="103">
        <f t="shared" si="289"/>
        <v>3.0401661852450727E-4</v>
      </c>
      <c r="W232" s="103">
        <f t="shared" ref="W232:Y232" si="290">IF(W14=0,0,W14/W$4)</f>
        <v>2.685514493145733E-4</v>
      </c>
      <c r="X232" s="103">
        <f t="shared" si="290"/>
        <v>2.9069117513741481E-4</v>
      </c>
      <c r="Y232" s="103">
        <f t="shared" si="290"/>
        <v>3.0802060032448467E-4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0.20070717023623191</v>
      </c>
      <c r="C233" s="103">
        <f t="shared" si="291"/>
        <v>0.20408195885465857</v>
      </c>
      <c r="D233" s="103">
        <f t="shared" si="291"/>
        <v>0.20302328413120133</v>
      </c>
      <c r="E233" s="103">
        <f t="shared" si="291"/>
        <v>0.20204872666943033</v>
      </c>
      <c r="F233" s="103">
        <f t="shared" si="291"/>
        <v>0.20137860842934366</v>
      </c>
      <c r="G233" s="103">
        <f t="shared" si="291"/>
        <v>0.19438061532927831</v>
      </c>
      <c r="H233" s="103">
        <f t="shared" si="291"/>
        <v>0.19367913048524196</v>
      </c>
      <c r="I233" s="103">
        <f t="shared" si="291"/>
        <v>0.19143720845966194</v>
      </c>
      <c r="J233" s="103">
        <f t="shared" si="291"/>
        <v>0.18908936887008645</v>
      </c>
      <c r="K233" s="103">
        <f t="shared" si="291"/>
        <v>0.17813957876932748</v>
      </c>
      <c r="L233" s="103">
        <f t="shared" ref="L233" si="292">IF(L15=0,0,L15/L$4)</f>
        <v>0.18182711651747113</v>
      </c>
      <c r="M233" s="103">
        <f t="shared" ref="M233:V233" si="293">IF(M15=0,0,M15/M$4)</f>
        <v>0.17260322004149178</v>
      </c>
      <c r="N233" s="103">
        <f t="shared" si="293"/>
        <v>0.17218323772190552</v>
      </c>
      <c r="O233" s="103">
        <f t="shared" si="293"/>
        <v>0.16658105596966449</v>
      </c>
      <c r="P233" s="103">
        <f t="shared" si="293"/>
        <v>0.16601660800455417</v>
      </c>
      <c r="Q233" s="103">
        <f t="shared" si="293"/>
        <v>0.17416323759951749</v>
      </c>
      <c r="R233" s="103">
        <f t="shared" si="293"/>
        <v>0.17064059822304772</v>
      </c>
      <c r="S233" s="103">
        <f t="shared" si="293"/>
        <v>0.17207580160163746</v>
      </c>
      <c r="T233" s="103">
        <f t="shared" si="293"/>
        <v>0.17168771146088196</v>
      </c>
      <c r="U233" s="103">
        <f t="shared" si="293"/>
        <v>0.17747740705812134</v>
      </c>
      <c r="V233" s="103">
        <f t="shared" si="293"/>
        <v>0.13597748837672285</v>
      </c>
      <c r="W233" s="103">
        <f t="shared" ref="W233:Y233" si="294">IF(W15=0,0,W15/W$4)</f>
        <v>0.13717113734245517</v>
      </c>
      <c r="X233" s="103">
        <f t="shared" si="294"/>
        <v>0.16696942931714215</v>
      </c>
      <c r="Y233" s="103">
        <f t="shared" si="294"/>
        <v>0.17106587341516075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1.4065362108752592E-3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0</v>
      </c>
      <c r="O235" s="103">
        <f t="shared" si="301"/>
        <v>0</v>
      </c>
      <c r="P235" s="103">
        <f t="shared" si="301"/>
        <v>0</v>
      </c>
      <c r="Q235" s="103">
        <f t="shared" si="301"/>
        <v>0</v>
      </c>
      <c r="R235" s="103">
        <f t="shared" si="301"/>
        <v>0</v>
      </c>
      <c r="S235" s="103">
        <f t="shared" si="301"/>
        <v>0</v>
      </c>
      <c r="T235" s="103">
        <f t="shared" si="301"/>
        <v>0</v>
      </c>
      <c r="U235" s="103">
        <f t="shared" si="301"/>
        <v>0</v>
      </c>
      <c r="V235" s="103">
        <f t="shared" si="301"/>
        <v>0</v>
      </c>
      <c r="W235" s="103">
        <f t="shared" ref="W235:Y235" si="302">IF(W17=0,0,W17/W$4)</f>
        <v>0</v>
      </c>
      <c r="X235" s="103">
        <f t="shared" si="302"/>
        <v>0</v>
      </c>
      <c r="Y235" s="103">
        <f t="shared" si="302"/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0</v>
      </c>
      <c r="M236" s="103">
        <f t="shared" ref="M236:V236" si="305">IF(M18=0,0,M18/M$4)</f>
        <v>0</v>
      </c>
      <c r="N236" s="103">
        <f t="shared" si="305"/>
        <v>0</v>
      </c>
      <c r="O236" s="103">
        <f t="shared" si="305"/>
        <v>0</v>
      </c>
      <c r="P236" s="103">
        <f t="shared" si="305"/>
        <v>0</v>
      </c>
      <c r="Q236" s="103">
        <f t="shared" si="305"/>
        <v>0</v>
      </c>
      <c r="R236" s="103">
        <f t="shared" si="305"/>
        <v>0</v>
      </c>
      <c r="S236" s="103">
        <f t="shared" si="305"/>
        <v>0</v>
      </c>
      <c r="T236" s="103">
        <f t="shared" si="305"/>
        <v>6.6032458143507956E-4</v>
      </c>
      <c r="U236" s="103">
        <f t="shared" si="305"/>
        <v>8.559084496202841E-4</v>
      </c>
      <c r="V236" s="103">
        <f t="shared" si="305"/>
        <v>7.7928144953384368E-4</v>
      </c>
      <c r="W236" s="103">
        <f t="shared" ref="W236:Y236" si="306">IF(W18=0,0,W18/W$4)</f>
        <v>1.0724498780188582E-3</v>
      </c>
      <c r="X236" s="103">
        <f t="shared" si="306"/>
        <v>1.1618403000620686E-3</v>
      </c>
      <c r="Y236" s="103">
        <f t="shared" si="306"/>
        <v>3.7534211940586509E-3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3.17350917021475E-2</v>
      </c>
      <c r="C238" s="154">
        <f t="shared" si="311"/>
        <v>3.400860801706216E-2</v>
      </c>
      <c r="D238" s="154">
        <f t="shared" si="311"/>
        <v>0.10189358596847481</v>
      </c>
      <c r="E238" s="154">
        <f t="shared" si="311"/>
        <v>4.8053334145697242E-2</v>
      </c>
      <c r="F238" s="154">
        <f t="shared" si="311"/>
        <v>2.9922961210833258E-2</v>
      </c>
      <c r="G238" s="154">
        <f t="shared" si="311"/>
        <v>5.8407521204044036E-2</v>
      </c>
      <c r="H238" s="154">
        <f t="shared" si="311"/>
        <v>6.5447791883937276E-2</v>
      </c>
      <c r="I238" s="154">
        <f t="shared" si="311"/>
        <v>6.1356084299544693E-2</v>
      </c>
      <c r="J238" s="154">
        <f t="shared" si="311"/>
        <v>6.1694259179973385E-2</v>
      </c>
      <c r="K238" s="154">
        <f t="shared" si="311"/>
        <v>6.3410311207195064E-2</v>
      </c>
      <c r="L238" s="154">
        <f t="shared" ref="L238" si="312">IF(L20=0,0,L20/L$19)</f>
        <v>7.6080391671284497E-2</v>
      </c>
      <c r="M238" s="154">
        <f t="shared" ref="M238:V238" si="313">IF(M20=0,0,M20/M$19)</f>
        <v>8.3160437338980167E-2</v>
      </c>
      <c r="N238" s="154">
        <f t="shared" si="313"/>
        <v>8.9880268662542395E-2</v>
      </c>
      <c r="O238" s="154">
        <f t="shared" si="313"/>
        <v>9.1263678757159322E-2</v>
      </c>
      <c r="P238" s="154">
        <f t="shared" si="313"/>
        <v>9.7640302871642284E-2</v>
      </c>
      <c r="Q238" s="154">
        <f t="shared" si="313"/>
        <v>0.10524554446616181</v>
      </c>
      <c r="R238" s="154">
        <f t="shared" si="313"/>
        <v>0.10268892659131194</v>
      </c>
      <c r="S238" s="154">
        <f t="shared" si="313"/>
        <v>0.10776666748143193</v>
      </c>
      <c r="T238" s="154">
        <f t="shared" si="313"/>
        <v>0.11349439525734485</v>
      </c>
      <c r="U238" s="154">
        <f t="shared" si="313"/>
        <v>0.1149817520241857</v>
      </c>
      <c r="V238" s="154">
        <f t="shared" si="313"/>
        <v>0.11265969391852473</v>
      </c>
      <c r="W238" s="154">
        <f t="shared" ref="W238:Y238" si="314">IF(W20=0,0,W20/W$19)</f>
        <v>0.11013744950758128</v>
      </c>
      <c r="X238" s="154">
        <f t="shared" si="314"/>
        <v>0.10784276059946984</v>
      </c>
      <c r="Y238" s="154">
        <f t="shared" si="314"/>
        <v>0.10671546662137221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9.0008677492991985E-4</v>
      </c>
      <c r="C239" s="103">
        <f t="shared" si="315"/>
        <v>1.126225810418218E-3</v>
      </c>
      <c r="D239" s="103">
        <f t="shared" si="315"/>
        <v>3.2953777729475093E-3</v>
      </c>
      <c r="E239" s="103">
        <f t="shared" si="315"/>
        <v>1.4980240537999763E-3</v>
      </c>
      <c r="F239" s="103">
        <f t="shared" si="315"/>
        <v>9.1686722295751468E-4</v>
      </c>
      <c r="G239" s="103">
        <f t="shared" si="315"/>
        <v>1.7884721876314229E-3</v>
      </c>
      <c r="H239" s="103">
        <f t="shared" si="315"/>
        <v>1.9192098194994744E-3</v>
      </c>
      <c r="I239" s="103">
        <f t="shared" si="315"/>
        <v>1.6490125744384714E-3</v>
      </c>
      <c r="J239" s="103">
        <f t="shared" si="315"/>
        <v>1.5019188271110948E-3</v>
      </c>
      <c r="K239" s="103">
        <f t="shared" si="315"/>
        <v>1.4853785448776047E-3</v>
      </c>
      <c r="L239" s="103">
        <f t="shared" ref="L239" si="316">IF(L21=0,0,L21/L$19)</f>
        <v>1.9357829767552149E-3</v>
      </c>
      <c r="M239" s="103">
        <f t="shared" ref="M239:V239" si="317">IF(M21=0,0,M21/M$19)</f>
        <v>1.9060959725586515E-3</v>
      </c>
      <c r="N239" s="103">
        <f t="shared" si="317"/>
        <v>1.9659285793565068E-3</v>
      </c>
      <c r="O239" s="103">
        <f t="shared" si="317"/>
        <v>1.9658811236954454E-3</v>
      </c>
      <c r="P239" s="103">
        <f t="shared" si="317"/>
        <v>1.8945779204529237E-3</v>
      </c>
      <c r="Q239" s="103">
        <f t="shared" si="317"/>
        <v>1.9190377354649664E-3</v>
      </c>
      <c r="R239" s="103">
        <f t="shared" si="317"/>
        <v>1.7841171693628846E-3</v>
      </c>
      <c r="S239" s="103">
        <f t="shared" si="317"/>
        <v>1.7428472614837724E-3</v>
      </c>
      <c r="T239" s="103">
        <f t="shared" si="317"/>
        <v>1.7423863214500795E-3</v>
      </c>
      <c r="U239" s="103">
        <f t="shared" si="317"/>
        <v>1.7445575692568247E-3</v>
      </c>
      <c r="V239" s="103">
        <f t="shared" si="317"/>
        <v>1.6985300162138204E-3</v>
      </c>
      <c r="W239" s="103">
        <f t="shared" ref="W239:Y239" si="318">IF(W21=0,0,W21/W$19)</f>
        <v>1.7525575358682984E-3</v>
      </c>
      <c r="X239" s="103">
        <f t="shared" si="318"/>
        <v>2.0028950072521947E-3</v>
      </c>
      <c r="Y239" s="103">
        <f t="shared" si="318"/>
        <v>2.248308618214046E-3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3.083500492721758E-2</v>
      </c>
      <c r="C240" s="103">
        <f t="shared" si="319"/>
        <v>3.2882382206643947E-2</v>
      </c>
      <c r="D240" s="103">
        <f t="shared" si="319"/>
        <v>9.8598208195527295E-2</v>
      </c>
      <c r="E240" s="103">
        <f t="shared" si="319"/>
        <v>4.655531009189727E-2</v>
      </c>
      <c r="F240" s="103">
        <f t="shared" si="319"/>
        <v>2.9006093987875743E-2</v>
      </c>
      <c r="G240" s="103">
        <f t="shared" si="319"/>
        <v>5.6619049016412612E-2</v>
      </c>
      <c r="H240" s="103">
        <f t="shared" si="319"/>
        <v>6.3528582064437802E-2</v>
      </c>
      <c r="I240" s="103">
        <f t="shared" si="319"/>
        <v>5.9707071725106219E-2</v>
      </c>
      <c r="J240" s="103">
        <f t="shared" si="319"/>
        <v>6.0186576945545939E-2</v>
      </c>
      <c r="K240" s="103">
        <f t="shared" si="319"/>
        <v>6.1918973667378786E-2</v>
      </c>
      <c r="L240" s="103">
        <f t="shared" ref="L240" si="320">IF(L22=0,0,L22/L$19)</f>
        <v>7.4134634779731035E-2</v>
      </c>
      <c r="M240" s="103">
        <f t="shared" ref="M240:V240" si="321">IF(M22=0,0,M22/M$19)</f>
        <v>8.124142740501146E-2</v>
      </c>
      <c r="N240" s="103">
        <f t="shared" si="321"/>
        <v>8.7900352959890252E-2</v>
      </c>
      <c r="O240" s="103">
        <f t="shared" si="321"/>
        <v>8.9255614697734451E-2</v>
      </c>
      <c r="P240" s="103">
        <f t="shared" si="321"/>
        <v>9.5701779926575858E-2</v>
      </c>
      <c r="Q240" s="103">
        <f t="shared" si="321"/>
        <v>0.10327507143667737</v>
      </c>
      <c r="R240" s="103">
        <f t="shared" si="321"/>
        <v>0.1008500498845213</v>
      </c>
      <c r="S240" s="103">
        <f t="shared" si="321"/>
        <v>0.10594351077777202</v>
      </c>
      <c r="T240" s="103">
        <f t="shared" si="321"/>
        <v>0.11164706527760701</v>
      </c>
      <c r="U240" s="103">
        <f t="shared" si="321"/>
        <v>0.11291821159890969</v>
      </c>
      <c r="V240" s="103">
        <f t="shared" si="321"/>
        <v>0.1106350446006978</v>
      </c>
      <c r="W240" s="103">
        <f t="shared" ref="W240:Y240" si="322">IF(W22=0,0,W22/W$19)</f>
        <v>0.1080494701414864</v>
      </c>
      <c r="X240" s="103">
        <f t="shared" si="322"/>
        <v>0.10545071499640656</v>
      </c>
      <c r="Y240" s="103">
        <f t="shared" si="322"/>
        <v>0.1038965044812338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0</v>
      </c>
      <c r="P241" s="103">
        <f t="shared" si="325"/>
        <v>0</v>
      </c>
      <c r="Q241" s="103">
        <f t="shared" si="325"/>
        <v>0</v>
      </c>
      <c r="R241" s="103">
        <f t="shared" si="325"/>
        <v>0</v>
      </c>
      <c r="S241" s="103">
        <f t="shared" si="325"/>
        <v>5.3463151805205098E-6</v>
      </c>
      <c r="T241" s="103">
        <f t="shared" si="325"/>
        <v>5.3761698667586595E-6</v>
      </c>
      <c r="U241" s="103">
        <f t="shared" si="325"/>
        <v>1.0488804428528054E-5</v>
      </c>
      <c r="V241" s="103">
        <f t="shared" si="325"/>
        <v>1.0027929714635437E-5</v>
      </c>
      <c r="W241" s="103">
        <f t="shared" ref="W241:Y241" si="326">IF(W23=0,0,W23/W$19)</f>
        <v>9.6777722042078605E-6</v>
      </c>
      <c r="X241" s="103">
        <f t="shared" si="326"/>
        <v>9.3366601480551882E-6</v>
      </c>
      <c r="Y241" s="103">
        <f t="shared" si="326"/>
        <v>1.1291658051553728E-5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0</v>
      </c>
      <c r="R242" s="103">
        <f t="shared" si="329"/>
        <v>0</v>
      </c>
      <c r="S242" s="103">
        <f t="shared" si="329"/>
        <v>0</v>
      </c>
      <c r="T242" s="103">
        <f t="shared" si="329"/>
        <v>0</v>
      </c>
      <c r="U242" s="103">
        <f t="shared" si="329"/>
        <v>0</v>
      </c>
      <c r="V242" s="103">
        <f t="shared" si="329"/>
        <v>0</v>
      </c>
      <c r="W242" s="103">
        <f t="shared" ref="W242:Y242" si="330">IF(W24=0,0,W24/W$19)</f>
        <v>0</v>
      </c>
      <c r="X242" s="103">
        <f t="shared" si="330"/>
        <v>0</v>
      </c>
      <c r="Y242" s="103">
        <f t="shared" si="330"/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5.7634073163416436E-6</v>
      </c>
      <c r="K243" s="103">
        <f t="shared" si="331"/>
        <v>5.9589949386711297E-6</v>
      </c>
      <c r="L243" s="103">
        <f t="shared" ref="L243" si="332">IF(L25=0,0,L25/L$19)</f>
        <v>9.9739147982412231E-6</v>
      </c>
      <c r="M243" s="103">
        <f t="shared" ref="M243:V243" si="333">IF(M25=0,0,M25/M$19)</f>
        <v>1.2913961410069135E-5</v>
      </c>
      <c r="N243" s="103">
        <f t="shared" si="333"/>
        <v>1.3987123295636513E-5</v>
      </c>
      <c r="O243" s="103">
        <f t="shared" si="333"/>
        <v>4.2182935729436207E-5</v>
      </c>
      <c r="P243" s="103">
        <f t="shared" si="333"/>
        <v>4.394502461350128E-5</v>
      </c>
      <c r="Q243" s="103">
        <f t="shared" si="333"/>
        <v>5.1435294019482112E-5</v>
      </c>
      <c r="R243" s="103">
        <f t="shared" si="333"/>
        <v>5.4759537427764416E-5</v>
      </c>
      <c r="S243" s="103">
        <f t="shared" si="333"/>
        <v>7.4963126995634976E-5</v>
      </c>
      <c r="T243" s="103">
        <f t="shared" si="333"/>
        <v>9.9567488420992158E-5</v>
      </c>
      <c r="U243" s="103">
        <f t="shared" si="333"/>
        <v>3.0849405159064645E-4</v>
      </c>
      <c r="V243" s="103">
        <f t="shared" si="333"/>
        <v>3.16091371898478E-4</v>
      </c>
      <c r="W243" s="103">
        <f t="shared" ref="W243:Y243" si="334">IF(W25=0,0,W25/W$19)</f>
        <v>3.2574405802237254E-4</v>
      </c>
      <c r="X243" s="103">
        <f t="shared" si="334"/>
        <v>3.7981393566303154E-4</v>
      </c>
      <c r="Y243" s="103">
        <f t="shared" si="334"/>
        <v>5.5936186387281397E-4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0.96826490829785239</v>
      </c>
      <c r="C244" s="156">
        <f t="shared" si="335"/>
        <v>0.96599139198293793</v>
      </c>
      <c r="D244" s="156">
        <f t="shared" si="335"/>
        <v>0.89810641403152514</v>
      </c>
      <c r="E244" s="156">
        <f t="shared" si="335"/>
        <v>0.95194666585430276</v>
      </c>
      <c r="F244" s="156">
        <f t="shared" si="335"/>
        <v>0.97007703878916673</v>
      </c>
      <c r="G244" s="156">
        <f t="shared" si="335"/>
        <v>0.94159247879595598</v>
      </c>
      <c r="H244" s="156">
        <f t="shared" si="335"/>
        <v>0.93455220811606277</v>
      </c>
      <c r="I244" s="156">
        <f t="shared" si="335"/>
        <v>0.93864391570045524</v>
      </c>
      <c r="J244" s="156">
        <f t="shared" si="335"/>
        <v>0.93830574082002671</v>
      </c>
      <c r="K244" s="156">
        <f t="shared" si="335"/>
        <v>0.9365896887928048</v>
      </c>
      <c r="L244" s="156">
        <f t="shared" ref="L244" si="336">IF(L26=0,0,L26/L$19)</f>
        <v>0.92391960832871556</v>
      </c>
      <c r="M244" s="156">
        <f t="shared" ref="M244:V244" si="337">IF(M26=0,0,M26/M$19)</f>
        <v>0.91683956266101985</v>
      </c>
      <c r="N244" s="156">
        <f t="shared" si="337"/>
        <v>0.9101197313374576</v>
      </c>
      <c r="O244" s="156">
        <f t="shared" si="337"/>
        <v>0.90873632124284065</v>
      </c>
      <c r="P244" s="156">
        <f t="shared" si="337"/>
        <v>0.90235969712835773</v>
      </c>
      <c r="Q244" s="156">
        <f t="shared" si="337"/>
        <v>0.89475445553383814</v>
      </c>
      <c r="R244" s="156">
        <f t="shared" si="337"/>
        <v>0.89731107340868799</v>
      </c>
      <c r="S244" s="156">
        <f t="shared" si="337"/>
        <v>0.89223333251856807</v>
      </c>
      <c r="T244" s="156">
        <f t="shared" si="337"/>
        <v>0.88650560474265516</v>
      </c>
      <c r="U244" s="156">
        <f t="shared" si="337"/>
        <v>0.8850182479758143</v>
      </c>
      <c r="V244" s="156">
        <f t="shared" si="337"/>
        <v>0.88734030608147529</v>
      </c>
      <c r="W244" s="156">
        <f t="shared" ref="W244:Y244" si="338">IF(W26=0,0,W26/W$19)</f>
        <v>0.88986255049241869</v>
      </c>
      <c r="X244" s="156">
        <f t="shared" si="338"/>
        <v>0.89215723940053027</v>
      </c>
      <c r="Y244" s="156">
        <f t="shared" si="338"/>
        <v>0.89328453337862779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0.96826490829785239</v>
      </c>
      <c r="C245" s="103">
        <f t="shared" si="339"/>
        <v>0.96599139198293793</v>
      </c>
      <c r="D245" s="103">
        <f t="shared" si="339"/>
        <v>0.89810641403152514</v>
      </c>
      <c r="E245" s="103">
        <f t="shared" si="339"/>
        <v>0.95194666585430276</v>
      </c>
      <c r="F245" s="103">
        <f t="shared" si="339"/>
        <v>0.97007703878916673</v>
      </c>
      <c r="G245" s="103">
        <f t="shared" si="339"/>
        <v>0.94159247879595598</v>
      </c>
      <c r="H245" s="103">
        <f t="shared" si="339"/>
        <v>0.93455220811606277</v>
      </c>
      <c r="I245" s="103">
        <f t="shared" si="339"/>
        <v>0.93864391570045524</v>
      </c>
      <c r="J245" s="103">
        <f t="shared" si="339"/>
        <v>0.93830574082002671</v>
      </c>
      <c r="K245" s="103">
        <f t="shared" si="339"/>
        <v>0.9365896887928048</v>
      </c>
      <c r="L245" s="103">
        <f t="shared" ref="L245" si="340">IF(L27=0,0,L27/L$19)</f>
        <v>0.92391960832871556</v>
      </c>
      <c r="M245" s="103">
        <f t="shared" ref="M245:V245" si="341">IF(M27=0,0,M27/M$19)</f>
        <v>0.91683956266101985</v>
      </c>
      <c r="N245" s="103">
        <f t="shared" si="341"/>
        <v>0.9101197313374576</v>
      </c>
      <c r="O245" s="103">
        <f t="shared" si="341"/>
        <v>0.90873632124284065</v>
      </c>
      <c r="P245" s="103">
        <f t="shared" si="341"/>
        <v>0.90235969712835773</v>
      </c>
      <c r="Q245" s="103">
        <f t="shared" si="341"/>
        <v>0.89475445553383814</v>
      </c>
      <c r="R245" s="103">
        <f t="shared" si="341"/>
        <v>0.89731107340868799</v>
      </c>
      <c r="S245" s="103">
        <f t="shared" si="341"/>
        <v>0.89223333251856807</v>
      </c>
      <c r="T245" s="103">
        <f t="shared" si="341"/>
        <v>0.88650560474265516</v>
      </c>
      <c r="U245" s="103">
        <f t="shared" si="341"/>
        <v>0.8850182479758143</v>
      </c>
      <c r="V245" s="103">
        <f t="shared" si="341"/>
        <v>0.88734030608147529</v>
      </c>
      <c r="W245" s="103">
        <f t="shared" ref="W245:Y245" si="342">IF(W27=0,0,W27/W$19)</f>
        <v>0.88986255049241869</v>
      </c>
      <c r="X245" s="103">
        <f t="shared" si="342"/>
        <v>0.89215723940053027</v>
      </c>
      <c r="Y245" s="103">
        <f t="shared" si="342"/>
        <v>0.89328453337862779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</v>
      </c>
      <c r="C246" s="105">
        <f t="shared" si="343"/>
        <v>0</v>
      </c>
      <c r="D246" s="105">
        <f t="shared" si="343"/>
        <v>0</v>
      </c>
      <c r="E246" s="105">
        <f t="shared" si="343"/>
        <v>0</v>
      </c>
      <c r="F246" s="105">
        <f t="shared" si="343"/>
        <v>0</v>
      </c>
      <c r="G246" s="105">
        <f t="shared" si="343"/>
        <v>0</v>
      </c>
      <c r="H246" s="105">
        <f t="shared" si="343"/>
        <v>0</v>
      </c>
      <c r="I246" s="105">
        <f t="shared" si="343"/>
        <v>0</v>
      </c>
      <c r="J246" s="105">
        <f t="shared" si="343"/>
        <v>0</v>
      </c>
      <c r="K246" s="105">
        <f t="shared" si="343"/>
        <v>0</v>
      </c>
      <c r="L246" s="105">
        <f t="shared" ref="L246" si="344">IF(L28=0,0,L28/L$19)</f>
        <v>0</v>
      </c>
      <c r="M246" s="105">
        <f t="shared" ref="M246:V246" si="345">IF(M28=0,0,M28/M$19)</f>
        <v>0</v>
      </c>
      <c r="N246" s="105">
        <f t="shared" si="345"/>
        <v>0</v>
      </c>
      <c r="O246" s="105">
        <f t="shared" si="345"/>
        <v>0</v>
      </c>
      <c r="P246" s="105">
        <f t="shared" si="345"/>
        <v>0</v>
      </c>
      <c r="Q246" s="105">
        <f t="shared" si="345"/>
        <v>0</v>
      </c>
      <c r="R246" s="105">
        <f t="shared" si="345"/>
        <v>0</v>
      </c>
      <c r="S246" s="105">
        <f t="shared" si="345"/>
        <v>0</v>
      </c>
      <c r="T246" s="105">
        <f t="shared" si="345"/>
        <v>0</v>
      </c>
      <c r="U246" s="105">
        <f t="shared" si="345"/>
        <v>0</v>
      </c>
      <c r="V246" s="105">
        <f t="shared" si="345"/>
        <v>0</v>
      </c>
      <c r="W246" s="105">
        <f t="shared" ref="W246:Y246" si="346">IF(W28=0,0,W28/W$19)</f>
        <v>0</v>
      </c>
      <c r="X246" s="105">
        <f t="shared" si="346"/>
        <v>0</v>
      </c>
      <c r="Y246" s="105">
        <f t="shared" si="346"/>
        <v>0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1.9624560043807558E-2</v>
      </c>
      <c r="C250" s="154">
        <f t="shared" si="351"/>
        <v>1.9961423397320221E-2</v>
      </c>
      <c r="D250" s="154">
        <f t="shared" si="351"/>
        <v>1.9862572233228352E-2</v>
      </c>
      <c r="E250" s="154">
        <f t="shared" si="351"/>
        <v>1.9550080464308759E-2</v>
      </c>
      <c r="F250" s="154">
        <f t="shared" si="351"/>
        <v>1.8715216854288813E-2</v>
      </c>
      <c r="G250" s="154">
        <f t="shared" si="351"/>
        <v>1.591895536381404E-2</v>
      </c>
      <c r="H250" s="154">
        <f t="shared" si="351"/>
        <v>1.5712513952967491E-2</v>
      </c>
      <c r="I250" s="154">
        <f t="shared" si="351"/>
        <v>1.6765522221037478E-2</v>
      </c>
      <c r="J250" s="154">
        <f t="shared" si="351"/>
        <v>1.7316918446023406E-2</v>
      </c>
      <c r="K250" s="154">
        <f t="shared" si="351"/>
        <v>1.6548601978755111E-2</v>
      </c>
      <c r="L250" s="154">
        <f t="shared" ref="L250" si="352">IF(L32=0,0,L32/L$31)</f>
        <v>1.6726700690739848E-2</v>
      </c>
      <c r="M250" s="154">
        <f t="shared" ref="M250:V250" si="353">IF(M32=0,0,M32/M$31)</f>
        <v>1.7326715123969352E-2</v>
      </c>
      <c r="N250" s="154">
        <f t="shared" si="353"/>
        <v>1.7419714570911026E-2</v>
      </c>
      <c r="O250" s="154">
        <f t="shared" si="353"/>
        <v>1.8088216577883936E-2</v>
      </c>
      <c r="P250" s="154">
        <f t="shared" si="353"/>
        <v>1.8545503345481711E-2</v>
      </c>
      <c r="Q250" s="154">
        <f t="shared" si="353"/>
        <v>1.8403068217965175E-2</v>
      </c>
      <c r="R250" s="154">
        <f t="shared" si="353"/>
        <v>1.9374785033252621E-2</v>
      </c>
      <c r="S250" s="154">
        <f t="shared" si="353"/>
        <v>1.8598245805843395E-2</v>
      </c>
      <c r="T250" s="154">
        <f t="shared" si="353"/>
        <v>1.746782162546277E-2</v>
      </c>
      <c r="U250" s="154">
        <f t="shared" si="353"/>
        <v>1.8590463368294185E-2</v>
      </c>
      <c r="V250" s="154">
        <f t="shared" si="353"/>
        <v>1.8839078664585601E-2</v>
      </c>
      <c r="W250" s="154">
        <f t="shared" ref="W250:Y250" si="354">IF(W32=0,0,W32/W$31)</f>
        <v>1.8863849044647819E-2</v>
      </c>
      <c r="X250" s="154">
        <f t="shared" si="354"/>
        <v>1.9313041263451517E-2</v>
      </c>
      <c r="Y250" s="154">
        <f t="shared" si="354"/>
        <v>2.0526031723268168E-2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0.95967717531756025</v>
      </c>
      <c r="C251" s="156">
        <f t="shared" si="355"/>
        <v>0.95924112575326737</v>
      </c>
      <c r="D251" s="156">
        <f t="shared" si="355"/>
        <v>0.95977880028543749</v>
      </c>
      <c r="E251" s="156">
        <f t="shared" si="355"/>
        <v>0.96049289385357328</v>
      </c>
      <c r="F251" s="156">
        <f t="shared" si="355"/>
        <v>0.96040978655274634</v>
      </c>
      <c r="G251" s="156">
        <f t="shared" si="355"/>
        <v>0.96548095128035716</v>
      </c>
      <c r="H251" s="156">
        <f t="shared" si="355"/>
        <v>0.96589326544388732</v>
      </c>
      <c r="I251" s="156">
        <f t="shared" si="355"/>
        <v>0.96396952262058477</v>
      </c>
      <c r="J251" s="156">
        <f t="shared" si="355"/>
        <v>0.96442622210305817</v>
      </c>
      <c r="K251" s="156">
        <f t="shared" si="355"/>
        <v>0.96602790156923679</v>
      </c>
      <c r="L251" s="156">
        <f t="shared" ref="L251" si="356">IF(L33=0,0,L33/L$31)</f>
        <v>0.96378454941256797</v>
      </c>
      <c r="M251" s="156">
        <f t="shared" ref="M251:V251" si="357">IF(M33=0,0,M33/M$31)</f>
        <v>0.96076871842417466</v>
      </c>
      <c r="N251" s="156">
        <f t="shared" si="357"/>
        <v>0.9568876294904034</v>
      </c>
      <c r="O251" s="156">
        <f t="shared" si="357"/>
        <v>0.95632932400000625</v>
      </c>
      <c r="P251" s="156">
        <f t="shared" si="357"/>
        <v>0.95157136007104592</v>
      </c>
      <c r="Q251" s="156">
        <f t="shared" si="357"/>
        <v>0.94911548717307548</v>
      </c>
      <c r="R251" s="156">
        <f t="shared" si="357"/>
        <v>0.94904176730602396</v>
      </c>
      <c r="S251" s="156">
        <f t="shared" si="357"/>
        <v>0.94886689741426433</v>
      </c>
      <c r="T251" s="156">
        <f t="shared" si="357"/>
        <v>0.9500451889423509</v>
      </c>
      <c r="U251" s="156">
        <f t="shared" si="357"/>
        <v>0.9493085527640176</v>
      </c>
      <c r="V251" s="156">
        <f t="shared" si="357"/>
        <v>0.95281436765063343</v>
      </c>
      <c r="W251" s="156">
        <f t="shared" ref="W251:Y251" si="358">IF(W33=0,0,W33/W$31)</f>
        <v>0.95632109845963931</v>
      </c>
      <c r="X251" s="156">
        <f t="shared" si="358"/>
        <v>0.95082281209281727</v>
      </c>
      <c r="Y251" s="156">
        <f t="shared" si="358"/>
        <v>0.94766586423936527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0.82442299552325105</v>
      </c>
      <c r="C252" s="103">
        <f t="shared" si="359"/>
        <v>0.8115528666234072</v>
      </c>
      <c r="D252" s="103">
        <f t="shared" si="359"/>
        <v>0.80613584918596626</v>
      </c>
      <c r="E252" s="103">
        <f t="shared" si="359"/>
        <v>0.80113323637035661</v>
      </c>
      <c r="F252" s="103">
        <f t="shared" si="359"/>
        <v>0.78854486819584946</v>
      </c>
      <c r="G252" s="103">
        <f t="shared" si="359"/>
        <v>0.80319746658992941</v>
      </c>
      <c r="H252" s="103">
        <f t="shared" si="359"/>
        <v>0.80179643728473049</v>
      </c>
      <c r="I252" s="103">
        <f t="shared" si="359"/>
        <v>0.78736323186415569</v>
      </c>
      <c r="J252" s="103">
        <f t="shared" si="359"/>
        <v>0.79515055513749611</v>
      </c>
      <c r="K252" s="103">
        <f t="shared" si="359"/>
        <v>0.79124961683608586</v>
      </c>
      <c r="L252" s="103">
        <f t="shared" ref="L252" si="360">IF(L34=0,0,L34/L$31)</f>
        <v>0.64114339283233013</v>
      </c>
      <c r="M252" s="103">
        <f t="shared" ref="M252:V252" si="361">IF(M34=0,0,M34/M$31)</f>
        <v>0.61056570388430143</v>
      </c>
      <c r="N252" s="103">
        <f t="shared" si="361"/>
        <v>0.58771015299500795</v>
      </c>
      <c r="O252" s="103">
        <f t="shared" si="361"/>
        <v>0.57537748762818097</v>
      </c>
      <c r="P252" s="103">
        <f t="shared" si="361"/>
        <v>0.5714839141854321</v>
      </c>
      <c r="Q252" s="103">
        <f t="shared" si="361"/>
        <v>0.56199992795871412</v>
      </c>
      <c r="R252" s="103">
        <f t="shared" si="361"/>
        <v>0.55368289549502359</v>
      </c>
      <c r="S252" s="103">
        <f t="shared" si="361"/>
        <v>0.5675848654420218</v>
      </c>
      <c r="T252" s="103">
        <f t="shared" si="361"/>
        <v>0.54683753789155209</v>
      </c>
      <c r="U252" s="103">
        <f t="shared" si="361"/>
        <v>0.54400590932487747</v>
      </c>
      <c r="V252" s="103">
        <f t="shared" si="361"/>
        <v>0.55419868555235774</v>
      </c>
      <c r="W252" s="103">
        <f t="shared" ref="W252:Y252" si="362">IF(W34=0,0,W34/W$31)</f>
        <v>0.55062746536193752</v>
      </c>
      <c r="X252" s="103">
        <f t="shared" si="362"/>
        <v>0.53913686464215826</v>
      </c>
      <c r="Y252" s="103">
        <f t="shared" si="362"/>
        <v>0.53023777398237859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0.1352541797943092</v>
      </c>
      <c r="C253" s="103">
        <f t="shared" si="363"/>
        <v>0.14768825912986022</v>
      </c>
      <c r="D253" s="103">
        <f t="shared" si="363"/>
        <v>0.15364295109947118</v>
      </c>
      <c r="E253" s="103">
        <f t="shared" si="363"/>
        <v>0.15930753826153948</v>
      </c>
      <c r="F253" s="103">
        <f t="shared" si="363"/>
        <v>0.17178694427426036</v>
      </c>
      <c r="G253" s="103">
        <f t="shared" si="363"/>
        <v>0.1621992913241371</v>
      </c>
      <c r="H253" s="103">
        <f t="shared" si="363"/>
        <v>0.16400395812504334</v>
      </c>
      <c r="I253" s="103">
        <f t="shared" si="363"/>
        <v>0.17645191566747942</v>
      </c>
      <c r="J253" s="103">
        <f t="shared" si="363"/>
        <v>0.16911661877542372</v>
      </c>
      <c r="K253" s="103">
        <f t="shared" si="363"/>
        <v>0.17460979630592932</v>
      </c>
      <c r="L253" s="103">
        <f t="shared" ref="L253" si="364">IF(L35=0,0,L35/L$31)</f>
        <v>0.32111056933009441</v>
      </c>
      <c r="M253" s="103">
        <f t="shared" ref="M253:V253" si="365">IF(M35=0,0,M35/M$31)</f>
        <v>0.34872684063133513</v>
      </c>
      <c r="N253" s="103">
        <f t="shared" si="365"/>
        <v>0.36740341689904987</v>
      </c>
      <c r="O253" s="103">
        <f t="shared" si="365"/>
        <v>0.37863772721979005</v>
      </c>
      <c r="P253" s="103">
        <f t="shared" si="365"/>
        <v>0.37636724351842121</v>
      </c>
      <c r="Q253" s="103">
        <f t="shared" si="365"/>
        <v>0.38182851121763112</v>
      </c>
      <c r="R253" s="103">
        <f t="shared" si="365"/>
        <v>0.38100928438459891</v>
      </c>
      <c r="S253" s="103">
        <f t="shared" si="365"/>
        <v>0.37072144509750099</v>
      </c>
      <c r="T253" s="103">
        <f t="shared" si="365"/>
        <v>0.39278435827944569</v>
      </c>
      <c r="U253" s="103">
        <f t="shared" si="365"/>
        <v>0.39034197134603432</v>
      </c>
      <c r="V253" s="103">
        <f t="shared" si="365"/>
        <v>0.38155190483192475</v>
      </c>
      <c r="W253" s="103">
        <f t="shared" ref="W253:Y253" si="366">IF(W35=0,0,W35/W$31)</f>
        <v>0.38347496242041679</v>
      </c>
      <c r="X253" s="103">
        <f t="shared" si="366"/>
        <v>0.38095760643931864</v>
      </c>
      <c r="Y253" s="103">
        <f t="shared" si="366"/>
        <v>0.37876717016412587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0</v>
      </c>
      <c r="C254" s="103">
        <f t="shared" si="367"/>
        <v>0</v>
      </c>
      <c r="D254" s="103">
        <f t="shared" si="367"/>
        <v>0</v>
      </c>
      <c r="E254" s="103">
        <f t="shared" si="367"/>
        <v>0</v>
      </c>
      <c r="F254" s="103">
        <f t="shared" si="367"/>
        <v>0</v>
      </c>
      <c r="G254" s="103">
        <f t="shared" si="367"/>
        <v>0</v>
      </c>
      <c r="H254" s="103">
        <f t="shared" si="367"/>
        <v>0</v>
      </c>
      <c r="I254" s="103">
        <f t="shared" si="367"/>
        <v>0</v>
      </c>
      <c r="J254" s="103">
        <f t="shared" si="367"/>
        <v>0</v>
      </c>
      <c r="K254" s="103">
        <f t="shared" si="367"/>
        <v>0</v>
      </c>
      <c r="L254" s="103">
        <f t="shared" ref="L254" si="368">IF(L36=0,0,L36/L$31)</f>
        <v>0</v>
      </c>
      <c r="M254" s="103">
        <f t="shared" ref="M254:V254" si="369">IF(M36=0,0,M36/M$31)</f>
        <v>0</v>
      </c>
      <c r="N254" s="103">
        <f t="shared" si="369"/>
        <v>0</v>
      </c>
      <c r="O254" s="103">
        <f t="shared" si="369"/>
        <v>0</v>
      </c>
      <c r="P254" s="103">
        <f t="shared" si="369"/>
        <v>0</v>
      </c>
      <c r="Q254" s="103">
        <f t="shared" si="369"/>
        <v>0</v>
      </c>
      <c r="R254" s="103">
        <f t="shared" si="369"/>
        <v>9.1643858980222977E-3</v>
      </c>
      <c r="S254" s="103">
        <f t="shared" si="369"/>
        <v>5.1609902166917677E-3</v>
      </c>
      <c r="T254" s="103">
        <f t="shared" si="369"/>
        <v>4.0961377477801942E-3</v>
      </c>
      <c r="U254" s="103">
        <f t="shared" si="369"/>
        <v>5.7125437764690866E-3</v>
      </c>
      <c r="V254" s="103">
        <f t="shared" si="369"/>
        <v>5.1628348684755986E-3</v>
      </c>
      <c r="W254" s="103">
        <f t="shared" ref="W254:Y254" si="370">IF(W36=0,0,W36/W$31)</f>
        <v>4.8742252104862407E-3</v>
      </c>
      <c r="X254" s="103">
        <f t="shared" si="370"/>
        <v>4.5172059019604489E-3</v>
      </c>
      <c r="Y254" s="103">
        <f t="shared" si="370"/>
        <v>4.1314798527739751E-3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0</v>
      </c>
      <c r="M255" s="103">
        <f t="shared" ref="M255:V255" si="373">IF(M37=0,0,M37/M$31)</f>
        <v>0</v>
      </c>
      <c r="N255" s="103">
        <f t="shared" si="373"/>
        <v>0</v>
      </c>
      <c r="O255" s="103">
        <f t="shared" si="373"/>
        <v>0</v>
      </c>
      <c r="P255" s="103">
        <f t="shared" si="373"/>
        <v>0</v>
      </c>
      <c r="Q255" s="103">
        <f t="shared" si="373"/>
        <v>0</v>
      </c>
      <c r="R255" s="103">
        <f t="shared" si="373"/>
        <v>0</v>
      </c>
      <c r="S255" s="103">
        <f t="shared" si="373"/>
        <v>0</v>
      </c>
      <c r="T255" s="103">
        <f t="shared" si="373"/>
        <v>0</v>
      </c>
      <c r="U255" s="103">
        <f t="shared" si="373"/>
        <v>0</v>
      </c>
      <c r="V255" s="103">
        <f t="shared" si="373"/>
        <v>0</v>
      </c>
      <c r="W255" s="103">
        <f t="shared" ref="W255:Y255" si="374">IF(W37=0,0,W37/W$31)</f>
        <v>0</v>
      </c>
      <c r="X255" s="103">
        <f t="shared" si="374"/>
        <v>0</v>
      </c>
      <c r="Y255" s="103">
        <f t="shared" si="374"/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1.3454164930767911E-3</v>
      </c>
      <c r="M256" s="103">
        <f t="shared" ref="M256:V256" si="377">IF(M38=0,0,M38/M$31)</f>
        <v>1.3243588855759891E-3</v>
      </c>
      <c r="N256" s="103">
        <f t="shared" si="377"/>
        <v>1.5836428255680977E-3</v>
      </c>
      <c r="O256" s="103">
        <f t="shared" si="377"/>
        <v>2.0266285542041469E-3</v>
      </c>
      <c r="P256" s="103">
        <f t="shared" si="377"/>
        <v>3.3193865086067614E-3</v>
      </c>
      <c r="Q256" s="103">
        <f t="shared" si="377"/>
        <v>4.6855333925415518E-3</v>
      </c>
      <c r="R256" s="103">
        <f t="shared" si="377"/>
        <v>4.582926099882991E-3</v>
      </c>
      <c r="S256" s="103">
        <f t="shared" si="377"/>
        <v>4.6562772971501382E-3</v>
      </c>
      <c r="T256" s="103">
        <f t="shared" si="377"/>
        <v>5.0717927086696068E-3</v>
      </c>
      <c r="U256" s="103">
        <f t="shared" si="377"/>
        <v>5.3696276946899072E-3</v>
      </c>
      <c r="V256" s="103">
        <f t="shared" si="377"/>
        <v>6.4913565503546735E-3</v>
      </c>
      <c r="W256" s="103">
        <f t="shared" ref="W256:Y256" si="378">IF(W38=0,0,W38/W$31)</f>
        <v>9.8960516470369495E-3</v>
      </c>
      <c r="X256" s="103">
        <f t="shared" si="378"/>
        <v>1.6041986438561986E-2</v>
      </c>
      <c r="Y256" s="103">
        <f t="shared" si="378"/>
        <v>2.0978578004663333E-2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5.2119221677179665E-5</v>
      </c>
      <c r="F257" s="103">
        <f t="shared" si="379"/>
        <v>7.7974082636499378E-5</v>
      </c>
      <c r="G257" s="103">
        <f t="shared" si="379"/>
        <v>8.4193366290589302E-5</v>
      </c>
      <c r="H257" s="103">
        <f t="shared" si="379"/>
        <v>9.2870034113357657E-5</v>
      </c>
      <c r="I257" s="103">
        <f t="shared" si="379"/>
        <v>1.5437508894973573E-4</v>
      </c>
      <c r="J257" s="103">
        <f t="shared" si="379"/>
        <v>1.5904819013826872E-4</v>
      </c>
      <c r="K257" s="103">
        <f t="shared" si="379"/>
        <v>1.6848842722171339E-4</v>
      </c>
      <c r="L257" s="103">
        <f t="shared" ref="L257" si="380">IF(L39=0,0,L39/L$31)</f>
        <v>1.8517075706666177E-4</v>
      </c>
      <c r="M257" s="103">
        <f t="shared" ref="M257:V257" si="381">IF(M39=0,0,M39/M$31)</f>
        <v>1.5181502296197352E-4</v>
      </c>
      <c r="N257" s="103">
        <f t="shared" si="381"/>
        <v>1.9041677077763532E-4</v>
      </c>
      <c r="O257" s="103">
        <f t="shared" si="381"/>
        <v>2.8748059783108813E-4</v>
      </c>
      <c r="P257" s="103">
        <f t="shared" si="381"/>
        <v>4.0081585858590881E-4</v>
      </c>
      <c r="Q257" s="103">
        <f t="shared" si="381"/>
        <v>6.0151460418891346E-4</v>
      </c>
      <c r="R257" s="103">
        <f t="shared" si="381"/>
        <v>6.0227542849621105E-4</v>
      </c>
      <c r="S257" s="103">
        <f t="shared" si="381"/>
        <v>7.4331936089962755E-4</v>
      </c>
      <c r="T257" s="103">
        <f t="shared" si="381"/>
        <v>1.2553623149032104E-3</v>
      </c>
      <c r="U257" s="103">
        <f t="shared" si="381"/>
        <v>3.878500621946836E-3</v>
      </c>
      <c r="V257" s="103">
        <f t="shared" si="381"/>
        <v>5.409585847520844E-3</v>
      </c>
      <c r="W257" s="103">
        <f t="shared" ref="W257:Y257" si="382">IF(W39=0,0,W39/W$31)</f>
        <v>7.4483938197616676E-3</v>
      </c>
      <c r="X257" s="103">
        <f t="shared" si="382"/>
        <v>1.0169148670817743E-2</v>
      </c>
      <c r="Y257" s="103">
        <f t="shared" si="382"/>
        <v>1.3550862235423462E-2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2.0698264638632231E-2</v>
      </c>
      <c r="C258" s="156">
        <f t="shared" si="383"/>
        <v>2.0797450849412456E-2</v>
      </c>
      <c r="D258" s="156">
        <f t="shared" si="383"/>
        <v>2.0358627481334175E-2</v>
      </c>
      <c r="E258" s="156">
        <f t="shared" si="383"/>
        <v>1.9957025682117959E-2</v>
      </c>
      <c r="F258" s="156">
        <f t="shared" si="383"/>
        <v>2.0874996592964896E-2</v>
      </c>
      <c r="G258" s="156">
        <f t="shared" si="383"/>
        <v>1.8600093355828799E-2</v>
      </c>
      <c r="H258" s="156">
        <f t="shared" si="383"/>
        <v>1.8394220603145269E-2</v>
      </c>
      <c r="I258" s="156">
        <f t="shared" si="383"/>
        <v>1.9264955158377735E-2</v>
      </c>
      <c r="J258" s="156">
        <f t="shared" si="383"/>
        <v>1.825685945091839E-2</v>
      </c>
      <c r="K258" s="156">
        <f t="shared" si="383"/>
        <v>1.7423496452008067E-2</v>
      </c>
      <c r="L258" s="156">
        <f t="shared" ref="L258" si="384">IF(L40=0,0,L40/L$31)</f>
        <v>1.9488749896692126E-2</v>
      </c>
      <c r="M258" s="156">
        <f t="shared" ref="M258:V258" si="385">IF(M40=0,0,M40/M$31)</f>
        <v>2.190456645185599E-2</v>
      </c>
      <c r="N258" s="156">
        <f t="shared" si="385"/>
        <v>2.569265593868552E-2</v>
      </c>
      <c r="O258" s="156">
        <f t="shared" si="385"/>
        <v>2.5582459422109651E-2</v>
      </c>
      <c r="P258" s="156">
        <f t="shared" si="385"/>
        <v>2.9883136583472369E-2</v>
      </c>
      <c r="Q258" s="156">
        <f t="shared" si="385"/>
        <v>3.248144460895943E-2</v>
      </c>
      <c r="R258" s="156">
        <f t="shared" si="385"/>
        <v>3.1583447660723296E-2</v>
      </c>
      <c r="S258" s="156">
        <f t="shared" si="385"/>
        <v>3.2534856779892228E-2</v>
      </c>
      <c r="T258" s="156">
        <f t="shared" si="385"/>
        <v>3.2486989432186315E-2</v>
      </c>
      <c r="U258" s="156">
        <f t="shared" si="385"/>
        <v>3.2100983867688206E-2</v>
      </c>
      <c r="V258" s="156">
        <f t="shared" si="385"/>
        <v>2.8346553684780826E-2</v>
      </c>
      <c r="W258" s="156">
        <f t="shared" ref="W258:Y258" si="386">IF(W40=0,0,W40/W$31)</f>
        <v>2.4815052495712957E-2</v>
      </c>
      <c r="X258" s="156">
        <f t="shared" si="386"/>
        <v>2.9864146643731118E-2</v>
      </c>
      <c r="Y258" s="156">
        <f t="shared" si="386"/>
        <v>3.1808104037366627E-2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0</v>
      </c>
      <c r="C259" s="103">
        <f t="shared" si="387"/>
        <v>0</v>
      </c>
      <c r="D259" s="103">
        <f t="shared" si="387"/>
        <v>0</v>
      </c>
      <c r="E259" s="103">
        <f t="shared" si="387"/>
        <v>0</v>
      </c>
      <c r="F259" s="103">
        <f t="shared" si="387"/>
        <v>0</v>
      </c>
      <c r="G259" s="103">
        <f t="shared" si="387"/>
        <v>0</v>
      </c>
      <c r="H259" s="103">
        <f t="shared" si="387"/>
        <v>0</v>
      </c>
      <c r="I259" s="103">
        <f t="shared" si="387"/>
        <v>0</v>
      </c>
      <c r="J259" s="103">
        <f t="shared" si="387"/>
        <v>0</v>
      </c>
      <c r="K259" s="103">
        <f t="shared" si="387"/>
        <v>0</v>
      </c>
      <c r="L259" s="103">
        <f t="shared" ref="L259" si="388">IF(L41=0,0,L41/L$31)</f>
        <v>1.6564855334727743E-4</v>
      </c>
      <c r="M259" s="103">
        <f t="shared" ref="M259:V259" si="389">IF(M41=0,0,M41/M$31)</f>
        <v>1.3650241067880063E-4</v>
      </c>
      <c r="N259" s="103">
        <f t="shared" si="389"/>
        <v>1.2715876556224174E-4</v>
      </c>
      <c r="O259" s="103">
        <f t="shared" si="389"/>
        <v>1.1498236633677821E-4</v>
      </c>
      <c r="P259" s="103">
        <f t="shared" si="389"/>
        <v>1.0079891962269698E-4</v>
      </c>
      <c r="Q259" s="103">
        <f t="shared" si="389"/>
        <v>8.054396285222638E-5</v>
      </c>
      <c r="R259" s="103">
        <f t="shared" si="389"/>
        <v>7.4993740655807171E-5</v>
      </c>
      <c r="S259" s="103">
        <f t="shared" si="389"/>
        <v>7.2956650139866758E-5</v>
      </c>
      <c r="T259" s="103">
        <f t="shared" si="389"/>
        <v>7.6984291122152908E-5</v>
      </c>
      <c r="U259" s="103">
        <f t="shared" si="389"/>
        <v>8.1462102187159424E-5</v>
      </c>
      <c r="V259" s="103">
        <f t="shared" si="389"/>
        <v>6.0426970052941505E-5</v>
      </c>
      <c r="W259" s="103">
        <f t="shared" ref="W259:Y259" si="390">IF(W41=0,0,W41/W$31)</f>
        <v>5.3713973111381913E-5</v>
      </c>
      <c r="X259" s="103">
        <f t="shared" si="390"/>
        <v>6.1956492247452842E-5</v>
      </c>
      <c r="Y259" s="103">
        <f t="shared" si="390"/>
        <v>6.7356158070051701E-5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2.0698264638632231E-2</v>
      </c>
      <c r="C260" s="103">
        <f t="shared" si="391"/>
        <v>2.0797450849412456E-2</v>
      </c>
      <c r="D260" s="103">
        <f t="shared" si="391"/>
        <v>2.0358627481334175E-2</v>
      </c>
      <c r="E260" s="103">
        <f t="shared" si="391"/>
        <v>1.9957025682117959E-2</v>
      </c>
      <c r="F260" s="103">
        <f t="shared" si="391"/>
        <v>2.0874996592964896E-2</v>
      </c>
      <c r="G260" s="103">
        <f t="shared" si="391"/>
        <v>1.8600093355828799E-2</v>
      </c>
      <c r="H260" s="103">
        <f t="shared" si="391"/>
        <v>1.8394220603145269E-2</v>
      </c>
      <c r="I260" s="103">
        <f t="shared" si="391"/>
        <v>1.9264955158377735E-2</v>
      </c>
      <c r="J260" s="103">
        <f t="shared" si="391"/>
        <v>1.825685945091839E-2</v>
      </c>
      <c r="K260" s="103">
        <f t="shared" si="391"/>
        <v>1.7423496452008067E-2</v>
      </c>
      <c r="L260" s="103">
        <f t="shared" ref="L260" si="392">IF(L42=0,0,L42/L$31)</f>
        <v>1.9323101343344848E-2</v>
      </c>
      <c r="M260" s="103">
        <f t="shared" ref="M260:V260" si="393">IF(M42=0,0,M42/M$31)</f>
        <v>2.176806404117719E-2</v>
      </c>
      <c r="N260" s="103">
        <f t="shared" si="393"/>
        <v>2.5565497173123279E-2</v>
      </c>
      <c r="O260" s="103">
        <f t="shared" si="393"/>
        <v>2.5467477055772871E-2</v>
      </c>
      <c r="P260" s="103">
        <f t="shared" si="393"/>
        <v>2.9782337663849672E-2</v>
      </c>
      <c r="Q260" s="103">
        <f t="shared" si="393"/>
        <v>3.2400900646107206E-2</v>
      </c>
      <c r="R260" s="103">
        <f t="shared" si="393"/>
        <v>3.1508453920067486E-2</v>
      </c>
      <c r="S260" s="103">
        <f t="shared" si="393"/>
        <v>3.2461900129752357E-2</v>
      </c>
      <c r="T260" s="103">
        <f t="shared" si="393"/>
        <v>3.2285831268413667E-2</v>
      </c>
      <c r="U260" s="103">
        <f t="shared" si="393"/>
        <v>3.1865844483419094E-2</v>
      </c>
      <c r="V260" s="103">
        <f t="shared" si="393"/>
        <v>2.8124943806883865E-2</v>
      </c>
      <c r="W260" s="103">
        <f t="shared" ref="W260:Y260" si="394">IF(W42=0,0,W42/W$31)</f>
        <v>2.4569247916360316E-2</v>
      </c>
      <c r="X260" s="103">
        <f t="shared" si="394"/>
        <v>2.959624758275781E-2</v>
      </c>
      <c r="Y260" s="103">
        <f t="shared" si="394"/>
        <v>3.0811367059834768E-2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2.5333693162195612E-4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0</v>
      </c>
      <c r="O262" s="103">
        <f t="shared" si="401"/>
        <v>0</v>
      </c>
      <c r="P262" s="103">
        <f t="shared" si="401"/>
        <v>0</v>
      </c>
      <c r="Q262" s="103">
        <f t="shared" si="401"/>
        <v>0</v>
      </c>
      <c r="R262" s="103">
        <f t="shared" si="401"/>
        <v>0</v>
      </c>
      <c r="S262" s="103">
        <f t="shared" si="401"/>
        <v>0</v>
      </c>
      <c r="T262" s="103">
        <f t="shared" si="401"/>
        <v>0</v>
      </c>
      <c r="U262" s="103">
        <f t="shared" si="401"/>
        <v>0</v>
      </c>
      <c r="V262" s="103">
        <f t="shared" si="401"/>
        <v>0</v>
      </c>
      <c r="W262" s="103">
        <f t="shared" ref="W262:Y262" si="402">IF(W44=0,0,W44/W$31)</f>
        <v>0</v>
      </c>
      <c r="X262" s="103">
        <f t="shared" si="402"/>
        <v>0</v>
      </c>
      <c r="Y262" s="103">
        <f t="shared" si="402"/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0</v>
      </c>
      <c r="M263" s="103">
        <f t="shared" ref="M263:V263" si="405">IF(M45=0,0,M45/M$31)</f>
        <v>0</v>
      </c>
      <c r="N263" s="103">
        <f t="shared" si="405"/>
        <v>0</v>
      </c>
      <c r="O263" s="103">
        <f t="shared" si="405"/>
        <v>0</v>
      </c>
      <c r="P263" s="103">
        <f t="shared" si="405"/>
        <v>0</v>
      </c>
      <c r="Q263" s="103">
        <f t="shared" si="405"/>
        <v>0</v>
      </c>
      <c r="R263" s="103">
        <f t="shared" si="405"/>
        <v>0</v>
      </c>
      <c r="S263" s="103">
        <f t="shared" si="405"/>
        <v>0</v>
      </c>
      <c r="T263" s="103">
        <f t="shared" si="405"/>
        <v>1.2417387265049716E-4</v>
      </c>
      <c r="U263" s="103">
        <f t="shared" si="405"/>
        <v>1.5367728208195191E-4</v>
      </c>
      <c r="V263" s="103">
        <f t="shared" si="405"/>
        <v>1.6118290784401809E-4</v>
      </c>
      <c r="W263" s="103">
        <f t="shared" ref="W263:Y263" si="406">IF(W45=0,0,W45/W$31)</f>
        <v>1.9209060624126263E-4</v>
      </c>
      <c r="X263" s="103">
        <f t="shared" si="406"/>
        <v>2.0594256872585661E-4</v>
      </c>
      <c r="Y263" s="103">
        <f t="shared" si="406"/>
        <v>6.7604388783984708E-4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0.46147429955706776</v>
      </c>
      <c r="C265" s="154">
        <f t="shared" si="411"/>
        <v>0.47974803240800795</v>
      </c>
      <c r="D265" s="154">
        <f t="shared" si="411"/>
        <v>0.74863361071857559</v>
      </c>
      <c r="E265" s="154">
        <f t="shared" si="411"/>
        <v>0.57027482588068756</v>
      </c>
      <c r="F265" s="154">
        <f t="shared" si="411"/>
        <v>0.44742753299488208</v>
      </c>
      <c r="G265" s="154">
        <f t="shared" si="411"/>
        <v>0.61926655077227921</v>
      </c>
      <c r="H265" s="154">
        <f t="shared" si="411"/>
        <v>0.64817909968687926</v>
      </c>
      <c r="I265" s="154">
        <f t="shared" si="411"/>
        <v>0.63478850902682094</v>
      </c>
      <c r="J265" s="154">
        <f t="shared" si="411"/>
        <v>0.63763876966120436</v>
      </c>
      <c r="K265" s="154">
        <f t="shared" si="411"/>
        <v>0.64618598804547855</v>
      </c>
      <c r="L265" s="154">
        <f t="shared" ref="L265" si="412">IF(L47=0,0,L47/L$46)</f>
        <v>0.68684118256680349</v>
      </c>
      <c r="M265" s="154">
        <f t="shared" ref="M265:V265" si="413">IF(M47=0,0,M47/M$46)</f>
        <v>0.70868421220020494</v>
      </c>
      <c r="N265" s="154">
        <f t="shared" si="413"/>
        <v>0.72563323002925906</v>
      </c>
      <c r="O265" s="154">
        <f t="shared" si="413"/>
        <v>0.72901303488683156</v>
      </c>
      <c r="P265" s="154">
        <f t="shared" si="413"/>
        <v>0.74941015356857676</v>
      </c>
      <c r="Q265" s="154">
        <f t="shared" si="413"/>
        <v>0.76518401551227688</v>
      </c>
      <c r="R265" s="154">
        <f t="shared" si="413"/>
        <v>0.75895934154322908</v>
      </c>
      <c r="S265" s="154">
        <f t="shared" si="413"/>
        <v>0.76888487765424318</v>
      </c>
      <c r="T265" s="154">
        <f t="shared" si="413"/>
        <v>0.7776608175775751</v>
      </c>
      <c r="U265" s="154">
        <f t="shared" si="413"/>
        <v>0.78059597663044855</v>
      </c>
      <c r="V265" s="154">
        <f t="shared" si="413"/>
        <v>0.77450605201029654</v>
      </c>
      <c r="W265" s="154">
        <f t="shared" ref="W265:Y265" si="414">IF(W47=0,0,W47/W$46)</f>
        <v>0.76839372382790827</v>
      </c>
      <c r="X265" s="154">
        <f t="shared" si="414"/>
        <v>0.76259235430713734</v>
      </c>
      <c r="Y265" s="154">
        <f t="shared" si="414"/>
        <v>0.75908730252824663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1.5133993449443127E-2</v>
      </c>
      <c r="C266" s="103">
        <f t="shared" si="415"/>
        <v>1.8949564856565113E-2</v>
      </c>
      <c r="D266" s="103">
        <f t="shared" si="415"/>
        <v>2.8911809981599538E-2</v>
      </c>
      <c r="E266" s="103">
        <f t="shared" si="415"/>
        <v>2.1187678705488707E-2</v>
      </c>
      <c r="F266" s="103">
        <f t="shared" si="415"/>
        <v>1.6383760996738876E-2</v>
      </c>
      <c r="G266" s="103">
        <f t="shared" si="415"/>
        <v>2.2810743487648017E-2</v>
      </c>
      <c r="H266" s="103">
        <f t="shared" si="415"/>
        <v>2.2781947399347274E-2</v>
      </c>
      <c r="I266" s="103">
        <f t="shared" si="415"/>
        <v>2.0158020983538808E-2</v>
      </c>
      <c r="J266" s="103">
        <f t="shared" si="415"/>
        <v>1.8028214362608899E-2</v>
      </c>
      <c r="K266" s="103">
        <f t="shared" si="415"/>
        <v>1.7534796822910412E-2</v>
      </c>
      <c r="L266" s="103">
        <f t="shared" ref="L266" si="416">IF(L48=0,0,L48/L$46)</f>
        <v>2.0799760373089518E-2</v>
      </c>
      <c r="M266" s="103">
        <f t="shared" ref="M266:V266" si="417">IF(M48=0,0,M48/M$46)</f>
        <v>1.9130991233791212E-2</v>
      </c>
      <c r="N266" s="103">
        <f t="shared" si="417"/>
        <v>1.8899689252749065E-2</v>
      </c>
      <c r="O266" s="103">
        <f t="shared" si="417"/>
        <v>1.8736696021302093E-2</v>
      </c>
      <c r="P266" s="103">
        <f t="shared" si="417"/>
        <v>1.880307741735323E-2</v>
      </c>
      <c r="Q266" s="103">
        <f t="shared" si="417"/>
        <v>1.7983980376194111E-2</v>
      </c>
      <c r="R266" s="103">
        <f t="shared" si="417"/>
        <v>1.6967673860766464E-2</v>
      </c>
      <c r="S266" s="103">
        <f t="shared" si="417"/>
        <v>1.5975107770577795E-2</v>
      </c>
      <c r="T266" s="103">
        <f t="shared" si="417"/>
        <v>1.5311600502804426E-2</v>
      </c>
      <c r="U266" s="103">
        <f t="shared" si="417"/>
        <v>1.5160002736017872E-2</v>
      </c>
      <c r="V266" s="103">
        <f t="shared" si="417"/>
        <v>1.4976246925375922E-2</v>
      </c>
      <c r="W266" s="103">
        <f t="shared" ref="W266:Y266" si="418">IF(W48=0,0,W48/W$46)</f>
        <v>1.5662299358456672E-2</v>
      </c>
      <c r="X266" s="103">
        <f t="shared" si="418"/>
        <v>1.8112116861584111E-2</v>
      </c>
      <c r="Y266" s="103">
        <f t="shared" si="418"/>
        <v>2.0395761295252429E-2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0.44634030610762465</v>
      </c>
      <c r="C267" s="103">
        <f t="shared" si="419"/>
        <v>0.46079846755144288</v>
      </c>
      <c r="D267" s="103">
        <f t="shared" si="419"/>
        <v>0.71972180073697611</v>
      </c>
      <c r="E267" s="103">
        <f t="shared" si="419"/>
        <v>0.54908714717519891</v>
      </c>
      <c r="F267" s="103">
        <f t="shared" si="419"/>
        <v>0.43104377199814325</v>
      </c>
      <c r="G267" s="103">
        <f t="shared" si="419"/>
        <v>0.5964558072846311</v>
      </c>
      <c r="H267" s="103">
        <f t="shared" si="419"/>
        <v>0.62539715228753201</v>
      </c>
      <c r="I267" s="103">
        <f t="shared" si="419"/>
        <v>0.61463048804328213</v>
      </c>
      <c r="J267" s="103">
        <f t="shared" si="419"/>
        <v>0.61954995149340319</v>
      </c>
      <c r="K267" s="103">
        <f t="shared" si="419"/>
        <v>0.62858956536289567</v>
      </c>
      <c r="L267" s="103">
        <f t="shared" ref="L267" si="420">IF(L49=0,0,L49/L$46)</f>
        <v>0.66594729617959159</v>
      </c>
      <c r="M267" s="103">
        <f t="shared" ref="M267:V267" si="421">IF(M49=0,0,M49/M$46)</f>
        <v>0.68943848403769248</v>
      </c>
      <c r="N267" s="103">
        <f t="shared" si="421"/>
        <v>0.70661552637822456</v>
      </c>
      <c r="O267" s="103">
        <f t="shared" si="421"/>
        <v>0.70992322768814542</v>
      </c>
      <c r="P267" s="103">
        <f t="shared" si="421"/>
        <v>0.73026446623439834</v>
      </c>
      <c r="Q267" s="103">
        <f t="shared" si="421"/>
        <v>0.7468201122204019</v>
      </c>
      <c r="R267" s="103">
        <f t="shared" si="421"/>
        <v>0.74157917115377592</v>
      </c>
      <c r="S267" s="103">
        <f t="shared" si="421"/>
        <v>0.75232513927921296</v>
      </c>
      <c r="T267" s="103">
        <f t="shared" si="421"/>
        <v>0.76161321010132266</v>
      </c>
      <c r="U267" s="103">
        <f t="shared" si="421"/>
        <v>0.76322618212878857</v>
      </c>
      <c r="V267" s="103">
        <f t="shared" si="421"/>
        <v>0.75722477522867848</v>
      </c>
      <c r="W267" s="103">
        <f t="shared" ref="W267:Y267" si="422">IF(W49=0,0,W49/W$46)</f>
        <v>0.75031459797536681</v>
      </c>
      <c r="X267" s="103">
        <f t="shared" si="422"/>
        <v>0.74162678731718534</v>
      </c>
      <c r="Y267" s="103">
        <f t="shared" si="422"/>
        <v>0.7344699940541759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0</v>
      </c>
      <c r="P268" s="103">
        <f t="shared" si="425"/>
        <v>0</v>
      </c>
      <c r="Q268" s="103">
        <f t="shared" si="425"/>
        <v>0</v>
      </c>
      <c r="R268" s="103">
        <f t="shared" si="425"/>
        <v>0</v>
      </c>
      <c r="S268" s="103">
        <f t="shared" si="425"/>
        <v>4.023098028978145E-5</v>
      </c>
      <c r="T268" s="103">
        <f t="shared" si="425"/>
        <v>3.8846997540158461E-5</v>
      </c>
      <c r="U268" s="103">
        <f t="shared" si="425"/>
        <v>7.5064530284086375E-5</v>
      </c>
      <c r="V268" s="103">
        <f t="shared" si="425"/>
        <v>7.2695781848956191E-5</v>
      </c>
      <c r="W268" s="103">
        <f t="shared" ref="W268:Y268" si="426">IF(W50=0,0,W50/W$46)</f>
        <v>7.1168676064522121E-5</v>
      </c>
      <c r="X268" s="103">
        <f t="shared" si="426"/>
        <v>6.952730026468997E-5</v>
      </c>
      <c r="Y268" s="103">
        <f t="shared" si="426"/>
        <v>8.4491894360734778E-5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0</v>
      </c>
      <c r="R269" s="103">
        <f t="shared" si="429"/>
        <v>0</v>
      </c>
      <c r="S269" s="103">
        <f t="shared" si="429"/>
        <v>0</v>
      </c>
      <c r="T269" s="103">
        <f t="shared" si="429"/>
        <v>0</v>
      </c>
      <c r="U269" s="103">
        <f t="shared" si="429"/>
        <v>0</v>
      </c>
      <c r="V269" s="103">
        <f t="shared" si="429"/>
        <v>0</v>
      </c>
      <c r="W269" s="103">
        <f t="shared" ref="W269:Y269" si="430">IF(W51=0,0,W51/W$46)</f>
        <v>0</v>
      </c>
      <c r="X269" s="103">
        <f t="shared" si="430"/>
        <v>0</v>
      </c>
      <c r="Y269" s="103">
        <f t="shared" si="430"/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6.0603805192331012E-5</v>
      </c>
      <c r="K270" s="103">
        <f t="shared" si="431"/>
        <v>6.1625859672459054E-5</v>
      </c>
      <c r="L270" s="103">
        <f t="shared" ref="L270" si="432">IF(L52=0,0,L52/L$46)</f>
        <v>9.4126014122532001E-5</v>
      </c>
      <c r="M270" s="103">
        <f t="shared" ref="M270:V270" si="433">IF(M52=0,0,M52/M$46)</f>
        <v>1.1473692872107E-4</v>
      </c>
      <c r="N270" s="103">
        <f t="shared" si="433"/>
        <v>1.1801439828541912E-4</v>
      </c>
      <c r="O270" s="103">
        <f t="shared" si="433"/>
        <v>3.5311117738411741E-4</v>
      </c>
      <c r="P270" s="103">
        <f t="shared" si="433"/>
        <v>3.42609916825134E-4</v>
      </c>
      <c r="Q270" s="103">
        <f t="shared" si="433"/>
        <v>3.799229156807917E-4</v>
      </c>
      <c r="R270" s="103">
        <f t="shared" si="433"/>
        <v>4.1249652868665022E-4</v>
      </c>
      <c r="S270" s="103">
        <f t="shared" si="433"/>
        <v>5.4439962416273722E-4</v>
      </c>
      <c r="T270" s="103">
        <f t="shared" si="433"/>
        <v>6.9715997590784351E-4</v>
      </c>
      <c r="U270" s="103">
        <f t="shared" si="433"/>
        <v>2.1347272353579787E-3</v>
      </c>
      <c r="V270" s="103">
        <f t="shared" si="433"/>
        <v>2.2323340743931981E-3</v>
      </c>
      <c r="W270" s="103">
        <f t="shared" ref="W270:Y270" si="434">IF(W52=0,0,W52/W$46)</f>
        <v>2.3456578180201799E-3</v>
      </c>
      <c r="X270" s="103">
        <f t="shared" si="434"/>
        <v>2.7839228281030842E-3</v>
      </c>
      <c r="Y270" s="103">
        <f t="shared" si="434"/>
        <v>4.1370552844575822E-3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0.53852570044293224</v>
      </c>
      <c r="C271" s="156">
        <f t="shared" si="435"/>
        <v>0.52025196759199199</v>
      </c>
      <c r="D271" s="156">
        <f t="shared" si="435"/>
        <v>0.25136638928142441</v>
      </c>
      <c r="E271" s="156">
        <f t="shared" si="435"/>
        <v>0.42972517411931249</v>
      </c>
      <c r="F271" s="156">
        <f t="shared" si="435"/>
        <v>0.55257246700511775</v>
      </c>
      <c r="G271" s="156">
        <f t="shared" si="435"/>
        <v>0.38073344922772079</v>
      </c>
      <c r="H271" s="156">
        <f t="shared" si="435"/>
        <v>0.35182090031312074</v>
      </c>
      <c r="I271" s="156">
        <f t="shared" si="435"/>
        <v>0.36521149097317912</v>
      </c>
      <c r="J271" s="156">
        <f t="shared" si="435"/>
        <v>0.36236123033879564</v>
      </c>
      <c r="K271" s="156">
        <f t="shared" si="435"/>
        <v>0.35381401195452133</v>
      </c>
      <c r="L271" s="156">
        <f t="shared" ref="L271" si="436">IF(L53=0,0,L53/L$46)</f>
        <v>0.31315881743319657</v>
      </c>
      <c r="M271" s="156">
        <f t="shared" ref="M271:V271" si="437">IF(M53=0,0,M53/M$46)</f>
        <v>0.291315787799795</v>
      </c>
      <c r="N271" s="156">
        <f t="shared" si="437"/>
        <v>0.274366769970741</v>
      </c>
      <c r="O271" s="156">
        <f t="shared" si="437"/>
        <v>0.27098696511316844</v>
      </c>
      <c r="P271" s="156">
        <f t="shared" si="437"/>
        <v>0.25058984643142329</v>
      </c>
      <c r="Q271" s="156">
        <f t="shared" si="437"/>
        <v>0.23481598448772309</v>
      </c>
      <c r="R271" s="156">
        <f t="shared" si="437"/>
        <v>0.24104065845677097</v>
      </c>
      <c r="S271" s="156">
        <f t="shared" si="437"/>
        <v>0.23111512234575682</v>
      </c>
      <c r="T271" s="156">
        <f t="shared" si="437"/>
        <v>0.22233918242242492</v>
      </c>
      <c r="U271" s="156">
        <f t="shared" si="437"/>
        <v>0.2194040233695515</v>
      </c>
      <c r="V271" s="156">
        <f t="shared" si="437"/>
        <v>0.22549394798970346</v>
      </c>
      <c r="W271" s="156">
        <f t="shared" ref="W271:Y271" si="438">IF(W53=0,0,W53/W$46)</f>
        <v>0.23160627617209179</v>
      </c>
      <c r="X271" s="156">
        <f t="shared" si="438"/>
        <v>0.23740764569286268</v>
      </c>
      <c r="Y271" s="156">
        <f t="shared" si="438"/>
        <v>0.24091269747175334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0.53852570044293224</v>
      </c>
      <c r="C272" s="104">
        <f t="shared" si="439"/>
        <v>0.52025196759199199</v>
      </c>
      <c r="D272" s="104">
        <f t="shared" si="439"/>
        <v>0.25136638928142441</v>
      </c>
      <c r="E272" s="104">
        <f t="shared" si="439"/>
        <v>0.42972517411931249</v>
      </c>
      <c r="F272" s="104">
        <f t="shared" si="439"/>
        <v>0.55257246700511775</v>
      </c>
      <c r="G272" s="104">
        <f t="shared" si="439"/>
        <v>0.38073344922772079</v>
      </c>
      <c r="H272" s="104">
        <f t="shared" si="439"/>
        <v>0.35182090031312074</v>
      </c>
      <c r="I272" s="104">
        <f t="shared" si="439"/>
        <v>0.36521149097317912</v>
      </c>
      <c r="J272" s="104">
        <f t="shared" si="439"/>
        <v>0.36236123033879564</v>
      </c>
      <c r="K272" s="104">
        <f t="shared" si="439"/>
        <v>0.35381401195452133</v>
      </c>
      <c r="L272" s="104">
        <f t="shared" ref="L272" si="440">IF(L54=0,0,L54/L$46)</f>
        <v>0.31315881743319657</v>
      </c>
      <c r="M272" s="104">
        <f t="shared" ref="M272:V272" si="441">IF(M54=0,0,M54/M$46)</f>
        <v>0.291315787799795</v>
      </c>
      <c r="N272" s="104">
        <f t="shared" si="441"/>
        <v>0.274366769970741</v>
      </c>
      <c r="O272" s="104">
        <f t="shared" si="441"/>
        <v>0.27098696511316844</v>
      </c>
      <c r="P272" s="104">
        <f t="shared" si="441"/>
        <v>0.25058984643142329</v>
      </c>
      <c r="Q272" s="104">
        <f t="shared" si="441"/>
        <v>0.23481598448772309</v>
      </c>
      <c r="R272" s="104">
        <f t="shared" si="441"/>
        <v>0.24104065845677097</v>
      </c>
      <c r="S272" s="104">
        <f t="shared" si="441"/>
        <v>0.23111512234575682</v>
      </c>
      <c r="T272" s="104">
        <f t="shared" si="441"/>
        <v>0.22233918242242492</v>
      </c>
      <c r="U272" s="104">
        <f t="shared" si="441"/>
        <v>0.2194040233695515</v>
      </c>
      <c r="V272" s="104">
        <f t="shared" si="441"/>
        <v>0.22549394798970346</v>
      </c>
      <c r="W272" s="104">
        <f t="shared" ref="W272:Y272" si="442">IF(W54=0,0,W54/W$46)</f>
        <v>0.23160627617209179</v>
      </c>
      <c r="X272" s="104">
        <f t="shared" si="442"/>
        <v>0.23740764569286268</v>
      </c>
      <c r="Y272" s="104">
        <f t="shared" si="442"/>
        <v>0.24091269747175334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</v>
      </c>
      <c r="C273" s="105">
        <f t="shared" si="443"/>
        <v>0</v>
      </c>
      <c r="D273" s="105">
        <f t="shared" si="443"/>
        <v>0</v>
      </c>
      <c r="E273" s="105">
        <f t="shared" si="443"/>
        <v>0</v>
      </c>
      <c r="F273" s="105">
        <f t="shared" si="443"/>
        <v>0</v>
      </c>
      <c r="G273" s="105">
        <f t="shared" si="443"/>
        <v>0</v>
      </c>
      <c r="H273" s="105">
        <f t="shared" si="443"/>
        <v>0</v>
      </c>
      <c r="I273" s="105">
        <f t="shared" si="443"/>
        <v>0</v>
      </c>
      <c r="J273" s="105">
        <f t="shared" si="443"/>
        <v>0</v>
      </c>
      <c r="K273" s="105">
        <f t="shared" si="443"/>
        <v>0</v>
      </c>
      <c r="L273" s="105">
        <f t="shared" ref="L273" si="444">IF(L55=0,0,L55/L$46)</f>
        <v>0</v>
      </c>
      <c r="M273" s="105">
        <f t="shared" ref="M273:V273" si="445">IF(M55=0,0,M55/M$46)</f>
        <v>0</v>
      </c>
      <c r="N273" s="105">
        <f t="shared" si="445"/>
        <v>0</v>
      </c>
      <c r="O273" s="105">
        <f t="shared" si="445"/>
        <v>0</v>
      </c>
      <c r="P273" s="105">
        <f t="shared" si="445"/>
        <v>0</v>
      </c>
      <c r="Q273" s="105">
        <f t="shared" si="445"/>
        <v>0</v>
      </c>
      <c r="R273" s="105">
        <f t="shared" si="445"/>
        <v>0</v>
      </c>
      <c r="S273" s="105">
        <f t="shared" si="445"/>
        <v>0</v>
      </c>
      <c r="T273" s="105">
        <f t="shared" si="445"/>
        <v>0</v>
      </c>
      <c r="U273" s="105">
        <f t="shared" si="445"/>
        <v>0</v>
      </c>
      <c r="V273" s="105">
        <f t="shared" si="445"/>
        <v>0</v>
      </c>
      <c r="W273" s="105">
        <f t="shared" ref="W273:Y273" si="446">IF(W55=0,0,W55/W$46)</f>
        <v>0</v>
      </c>
      <c r="X273" s="105">
        <f t="shared" si="446"/>
        <v>0</v>
      </c>
      <c r="Y273" s="105">
        <f t="shared" si="446"/>
        <v>0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153.17901977644021</v>
      </c>
      <c r="C4" s="145">
        <f t="shared" si="0"/>
        <v>142.78443680137573</v>
      </c>
      <c r="D4" s="145">
        <f t="shared" si="0"/>
        <v>97.843250214961301</v>
      </c>
      <c r="E4" s="145">
        <f t="shared" si="0"/>
        <v>123.36497793387635</v>
      </c>
      <c r="F4" s="145">
        <f t="shared" si="0"/>
        <v>148.66883118606233</v>
      </c>
      <c r="G4" s="145">
        <f t="shared" si="0"/>
        <v>156.11160815300678</v>
      </c>
      <c r="H4" s="145">
        <f t="shared" si="0"/>
        <v>160.21995972938424</v>
      </c>
      <c r="I4" s="145">
        <f t="shared" si="0"/>
        <v>164.32944060836149</v>
      </c>
      <c r="J4" s="145">
        <f t="shared" si="0"/>
        <v>180.7629133582117</v>
      </c>
      <c r="K4" s="145">
        <f t="shared" si="0"/>
        <v>159.19557269484454</v>
      </c>
      <c r="L4" s="145">
        <f t="shared" ref="L4" si="1">L5+L9+L10+L15</f>
        <v>167.98592260147279</v>
      </c>
      <c r="M4" s="145">
        <f t="shared" ref="M4:V4" si="2">M5+M9+M10+M15</f>
        <v>165.88666564017058</v>
      </c>
      <c r="N4" s="145">
        <f t="shared" si="2"/>
        <v>165.96456969180738</v>
      </c>
      <c r="O4" s="145">
        <f t="shared" si="2"/>
        <v>171.44042094203186</v>
      </c>
      <c r="P4" s="145">
        <f t="shared" si="2"/>
        <v>176.77329858800283</v>
      </c>
      <c r="Q4" s="145">
        <f t="shared" si="2"/>
        <v>186.62326672687195</v>
      </c>
      <c r="R4" s="145">
        <f t="shared" si="2"/>
        <v>187.64203357035913</v>
      </c>
      <c r="S4" s="145">
        <f t="shared" si="2"/>
        <v>193.60905184517469</v>
      </c>
      <c r="T4" s="145">
        <f t="shared" si="2"/>
        <v>216.57906185699056</v>
      </c>
      <c r="U4" s="145">
        <f t="shared" si="2"/>
        <v>226.57555403519319</v>
      </c>
      <c r="V4" s="145">
        <f t="shared" si="2"/>
        <v>187.01514086081519</v>
      </c>
      <c r="W4" s="145">
        <f t="shared" ref="W4:Y4" si="3">W5+W9+W10+W15</f>
        <v>193.06076480348526</v>
      </c>
      <c r="X4" s="145">
        <f t="shared" si="3"/>
        <v>232.46825892392806</v>
      </c>
      <c r="Y4" s="145">
        <f t="shared" si="3"/>
        <v>240.65202281351645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153.17901977644021</v>
      </c>
      <c r="C5" s="97">
        <f t="shared" si="4"/>
        <v>142.78443680137573</v>
      </c>
      <c r="D5" s="97">
        <f t="shared" si="4"/>
        <v>97.843250214961301</v>
      </c>
      <c r="E5" s="97">
        <f t="shared" si="4"/>
        <v>123.36388650042991</v>
      </c>
      <c r="F5" s="97">
        <f t="shared" si="4"/>
        <v>148.66723989681856</v>
      </c>
      <c r="G5" s="97">
        <f t="shared" si="4"/>
        <v>156.10971625107479</v>
      </c>
      <c r="H5" s="97">
        <f t="shared" si="4"/>
        <v>160.21779879621667</v>
      </c>
      <c r="I5" s="97">
        <f t="shared" si="4"/>
        <v>164.32596732588132</v>
      </c>
      <c r="J5" s="97">
        <f t="shared" si="4"/>
        <v>180.75855546001719</v>
      </c>
      <c r="K5" s="97">
        <f t="shared" si="4"/>
        <v>159.1907996560619</v>
      </c>
      <c r="L5" s="97">
        <f t="shared" ref="L5" si="5">SUM(L6:L8)</f>
        <v>167.40705073086843</v>
      </c>
      <c r="M5" s="97">
        <f t="shared" ref="M5:V5" si="6">SUM(M6:M8)</f>
        <v>164.32596732588132</v>
      </c>
      <c r="N5" s="97">
        <f t="shared" si="6"/>
        <v>163.29896818572655</v>
      </c>
      <c r="O5" s="97">
        <f t="shared" si="6"/>
        <v>166.38005159071366</v>
      </c>
      <c r="P5" s="97">
        <f t="shared" si="6"/>
        <v>169.46113499570077</v>
      </c>
      <c r="Q5" s="97">
        <f t="shared" si="6"/>
        <v>179.73155631986239</v>
      </c>
      <c r="R5" s="97">
        <f t="shared" si="6"/>
        <v>180.83026655202059</v>
      </c>
      <c r="S5" s="97">
        <f t="shared" si="6"/>
        <v>186.00954428202925</v>
      </c>
      <c r="T5" s="97">
        <f t="shared" si="6"/>
        <v>206.18211521926048</v>
      </c>
      <c r="U5" s="97">
        <f t="shared" si="6"/>
        <v>215.37523645743767</v>
      </c>
      <c r="V5" s="97">
        <f t="shared" si="6"/>
        <v>172.41969045571796</v>
      </c>
      <c r="W5" s="97">
        <f t="shared" ref="W5:Y5" si="7">SUM(W6:W8)</f>
        <v>181.58675838349092</v>
      </c>
      <c r="X5" s="97">
        <f t="shared" si="7"/>
        <v>218.62949269131559</v>
      </c>
      <c r="Y5" s="97">
        <f t="shared" si="7"/>
        <v>225.36010318142729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1.098710232158211</v>
      </c>
      <c r="S6" s="97">
        <v>0.68890799656061907</v>
      </c>
      <c r="T6" s="97">
        <v>0.77566638005159072</v>
      </c>
      <c r="U6" s="97">
        <v>0.79217540842648315</v>
      </c>
      <c r="V6" s="97">
        <v>0.71857265692175398</v>
      </c>
      <c r="W6" s="97">
        <v>0.82510748065348227</v>
      </c>
      <c r="X6" s="97">
        <v>0.88005159071367145</v>
      </c>
      <c r="Y6" s="97">
        <v>0.93387790197764398</v>
      </c>
      <c r="DA6" s="175" t="s">
        <v>630</v>
      </c>
    </row>
    <row r="7" spans="1:105" ht="11.45" customHeight="1" x14ac:dyDescent="0.25">
      <c r="A7" s="128" t="s">
        <v>53</v>
      </c>
      <c r="B7" s="97">
        <v>75.124161650902835</v>
      </c>
      <c r="C7" s="97">
        <v>70.891831470335333</v>
      </c>
      <c r="D7" s="97">
        <v>79.35657781599312</v>
      </c>
      <c r="E7" s="97">
        <v>74.066122098022348</v>
      </c>
      <c r="F7" s="97">
        <v>61.369045571797074</v>
      </c>
      <c r="G7" s="97">
        <v>66.757437661220976</v>
      </c>
      <c r="H7" s="97">
        <v>66.757437661220976</v>
      </c>
      <c r="I7" s="97">
        <v>69.838521066208074</v>
      </c>
      <c r="J7" s="97">
        <v>86.271109200343929</v>
      </c>
      <c r="K7" s="97">
        <v>73.946689595872741</v>
      </c>
      <c r="L7" s="97">
        <v>73.946689595872741</v>
      </c>
      <c r="M7" s="97">
        <v>73.946689595872741</v>
      </c>
      <c r="N7" s="97">
        <v>72.919690455717969</v>
      </c>
      <c r="O7" s="97">
        <v>73.946689595872741</v>
      </c>
      <c r="P7" s="97">
        <v>73.946689595872741</v>
      </c>
      <c r="Q7" s="97">
        <v>78.054858125537393</v>
      </c>
      <c r="R7" s="97">
        <v>78.054858125537393</v>
      </c>
      <c r="S7" s="97">
        <v>78.992519346517625</v>
      </c>
      <c r="T7" s="97">
        <v>79.60051590713671</v>
      </c>
      <c r="U7" s="97">
        <v>84.245829750644873</v>
      </c>
      <c r="V7" s="97">
        <v>70.933361994840922</v>
      </c>
      <c r="W7" s="97">
        <v>76.670421324161651</v>
      </c>
      <c r="X7" s="97">
        <v>84.285898538263112</v>
      </c>
      <c r="Y7" s="97">
        <v>87.765520206362851</v>
      </c>
      <c r="DA7" s="175" t="s">
        <v>631</v>
      </c>
    </row>
    <row r="8" spans="1:105" ht="11.45" customHeight="1" x14ac:dyDescent="0.25">
      <c r="A8" s="128" t="s">
        <v>54</v>
      </c>
      <c r="B8" s="97">
        <v>78.054858125537393</v>
      </c>
      <c r="C8" s="97">
        <v>71.8926053310404</v>
      </c>
      <c r="D8" s="97">
        <v>18.486672398968189</v>
      </c>
      <c r="E8" s="97">
        <v>49.297764402407559</v>
      </c>
      <c r="F8" s="97">
        <v>87.298194325021498</v>
      </c>
      <c r="G8" s="97">
        <v>89.35227858985381</v>
      </c>
      <c r="H8" s="97">
        <v>93.460361134995694</v>
      </c>
      <c r="I8" s="97">
        <v>94.487446259673249</v>
      </c>
      <c r="J8" s="97">
        <v>94.487446259673249</v>
      </c>
      <c r="K8" s="97">
        <v>85.244110060189158</v>
      </c>
      <c r="L8" s="97">
        <v>93.460361134995694</v>
      </c>
      <c r="M8" s="97">
        <v>90.379277730008596</v>
      </c>
      <c r="N8" s="97">
        <v>90.379277730008596</v>
      </c>
      <c r="O8" s="97">
        <v>92.433361994840922</v>
      </c>
      <c r="P8" s="97">
        <v>95.514445399828034</v>
      </c>
      <c r="Q8" s="97">
        <v>101.676698194325</v>
      </c>
      <c r="R8" s="97">
        <v>101.676698194325</v>
      </c>
      <c r="S8" s="97">
        <v>106.328116938951</v>
      </c>
      <c r="T8" s="97">
        <v>125.8059329320722</v>
      </c>
      <c r="U8" s="97">
        <v>130.33723129836631</v>
      </c>
      <c r="V8" s="97">
        <v>100.7677558039553</v>
      </c>
      <c r="W8" s="97">
        <v>104.09122957867579</v>
      </c>
      <c r="X8" s="97">
        <v>133.4635425623388</v>
      </c>
      <c r="Y8" s="97">
        <v>136.6607050730868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X9" s="97">
        <v>0</v>
      </c>
      <c r="Y9" s="97">
        <v>0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0</v>
      </c>
      <c r="J10" s="97">
        <f t="shared" si="8"/>
        <v>0</v>
      </c>
      <c r="K10" s="97">
        <f t="shared" si="8"/>
        <v>0</v>
      </c>
      <c r="L10" s="97">
        <f t="shared" si="8"/>
        <v>0.53645743766122089</v>
      </c>
      <c r="M10" s="97">
        <f t="shared" si="8"/>
        <v>1.5182287188306103</v>
      </c>
      <c r="N10" s="97">
        <f t="shared" si="8"/>
        <v>2.6123817712811692</v>
      </c>
      <c r="O10" s="97">
        <f t="shared" si="8"/>
        <v>4.9828890799656058</v>
      </c>
      <c r="P10" s="97">
        <f t="shared" si="8"/>
        <v>7.1717970765262251</v>
      </c>
      <c r="Q10" s="97">
        <f t="shared" si="8"/>
        <v>6.6730008598452271</v>
      </c>
      <c r="R10" s="97">
        <f t="shared" si="8"/>
        <v>6.5873602751504734</v>
      </c>
      <c r="S10" s="97">
        <f t="shared" si="8"/>
        <v>7.3684436801375739</v>
      </c>
      <c r="T10" s="97">
        <f t="shared" si="8"/>
        <v>10.02141014617369</v>
      </c>
      <c r="U10" s="97">
        <f t="shared" si="8"/>
        <v>10.673258813413581</v>
      </c>
      <c r="V10" s="97">
        <f t="shared" si="8"/>
        <v>14.012897678417881</v>
      </c>
      <c r="W10" s="97">
        <f t="shared" si="8"/>
        <v>10.62906276870163</v>
      </c>
      <c r="X10" s="97">
        <f t="shared" ref="X10:Y10" si="9">SUM(X11:X13)</f>
        <v>12.60920034393809</v>
      </c>
      <c r="Y10" s="97">
        <f t="shared" si="9"/>
        <v>13.287016337059329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0</v>
      </c>
      <c r="P12" s="97">
        <v>0</v>
      </c>
      <c r="Q12" s="97">
        <v>0</v>
      </c>
      <c r="R12" s="97">
        <v>0</v>
      </c>
      <c r="S12" s="97">
        <v>0</v>
      </c>
      <c r="T12" s="97">
        <v>0</v>
      </c>
      <c r="U12" s="97">
        <v>0</v>
      </c>
      <c r="V12" s="97">
        <v>0</v>
      </c>
      <c r="W12" s="97">
        <v>0</v>
      </c>
      <c r="X12" s="97">
        <v>0</v>
      </c>
      <c r="Y12" s="97">
        <v>0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0.53645743766122089</v>
      </c>
      <c r="M13" s="97">
        <v>1.5182287188306103</v>
      </c>
      <c r="N13" s="97">
        <v>2.6123817712811692</v>
      </c>
      <c r="O13" s="97">
        <v>4.9828890799656058</v>
      </c>
      <c r="P13" s="97">
        <v>7.1717970765262251</v>
      </c>
      <c r="Q13" s="97">
        <v>6.6730008598452271</v>
      </c>
      <c r="R13" s="97">
        <v>6.5873602751504734</v>
      </c>
      <c r="S13" s="97">
        <v>7.3684436801375739</v>
      </c>
      <c r="T13" s="97">
        <v>10.02141014617369</v>
      </c>
      <c r="U13" s="97">
        <v>10.673258813413581</v>
      </c>
      <c r="V13" s="97">
        <v>14.012897678417881</v>
      </c>
      <c r="W13" s="97">
        <v>10.62906276870163</v>
      </c>
      <c r="X13" s="97">
        <v>12.60920034393809</v>
      </c>
      <c r="Y13" s="97">
        <v>13.287016337059329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1.0914334464367376E-3</v>
      </c>
      <c r="F15" s="98">
        <v>1.5912892437753123E-3</v>
      </c>
      <c r="G15" s="98">
        <v>1.891901931997926E-3</v>
      </c>
      <c r="H15" s="98">
        <v>2.1609331675754642E-3</v>
      </c>
      <c r="I15" s="98">
        <v>3.4732824801791697E-3</v>
      </c>
      <c r="J15" s="98">
        <v>4.3578981945272119E-3</v>
      </c>
      <c r="K15" s="98">
        <v>4.7730387826566282E-3</v>
      </c>
      <c r="L15" s="98">
        <v>4.2414432943119119E-2</v>
      </c>
      <c r="M15" s="98">
        <v>4.2469595458647473E-2</v>
      </c>
      <c r="N15" s="98">
        <v>5.3219734799662466E-2</v>
      </c>
      <c r="O15" s="98">
        <v>7.748027135258477E-2</v>
      </c>
      <c r="P15" s="98">
        <v>0.14036651577584053</v>
      </c>
      <c r="Q15" s="98">
        <v>0.21870954716434338</v>
      </c>
      <c r="R15" s="98">
        <v>0.22440674318806872</v>
      </c>
      <c r="S15" s="98">
        <v>0.23106388300785854</v>
      </c>
      <c r="T15" s="98">
        <v>0.37553649155639157</v>
      </c>
      <c r="U15" s="98">
        <v>0.52705876434193288</v>
      </c>
      <c r="V15" s="98">
        <v>0.58255272667936497</v>
      </c>
      <c r="W15" s="98">
        <v>0.84494365129269999</v>
      </c>
      <c r="X15" s="98">
        <v>1.2295658886743932</v>
      </c>
      <c r="Y15" s="98">
        <v>2.0049032950298349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153.17901977644024</v>
      </c>
      <c r="C17" s="79">
        <f t="shared" si="10"/>
        <v>142.78443680137573</v>
      </c>
      <c r="D17" s="79">
        <f t="shared" si="10"/>
        <v>97.843250214961301</v>
      </c>
      <c r="E17" s="79">
        <f t="shared" si="10"/>
        <v>123.36497793387633</v>
      </c>
      <c r="F17" s="79">
        <f t="shared" si="10"/>
        <v>148.66883118606233</v>
      </c>
      <c r="G17" s="79">
        <f t="shared" si="10"/>
        <v>156.11160815300678</v>
      </c>
      <c r="H17" s="79">
        <f t="shared" si="10"/>
        <v>160.21995972938424</v>
      </c>
      <c r="I17" s="79">
        <f t="shared" si="10"/>
        <v>164.32944060836149</v>
      </c>
      <c r="J17" s="79">
        <f t="shared" si="10"/>
        <v>180.76291335821173</v>
      </c>
      <c r="K17" s="79">
        <f t="shared" si="10"/>
        <v>159.19557269484454</v>
      </c>
      <c r="L17" s="79">
        <f t="shared" ref="L17" si="11">L18+L42</f>
        <v>167.98592260147274</v>
      </c>
      <c r="M17" s="79">
        <f t="shared" ref="M17:V17" si="12">M18+M42</f>
        <v>165.88666564017058</v>
      </c>
      <c r="N17" s="79">
        <f t="shared" si="12"/>
        <v>165.96456969180741</v>
      </c>
      <c r="O17" s="79">
        <f t="shared" si="12"/>
        <v>171.44042094203186</v>
      </c>
      <c r="P17" s="79">
        <f t="shared" si="12"/>
        <v>176.77329858800283</v>
      </c>
      <c r="Q17" s="79">
        <f t="shared" si="12"/>
        <v>186.62326672687195</v>
      </c>
      <c r="R17" s="79">
        <f t="shared" si="12"/>
        <v>187.64203357035916</v>
      </c>
      <c r="S17" s="79">
        <f t="shared" si="12"/>
        <v>193.60905184517466</v>
      </c>
      <c r="T17" s="79">
        <f t="shared" si="12"/>
        <v>216.57906185699059</v>
      </c>
      <c r="U17" s="79">
        <f t="shared" si="12"/>
        <v>226.57555403519319</v>
      </c>
      <c r="V17" s="79">
        <f t="shared" si="12"/>
        <v>187.01514086081522</v>
      </c>
      <c r="W17" s="79">
        <f t="shared" ref="W17:Y17" si="13">W18+W42</f>
        <v>193.06076480348526</v>
      </c>
      <c r="X17" s="79">
        <f t="shared" si="13"/>
        <v>232.46825892392806</v>
      </c>
      <c r="Y17" s="79">
        <f t="shared" si="13"/>
        <v>240.65202281351648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94.232532122750555</v>
      </c>
      <c r="C18" s="32">
        <f t="shared" si="14"/>
        <v>89.906568643305548</v>
      </c>
      <c r="D18" s="32">
        <f t="shared" si="14"/>
        <v>86.730677637077804</v>
      </c>
      <c r="E18" s="32">
        <f t="shared" si="14"/>
        <v>90.201694746741651</v>
      </c>
      <c r="F18" s="32">
        <f t="shared" si="14"/>
        <v>85.013952914276501</v>
      </c>
      <c r="G18" s="32">
        <f t="shared" si="14"/>
        <v>100.99926031325464</v>
      </c>
      <c r="H18" s="32">
        <f t="shared" si="14"/>
        <v>104.10602878916029</v>
      </c>
      <c r="I18" s="32">
        <f t="shared" si="14"/>
        <v>105.6845959577411</v>
      </c>
      <c r="J18" s="32">
        <f t="shared" si="14"/>
        <v>122.16329183670965</v>
      </c>
      <c r="K18" s="32">
        <f t="shared" si="14"/>
        <v>106.81305698125944</v>
      </c>
      <c r="L18" s="32">
        <f t="shared" ref="L18" si="15">L19+L21+L33</f>
        <v>123.74702300758931</v>
      </c>
      <c r="M18" s="32">
        <f t="shared" ref="M18:V18" si="16">M19+M21+M33</f>
        <v>125.41825234460511</v>
      </c>
      <c r="N18" s="32">
        <f t="shared" si="16"/>
        <v>128.41139793670624</v>
      </c>
      <c r="O18" s="32">
        <f t="shared" si="16"/>
        <v>132.91836994219253</v>
      </c>
      <c r="P18" s="32">
        <f t="shared" si="16"/>
        <v>138.87716382807997</v>
      </c>
      <c r="Q18" s="32">
        <f t="shared" si="16"/>
        <v>148.92430032302059</v>
      </c>
      <c r="R18" s="32">
        <f t="shared" si="16"/>
        <v>150.29530479240776</v>
      </c>
      <c r="S18" s="32">
        <f t="shared" si="16"/>
        <v>153.53817064968757</v>
      </c>
      <c r="T18" s="32">
        <f t="shared" si="16"/>
        <v>170.95926953383844</v>
      </c>
      <c r="U18" s="32">
        <f t="shared" si="16"/>
        <v>177.40596481280224</v>
      </c>
      <c r="V18" s="32">
        <f t="shared" si="16"/>
        <v>142.19903372839795</v>
      </c>
      <c r="W18" s="32">
        <f t="shared" ref="W18:Y18" si="17">W19+W21+W33</f>
        <v>148.55962012245686</v>
      </c>
      <c r="X18" s="32">
        <f t="shared" si="17"/>
        <v>178.69402407780368</v>
      </c>
      <c r="Y18" s="32">
        <f t="shared" si="17"/>
        <v>186.75474292332444</v>
      </c>
      <c r="DA18" s="173" t="s">
        <v>391</v>
      </c>
    </row>
    <row r="19" spans="1:105" ht="11.45" customHeight="1" x14ac:dyDescent="0.25">
      <c r="A19" s="107" t="s">
        <v>174</v>
      </c>
      <c r="B19" s="129">
        <v>1.1439133564782196</v>
      </c>
      <c r="C19" s="129">
        <v>1.1787299590373743</v>
      </c>
      <c r="D19" s="129">
        <v>1.2192597355942141</v>
      </c>
      <c r="E19" s="129">
        <v>1.2459048300306104</v>
      </c>
      <c r="F19" s="129">
        <v>1.1609316143922908</v>
      </c>
      <c r="G19" s="129">
        <v>1.08425180301159</v>
      </c>
      <c r="H19" s="129">
        <v>1.104404315438833</v>
      </c>
      <c r="I19" s="129">
        <v>1.1421935313281029</v>
      </c>
      <c r="J19" s="129">
        <v>1.2673867912341241</v>
      </c>
      <c r="K19" s="129">
        <v>1.2465141815324721</v>
      </c>
      <c r="L19" s="129">
        <v>1.2532787528931899</v>
      </c>
      <c r="M19" s="129">
        <v>1.304712565734341</v>
      </c>
      <c r="N19" s="129">
        <v>1.2991792898503234</v>
      </c>
      <c r="O19" s="129">
        <v>1.3646265601868521</v>
      </c>
      <c r="P19" s="129">
        <v>1.4622946944535271</v>
      </c>
      <c r="Q19" s="129">
        <v>1.4856497515029141</v>
      </c>
      <c r="R19" s="129">
        <v>1.5787814044845461</v>
      </c>
      <c r="S19" s="129">
        <v>1.4788942989842158</v>
      </c>
      <c r="T19" s="129">
        <v>1.4350603343636597</v>
      </c>
      <c r="U19" s="129">
        <v>1.570626001269614</v>
      </c>
      <c r="V19" s="129">
        <v>1.4120554957846623</v>
      </c>
      <c r="W19" s="129">
        <v>1.4835200421017936</v>
      </c>
      <c r="X19" s="129">
        <v>1.5335494487992634</v>
      </c>
      <c r="Y19" s="129">
        <v>1.6786790145014885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0</v>
      </c>
      <c r="V20" s="97">
        <v>0</v>
      </c>
      <c r="W20" s="97">
        <v>0</v>
      </c>
      <c r="X20" s="97">
        <v>0</v>
      </c>
      <c r="Y20" s="97">
        <v>0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81.754401679378162</v>
      </c>
      <c r="C21" s="130">
        <f t="shared" si="18"/>
        <v>77.75709036959023</v>
      </c>
      <c r="D21" s="130">
        <f t="shared" si="18"/>
        <v>81.111290873787041</v>
      </c>
      <c r="E21" s="130">
        <f t="shared" si="18"/>
        <v>80.083853136959817</v>
      </c>
      <c r="F21" s="130">
        <f t="shared" si="18"/>
        <v>71.24087508623856</v>
      </c>
      <c r="G21" s="130">
        <f t="shared" si="18"/>
        <v>82.324021261931165</v>
      </c>
      <c r="H21" s="130">
        <f t="shared" si="18"/>
        <v>84.056895541391924</v>
      </c>
      <c r="I21" s="130">
        <f t="shared" si="18"/>
        <v>86.603102785421186</v>
      </c>
      <c r="J21" s="130">
        <f t="shared" si="18"/>
        <v>103.06742872138247</v>
      </c>
      <c r="K21" s="130">
        <f t="shared" si="18"/>
        <v>90.199562439918523</v>
      </c>
      <c r="L21" s="130">
        <f t="shared" ref="L21" si="19">L22+L24+L26+L27+L29+L32</f>
        <v>105.52923176997383</v>
      </c>
      <c r="M21" s="130">
        <f t="shared" ref="M21:V21" si="20">M22+M24+M26+M27+M29+M32</f>
        <v>106.85192173504376</v>
      </c>
      <c r="N21" s="130">
        <f t="shared" si="20"/>
        <v>107.22685114212511</v>
      </c>
      <c r="O21" s="130">
        <f t="shared" si="20"/>
        <v>110.94006570205221</v>
      </c>
      <c r="P21" s="130">
        <f t="shared" si="20"/>
        <v>112.32223712489785</v>
      </c>
      <c r="Q21" s="130">
        <f t="shared" si="20"/>
        <v>119.02492555401943</v>
      </c>
      <c r="R21" s="130">
        <f t="shared" si="20"/>
        <v>120.66733433333457</v>
      </c>
      <c r="S21" s="130">
        <f t="shared" si="20"/>
        <v>121.84987478799906</v>
      </c>
      <c r="T21" s="130">
        <f t="shared" si="20"/>
        <v>133.72542514940957</v>
      </c>
      <c r="U21" s="130">
        <f t="shared" si="20"/>
        <v>139.53699013332508</v>
      </c>
      <c r="V21" s="130">
        <f t="shared" si="20"/>
        <v>114.99561801763956</v>
      </c>
      <c r="W21" s="130">
        <f t="shared" ref="W21:Y21" si="21">W22+W24+W26+W27+W29+W32</f>
        <v>123.42514550943538</v>
      </c>
      <c r="X21" s="130">
        <f t="shared" si="21"/>
        <v>142.12585615080704</v>
      </c>
      <c r="Y21" s="130">
        <f t="shared" si="21"/>
        <v>146.93161467631171</v>
      </c>
      <c r="DA21" s="176" t="s">
        <v>393</v>
      </c>
    </row>
    <row r="22" spans="1:105" ht="11.45" customHeight="1" x14ac:dyDescent="0.25">
      <c r="A22" s="111" t="s">
        <v>110</v>
      </c>
      <c r="B22" s="96">
        <v>73.325035130297749</v>
      </c>
      <c r="C22" s="96">
        <v>68.944448555179477</v>
      </c>
      <c r="D22" s="96">
        <v>77.357886640141885</v>
      </c>
      <c r="E22" s="96">
        <v>72.078278982700283</v>
      </c>
      <c r="F22" s="96">
        <v>59.515376287120084</v>
      </c>
      <c r="G22" s="96">
        <v>64.990850144800916</v>
      </c>
      <c r="H22" s="96">
        <v>64.97427691913542</v>
      </c>
      <c r="I22" s="96">
        <v>68.011853437035739</v>
      </c>
      <c r="J22" s="96">
        <v>84.344772147869108</v>
      </c>
      <c r="K22" s="96">
        <v>72.089096697899762</v>
      </c>
      <c r="L22" s="96">
        <v>71.889272275297486</v>
      </c>
      <c r="M22" s="96">
        <v>71.891447384025469</v>
      </c>
      <c r="N22" s="96">
        <v>70.882919894778539</v>
      </c>
      <c r="O22" s="96">
        <v>71.804642233729794</v>
      </c>
      <c r="P22" s="96">
        <v>71.601089112053231</v>
      </c>
      <c r="Q22" s="96">
        <v>75.611004540096289</v>
      </c>
      <c r="R22" s="96">
        <v>75.564239670467657</v>
      </c>
      <c r="S22" s="96">
        <v>76.617876121153628</v>
      </c>
      <c r="T22" s="96">
        <v>77.219246018329628</v>
      </c>
      <c r="U22" s="96">
        <v>81.658130545409762</v>
      </c>
      <c r="V22" s="96">
        <v>68.576029167125697</v>
      </c>
      <c r="W22" s="96">
        <v>74.067415721485474</v>
      </c>
      <c r="X22" s="96">
        <v>81.252977869944701</v>
      </c>
      <c r="Y22" s="96">
        <v>84.286491817902956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0</v>
      </c>
      <c r="DA23" s="171" t="s">
        <v>642</v>
      </c>
    </row>
    <row r="24" spans="1:105" ht="11.45" customHeight="1" x14ac:dyDescent="0.25">
      <c r="A24" s="111" t="s">
        <v>111</v>
      </c>
      <c r="B24" s="96">
        <v>8.4293665490804166</v>
      </c>
      <c r="C24" s="96">
        <v>8.8126418144107515</v>
      </c>
      <c r="D24" s="96">
        <v>3.753404233645151</v>
      </c>
      <c r="E24" s="96">
        <v>8.0044827208131029</v>
      </c>
      <c r="F24" s="96">
        <v>11.723907509874705</v>
      </c>
      <c r="G24" s="96">
        <v>17.331279215198254</v>
      </c>
      <c r="H24" s="96">
        <v>19.080457689088924</v>
      </c>
      <c r="I24" s="96">
        <v>18.587776065905278</v>
      </c>
      <c r="J24" s="96">
        <v>18.718766119457321</v>
      </c>
      <c r="K24" s="96">
        <v>18.106172917625944</v>
      </c>
      <c r="L24" s="96">
        <v>33.51477729112225</v>
      </c>
      <c r="M24" s="96">
        <v>34.833136790088325</v>
      </c>
      <c r="N24" s="96">
        <v>36.193758259269345</v>
      </c>
      <c r="O24" s="96">
        <v>38.918836361014954</v>
      </c>
      <c r="P24" s="96">
        <v>40.340058715785311</v>
      </c>
      <c r="Q24" s="96">
        <v>42.855665135814498</v>
      </c>
      <c r="R24" s="96">
        <v>43.442015127764044</v>
      </c>
      <c r="S24" s="96">
        <v>43.972445422544389</v>
      </c>
      <c r="T24" s="96">
        <v>55.057562420512468</v>
      </c>
      <c r="U24" s="96">
        <v>56.260879027000946</v>
      </c>
      <c r="V24" s="96">
        <v>44.839625699201484</v>
      </c>
      <c r="W24" s="96">
        <v>47.286225042765878</v>
      </c>
      <c r="X24" s="96">
        <v>58.090711617168722</v>
      </c>
      <c r="Y24" s="96">
        <v>59.506697201289036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0.19127510720465987</v>
      </c>
      <c r="M25" s="96">
        <v>0.57547446808155689</v>
      </c>
      <c r="N25" s="96">
        <v>1.016778438171233</v>
      </c>
      <c r="O25" s="96">
        <v>1.9907175914555684</v>
      </c>
      <c r="P25" s="96">
        <v>2.8174243032739796</v>
      </c>
      <c r="Q25" s="96">
        <v>2.6393787227554135</v>
      </c>
      <c r="R25" s="96">
        <v>2.6432429078557269</v>
      </c>
      <c r="S25" s="96">
        <v>2.849765074771696</v>
      </c>
      <c r="T25" s="96">
        <v>4.0621748328439757</v>
      </c>
      <c r="U25" s="96">
        <v>4.2584556826185302</v>
      </c>
      <c r="V25" s="96">
        <v>5.4742072622714248</v>
      </c>
      <c r="W25" s="96">
        <v>4.3811625980919962</v>
      </c>
      <c r="X25" s="96">
        <v>5.0144702312654186</v>
      </c>
      <c r="Y25" s="96">
        <v>5.2729474675729886</v>
      </c>
      <c r="DA25" s="171" t="s">
        <v>644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1.098710232158211</v>
      </c>
      <c r="S26" s="96">
        <v>0.68716515832723724</v>
      </c>
      <c r="T26" s="96">
        <v>0.7739938131194829</v>
      </c>
      <c r="U26" s="96">
        <v>0.78900170359816557</v>
      </c>
      <c r="V26" s="96">
        <v>0.71558210966253866</v>
      </c>
      <c r="W26" s="96">
        <v>0.82225702091348452</v>
      </c>
      <c r="X26" s="96">
        <v>0.87733491992260493</v>
      </c>
      <c r="Y26" s="96">
        <v>0.64287227074160724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X27" s="96">
        <v>0</v>
      </c>
      <c r="Y27" s="96">
        <v>0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0.12041750458283221</v>
      </c>
      <c r="M29" s="96">
        <v>0.12336530280352176</v>
      </c>
      <c r="N29" s="96">
        <v>0.14524412341239507</v>
      </c>
      <c r="O29" s="96">
        <v>0.20900123027575437</v>
      </c>
      <c r="P29" s="96">
        <v>0.36971423295308425</v>
      </c>
      <c r="Q29" s="96">
        <v>0.53939497034530159</v>
      </c>
      <c r="R29" s="96">
        <v>0.54261735036281544</v>
      </c>
      <c r="S29" s="96">
        <v>0.54915738580816342</v>
      </c>
      <c r="T29" s="96">
        <v>0.63536184885690861</v>
      </c>
      <c r="U29" s="96">
        <v>0.69059413356082477</v>
      </c>
      <c r="V29" s="96">
        <v>0.6810409604072345</v>
      </c>
      <c r="W29" s="96">
        <v>0.97606693584415039</v>
      </c>
      <c r="X29" s="96">
        <v>1.5155300026984797</v>
      </c>
      <c r="Y29" s="96">
        <v>1.9368409757601917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0</v>
      </c>
      <c r="T30" s="96">
        <v>0</v>
      </c>
      <c r="U30" s="96">
        <v>0</v>
      </c>
      <c r="V30" s="96">
        <v>0</v>
      </c>
      <c r="W30" s="96">
        <v>0</v>
      </c>
      <c r="X30" s="96">
        <v>0</v>
      </c>
      <c r="Y30" s="96">
        <v>0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3.6995142120323649E-2</v>
      </c>
      <c r="M31" s="96">
        <v>3.7693114864786624E-2</v>
      </c>
      <c r="N31" s="96">
        <v>4.7482930401977291E-2</v>
      </c>
      <c r="O31" s="96">
        <v>6.739461503590069E-2</v>
      </c>
      <c r="P31" s="96">
        <v>0.1264831795279433</v>
      </c>
      <c r="Q31" s="96">
        <v>0.19699307209146499</v>
      </c>
      <c r="R31" s="96">
        <v>0.20148999896731928</v>
      </c>
      <c r="S31" s="96">
        <v>0.20331584969528452</v>
      </c>
      <c r="T31" s="96">
        <v>0.22429392699342413</v>
      </c>
      <c r="U31" s="96">
        <v>0.23227407492785823</v>
      </c>
      <c r="V31" s="96">
        <v>0.25049105228854579</v>
      </c>
      <c r="W31" s="96">
        <v>0.38984979015351728</v>
      </c>
      <c r="X31" s="96">
        <v>0.63973811891718058</v>
      </c>
      <c r="Y31" s="96">
        <v>0.84621938617868553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1.0914334464367376E-3</v>
      </c>
      <c r="F32" s="96">
        <v>1.5912892437753123E-3</v>
      </c>
      <c r="G32" s="96">
        <v>1.891901931997926E-3</v>
      </c>
      <c r="H32" s="96">
        <v>2.1609331675754642E-3</v>
      </c>
      <c r="I32" s="96">
        <v>3.4732824801791697E-3</v>
      </c>
      <c r="J32" s="96">
        <v>3.8904540560318452E-3</v>
      </c>
      <c r="K32" s="96">
        <v>4.2928243928180461E-3</v>
      </c>
      <c r="L32" s="96">
        <v>4.7646989712765084E-3</v>
      </c>
      <c r="M32" s="96">
        <v>3.9722581264396107E-3</v>
      </c>
      <c r="N32" s="96">
        <v>4.9288646648306036E-3</v>
      </c>
      <c r="O32" s="96">
        <v>7.5858770316941616E-3</v>
      </c>
      <c r="P32" s="96">
        <v>1.1375064106237766E-2</v>
      </c>
      <c r="Q32" s="96">
        <v>1.8860907763334704E-2</v>
      </c>
      <c r="R32" s="96">
        <v>1.9751952581831763E-2</v>
      </c>
      <c r="S32" s="96">
        <v>2.3230700165640359E-2</v>
      </c>
      <c r="T32" s="96">
        <v>3.9261048591065141E-2</v>
      </c>
      <c r="U32" s="96">
        <v>0.13838472375537128</v>
      </c>
      <c r="V32" s="96">
        <v>0.18334008124261406</v>
      </c>
      <c r="W32" s="96">
        <v>0.27318078842639881</v>
      </c>
      <c r="X32" s="96">
        <v>0.38930174107253657</v>
      </c>
      <c r="Y32" s="96">
        <v>0.5587124106179131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11.334217086894167</v>
      </c>
      <c r="C33" s="130">
        <f t="shared" si="22"/>
        <v>10.970748314677948</v>
      </c>
      <c r="D33" s="130">
        <f t="shared" si="22"/>
        <v>4.4001270276965521</v>
      </c>
      <c r="E33" s="130">
        <f t="shared" si="22"/>
        <v>8.8719367797512216</v>
      </c>
      <c r="F33" s="130">
        <f t="shared" si="22"/>
        <v>12.612146213645643</v>
      </c>
      <c r="G33" s="130">
        <f t="shared" si="22"/>
        <v>17.590987248311869</v>
      </c>
      <c r="H33" s="130">
        <f t="shared" si="22"/>
        <v>18.944728932329532</v>
      </c>
      <c r="I33" s="130">
        <f t="shared" si="22"/>
        <v>17.939299640991802</v>
      </c>
      <c r="J33" s="130">
        <f t="shared" si="22"/>
        <v>17.828476324093046</v>
      </c>
      <c r="K33" s="130">
        <f t="shared" si="22"/>
        <v>15.366980359808434</v>
      </c>
      <c r="L33" s="130">
        <f t="shared" ref="L33" si="23">L34+L36+L38+L39+L41</f>
        <v>16.964512484722281</v>
      </c>
      <c r="M33" s="130">
        <f t="shared" ref="M33:V33" si="24">M34+M36+M38+M39+M41</f>
        <v>17.261618043827017</v>
      </c>
      <c r="N33" s="130">
        <f t="shared" si="24"/>
        <v>19.885367504730787</v>
      </c>
      <c r="O33" s="130">
        <f t="shared" si="24"/>
        <v>20.613677679953479</v>
      </c>
      <c r="P33" s="130">
        <f t="shared" si="24"/>
        <v>25.092632008728597</v>
      </c>
      <c r="Q33" s="130">
        <f t="shared" si="24"/>
        <v>28.413725017498248</v>
      </c>
      <c r="R33" s="130">
        <f t="shared" si="24"/>
        <v>28.049189054588648</v>
      </c>
      <c r="S33" s="130">
        <f t="shared" si="24"/>
        <v>30.209401562704304</v>
      </c>
      <c r="T33" s="130">
        <f t="shared" si="24"/>
        <v>35.798784050065208</v>
      </c>
      <c r="U33" s="130">
        <f t="shared" si="24"/>
        <v>36.29834867820756</v>
      </c>
      <c r="V33" s="130">
        <f t="shared" si="24"/>
        <v>25.791360214973739</v>
      </c>
      <c r="W33" s="130">
        <f t="shared" ref="W33:Y33" si="25">W34+W36+W38+W39+W41</f>
        <v>23.65095457091968</v>
      </c>
      <c r="X33" s="130">
        <f t="shared" si="25"/>
        <v>35.034618478197352</v>
      </c>
      <c r="Y33" s="130">
        <f t="shared" si="25"/>
        <v>38.144449232511249</v>
      </c>
      <c r="DA33" s="176" t="s">
        <v>394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4.4940735961579145E-2</v>
      </c>
      <c r="M34" s="97">
        <v>3.7808586650709304E-2</v>
      </c>
      <c r="N34" s="97">
        <v>3.5599795577497609E-2</v>
      </c>
      <c r="O34" s="97">
        <v>3.3129961707890114E-2</v>
      </c>
      <c r="P34" s="97">
        <v>3.0839555840670815E-2</v>
      </c>
      <c r="Q34" s="97">
        <v>2.5755862737166658E-2</v>
      </c>
      <c r="R34" s="97">
        <v>2.4784152412762096E-2</v>
      </c>
      <c r="S34" s="97">
        <v>2.3978341453656217E-2</v>
      </c>
      <c r="T34" s="97">
        <v>2.5514710676346808E-2</v>
      </c>
      <c r="U34" s="97">
        <v>2.6384601022012916E-2</v>
      </c>
      <c r="V34" s="97">
        <v>1.7363573586741645E-2</v>
      </c>
      <c r="W34" s="97">
        <v>1.6031541835822852E-2</v>
      </c>
      <c r="X34" s="97">
        <v>1.8847845961128963E-2</v>
      </c>
      <c r="Y34" s="97">
        <v>2.0812949754457952E-2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X35" s="97">
        <v>0</v>
      </c>
      <c r="Y35" s="97">
        <v>0</v>
      </c>
      <c r="DA35" s="175" t="s">
        <v>653</v>
      </c>
    </row>
    <row r="36" spans="1:105" ht="11.45" customHeight="1" x14ac:dyDescent="0.25">
      <c r="A36" s="111" t="s">
        <v>111</v>
      </c>
      <c r="B36" s="97">
        <v>11.334217086894167</v>
      </c>
      <c r="C36" s="97">
        <v>10.970748314677948</v>
      </c>
      <c r="D36" s="97">
        <v>4.4001270276965521</v>
      </c>
      <c r="E36" s="97">
        <v>8.8719367797512216</v>
      </c>
      <c r="F36" s="97">
        <v>12.612146213645643</v>
      </c>
      <c r="G36" s="97">
        <v>17.590987248311869</v>
      </c>
      <c r="H36" s="97">
        <v>18.944728932329532</v>
      </c>
      <c r="I36" s="97">
        <v>17.939299640991802</v>
      </c>
      <c r="J36" s="97">
        <v>17.828476324093046</v>
      </c>
      <c r="K36" s="97">
        <v>15.366980359808434</v>
      </c>
      <c r="L36" s="97">
        <v>16.919571748760703</v>
      </c>
      <c r="M36" s="97">
        <v>17.223809457176309</v>
      </c>
      <c r="N36" s="97">
        <v>19.849767709153291</v>
      </c>
      <c r="O36" s="97">
        <v>20.58054771824559</v>
      </c>
      <c r="P36" s="97">
        <v>25.061792452887925</v>
      </c>
      <c r="Q36" s="97">
        <v>28.38796915476108</v>
      </c>
      <c r="R36" s="97">
        <v>28.024404902175885</v>
      </c>
      <c r="S36" s="97">
        <v>30.185423221250648</v>
      </c>
      <c r="T36" s="97">
        <v>35.66710005049547</v>
      </c>
      <c r="U36" s="97">
        <v>36.139860436757111</v>
      </c>
      <c r="V36" s="97">
        <v>25.650238422749894</v>
      </c>
      <c r="W36" s="97">
        <v>23.481124857981694</v>
      </c>
      <c r="X36" s="97">
        <v>34.848621972157261</v>
      </c>
      <c r="Y36" s="97">
        <v>37.286121119745268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9.6563162929279009E-2</v>
      </c>
      <c r="M37" s="97">
        <v>0.28455268457266875</v>
      </c>
      <c r="N37" s="97">
        <v>0.55763249742670107</v>
      </c>
      <c r="O37" s="97">
        <v>1.0527051221280095</v>
      </c>
      <c r="P37" s="97">
        <v>1.7503619327342437</v>
      </c>
      <c r="Q37" s="97">
        <v>1.7483476579318609</v>
      </c>
      <c r="R37" s="97">
        <v>1.7051536234379634</v>
      </c>
      <c r="S37" s="97">
        <v>1.9562561062164634</v>
      </c>
      <c r="T37" s="97">
        <v>2.6315367011539088</v>
      </c>
      <c r="U37" s="97">
        <v>2.7354708406189072</v>
      </c>
      <c r="V37" s="97">
        <v>3.1314873677750517</v>
      </c>
      <c r="W37" s="97">
        <v>2.1755728205386951</v>
      </c>
      <c r="X37" s="97">
        <v>3.0081810433246257</v>
      </c>
      <c r="Y37" s="97">
        <v>3.3039601789514479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0.28759473414840686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X39" s="97">
        <v>0</v>
      </c>
      <c r="Y39" s="97">
        <v>0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0</v>
      </c>
      <c r="S41" s="97">
        <v>0</v>
      </c>
      <c r="T41" s="97">
        <v>0.10616928889339391</v>
      </c>
      <c r="U41" s="97">
        <v>0.13210364042843492</v>
      </c>
      <c r="V41" s="97">
        <v>0.12375821863710215</v>
      </c>
      <c r="W41" s="97">
        <v>0.15379817110216187</v>
      </c>
      <c r="X41" s="97">
        <v>0.16714866007896656</v>
      </c>
      <c r="Y41" s="97">
        <v>0.54992042886311965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58.94648765368968</v>
      </c>
      <c r="C42" s="32">
        <f t="shared" si="26"/>
        <v>52.877868158070179</v>
      </c>
      <c r="D42" s="32">
        <f t="shared" si="26"/>
        <v>11.112572577883503</v>
      </c>
      <c r="E42" s="32">
        <f t="shared" si="26"/>
        <v>33.163283187134688</v>
      </c>
      <c r="F42" s="32">
        <f t="shared" si="26"/>
        <v>63.65487827178584</v>
      </c>
      <c r="G42" s="32">
        <f t="shared" si="26"/>
        <v>55.112347839752147</v>
      </c>
      <c r="H42" s="32">
        <f t="shared" si="26"/>
        <v>56.113930940223966</v>
      </c>
      <c r="I42" s="32">
        <f t="shared" si="26"/>
        <v>58.644844650620392</v>
      </c>
      <c r="J42" s="32">
        <f t="shared" si="26"/>
        <v>58.599621521502073</v>
      </c>
      <c r="K42" s="32">
        <f t="shared" si="26"/>
        <v>52.382515713585121</v>
      </c>
      <c r="L42" s="32">
        <f t="shared" ref="L42" si="27">L43+L52</f>
        <v>44.238899593883446</v>
      </c>
      <c r="M42" s="32">
        <f t="shared" ref="M42:V42" si="28">M43+M52</f>
        <v>40.468413295565483</v>
      </c>
      <c r="N42" s="32">
        <f t="shared" si="28"/>
        <v>37.553171755101161</v>
      </c>
      <c r="O42" s="32">
        <f t="shared" si="28"/>
        <v>38.522050999839337</v>
      </c>
      <c r="P42" s="32">
        <f t="shared" si="28"/>
        <v>37.896134759922859</v>
      </c>
      <c r="Q42" s="32">
        <f t="shared" si="28"/>
        <v>37.698966403851358</v>
      </c>
      <c r="R42" s="32">
        <f t="shared" si="28"/>
        <v>37.346728777951398</v>
      </c>
      <c r="S42" s="32">
        <f t="shared" si="28"/>
        <v>40.07088119548709</v>
      </c>
      <c r="T42" s="32">
        <f t="shared" si="28"/>
        <v>45.619792323152154</v>
      </c>
      <c r="U42" s="32">
        <f t="shared" si="28"/>
        <v>49.16958922239094</v>
      </c>
      <c r="V42" s="32">
        <f t="shared" si="28"/>
        <v>44.816107132417258</v>
      </c>
      <c r="W42" s="32">
        <f t="shared" ref="W42:Y42" si="29">W43+W52</f>
        <v>44.501144681028379</v>
      </c>
      <c r="X42" s="32">
        <f t="shared" si="29"/>
        <v>53.774234846124386</v>
      </c>
      <c r="Y42" s="32">
        <f t="shared" si="29"/>
        <v>53.897279890192031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16.196854573774907</v>
      </c>
      <c r="C43" s="141">
        <f t="shared" si="30"/>
        <v>15.233427557796119</v>
      </c>
      <c r="D43" s="141">
        <f t="shared" si="30"/>
        <v>6.4637622132038253</v>
      </c>
      <c r="E43" s="141">
        <f t="shared" si="30"/>
        <v>12.034300322215406</v>
      </c>
      <c r="F43" s="141">
        <f t="shared" si="30"/>
        <v>15.993480205985373</v>
      </c>
      <c r="G43" s="141">
        <f t="shared" si="30"/>
        <v>21.803767924255663</v>
      </c>
      <c r="H43" s="141">
        <f t="shared" si="30"/>
        <v>23.538714373711457</v>
      </c>
      <c r="I43" s="141">
        <f t="shared" si="30"/>
        <v>23.479185993068931</v>
      </c>
      <c r="J43" s="141">
        <f t="shared" si="30"/>
        <v>23.373414847873853</v>
      </c>
      <c r="K43" s="141">
        <f t="shared" si="30"/>
        <v>21.166452874028327</v>
      </c>
      <c r="L43" s="141">
        <f t="shared" ref="L43" si="31">L44+L46+L48+L49+L51</f>
        <v>19.644165837017916</v>
      </c>
      <c r="M43" s="141">
        <f t="shared" ref="M43:V43" si="32">M44+M46+M48+M49+M51</f>
        <v>18.80757997115127</v>
      </c>
      <c r="N43" s="141">
        <f t="shared" si="32"/>
        <v>18.026187686143647</v>
      </c>
      <c r="O43" s="141">
        <f t="shared" si="32"/>
        <v>18.519745107539297</v>
      </c>
      <c r="P43" s="141">
        <f t="shared" si="32"/>
        <v>19.006949514895069</v>
      </c>
      <c r="Q43" s="141">
        <f t="shared" si="32"/>
        <v>19.508500598517376</v>
      </c>
      <c r="R43" s="141">
        <f t="shared" si="32"/>
        <v>18.820844068626773</v>
      </c>
      <c r="S43" s="141">
        <f t="shared" si="32"/>
        <v>20.552277850416122</v>
      </c>
      <c r="T43" s="141">
        <f t="shared" si="32"/>
        <v>23.739490391475275</v>
      </c>
      <c r="U43" s="141">
        <f t="shared" si="32"/>
        <v>25.585184653334935</v>
      </c>
      <c r="V43" s="141">
        <f t="shared" si="32"/>
        <v>22.832186485206794</v>
      </c>
      <c r="W43" s="141">
        <f t="shared" ref="W43:Y43" si="33">W44+W46+W48+W49+W51</f>
        <v>22.170036707611292</v>
      </c>
      <c r="X43" s="141">
        <f t="shared" si="33"/>
        <v>26.033773519722001</v>
      </c>
      <c r="Y43" s="141">
        <f t="shared" si="33"/>
        <v>25.639353591963943</v>
      </c>
      <c r="DA43" s="174" t="s">
        <v>400</v>
      </c>
    </row>
    <row r="44" spans="1:105" ht="11.45" customHeight="1" x14ac:dyDescent="0.25">
      <c r="A44" s="111" t="s">
        <v>110</v>
      </c>
      <c r="B44" s="96">
        <v>0.65521316412686481</v>
      </c>
      <c r="C44" s="96">
        <v>0.76865295611848017</v>
      </c>
      <c r="D44" s="96">
        <v>0.77943144025701649</v>
      </c>
      <c r="E44" s="96">
        <v>0.74193828529145633</v>
      </c>
      <c r="F44" s="96">
        <v>0.69273767028470001</v>
      </c>
      <c r="G44" s="96">
        <v>0.68233571340846566</v>
      </c>
      <c r="H44" s="96">
        <v>0.67875642664673019</v>
      </c>
      <c r="I44" s="96">
        <v>0.68447409784422331</v>
      </c>
      <c r="J44" s="96">
        <v>0.65895026124069311</v>
      </c>
      <c r="K44" s="96">
        <v>0.61107871644050604</v>
      </c>
      <c r="L44" s="96">
        <v>0.67577546925796894</v>
      </c>
      <c r="M44" s="96">
        <v>0.62704887152348765</v>
      </c>
      <c r="N44" s="96">
        <v>0.60423028250118582</v>
      </c>
      <c r="O44" s="96">
        <v>0.60268422500836139</v>
      </c>
      <c r="P44" s="96">
        <v>0.60923518010017352</v>
      </c>
      <c r="Q44" s="96">
        <v>0.59004607294717182</v>
      </c>
      <c r="R44" s="96">
        <v>0.54592554677693039</v>
      </c>
      <c r="S44" s="96">
        <v>0.52592904881323665</v>
      </c>
      <c r="T44" s="96">
        <v>0.5096269219035916</v>
      </c>
      <c r="U44" s="96">
        <v>0.53236854431052139</v>
      </c>
      <c r="V44" s="96">
        <v>0.49736385022514279</v>
      </c>
      <c r="W44" s="96">
        <v>0.51723687304791699</v>
      </c>
      <c r="X44" s="96">
        <v>0.6047314897767091</v>
      </c>
      <c r="Y44" s="96">
        <v>0.68891483462245107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0</v>
      </c>
      <c r="Q45" s="96">
        <v>0</v>
      </c>
      <c r="R45" s="96">
        <v>0</v>
      </c>
      <c r="S45" s="96">
        <v>0</v>
      </c>
      <c r="T45" s="96">
        <v>0</v>
      </c>
      <c r="U45" s="96">
        <v>0</v>
      </c>
      <c r="V45" s="96">
        <v>0</v>
      </c>
      <c r="W45" s="96">
        <v>0</v>
      </c>
      <c r="X45" s="96">
        <v>0</v>
      </c>
      <c r="Y45" s="96">
        <v>0</v>
      </c>
      <c r="DA45" s="171" t="s">
        <v>661</v>
      </c>
    </row>
    <row r="46" spans="1:105" ht="11.45" customHeight="1" x14ac:dyDescent="0.25">
      <c r="A46" s="111" t="s">
        <v>111</v>
      </c>
      <c r="B46" s="96">
        <v>15.54164140964804</v>
      </c>
      <c r="C46" s="96">
        <v>14.46477460167764</v>
      </c>
      <c r="D46" s="96">
        <v>5.6843307729468089</v>
      </c>
      <c r="E46" s="96">
        <v>11.292362036923951</v>
      </c>
      <c r="F46" s="96">
        <v>15.300742535700673</v>
      </c>
      <c r="G46" s="96">
        <v>21.121432210847196</v>
      </c>
      <c r="H46" s="96">
        <v>22.859957947064729</v>
      </c>
      <c r="I46" s="96">
        <v>22.794711895224708</v>
      </c>
      <c r="J46" s="96">
        <v>22.713997142494662</v>
      </c>
      <c r="K46" s="96">
        <v>20.554893943197982</v>
      </c>
      <c r="L46" s="96">
        <v>18.96773577590843</v>
      </c>
      <c r="M46" s="96">
        <v>18.179726877160359</v>
      </c>
      <c r="N46" s="96">
        <v>17.421149463909607</v>
      </c>
      <c r="O46" s="96">
        <v>17.914561103245948</v>
      </c>
      <c r="P46" s="96">
        <v>18.395206062653234</v>
      </c>
      <c r="Q46" s="96">
        <v>18.915598958260659</v>
      </c>
      <c r="R46" s="96">
        <v>18.271753730210925</v>
      </c>
      <c r="S46" s="96">
        <v>20.02008863022257</v>
      </c>
      <c r="T46" s="96">
        <v>23.222378675561067</v>
      </c>
      <c r="U46" s="96">
        <v>25.025346078965828</v>
      </c>
      <c r="V46" s="96">
        <v>22.306868713211333</v>
      </c>
      <c r="W46" s="96">
        <v>21.621834473212754</v>
      </c>
      <c r="X46" s="96">
        <v>25.392947990548514</v>
      </c>
      <c r="Y46" s="96">
        <v>24.896976790883745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0</v>
      </c>
      <c r="L47" s="96">
        <v>0.10825241840194431</v>
      </c>
      <c r="M47" s="96">
        <v>0.30034529240211189</v>
      </c>
      <c r="N47" s="96">
        <v>0.48940618479500259</v>
      </c>
      <c r="O47" s="96">
        <v>0.91633859760413816</v>
      </c>
      <c r="P47" s="96">
        <v>1.2847552104422648</v>
      </c>
      <c r="Q47" s="96">
        <v>1.1649668546827652</v>
      </c>
      <c r="R47" s="96">
        <v>1.1117505327371373</v>
      </c>
      <c r="S47" s="96">
        <v>1.2974613720935277</v>
      </c>
      <c r="T47" s="96">
        <v>1.7133588569386351</v>
      </c>
      <c r="U47" s="96">
        <v>1.8941994697296181</v>
      </c>
      <c r="V47" s="96">
        <v>2.7233149430721348</v>
      </c>
      <c r="W47" s="96">
        <v>2.003305876299128</v>
      </c>
      <c r="X47" s="96">
        <v>2.1919542425616196</v>
      </c>
      <c r="Y47" s="96">
        <v>2.20614581037225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1.7428382333818321E-3</v>
      </c>
      <c r="T48" s="96">
        <v>1.6725669321078225E-3</v>
      </c>
      <c r="U48" s="96">
        <v>3.1737048283175927E-3</v>
      </c>
      <c r="V48" s="96">
        <v>2.9905472592153749E-3</v>
      </c>
      <c r="W48" s="96">
        <v>2.8504597399977632E-3</v>
      </c>
      <c r="X48" s="96">
        <v>2.7166707910665361E-3</v>
      </c>
      <c r="Y48" s="96">
        <v>3.4108970876298595E-3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X49" s="96">
        <v>0</v>
      </c>
      <c r="Y49" s="96">
        <v>0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4.6744413849536694E-4</v>
      </c>
      <c r="K51" s="96">
        <v>4.8021438983858185E-4</v>
      </c>
      <c r="L51" s="96">
        <v>6.5459185151896097E-4</v>
      </c>
      <c r="M51" s="96">
        <v>8.0422246742123903E-4</v>
      </c>
      <c r="N51" s="96">
        <v>8.079397328545722E-4</v>
      </c>
      <c r="O51" s="96">
        <v>2.4997792849899185E-3</v>
      </c>
      <c r="P51" s="96">
        <v>2.5082721416594717E-3</v>
      </c>
      <c r="Q51" s="96">
        <v>2.8555673095436631E-3</v>
      </c>
      <c r="R51" s="96">
        <v>3.1647916389176637E-3</v>
      </c>
      <c r="S51" s="96">
        <v>4.5173331469336633E-3</v>
      </c>
      <c r="T51" s="96">
        <v>5.8122270785083896E-3</v>
      </c>
      <c r="U51" s="96">
        <v>2.4296325230268409E-2</v>
      </c>
      <c r="V51" s="96">
        <v>2.4963374511102941E-2</v>
      </c>
      <c r="W51" s="96">
        <v>2.8114901610622002E-2</v>
      </c>
      <c r="X51" s="96">
        <v>3.3377368605709376E-2</v>
      </c>
      <c r="Y51" s="96">
        <v>5.0051069370116288E-2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42.749633079914773</v>
      </c>
      <c r="C52" s="130">
        <f t="shared" si="34"/>
        <v>37.644440600274059</v>
      </c>
      <c r="D52" s="130">
        <f t="shared" si="34"/>
        <v>4.6488103646796777</v>
      </c>
      <c r="E52" s="130">
        <f t="shared" si="34"/>
        <v>21.12898286491928</v>
      </c>
      <c r="F52" s="130">
        <f t="shared" si="34"/>
        <v>47.661398065800469</v>
      </c>
      <c r="G52" s="130">
        <f t="shared" si="34"/>
        <v>33.30857991549648</v>
      </c>
      <c r="H52" s="130">
        <f t="shared" si="34"/>
        <v>32.575216566512509</v>
      </c>
      <c r="I52" s="130">
        <f t="shared" si="34"/>
        <v>35.165658657551461</v>
      </c>
      <c r="J52" s="130">
        <f t="shared" si="34"/>
        <v>35.226206673628219</v>
      </c>
      <c r="K52" s="130">
        <f t="shared" si="34"/>
        <v>31.216062839556795</v>
      </c>
      <c r="L52" s="130">
        <f t="shared" ref="L52" si="35">L53+L55</f>
        <v>24.594733756865526</v>
      </c>
      <c r="M52" s="130">
        <f t="shared" ref="M52:V52" si="36">M53+M55</f>
        <v>21.660833324414213</v>
      </c>
      <c r="N52" s="130">
        <f t="shared" si="36"/>
        <v>19.52698406895751</v>
      </c>
      <c r="O52" s="130">
        <f t="shared" si="36"/>
        <v>20.002305892300043</v>
      </c>
      <c r="P52" s="130">
        <f t="shared" si="36"/>
        <v>18.88918524502779</v>
      </c>
      <c r="Q52" s="130">
        <f t="shared" si="36"/>
        <v>18.190465805333986</v>
      </c>
      <c r="R52" s="130">
        <f t="shared" si="36"/>
        <v>18.525884709324622</v>
      </c>
      <c r="S52" s="130">
        <f t="shared" si="36"/>
        <v>19.518603345070968</v>
      </c>
      <c r="T52" s="130">
        <f t="shared" si="36"/>
        <v>21.880301931676883</v>
      </c>
      <c r="U52" s="130">
        <f t="shared" si="36"/>
        <v>23.584404569056005</v>
      </c>
      <c r="V52" s="130">
        <f t="shared" si="36"/>
        <v>21.983920647210464</v>
      </c>
      <c r="W52" s="130">
        <f t="shared" ref="W52:Y52" si="37">W53+W55</f>
        <v>22.331107973417087</v>
      </c>
      <c r="X52" s="130">
        <f t="shared" si="37"/>
        <v>27.740461326402389</v>
      </c>
      <c r="Y52" s="130">
        <f t="shared" si="37"/>
        <v>28.257926298228089</v>
      </c>
      <c r="DA52" s="176" t="s">
        <v>401</v>
      </c>
    </row>
    <row r="53" spans="1:105" ht="11.45" customHeight="1" x14ac:dyDescent="0.25">
      <c r="A53" s="128" t="s">
        <v>27</v>
      </c>
      <c r="B53" s="97">
        <v>42.749633079914773</v>
      </c>
      <c r="C53" s="97">
        <v>37.644440600274059</v>
      </c>
      <c r="D53" s="97">
        <v>4.6488103646796777</v>
      </c>
      <c r="E53" s="97">
        <v>21.12898286491928</v>
      </c>
      <c r="F53" s="97">
        <v>47.661398065800469</v>
      </c>
      <c r="G53" s="97">
        <v>33.30857991549648</v>
      </c>
      <c r="H53" s="97">
        <v>32.575216566512509</v>
      </c>
      <c r="I53" s="97">
        <v>35.165658657551461</v>
      </c>
      <c r="J53" s="97">
        <v>35.226206673628219</v>
      </c>
      <c r="K53" s="97">
        <v>31.216062839556795</v>
      </c>
      <c r="L53" s="97">
        <v>24.594733756865526</v>
      </c>
      <c r="M53" s="97">
        <v>21.660833324414213</v>
      </c>
      <c r="N53" s="97">
        <v>19.52698406895751</v>
      </c>
      <c r="O53" s="97">
        <v>20.002305892300043</v>
      </c>
      <c r="P53" s="97">
        <v>18.88918524502779</v>
      </c>
      <c r="Q53" s="97">
        <v>18.190465805333986</v>
      </c>
      <c r="R53" s="97">
        <v>18.525884709324622</v>
      </c>
      <c r="S53" s="97">
        <v>19.518603345070968</v>
      </c>
      <c r="T53" s="97">
        <v>21.880301931676883</v>
      </c>
      <c r="U53" s="97">
        <v>23.584404569056005</v>
      </c>
      <c r="V53" s="97">
        <v>21.983920647210464</v>
      </c>
      <c r="W53" s="97">
        <v>22.331107973417087</v>
      </c>
      <c r="X53" s="97">
        <v>27.740461326402389</v>
      </c>
      <c r="Y53" s="97">
        <v>28.257926298228089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0</v>
      </c>
      <c r="L54" s="97">
        <v>0.14036674912533767</v>
      </c>
      <c r="M54" s="97">
        <v>0.35785627377427276</v>
      </c>
      <c r="N54" s="97">
        <v>0.54856465088823247</v>
      </c>
      <c r="O54" s="97">
        <v>1.0231277687778897</v>
      </c>
      <c r="P54" s="97">
        <v>1.319255630075737</v>
      </c>
      <c r="Q54" s="97">
        <v>1.1203076244751875</v>
      </c>
      <c r="R54" s="97">
        <v>1.127213211119646</v>
      </c>
      <c r="S54" s="97">
        <v>1.2649611270558871</v>
      </c>
      <c r="T54" s="97">
        <v>1.6143397552371699</v>
      </c>
      <c r="U54" s="97">
        <v>1.7851328204465258</v>
      </c>
      <c r="V54" s="97">
        <v>2.6838881052992702</v>
      </c>
      <c r="W54" s="97">
        <v>2.0690214737718096</v>
      </c>
      <c r="X54" s="97">
        <v>2.3945948267864257</v>
      </c>
      <c r="Y54" s="97">
        <v>2.5039628801626428</v>
      </c>
      <c r="DA54" s="175" t="s">
        <v>669</v>
      </c>
    </row>
    <row r="55" spans="1:105" ht="11.45" customHeight="1" x14ac:dyDescent="0.25">
      <c r="A55" s="128" t="s">
        <v>116</v>
      </c>
      <c r="B55" s="97">
        <v>0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97">
        <v>0</v>
      </c>
      <c r="N55" s="97">
        <v>0</v>
      </c>
      <c r="O55" s="97">
        <v>0</v>
      </c>
      <c r="P55" s="97">
        <v>0</v>
      </c>
      <c r="Q55" s="97">
        <v>0</v>
      </c>
      <c r="R55" s="97">
        <v>0</v>
      </c>
      <c r="S55" s="97">
        <v>0</v>
      </c>
      <c r="T55" s="97">
        <v>0</v>
      </c>
      <c r="U55" s="97">
        <v>0</v>
      </c>
      <c r="V55" s="97">
        <v>0</v>
      </c>
      <c r="W55" s="97">
        <v>0</v>
      </c>
      <c r="X55" s="97">
        <v>0</v>
      </c>
      <c r="Y55" s="97">
        <v>0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7.5954765314887025</v>
      </c>
      <c r="C60" s="79">
        <f>IF(C17=0,0,C17/TrRoad_act!C30*100)</f>
        <v>7.0623466017749976</v>
      </c>
      <c r="D60" s="79">
        <f>IF(D17=0,0,D17/TrRoad_act!D30*100)</f>
        <v>5.15293857718809</v>
      </c>
      <c r="E60" s="79">
        <f>IF(E17=0,0,E17/TrRoad_act!E30*100)</f>
        <v>5.9122737011527233</v>
      </c>
      <c r="F60" s="79">
        <f>IF(F17=0,0,F17/TrRoad_act!F30*100)</f>
        <v>6.8366332200496043</v>
      </c>
      <c r="G60" s="79">
        <f>IF(G17=0,0,G17/TrRoad_act!G30*100)</f>
        <v>7.2051281817002728</v>
      </c>
      <c r="H60" s="79">
        <f>IF(H17=0,0,H17/TrRoad_act!H30*100)</f>
        <v>7.163065550817187</v>
      </c>
      <c r="I60" s="79">
        <f>IF(I17=0,0,I17/TrRoad_act!I30*100)</f>
        <v>7.3184459639381414</v>
      </c>
      <c r="J60" s="79">
        <f>IF(J17=0,0,J17/TrRoad_act!J30*100)</f>
        <v>7.4422816582005229</v>
      </c>
      <c r="K60" s="79">
        <f>IF(K17=0,0,K17/TrRoad_act!K30*100)</f>
        <v>6.3206864216357559</v>
      </c>
      <c r="L60" s="79">
        <f>IF(L17=0,0,L17/TrRoad_act!L30*100)</f>
        <v>6.7533425855352212</v>
      </c>
      <c r="M60" s="79">
        <f>IF(M17=0,0,M17/TrRoad_act!M30*100)</f>
        <v>6.5501434094187587</v>
      </c>
      <c r="N60" s="79">
        <f>IF(N17=0,0,N17/TrRoad_act!N30*100)</f>
        <v>6.5233506967776096</v>
      </c>
      <c r="O60" s="79">
        <f>IF(O17=0,0,O17/TrRoad_act!O30*100)</f>
        <v>6.5605531625200859</v>
      </c>
      <c r="P60" s="79">
        <f>IF(P17=0,0,P17/TrRoad_act!P30*100)</f>
        <v>6.4030247044851203</v>
      </c>
      <c r="Q60" s="79">
        <f>IF(Q17=0,0,Q17/TrRoad_act!Q30*100)</f>
        <v>6.4998874397109354</v>
      </c>
      <c r="R60" s="79">
        <f>IF(R17=0,0,R17/TrRoad_act!R30*100)</f>
        <v>6.3634502462802143</v>
      </c>
      <c r="S60" s="79">
        <f>IF(S17=0,0,S17/TrRoad_act!S30*100)</f>
        <v>6.5620091224232677</v>
      </c>
      <c r="T60" s="79">
        <f>IF(T17=0,0,T17/TrRoad_act!T30*100)</f>
        <v>7.1941893725237485</v>
      </c>
      <c r="U60" s="79">
        <f>IF(U17=0,0,U17/TrRoad_act!U30*100)</f>
        <v>7.433801361224222</v>
      </c>
      <c r="V60" s="79">
        <f>IF(V17=0,0,V17/TrRoad_act!V30*100)</f>
        <v>6.7625063164556103</v>
      </c>
      <c r="W60" s="79">
        <f>IF(W17=0,0,W17/TrRoad_act!W30*100)</f>
        <v>6.7060242098635499</v>
      </c>
      <c r="X60" s="79">
        <f>IF(X17=0,0,X17/TrRoad_act!X30*100)</f>
        <v>7.9797561312377976</v>
      </c>
      <c r="Y60" s="79">
        <f>IF(Y17=0,0,Y17/TrRoad_act!Y30*100)</f>
        <v>8.0512614011961414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6.4632237626672069</v>
      </c>
      <c r="C61" s="32">
        <f>IF(C18=0,0,C18/TrRoad_act!C31*100)</f>
        <v>6.063123315984476</v>
      </c>
      <c r="D61" s="32">
        <f>IF(D18=0,0,D18/TrRoad_act!D31*100)</f>
        <v>5.6042013913309523</v>
      </c>
      <c r="E61" s="32">
        <f>IF(E18=0,0,E18/TrRoad_act!E31*100)</f>
        <v>5.5928114796150386</v>
      </c>
      <c r="F61" s="32">
        <f>IF(F18=0,0,F18/TrRoad_act!F31*100)</f>
        <v>5.395434057929684</v>
      </c>
      <c r="G61" s="32">
        <f>IF(G18=0,0,G18/TrRoad_act!G31*100)</f>
        <v>5.810922093123386</v>
      </c>
      <c r="H61" s="32">
        <f>IF(H18=0,0,H18/TrRoad_act!H31*100)</f>
        <v>5.7710013256595287</v>
      </c>
      <c r="I61" s="32">
        <f>IF(I18=0,0,I18/TrRoad_act!I31*100)</f>
        <v>6.0043279716784301</v>
      </c>
      <c r="J61" s="32">
        <f>IF(J18=0,0,J18/TrRoad_act!J31*100)</f>
        <v>6.3620500334767902</v>
      </c>
      <c r="K61" s="32">
        <f>IF(K18=0,0,K18/TrRoad_act!K31*100)</f>
        <v>5.3280328975022435</v>
      </c>
      <c r="L61" s="32">
        <f>IF(L18=0,0,L18/TrRoad_act!L31*100)</f>
        <v>6.0967079956900534</v>
      </c>
      <c r="M61" s="32">
        <f>IF(M18=0,0,M18/TrRoad_act!M31*100)</f>
        <v>6.0523465991252037</v>
      </c>
      <c r="N61" s="32">
        <f>IF(N18=0,0,N18/TrRoad_act!N31*100)</f>
        <v>6.1307773002025199</v>
      </c>
      <c r="O61" s="32">
        <f>IF(O18=0,0,O18/TrRoad_act!O31*100)</f>
        <v>6.1660704534615949</v>
      </c>
      <c r="P61" s="32">
        <f>IF(P18=0,0,P18/TrRoad_act!P31*100)</f>
        <v>6.0672483071488061</v>
      </c>
      <c r="Q61" s="32">
        <f>IF(Q18=0,0,Q18/TrRoad_act!Q31*100)</f>
        <v>6.2249465651726261</v>
      </c>
      <c r="R61" s="32">
        <f>IF(R18=0,0,R18/TrRoad_act!R31*100)</f>
        <v>6.0786834326590675</v>
      </c>
      <c r="S61" s="32">
        <f>IF(S18=0,0,S18/TrRoad_act!S31*100)</f>
        <v>6.2441779904177963</v>
      </c>
      <c r="T61" s="32">
        <f>IF(T18=0,0,T18/TrRoad_act!T31*100)</f>
        <v>6.7788990390334449</v>
      </c>
      <c r="U61" s="32">
        <f>IF(U18=0,0,U18/TrRoad_act!U31*100)</f>
        <v>6.9927627879266039</v>
      </c>
      <c r="V61" s="32">
        <f>IF(V18=0,0,V18/TrRoad_act!V31*100)</f>
        <v>6.268821996121293</v>
      </c>
      <c r="W61" s="32">
        <f>IF(W18=0,0,W18/TrRoad_act!W31*100)</f>
        <v>6.2031209356923149</v>
      </c>
      <c r="X61" s="32">
        <f>IF(X18=0,0,X18/TrRoad_act!X31*100)</f>
        <v>7.3203628798600109</v>
      </c>
      <c r="Y61" s="32">
        <f>IF(Y18=0,0,Y18/TrRoad_act!Y31*100)</f>
        <v>7.4000477020912907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3.9979884241474113</v>
      </c>
      <c r="C62" s="141">
        <f>IF(C19=0,0,C19/TrRoad_act!C32*100)</f>
        <v>3.9822433335973075</v>
      </c>
      <c r="D62" s="141">
        <f>IF(D19=0,0,D19/TrRoad_act!D32*100)</f>
        <v>3.9664477386703449</v>
      </c>
      <c r="E62" s="141">
        <f>IF(E19=0,0,E19/TrRoad_act!E32*100)</f>
        <v>3.9514073512751922</v>
      </c>
      <c r="F62" s="141">
        <f>IF(F19=0,0,F19/TrRoad_act!F32*100)</f>
        <v>3.9368417094228225</v>
      </c>
      <c r="G62" s="141">
        <f>IF(G19=0,0,G19/TrRoad_act!G32*100)</f>
        <v>3.9187038877140945</v>
      </c>
      <c r="H62" s="141">
        <f>IF(H19=0,0,H19/TrRoad_act!H32*100)</f>
        <v>3.8963477642443878</v>
      </c>
      <c r="I62" s="141">
        <f>IF(I19=0,0,I19/TrRoad_act!I32*100)</f>
        <v>3.8705735613089063</v>
      </c>
      <c r="J62" s="141">
        <f>IF(J19=0,0,J19/TrRoad_act!J32*100)</f>
        <v>3.8114911733849564</v>
      </c>
      <c r="K62" s="141">
        <f>IF(K19=0,0,K19/TrRoad_act!K32*100)</f>
        <v>3.7573224394235361</v>
      </c>
      <c r="L62" s="141">
        <f>IF(L19=0,0,L19/TrRoad_act!L32*100)</f>
        <v>3.6914588054818975</v>
      </c>
      <c r="M62" s="141">
        <f>IF(M19=0,0,M19/TrRoad_act!M32*100)</f>
        <v>3.6338053173762868</v>
      </c>
      <c r="N62" s="141">
        <f>IF(N19=0,0,N19/TrRoad_act!N32*100)</f>
        <v>3.5607380140361071</v>
      </c>
      <c r="O62" s="141">
        <f>IF(O19=0,0,O19/TrRoad_act!O32*100)</f>
        <v>3.4997864592644494</v>
      </c>
      <c r="P62" s="141">
        <f>IF(P19=0,0,P19/TrRoad_act!P32*100)</f>
        <v>3.4447460411154935</v>
      </c>
      <c r="Q62" s="141">
        <f>IF(Q19=0,0,Q19/TrRoad_act!Q32*100)</f>
        <v>3.374397635544466</v>
      </c>
      <c r="R62" s="141">
        <f>IF(R19=0,0,R19/TrRoad_act!R32*100)</f>
        <v>3.2957117700760685</v>
      </c>
      <c r="S62" s="141">
        <f>IF(S19=0,0,S19/TrRoad_act!S32*100)</f>
        <v>3.2338812160266412</v>
      </c>
      <c r="T62" s="141">
        <f>IF(T19=0,0,T19/TrRoad_act!T32*100)</f>
        <v>3.2576012608004876</v>
      </c>
      <c r="U62" s="141">
        <f>IF(U19=0,0,U19/TrRoad_act!U32*100)</f>
        <v>3.3301450201925791</v>
      </c>
      <c r="V62" s="141">
        <f>IF(V19=0,0,V19/TrRoad_act!V32*100)</f>
        <v>3.3043146720403813</v>
      </c>
      <c r="W62" s="141">
        <f>IF(W19=0,0,W19/TrRoad_act!W32*100)</f>
        <v>3.2837688104119236</v>
      </c>
      <c r="X62" s="141">
        <f>IF(X19=0,0,X19/TrRoad_act!X32*100)</f>
        <v>3.2528923937752507</v>
      </c>
      <c r="Y62" s="141">
        <f>IF(Y19=0,0,Y19/TrRoad_act!Y32*100)</f>
        <v>3.2406008722818678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5.8429787836145799</v>
      </c>
      <c r="C63" s="130">
        <f>IF(C21=0,0,C21/TrRoad_act!C33*100)</f>
        <v>5.4665986475629502</v>
      </c>
      <c r="D63" s="130">
        <f>IF(D21=0,0,D21/TrRoad_act!D33*100)</f>
        <v>5.460735663291854</v>
      </c>
      <c r="E63" s="130">
        <f>IF(E21=0,0,E21/TrRoad_act!E33*100)</f>
        <v>5.1697112621859169</v>
      </c>
      <c r="F63" s="130">
        <f>IF(F21=0,0,F21/TrRoad_act!F33*100)</f>
        <v>4.7077007375227931</v>
      </c>
      <c r="G63" s="130">
        <f>IF(G21=0,0,G21/TrRoad_act!G33*100)</f>
        <v>4.9057987274485173</v>
      </c>
      <c r="H63" s="130">
        <f>IF(H21=0,0,H21/TrRoad_act!H33*100)</f>
        <v>4.8241355476070629</v>
      </c>
      <c r="I63" s="130">
        <f>IF(I21=0,0,I21/TrRoad_act!I33*100)</f>
        <v>5.1041433600256187</v>
      </c>
      <c r="J63" s="130">
        <f>IF(J21=0,0,J21/TrRoad_act!J33*100)</f>
        <v>5.5655589227744482</v>
      </c>
      <c r="K63" s="130">
        <f>IF(K21=0,0,K21/TrRoad_act!K33*100)</f>
        <v>4.6575477227693201</v>
      </c>
      <c r="L63" s="130">
        <f>IF(L21=0,0,L21/TrRoad_act!L33*100)</f>
        <v>5.3945280015056509</v>
      </c>
      <c r="M63" s="130">
        <f>IF(M21=0,0,M21/TrRoad_act!M33*100)</f>
        <v>5.3669373901419553</v>
      </c>
      <c r="N63" s="130">
        <f>IF(N21=0,0,N21/TrRoad_act!N33*100)</f>
        <v>5.3500098208395821</v>
      </c>
      <c r="O63" s="130">
        <f>IF(O21=0,0,O21/TrRoad_act!O33*100)</f>
        <v>5.3815133502967578</v>
      </c>
      <c r="P63" s="130">
        <f>IF(P21=0,0,P21/TrRoad_act!P33*100)</f>
        <v>5.1568596629663563</v>
      </c>
      <c r="Q63" s="130">
        <f>IF(Q21=0,0,Q21/TrRoad_act!Q33*100)</f>
        <v>5.2419022482645934</v>
      </c>
      <c r="R63" s="130">
        <f>IF(R21=0,0,R21/TrRoad_act!R33*100)</f>
        <v>5.1424313874613246</v>
      </c>
      <c r="S63" s="130">
        <f>IF(S21=0,0,S21/TrRoad_act!S33*100)</f>
        <v>5.2225030661288736</v>
      </c>
      <c r="T63" s="130">
        <f>IF(T21=0,0,T21/TrRoad_act!T33*100)</f>
        <v>5.581311177170206</v>
      </c>
      <c r="U63" s="130">
        <f>IF(U21=0,0,U21/TrRoad_act!U33*100)</f>
        <v>5.7937871413402764</v>
      </c>
      <c r="V63" s="130">
        <f>IF(V21=0,0,V21/TrRoad_act!V33*100)</f>
        <v>5.3206205458025302</v>
      </c>
      <c r="W63" s="130">
        <f>IF(W21=0,0,W21/TrRoad_act!W33*100)</f>
        <v>5.3890148280990502</v>
      </c>
      <c r="X63" s="130">
        <f>IF(X21=0,0,X21/TrRoad_act!X33*100)</f>
        <v>6.1234486775501615</v>
      </c>
      <c r="Y63" s="130">
        <f>IF(Y21=0,0,Y21/TrRoad_act!Y33*100)</f>
        <v>6.1435994531036355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6.1002904504739242</v>
      </c>
      <c r="C64" s="96">
        <f>IF(C22=0,0,C22/TrRoad_act!C34*100)</f>
        <v>5.7291140078271701</v>
      </c>
      <c r="D64" s="96">
        <f>IF(D22=0,0,D22/TrRoad_act!D34*100)</f>
        <v>6.20065196777675</v>
      </c>
      <c r="E64" s="96">
        <f>IF(E22=0,0,E22/TrRoad_act!E34*100)</f>
        <v>5.5784705166222341</v>
      </c>
      <c r="F64" s="96">
        <f>IF(F22=0,0,F22/TrRoad_act!F34*100)</f>
        <v>4.7900379360968275</v>
      </c>
      <c r="G64" s="96">
        <f>IF(G22=0,0,G22/TrRoad_act!G34*100)</f>
        <v>4.6553972722165042</v>
      </c>
      <c r="H64" s="96">
        <f>IF(H22=0,0,H22/TrRoad_act!H34*100)</f>
        <v>4.4921332132371843</v>
      </c>
      <c r="I64" s="96">
        <f>IF(I22=0,0,I22/TrRoad_act!I34*100)</f>
        <v>4.907521320264677</v>
      </c>
      <c r="J64" s="96">
        <f>IF(J22=0,0,J22/TrRoad_act!J34*100)</f>
        <v>5.5241461029158243</v>
      </c>
      <c r="K64" s="96">
        <f>IF(K22=0,0,K22/TrRoad_act!K34*100)</f>
        <v>4.5446309724673579</v>
      </c>
      <c r="L64" s="96">
        <f>IF(L22=0,0,L22/TrRoad_act!L34*100)</f>
        <v>5.5242020051474476</v>
      </c>
      <c r="M64" s="96">
        <f>IF(M22=0,0,M22/TrRoad_act!M34*100)</f>
        <v>5.6820868483275504</v>
      </c>
      <c r="N64" s="96">
        <f>IF(N22=0,0,N22/TrRoad_act!N34*100)</f>
        <v>5.758248095230992</v>
      </c>
      <c r="O64" s="96">
        <f>IF(O22=0,0,O22/TrRoad_act!O34*100)</f>
        <v>5.7892610484270728</v>
      </c>
      <c r="P64" s="96">
        <f>IF(P22=0,0,P22/TrRoad_act!P34*100)</f>
        <v>5.47364400319967</v>
      </c>
      <c r="Q64" s="96">
        <f>IF(Q22=0,0,Q22/TrRoad_act!Q34*100)</f>
        <v>5.6236567841931695</v>
      </c>
      <c r="R64" s="96">
        <f>IF(R22=0,0,R22/TrRoad_act!R34*100)</f>
        <v>5.5197489128077901</v>
      </c>
      <c r="S64" s="96">
        <f>IF(S22=0,0,S22/TrRoad_act!S34*100)</f>
        <v>5.4898213865338912</v>
      </c>
      <c r="T64" s="96">
        <f>IF(T22=0,0,T22/TrRoad_act!T34*100)</f>
        <v>5.5993001680841985</v>
      </c>
      <c r="U64" s="96">
        <f>IF(U22=0,0,U22/TrRoad_act!U34*100)</f>
        <v>5.916657014437118</v>
      </c>
      <c r="V64" s="96">
        <f>IF(V22=0,0,V22/TrRoad_act!V34*100)</f>
        <v>5.4550173419105397</v>
      </c>
      <c r="W64" s="96">
        <f>IF(W22=0,0,W22/TrRoad_act!W34*100)</f>
        <v>5.6166684677547609</v>
      </c>
      <c r="X64" s="96">
        <f>IF(X22=0,0,X22/TrRoad_act!X34*100)</f>
        <v>6.1739461764047157</v>
      </c>
      <c r="Y64" s="96">
        <f>IF(Y22=0,0,Y22/TrRoad_act!Y34*100)</f>
        <v>6.2986894074505573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4.2745713931896177</v>
      </c>
      <c r="C65" s="96">
        <f>IF(C24=0,0,C24/TrRoad_act!C35*100)</f>
        <v>4.0240662864239578</v>
      </c>
      <c r="D65" s="96">
        <f>IF(D24=0,0,D24/TrRoad_act!D35*100)</f>
        <v>1.5785331009607884</v>
      </c>
      <c r="E65" s="96">
        <f>IF(E24=0,0,E24/TrRoad_act!E35*100)</f>
        <v>3.1153900465790754</v>
      </c>
      <c r="F65" s="96">
        <f>IF(F24=0,0,F24/TrRoad_act!F35*100)</f>
        <v>4.3313014212859473</v>
      </c>
      <c r="G65" s="96">
        <f>IF(G24=0,0,G24/TrRoad_act!G35*100)</f>
        <v>6.1476413969061454</v>
      </c>
      <c r="H65" s="96">
        <f>IF(H24=0,0,H24/TrRoad_act!H35*100)</f>
        <v>6.4492580180245813</v>
      </c>
      <c r="I65" s="96">
        <f>IF(I24=0,0,I24/TrRoad_act!I35*100)</f>
        <v>5.9848568780021409</v>
      </c>
      <c r="J65" s="96">
        <f>IF(J24=0,0,J24/TrRoad_act!J35*100)</f>
        <v>5.7643094121821363</v>
      </c>
      <c r="K65" s="96">
        <f>IF(K24=0,0,K24/TrRoad_act!K35*100)</f>
        <v>5.1725013289283837</v>
      </c>
      <c r="L65" s="96">
        <f>IF(L24=0,0,L24/TrRoad_act!L35*100)</f>
        <v>5.1421219507873062</v>
      </c>
      <c r="M65" s="96">
        <f>IF(M24=0,0,M24/TrRoad_act!M35*100)</f>
        <v>4.8202576888272839</v>
      </c>
      <c r="N65" s="96">
        <f>IF(N24=0,0,N24/TrRoad_act!N35*100)</f>
        <v>4.7032975753402164</v>
      </c>
      <c r="O65" s="96">
        <f>IF(O24=0,0,O24/TrRoad_act!O35*100)</f>
        <v>4.7682546195478555</v>
      </c>
      <c r="P65" s="96">
        <f>IF(P24=0,0,P24/TrRoad_act!P35*100)</f>
        <v>4.6825846610956798</v>
      </c>
      <c r="Q65" s="96">
        <f>IF(Q24=0,0,Q24/TrRoad_act!Q35*100)</f>
        <v>4.6914808205575884</v>
      </c>
      <c r="R65" s="96">
        <f>IF(R24=0,0,R24/TrRoad_act!R35*100)</f>
        <v>4.6114607553311018</v>
      </c>
      <c r="S65" s="96">
        <f>IF(S24=0,0,S24/TrRoad_act!S35*100)</f>
        <v>4.8238280823889435</v>
      </c>
      <c r="T65" s="96">
        <f>IF(T24=0,0,T24/TrRoad_act!T35*100)</f>
        <v>5.558137769696267</v>
      </c>
      <c r="U65" s="96">
        <f>IF(U24=0,0,U24/TrRoad_act!U35*100)</f>
        <v>5.6812230526454828</v>
      </c>
      <c r="V65" s="96">
        <f>IF(V24=0,0,V24/TrRoad_act!V35*100)</f>
        <v>5.1808097632221042</v>
      </c>
      <c r="W65" s="96">
        <f>IF(W24=0,0,W24/TrRoad_act!W35*100)</f>
        <v>5.1488127662039895</v>
      </c>
      <c r="X65" s="96">
        <f>IF(X24=0,0,X24/TrRoad_act!X35*100)</f>
        <v>6.2467284668108656</v>
      </c>
      <c r="Y65" s="96">
        <f>IF(Y24=0,0,Y24/TrRoad_act!Y35*100)</f>
        <v>6.2252442541122592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0</v>
      </c>
      <c r="I66" s="96">
        <f>IF(I26=0,0,I26/TrRoad_act!I36*100)</f>
        <v>0</v>
      </c>
      <c r="J66" s="96">
        <f>IF(J26=0,0,J26/TrRoad_act!J36*100)</f>
        <v>0</v>
      </c>
      <c r="K66" s="96">
        <f>IF(K26=0,0,K26/TrRoad_act!K36*100)</f>
        <v>0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4.8489076617183304</v>
      </c>
      <c r="S66" s="96">
        <f>IF(S26=0,0,S26/TrRoad_act!S36*100)</f>
        <v>5.4148571959121821</v>
      </c>
      <c r="T66" s="96">
        <f>IF(T26=0,0,T26/TrRoad_act!T36*100)</f>
        <v>7.4925465273365477</v>
      </c>
      <c r="U66" s="96">
        <f>IF(U26=0,0,U26/TrRoad_act!U36*100)</f>
        <v>5.4441361546551406</v>
      </c>
      <c r="V66" s="96">
        <f>IF(V26=0,0,V26/TrRoad_act!V36*100)</f>
        <v>6.110271848005846</v>
      </c>
      <c r="W66" s="96">
        <f>IF(W26=0,0,W26/TrRoad_act!W36*100)</f>
        <v>7.0438721847518382</v>
      </c>
      <c r="X66" s="96">
        <f>IF(X26=0,0,X26/TrRoad_act!X36*100)</f>
        <v>7.9564275013927501</v>
      </c>
      <c r="Y66" s="96">
        <f>IF(Y26=0,0,Y26/TrRoad_act!Y36*100)</f>
        <v>6.1656935211565713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X67" s="96">
        <f>IF(X27=0,0,X27/TrRoad_act!X37*100)</f>
        <v>0</v>
      </c>
      <c r="Y67" s="96">
        <f>IF(Y27=0,0,Y27/TrRoad_act!Y37*100)</f>
        <v>0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4.4095422761654559</v>
      </c>
      <c r="M68" s="96">
        <f>IF(M29=0,0,M29/TrRoad_act!M38*100)</f>
        <v>4.495214141736537</v>
      </c>
      <c r="N68" s="96">
        <f>IF(N29=0,0,N29/TrRoad_act!N38*100)</f>
        <v>4.3787817467167773</v>
      </c>
      <c r="O68" s="96">
        <f>IF(O29=0,0,O29/TrRoad_act!O38*100)</f>
        <v>4.7840770024624186</v>
      </c>
      <c r="P68" s="96">
        <f>IF(P29=0,0,P29/TrRoad_act!P38*100)</f>
        <v>4.8659683072226692</v>
      </c>
      <c r="Q68" s="96">
        <f>IF(Q29=0,0,Q29/TrRoad_act!Q38*100)</f>
        <v>4.8119146395350558</v>
      </c>
      <c r="R68" s="96">
        <f>IF(R29=0,0,R29/TrRoad_act!R38*100)</f>
        <v>4.7886702820726219</v>
      </c>
      <c r="S68" s="96">
        <f>IF(S29=0,0,S29/TrRoad_act!S38*100)</f>
        <v>4.7964166856600006</v>
      </c>
      <c r="T68" s="96">
        <f>IF(T29=0,0,T29/TrRoad_act!T38*100)</f>
        <v>4.9673658901683329</v>
      </c>
      <c r="U68" s="96">
        <f>IF(U29=0,0,U29/TrRoad_act!U38*100)</f>
        <v>5.0694318422701086</v>
      </c>
      <c r="V68" s="96">
        <f>IF(V29=0,0,V29/TrRoad_act!V38*100)</f>
        <v>4.6251631993184432</v>
      </c>
      <c r="W68" s="96">
        <f>IF(W29=0,0,W29/TrRoad_act!W38*100)</f>
        <v>4.1183866380347585</v>
      </c>
      <c r="X68" s="96">
        <f>IF(X29=0,0,X29/TrRoad_act!X38*100)</f>
        <v>3.8701604879341933</v>
      </c>
      <c r="Y68" s="96">
        <f>IF(Y29=0,0,Y29/TrRoad_act!Y38*100)</f>
        <v>3.6583124626792056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1.2984188746828971</v>
      </c>
      <c r="F69" s="96">
        <f>IF(F32=0,0,F32/TrRoad_act!F39*100)</f>
        <v>1.2951946209810854</v>
      </c>
      <c r="G69" s="96">
        <f>IF(G32=0,0,G32/TrRoad_act!G39*100)</f>
        <v>1.2928484117815444</v>
      </c>
      <c r="H69" s="96">
        <f>IF(H32=0,0,H32/TrRoad_act!H39*100)</f>
        <v>1.2898553939183288</v>
      </c>
      <c r="I69" s="96">
        <f>IF(I32=0,0,I32/TrRoad_act!I39*100)</f>
        <v>1.2782494070401358</v>
      </c>
      <c r="J69" s="96">
        <f>IF(J32=0,0,J32/TrRoad_act!J39*100)</f>
        <v>1.2738782214629019</v>
      </c>
      <c r="K69" s="96">
        <f>IF(K32=0,0,K32/TrRoad_act!K39*100)</f>
        <v>1.2709123493929395</v>
      </c>
      <c r="L69" s="96">
        <f>IF(L32=0,0,L32/TrRoad_act!L39*100)</f>
        <v>1.2677210460686519</v>
      </c>
      <c r="M69" s="96">
        <f>IF(M32=0,0,M32/TrRoad_act!M39*100)</f>
        <v>1.262658069483851</v>
      </c>
      <c r="N69" s="96">
        <f>IF(N32=0,0,N32/TrRoad_act!N39*100)</f>
        <v>1.2358155757837568</v>
      </c>
      <c r="O69" s="96">
        <f>IF(O32=0,0,O32/TrRoad_act!O39*100)</f>
        <v>1.224110815609011</v>
      </c>
      <c r="P69" s="96">
        <f>IF(P32=0,0,P32/TrRoad_act!P39*100)</f>
        <v>1.2398521143250165</v>
      </c>
      <c r="Q69" s="96">
        <f>IF(Q32=0,0,Q32/TrRoad_act!Q39*100)</f>
        <v>1.3106492236892897</v>
      </c>
      <c r="R69" s="96">
        <f>IF(R32=0,0,R32/TrRoad_act!R39*100)</f>
        <v>1.3264137101842257</v>
      </c>
      <c r="S69" s="96">
        <f>IF(S32=0,0,S32/TrRoad_act!S39*100)</f>
        <v>1.2710006333465234</v>
      </c>
      <c r="T69" s="96">
        <f>IF(T32=0,0,T32/TrRoad_act!T39*100)</f>
        <v>1.2401074588225076</v>
      </c>
      <c r="U69" s="96">
        <f>IF(U32=0,0,U32/TrRoad_act!U39*100)</f>
        <v>1.4063870672270733</v>
      </c>
      <c r="V69" s="96">
        <f>IF(V32=0,0,V32/TrRoad_act!V39*100)</f>
        <v>1.4941104219727581</v>
      </c>
      <c r="W69" s="96">
        <f>IF(W32=0,0,W32/TrRoad_act!W39*100)</f>
        <v>1.531429437837607</v>
      </c>
      <c r="X69" s="96">
        <f>IF(X32=0,0,X32/TrRoad_act!X39*100)</f>
        <v>1.5682826233863185</v>
      </c>
      <c r="Y69" s="96">
        <f>IF(Y32=0,0,Y32/TrRoad_act!Y39*100)</f>
        <v>1.6337449848567487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37.558299589640129</v>
      </c>
      <c r="C70" s="130">
        <f>IF(C33=0,0,C33/TrRoad_act!C40*100)</f>
        <v>35.573870824784905</v>
      </c>
      <c r="D70" s="130">
        <f>IF(D33=0,0,D33/TrRoad_act!D40*100)</f>
        <v>13.965539341137193</v>
      </c>
      <c r="E70" s="130">
        <f>IF(E33=0,0,E33/TrRoad_act!E40*100)</f>
        <v>27.563737508184055</v>
      </c>
      <c r="F70" s="130">
        <f>IF(F33=0,0,F33/TrRoad_act!F40*100)</f>
        <v>38.344118887574297</v>
      </c>
      <c r="G70" s="130">
        <f>IF(G33=0,0,G33/TrRoad_act!G40*100)</f>
        <v>54.412909619442182</v>
      </c>
      <c r="H70" s="130">
        <f>IF(H33=0,0,H33/TrRoad_act!H40*100)</f>
        <v>57.092925690286158</v>
      </c>
      <c r="I70" s="130">
        <f>IF(I33=0,0,I33/TrRoad_act!I40*100)</f>
        <v>52.904205491181997</v>
      </c>
      <c r="J70" s="130">
        <f>IF(J33=0,0,J33/TrRoad_act!J40*100)</f>
        <v>50.856270673624081</v>
      </c>
      <c r="K70" s="130">
        <f>IF(K33=0,0,K33/TrRoad_act!K40*100)</f>
        <v>43.99423577077782</v>
      </c>
      <c r="L70" s="130">
        <f>IF(L33=0,0,L33/TrRoad_act!L40*100)</f>
        <v>42.886246390581391</v>
      </c>
      <c r="M70" s="130">
        <f>IF(M33=0,0,M33/TrRoad_act!M40*100)</f>
        <v>38.028560538572478</v>
      </c>
      <c r="N70" s="130">
        <f>IF(N33=0,0,N33/TrRoad_act!N40*100)</f>
        <v>36.951884125500243</v>
      </c>
      <c r="O70" s="130">
        <f>IF(O33=0,0,O33/TrRoad_act!O40*100)</f>
        <v>37.379773298782716</v>
      </c>
      <c r="P70" s="130">
        <f>IF(P33=0,0,P33/TrRoad_act!P40*100)</f>
        <v>36.684361819664481</v>
      </c>
      <c r="Q70" s="130">
        <f>IF(Q33=0,0,Q33/TrRoad_act!Q40*100)</f>
        <v>36.564774243084983</v>
      </c>
      <c r="R70" s="130">
        <f>IF(R33=0,0,R33/TrRoad_act!R40*100)</f>
        <v>35.919053725942689</v>
      </c>
      <c r="S70" s="130">
        <f>IF(S33=0,0,S33/TrRoad_act!S40*100)</f>
        <v>37.761751953380376</v>
      </c>
      <c r="T70" s="130">
        <f>IF(T33=0,0,T33/TrRoad_act!T40*100)</f>
        <v>43.694353777694623</v>
      </c>
      <c r="U70" s="130">
        <f>IF(U33=0,0,U33/TrRoad_act!U40*100)</f>
        <v>44.5706638976026</v>
      </c>
      <c r="V70" s="130">
        <f>IF(V33=0,0,V33/TrRoad_act!V40*100)</f>
        <v>40.110980116599912</v>
      </c>
      <c r="W70" s="130">
        <f>IF(W33=0,0,W33/TrRoad_act!W40*100)</f>
        <v>39.796322683694569</v>
      </c>
      <c r="X70" s="130">
        <f>IF(X33=0,0,X33/TrRoad_act!X40*100)</f>
        <v>48.058461561313237</v>
      </c>
      <c r="Y70" s="130">
        <f>IF(Y33=0,0,Y33/TrRoad_act!Y40*100)</f>
        <v>47.517813031007861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13.366360426336227</v>
      </c>
      <c r="M71" s="97">
        <f>IF(M34=0,0,M34/TrRoad_act!M41*100)</f>
        <v>13.366360426336223</v>
      </c>
      <c r="N71" s="97">
        <f>IF(N34=0,0,N34/TrRoad_act!N41*100)</f>
        <v>13.366360426336223</v>
      </c>
      <c r="O71" s="97">
        <f>IF(O34=0,0,O34/TrRoad_act!O41*100)</f>
        <v>13.366360426336227</v>
      </c>
      <c r="P71" s="97">
        <f>IF(P34=0,0,P34/TrRoad_act!P41*100)</f>
        <v>13.366360426336223</v>
      </c>
      <c r="Q71" s="97">
        <f>IF(Q34=0,0,Q34/TrRoad_act!Q41*100)</f>
        <v>13.366360426336227</v>
      </c>
      <c r="R71" s="97">
        <f>IF(R34=0,0,R34/TrRoad_act!R41*100)</f>
        <v>13.366360426336227</v>
      </c>
      <c r="S71" s="97">
        <f>IF(S34=0,0,S34/TrRoad_act!S41*100)</f>
        <v>13.366360426336223</v>
      </c>
      <c r="T71" s="97">
        <f>IF(T34=0,0,T34/TrRoad_act!T41*100)</f>
        <v>13.141805799941602</v>
      </c>
      <c r="U71" s="97">
        <f>IF(U34=0,0,U34/TrRoad_act!U41*100)</f>
        <v>12.766607206131585</v>
      </c>
      <c r="V71" s="97">
        <f>IF(V34=0,0,V34/TrRoad_act!V41*100)</f>
        <v>12.66769465661492</v>
      </c>
      <c r="W71" s="97">
        <f>IF(W34=0,0,W34/TrRoad_act!W41*100)</f>
        <v>12.46227938639489</v>
      </c>
      <c r="X71" s="97">
        <f>IF(X34=0,0,X34/TrRoad_act!X41*100)</f>
        <v>12.462279386394888</v>
      </c>
      <c r="Y71" s="97">
        <f>IF(Y34=0,0,Y34/TrRoad_act!Y41*100)</f>
        <v>12.243884028409369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37.558299589640129</v>
      </c>
      <c r="C72" s="97">
        <f>IF(C36=0,0,C36/TrRoad_act!C42*100)</f>
        <v>35.573870824784905</v>
      </c>
      <c r="D72" s="97">
        <f>IF(D36=0,0,D36/TrRoad_act!D42*100)</f>
        <v>13.965539341137193</v>
      </c>
      <c r="E72" s="97">
        <f>IF(E36=0,0,E36/TrRoad_act!E42*100)</f>
        <v>27.563737508184055</v>
      </c>
      <c r="F72" s="97">
        <f>IF(F36=0,0,F36/TrRoad_act!F42*100)</f>
        <v>38.344118887574297</v>
      </c>
      <c r="G72" s="97">
        <f>IF(G36=0,0,G36/TrRoad_act!G42*100)</f>
        <v>54.412909619442182</v>
      </c>
      <c r="H72" s="97">
        <f>IF(H36=0,0,H36/TrRoad_act!H42*100)</f>
        <v>57.092925690286158</v>
      </c>
      <c r="I72" s="97">
        <f>IF(I36=0,0,I36/TrRoad_act!I42*100)</f>
        <v>52.904205491181997</v>
      </c>
      <c r="J72" s="97">
        <f>IF(J36=0,0,J36/TrRoad_act!J42*100)</f>
        <v>50.856270673624081</v>
      </c>
      <c r="K72" s="97">
        <f>IF(K36=0,0,K36/TrRoad_act!K42*100)</f>
        <v>43.99423577077782</v>
      </c>
      <c r="L72" s="97">
        <f>IF(L36=0,0,L36/TrRoad_act!L42*100)</f>
        <v>43.139307548729178</v>
      </c>
      <c r="M72" s="97">
        <f>IF(M36=0,0,M36/TrRoad_act!M42*100)</f>
        <v>38.1832113959751</v>
      </c>
      <c r="N72" s="97">
        <f>IF(N36=0,0,N36/TrRoad_act!N42*100)</f>
        <v>37.069194814137177</v>
      </c>
      <c r="O72" s="97">
        <f>IF(O36=0,0,O36/TrRoad_act!O42*100)</f>
        <v>37.488190753320879</v>
      </c>
      <c r="P72" s="97">
        <f>IF(P36=0,0,P36/TrRoad_act!P42*100)</f>
        <v>36.763282063425635</v>
      </c>
      <c r="Q72" s="97">
        <f>IF(Q36=0,0,Q36/TrRoad_act!Q42*100)</f>
        <v>36.622442151798232</v>
      </c>
      <c r="R72" s="97">
        <f>IF(R36=0,0,R36/TrRoad_act!R42*100)</f>
        <v>35.972731727303575</v>
      </c>
      <c r="S72" s="97">
        <f>IF(S36=0,0,S36/TrRoad_act!S42*100)</f>
        <v>37.816579490818107</v>
      </c>
      <c r="T72" s="97">
        <f>IF(T36=0,0,T36/TrRoad_act!T42*100)</f>
        <v>43.804864328976841</v>
      </c>
      <c r="U72" s="97">
        <f>IF(U36=0,0,U36/TrRoad_act!U42*100)</f>
        <v>44.703509284749146</v>
      </c>
      <c r="V72" s="97">
        <f>IF(V36=0,0,V36/TrRoad_act!V42*100)</f>
        <v>40.205830348129396</v>
      </c>
      <c r="W72" s="97">
        <f>IF(W36=0,0,W36/TrRoad_act!W42*100)</f>
        <v>39.905844257204173</v>
      </c>
      <c r="X72" s="97">
        <f>IF(X36=0,0,X36/TrRoad_act!X42*100)</f>
        <v>48.236028025716926</v>
      </c>
      <c r="Y72" s="97">
        <f>IF(Y36=0,0,Y36/TrRoad_act!Y42*100)</f>
        <v>47.951159943135693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44.982677548316325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X74" s="97">
        <f>IF(X39=0,0,X39/TrRoad_act!X44*100)</f>
        <v>0</v>
      </c>
      <c r="Y74" s="97">
        <f>IF(Y39=0,0,Y39/TrRoad_act!Y44*100)</f>
        <v>0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0</v>
      </c>
      <c r="Q75" s="97">
        <f>IF(Q41=0,0,Q41/TrRoad_act!Q45*100)</f>
        <v>0</v>
      </c>
      <c r="R75" s="97">
        <f>IF(R41=0,0,R41/TrRoad_act!R45*100)</f>
        <v>0</v>
      </c>
      <c r="S75" s="97">
        <f>IF(S41=0,0,S41/TrRoad_act!S45*100)</f>
        <v>0</v>
      </c>
      <c r="T75" s="97">
        <f>IF(T41=0,0,T41/TrRoad_act!T45*100)</f>
        <v>33.902770910208943</v>
      </c>
      <c r="U75" s="97">
        <f>IF(U41=0,0,U41/TrRoad_act!U45*100)</f>
        <v>33.883299384552636</v>
      </c>
      <c r="V75" s="97">
        <f>IF(V41=0,0,V41/TrRoad_act!V45*100)</f>
        <v>33.848884112171909</v>
      </c>
      <c r="W75" s="97">
        <f>IF(W41=0,0,W41/TrRoad_act!W45*100)</f>
        <v>33.431396001568054</v>
      </c>
      <c r="X75" s="97">
        <f>IF(X41=0,0,X41/TrRoad_act!X45*100)</f>
        <v>33.249058741893897</v>
      </c>
      <c r="Y75" s="97">
        <f>IF(Y41=0,0,Y41/TrRoad_act!Y45*100)</f>
        <v>32.232043604477873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10.550020256716691</v>
      </c>
      <c r="C76" s="32">
        <f>IF(C42=0,0,C42/TrRoad_act!C46*100)</f>
        <v>9.811676462994761</v>
      </c>
      <c r="D76" s="32">
        <f>IF(D42=0,0,D42/TrRoad_act!D46*100)</f>
        <v>3.1643119946977465</v>
      </c>
      <c r="E76" s="32">
        <f>IF(E42=0,0,E42/TrRoad_act!E46*100)</f>
        <v>6.9997773739557037</v>
      </c>
      <c r="F76" s="32">
        <f>IF(F42=0,0,F42/TrRoad_act!F46*100)</f>
        <v>10.628161168642176</v>
      </c>
      <c r="G76" s="32">
        <f>IF(G42=0,0,G42/TrRoad_act!G46*100)</f>
        <v>12.859289058060815</v>
      </c>
      <c r="H76" s="32">
        <f>IF(H42=0,0,H42/TrRoad_act!H46*100)</f>
        <v>12.965314085753599</v>
      </c>
      <c r="I76" s="32">
        <f>IF(I42=0,0,I42/TrRoad_act!I46*100)</f>
        <v>12.084890175174188</v>
      </c>
      <c r="J76" s="32">
        <f>IF(J42=0,0,J42/TrRoad_act!J46*100)</f>
        <v>11.520014205564541</v>
      </c>
      <c r="K76" s="32">
        <f>IF(K42=0,0,K42/TrRoad_act!K46*100)</f>
        <v>10.193004155719118</v>
      </c>
      <c r="L76" s="32">
        <f>IF(L42=0,0,L42/TrRoad_act!L46*100)</f>
        <v>9.665195644785685</v>
      </c>
      <c r="M76" s="32">
        <f>IF(M42=0,0,M42/TrRoad_act!M46*100)</f>
        <v>8.7909799398405255</v>
      </c>
      <c r="N76" s="32">
        <f>IF(N42=0,0,N42/TrRoad_act!N46*100)</f>
        <v>8.3521204170712515</v>
      </c>
      <c r="O76" s="32">
        <f>IF(O42=0,0,O42/TrRoad_act!O46*100)</f>
        <v>8.4190299910591655</v>
      </c>
      <c r="P76" s="32">
        <f>IF(P42=0,0,P42/TrRoad_act!P46*100)</f>
        <v>8.0320165636386065</v>
      </c>
      <c r="Q76" s="32">
        <f>IF(Q42=0,0,Q42/TrRoad_act!Q46*100)</f>
        <v>7.8736662330902689</v>
      </c>
      <c r="R76" s="32">
        <f>IF(R42=0,0,R42/TrRoad_act!R46*100)</f>
        <v>7.8418472486965447</v>
      </c>
      <c r="S76" s="32">
        <f>IF(S42=0,0,S42/TrRoad_act!S46*100)</f>
        <v>8.1519007066329454</v>
      </c>
      <c r="T76" s="32">
        <f>IF(T42=0,0,T42/TrRoad_act!T46*100)</f>
        <v>9.3379965161122076</v>
      </c>
      <c r="U76" s="32">
        <f>IF(U42=0,0,U42/TrRoad_act!U46*100)</f>
        <v>9.623814102590071</v>
      </c>
      <c r="V76" s="32">
        <f>IF(V42=0,0,V42/TrRoad_act!V46*100)</f>
        <v>9.0151940258970615</v>
      </c>
      <c r="W76" s="32">
        <f>IF(W42=0,0,W42/TrRoad_act!W46*100)</f>
        <v>9.1944882945688402</v>
      </c>
      <c r="X76" s="32">
        <f>IF(X42=0,0,X42/TrRoad_act!X46*100)</f>
        <v>11.388722181744013</v>
      </c>
      <c r="Y76" s="32">
        <f>IF(Y42=0,0,Y42/TrRoad_act!Y46*100)</f>
        <v>11.583307777325659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6.281719277809918</v>
      </c>
      <c r="C77" s="141">
        <f>IF(C43=0,0,C43/TrRoad_act!C47*100)</f>
        <v>5.8918775280599762</v>
      </c>
      <c r="D77" s="141">
        <f>IF(D43=0,0,D43/TrRoad_act!D47*100)</f>
        <v>2.4585595787293584</v>
      </c>
      <c r="E77" s="141">
        <f>IF(E43=0,0,E43/TrRoad_act!E47*100)</f>
        <v>4.4541347643621068</v>
      </c>
      <c r="F77" s="141">
        <f>IF(F43=0,0,F43/TrRoad_act!F47*100)</f>
        <v>5.9682459409966935</v>
      </c>
      <c r="G77" s="141">
        <f>IF(G43=0,0,G43/TrRoad_act!G47*100)</f>
        <v>8.2152725131746287</v>
      </c>
      <c r="H77" s="141">
        <f>IF(H43=0,0,H43/TrRoad_act!H47*100)</f>
        <v>8.3907361460533298</v>
      </c>
      <c r="I77" s="141">
        <f>IF(I43=0,0,I43/TrRoad_act!I47*100)</f>
        <v>7.6219631968897223</v>
      </c>
      <c r="J77" s="141">
        <f>IF(J43=0,0,J43/TrRoad_act!J47*100)</f>
        <v>7.2061891224884436</v>
      </c>
      <c r="K77" s="141">
        <f>IF(K43=0,0,K43/TrRoad_act!K47*100)</f>
        <v>6.3739168964641033</v>
      </c>
      <c r="L77" s="141">
        <f>IF(L43=0,0,L43/TrRoad_act!L47*100)</f>
        <v>6.2486125728578594</v>
      </c>
      <c r="M77" s="141">
        <f>IF(M43=0,0,M43/TrRoad_act!M47*100)</f>
        <v>5.7650260182577755</v>
      </c>
      <c r="N77" s="141">
        <f>IF(N43=0,0,N43/TrRoad_act!N47*100)</f>
        <v>5.5250581005730721</v>
      </c>
      <c r="O77" s="141">
        <f>IF(O43=0,0,O43/TrRoad_act!O47*100)</f>
        <v>5.5520371848505512</v>
      </c>
      <c r="P77" s="141">
        <f>IF(P43=0,0,P43/TrRoad_act!P47*100)</f>
        <v>5.375545318696398</v>
      </c>
      <c r="Q77" s="141">
        <f>IF(Q43=0,0,Q43/TrRoad_act!Q47*100)</f>
        <v>5.3248277041510521</v>
      </c>
      <c r="R77" s="141">
        <f>IF(R43=0,0,R43/TrRoad_act!R47*100)</f>
        <v>5.2069858382430132</v>
      </c>
      <c r="S77" s="141">
        <f>IF(S43=0,0,S43/TrRoad_act!S47*100)</f>
        <v>5.4378676261563177</v>
      </c>
      <c r="T77" s="141">
        <f>IF(T43=0,0,T43/TrRoad_act!T47*100)</f>
        <v>6.2485835035923909</v>
      </c>
      <c r="U77" s="141">
        <f>IF(U43=0,0,U43/TrRoad_act!U47*100)</f>
        <v>6.4152397661912008</v>
      </c>
      <c r="V77" s="141">
        <f>IF(V43=0,0,V43/TrRoad_act!V47*100)</f>
        <v>5.9301221026173963</v>
      </c>
      <c r="W77" s="141">
        <f>IF(W43=0,0,W43/TrRoad_act!W47*100)</f>
        <v>5.961272645597675</v>
      </c>
      <c r="X77" s="141">
        <f>IF(X43=0,0,X43/TrRoad_act!X47*100)</f>
        <v>7.2301188263817577</v>
      </c>
      <c r="Y77" s="141">
        <f>IF(Y43=0,0,Y43/TrRoad_act!Y47*100)</f>
        <v>7.2590718201845466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7.7486212571605844</v>
      </c>
      <c r="C78" s="96">
        <f>IF(C44=0,0,C44/TrRoad_act!C48*100)</f>
        <v>7.5266260892642354</v>
      </c>
      <c r="D78" s="96">
        <f>IF(D44=0,0,D44/TrRoad_act!D48*100)</f>
        <v>7.676571976825536</v>
      </c>
      <c r="E78" s="96">
        <f>IF(E44=0,0,E44/TrRoad_act!E48*100)</f>
        <v>7.391134605053602</v>
      </c>
      <c r="F78" s="96">
        <f>IF(F44=0,0,F44/TrRoad_act!F48*100)</f>
        <v>7.0596251297906072</v>
      </c>
      <c r="G78" s="96">
        <f>IF(G44=0,0,G44/TrRoad_act!G48*100)</f>
        <v>6.97953851219168</v>
      </c>
      <c r="H78" s="96">
        <f>IF(H44=0,0,H44/TrRoad_act!H48*100)</f>
        <v>6.8839143560701377</v>
      </c>
      <c r="I78" s="96">
        <f>IF(I44=0,0,I44/TrRoad_act!I48*100)</f>
        <v>6.99716303061121</v>
      </c>
      <c r="J78" s="96">
        <f>IF(J44=0,0,J44/TrRoad_act!J48*100)</f>
        <v>7.1855187126234146</v>
      </c>
      <c r="K78" s="96">
        <f>IF(K44=0,0,K44/TrRoad_act!K48*100)</f>
        <v>6.7812892467922925</v>
      </c>
      <c r="L78" s="96">
        <f>IF(L44=0,0,L44/TrRoad_act!L48*100)</f>
        <v>7.0982358433011763</v>
      </c>
      <c r="M78" s="96">
        <f>IF(M44=0,0,M44/TrRoad_act!M48*100)</f>
        <v>7.1200825724243559</v>
      </c>
      <c r="N78" s="96">
        <f>IF(N44=0,0,N44/TrRoad_act!N48*100)</f>
        <v>7.110464086504428</v>
      </c>
      <c r="O78" s="96">
        <f>IF(O44=0,0,O44/TrRoad_act!O48*100)</f>
        <v>7.029905190503964</v>
      </c>
      <c r="P78" s="96">
        <f>IF(P44=0,0,P44/TrRoad_act!P48*100)</f>
        <v>6.8672952350573304</v>
      </c>
      <c r="Q78" s="96">
        <f>IF(Q44=0,0,Q44/TrRoad_act!Q48*100)</f>
        <v>6.8524781904043017</v>
      </c>
      <c r="R78" s="96">
        <f>IF(R44=0,0,R44/TrRoad_act!R48*100)</f>
        <v>6.7558021216287027</v>
      </c>
      <c r="S78" s="96">
        <f>IF(S44=0,0,S44/TrRoad_act!S48*100)</f>
        <v>6.6975096870283233</v>
      </c>
      <c r="T78" s="96">
        <f>IF(T44=0,0,T44/TrRoad_act!T48*100)</f>
        <v>6.8129025447003446</v>
      </c>
      <c r="U78" s="96">
        <f>IF(U44=0,0,U44/TrRoad_act!U48*100)</f>
        <v>6.8732755058699091</v>
      </c>
      <c r="V78" s="96">
        <f>IF(V44=0,0,V44/TrRoad_act!V48*100)</f>
        <v>6.6805492923368011</v>
      </c>
      <c r="W78" s="96">
        <f>IF(W44=0,0,W44/TrRoad_act!W48*100)</f>
        <v>6.8232351545853405</v>
      </c>
      <c r="X78" s="96">
        <f>IF(X44=0,0,X44/TrRoad_act!X48*100)</f>
        <v>7.0712164562591093</v>
      </c>
      <c r="Y78" s="96">
        <f>IF(Y44=0,0,Y44/TrRoad_act!Y48*100)</f>
        <v>7.2592435037111738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6.2319812536102495</v>
      </c>
      <c r="C79" s="96">
        <f>IF(C46=0,0,C46/TrRoad_act!C49*100)</f>
        <v>5.8246512326920161</v>
      </c>
      <c r="D79" s="96">
        <f>IF(D46=0,0,D46/TrRoad_act!D49*100)</f>
        <v>2.2489477776405096</v>
      </c>
      <c r="E79" s="96">
        <f>IF(E46=0,0,E46/TrRoad_act!E49*100)</f>
        <v>4.3408044682464926</v>
      </c>
      <c r="F79" s="96">
        <f>IF(F46=0,0,F46/TrRoad_act!F49*100)</f>
        <v>5.9267631567701038</v>
      </c>
      <c r="G79" s="96">
        <f>IF(G46=0,0,G46/TrRoad_act!G49*100)</f>
        <v>8.2625316914257603</v>
      </c>
      <c r="H79" s="96">
        <f>IF(H46=0,0,H46/TrRoad_act!H49*100)</f>
        <v>8.4456266018765191</v>
      </c>
      <c r="I79" s="96">
        <f>IF(I46=0,0,I46/TrRoad_act!I49*100)</f>
        <v>7.6424547525599547</v>
      </c>
      <c r="J79" s="96">
        <f>IF(J46=0,0,J46/TrRoad_act!J49*100)</f>
        <v>7.2073471871416563</v>
      </c>
      <c r="K79" s="96">
        <f>IF(K46=0,0,K46/TrRoad_act!K49*100)</f>
        <v>6.3630292877974277</v>
      </c>
      <c r="L79" s="96">
        <f>IF(L46=0,0,L46/TrRoad_act!L49*100)</f>
        <v>6.2227444343414531</v>
      </c>
      <c r="M79" s="96">
        <f>IF(M46=0,0,M46/TrRoad_act!M49*100)</f>
        <v>5.7281310435177977</v>
      </c>
      <c r="N79" s="96">
        <f>IF(N46=0,0,N46/TrRoad_act!N49*100)</f>
        <v>5.4833220572663803</v>
      </c>
      <c r="O79" s="96">
        <f>IF(O46=0,0,O46/TrRoad_act!O49*100)</f>
        <v>5.5150244414273102</v>
      </c>
      <c r="P79" s="96">
        <f>IF(P46=0,0,P46/TrRoad_act!P49*100)</f>
        <v>5.3389292720902795</v>
      </c>
      <c r="Q79" s="96">
        <f>IF(Q46=0,0,Q46/TrRoad_act!Q49*100)</f>
        <v>5.2899510115372914</v>
      </c>
      <c r="R79" s="96">
        <f>IF(R46=0,0,R46/TrRoad_act!R49*100)</f>
        <v>5.1735484503685427</v>
      </c>
      <c r="S79" s="96">
        <f>IF(S46=0,0,S46/TrRoad_act!S49*100)</f>
        <v>5.4136529302699907</v>
      </c>
      <c r="T79" s="96">
        <f>IF(T46=0,0,T46/TrRoad_act!T49*100)</f>
        <v>6.2412652186421713</v>
      </c>
      <c r="U79" s="96">
        <f>IF(U46=0,0,U46/TrRoad_act!U49*100)</f>
        <v>6.4176714117236102</v>
      </c>
      <c r="V79" s="96">
        <f>IF(V46=0,0,V46/TrRoad_act!V49*100)</f>
        <v>5.9259058162286946</v>
      </c>
      <c r="W79" s="96">
        <f>IF(W46=0,0,W46/TrRoad_act!W49*100)</f>
        <v>5.9539546741546818</v>
      </c>
      <c r="X79" s="96">
        <f>IF(X46=0,0,X46/TrRoad_act!X49*100)</f>
        <v>7.2515104050413752</v>
      </c>
      <c r="Y79" s="96">
        <f>IF(Y46=0,0,Y46/TrRoad_act!Y49*100)</f>
        <v>7.2851467587117984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8.8130544185388136</v>
      </c>
      <c r="T80" s="96">
        <f>IF(T48=0,0,T48/TrRoad_act!T50*100)</f>
        <v>8.8130544185388136</v>
      </c>
      <c r="U80" s="96">
        <f>IF(U48=0,0,U48/TrRoad_act!U50*100)</f>
        <v>8.2752744587149234</v>
      </c>
      <c r="V80" s="96">
        <f>IF(V48=0,0,V48/TrRoad_act!V50*100)</f>
        <v>8.2752744587149252</v>
      </c>
      <c r="W80" s="96">
        <f>IF(W48=0,0,W48/TrRoad_act!W50*100)</f>
        <v>8.2752744587149216</v>
      </c>
      <c r="X80" s="96">
        <f>IF(X48=0,0,X48/TrRoad_act!X50*100)</f>
        <v>8.2752744587149234</v>
      </c>
      <c r="Y80" s="96">
        <f>IF(Y48=0,0,Y48/TrRoad_act!Y50*100)</f>
        <v>8.6759954842536668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X81" s="96">
        <f>IF(X49=0,0,X49/TrRoad_act!X51*100)</f>
        <v>0</v>
      </c>
      <c r="Y81" s="96">
        <f>IF(Y49=0,0,Y49/TrRoad_act!Y51*100)</f>
        <v>0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1.5163101021741605</v>
      </c>
      <c r="K82" s="96">
        <f>IF(K51=0,0,K51/TrRoad_act!K52*100)</f>
        <v>1.5163101021741605</v>
      </c>
      <c r="L82" s="96">
        <f>IF(L51=0,0,L51/TrRoad_act!L52*100)</f>
        <v>1.5193829908863346</v>
      </c>
      <c r="M82" s="96">
        <f>IF(M51=0,0,M51/TrRoad_act!M52*100)</f>
        <v>1.5226289875981378</v>
      </c>
      <c r="N82" s="96">
        <f>IF(N51=0,0,N51/TrRoad_act!N52*100)</f>
        <v>1.5226289875981376</v>
      </c>
      <c r="O82" s="96">
        <f>IF(O51=0,0,O51/TrRoad_act!O52*100)</f>
        <v>1.5471871673819946</v>
      </c>
      <c r="P82" s="96">
        <f>IF(P51=0,0,P51/TrRoad_act!P52*100)</f>
        <v>1.5516880107286892</v>
      </c>
      <c r="Q82" s="96">
        <f>IF(Q51=0,0,Q51/TrRoad_act!Q52*100)</f>
        <v>1.5698005239138022</v>
      </c>
      <c r="R82" s="96">
        <f>IF(R51=0,0,R51/TrRoad_act!R52*100)</f>
        <v>1.6109818040800319</v>
      </c>
      <c r="S82" s="96">
        <f>IF(S51=0,0,S51/TrRoad_act!S52*100)</f>
        <v>1.6880849257048507</v>
      </c>
      <c r="T82" s="96">
        <f>IF(T51=0,0,T51/TrRoad_act!T52*100)</f>
        <v>1.7065166538718142</v>
      </c>
      <c r="U82" s="96">
        <f>IF(U51=0,0,U51/TrRoad_act!U52*100)</f>
        <v>2.2276596926547199</v>
      </c>
      <c r="V82" s="96">
        <f>IF(V51=0,0,V51/TrRoad_act!V52*100)</f>
        <v>2.2494951041318183</v>
      </c>
      <c r="W82" s="96">
        <f>IF(W51=0,0,W51/TrRoad_act!W52*100)</f>
        <v>2.4764427471612773</v>
      </c>
      <c r="X82" s="96">
        <f>IF(X51=0,0,X51/TrRoad_act!X52*100)</f>
        <v>2.5391927068165132</v>
      </c>
      <c r="Y82" s="96">
        <f>IF(Y51=0,0,Y51/TrRoad_act!Y52*100)</f>
        <v>2.6000864306842639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14.207619518775457</v>
      </c>
      <c r="C83" s="130">
        <f>IF(C52=0,0,C52/TrRoad_act!C53*100)</f>
        <v>13.426301574695954</v>
      </c>
      <c r="D83" s="130">
        <f>IF(D52=0,0,D52/TrRoad_act!D53*100)</f>
        <v>5.2662237934475913</v>
      </c>
      <c r="E83" s="130">
        <f>IF(E52=0,0,E52/TrRoad_act!E53*100)</f>
        <v>10.378019988937764</v>
      </c>
      <c r="F83" s="130">
        <f>IF(F52=0,0,F52/TrRoad_act!F53*100)</f>
        <v>14.401375540995973</v>
      </c>
      <c r="G83" s="130">
        <f>IF(G52=0,0,G52/TrRoad_act!G53*100)</f>
        <v>20.412825825882255</v>
      </c>
      <c r="H83" s="130">
        <f>IF(H52=0,0,H52/TrRoad_act!H53*100)</f>
        <v>21.393311989696766</v>
      </c>
      <c r="I83" s="130">
        <f>IF(I52=0,0,I52/TrRoad_act!I53*100)</f>
        <v>19.842079728251054</v>
      </c>
      <c r="J83" s="130">
        <f>IF(J52=0,0,J52/TrRoad_act!J53*100)</f>
        <v>19.11095354511394</v>
      </c>
      <c r="K83" s="130">
        <f>IF(K52=0,0,K52/TrRoad_act!K53*100)</f>
        <v>17.167970071910172</v>
      </c>
      <c r="L83" s="130">
        <f>IF(L52=0,0,L52/TrRoad_act!L53*100)</f>
        <v>17.158677631641183</v>
      </c>
      <c r="M83" s="130">
        <f>IF(M52=0,0,M52/TrRoad_act!M53*100)</f>
        <v>16.152221111378918</v>
      </c>
      <c r="N83" s="130">
        <f>IF(N52=0,0,N52/TrRoad_act!N53*100)</f>
        <v>15.829011151446041</v>
      </c>
      <c r="O83" s="130">
        <f>IF(O52=0,0,O52/TrRoad_act!O53*100)</f>
        <v>16.131855313782744</v>
      </c>
      <c r="P83" s="130">
        <f>IF(P52=0,0,P52/TrRoad_act!P53*100)</f>
        <v>15.976418749013858</v>
      </c>
      <c r="Q83" s="130">
        <f>IF(Q52=0,0,Q52/TrRoad_act!Q53*100)</f>
        <v>16.17944875773814</v>
      </c>
      <c r="R83" s="130">
        <f>IF(R52=0,0,R52/TrRoad_act!R53*100)</f>
        <v>16.138176564831884</v>
      </c>
      <c r="S83" s="130">
        <f>IF(S52=0,0,S52/TrRoad_act!S53*100)</f>
        <v>17.181076174908632</v>
      </c>
      <c r="T83" s="130">
        <f>IF(T52=0,0,T52/TrRoad_act!T53*100)</f>
        <v>20.143628807169172</v>
      </c>
      <c r="U83" s="130">
        <f>IF(U52=0,0,U52/TrRoad_act!U53*100)</f>
        <v>21.039284882239649</v>
      </c>
      <c r="V83" s="130">
        <f>IF(V52=0,0,V52/TrRoad_act!V53*100)</f>
        <v>19.61151777103035</v>
      </c>
      <c r="W83" s="130">
        <f>IF(W52=0,0,W52/TrRoad_act!W53*100)</f>
        <v>19.921238249331008</v>
      </c>
      <c r="X83" s="130">
        <f>IF(X52=0,0,X52/TrRoad_act!X53*100)</f>
        <v>24.74683924718191</v>
      </c>
      <c r="Y83" s="130">
        <f>IF(Y52=0,0,Y52/TrRoad_act!Y53*100)</f>
        <v>25.208461796394172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14.207619518775457</v>
      </c>
      <c r="C84" s="97">
        <f>IF(C53=0,0,C53/TrRoad_act!C54*100)</f>
        <v>13.426301574695954</v>
      </c>
      <c r="D84" s="97">
        <f>IF(D53=0,0,D53/TrRoad_act!D54*100)</f>
        <v>5.2662237934475913</v>
      </c>
      <c r="E84" s="97">
        <f>IF(E53=0,0,E53/TrRoad_act!E54*100)</f>
        <v>10.378019988937764</v>
      </c>
      <c r="F84" s="97">
        <f>IF(F53=0,0,F53/TrRoad_act!F54*100)</f>
        <v>14.401375540995973</v>
      </c>
      <c r="G84" s="97">
        <f>IF(G53=0,0,G53/TrRoad_act!G54*100)</f>
        <v>20.412825825882255</v>
      </c>
      <c r="H84" s="97">
        <f>IF(H53=0,0,H53/TrRoad_act!H54*100)</f>
        <v>21.393311989696766</v>
      </c>
      <c r="I84" s="97">
        <f>IF(I53=0,0,I53/TrRoad_act!I54*100)</f>
        <v>19.842079728251054</v>
      </c>
      <c r="J84" s="97">
        <f>IF(J53=0,0,J53/TrRoad_act!J54*100)</f>
        <v>19.11095354511394</v>
      </c>
      <c r="K84" s="97">
        <f>IF(K53=0,0,K53/TrRoad_act!K54*100)</f>
        <v>17.167970071910172</v>
      </c>
      <c r="L84" s="97">
        <f>IF(L53=0,0,L53/TrRoad_act!L54*100)</f>
        <v>17.158677631641183</v>
      </c>
      <c r="M84" s="97">
        <f>IF(M53=0,0,M53/TrRoad_act!M54*100)</f>
        <v>16.152221111378918</v>
      </c>
      <c r="N84" s="97">
        <f>IF(N53=0,0,N53/TrRoad_act!N54*100)</f>
        <v>15.829011151446041</v>
      </c>
      <c r="O84" s="97">
        <f>IF(O53=0,0,O53/TrRoad_act!O54*100)</f>
        <v>16.131855313782744</v>
      </c>
      <c r="P84" s="97">
        <f>IF(P53=0,0,P53/TrRoad_act!P54*100)</f>
        <v>15.976418749013858</v>
      </c>
      <c r="Q84" s="97">
        <f>IF(Q53=0,0,Q53/TrRoad_act!Q54*100)</f>
        <v>16.17944875773814</v>
      </c>
      <c r="R84" s="97">
        <f>IF(R53=0,0,R53/TrRoad_act!R54*100)</f>
        <v>16.138176564831884</v>
      </c>
      <c r="S84" s="97">
        <f>IF(S53=0,0,S53/TrRoad_act!S54*100)</f>
        <v>17.181076174908632</v>
      </c>
      <c r="T84" s="97">
        <f>IF(T53=0,0,T53/TrRoad_act!T54*100)</f>
        <v>20.143628807169172</v>
      </c>
      <c r="U84" s="97">
        <f>IF(U53=0,0,U53/TrRoad_act!U54*100)</f>
        <v>21.039284882239649</v>
      </c>
      <c r="V84" s="97">
        <f>IF(V53=0,0,V53/TrRoad_act!V54*100)</f>
        <v>19.61151777103035</v>
      </c>
      <c r="W84" s="97">
        <f>IF(W53=0,0,W53/TrRoad_act!W54*100)</f>
        <v>19.921238249331008</v>
      </c>
      <c r="X84" s="97">
        <f>IF(X53=0,0,X53/TrRoad_act!X54*100)</f>
        <v>24.74683924718191</v>
      </c>
      <c r="Y84" s="97">
        <f>IF(Y53=0,0,Y53/TrRoad_act!Y54*100)</f>
        <v>25.208461796394172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0</v>
      </c>
      <c r="C85" s="98">
        <f>IF(C55=0,0,C55/TrRoad_act!C55*100)</f>
        <v>0</v>
      </c>
      <c r="D85" s="98">
        <f>IF(D55=0,0,D55/TrRoad_act!D55*100)</f>
        <v>0</v>
      </c>
      <c r="E85" s="98">
        <f>IF(E55=0,0,E55/TrRoad_act!E55*100)</f>
        <v>0</v>
      </c>
      <c r="F85" s="98">
        <f>IF(F55=0,0,F55/TrRoad_act!F55*100)</f>
        <v>0</v>
      </c>
      <c r="G85" s="98">
        <f>IF(G55=0,0,G55/TrRoad_act!G55*100)</f>
        <v>0</v>
      </c>
      <c r="H85" s="98">
        <f>IF(H55=0,0,H55/TrRoad_act!H55*100)</f>
        <v>0</v>
      </c>
      <c r="I85" s="98">
        <f>IF(I55=0,0,I55/TrRoad_act!I55*100)</f>
        <v>0</v>
      </c>
      <c r="J85" s="98">
        <f>IF(J55=0,0,J55/TrRoad_act!J55*100)</f>
        <v>0</v>
      </c>
      <c r="K85" s="98">
        <f>IF(K55=0,0,K55/TrRoad_act!K55*100)</f>
        <v>0</v>
      </c>
      <c r="L85" s="98">
        <f>IF(L55=0,0,L55/TrRoad_act!L55*100)</f>
        <v>0</v>
      </c>
      <c r="M85" s="98">
        <f>IF(M55=0,0,M55/TrRoad_act!M55*100)</f>
        <v>0</v>
      </c>
      <c r="N85" s="98">
        <f>IF(N55=0,0,N55/TrRoad_act!N55*100)</f>
        <v>0</v>
      </c>
      <c r="O85" s="98">
        <f>IF(O55=0,0,O55/TrRoad_act!O55*100)</f>
        <v>0</v>
      </c>
      <c r="P85" s="98">
        <f>IF(P55=0,0,P55/TrRoad_act!P55*100)</f>
        <v>0</v>
      </c>
      <c r="Q85" s="98">
        <f>IF(Q55=0,0,Q55/TrRoad_act!Q55*100)</f>
        <v>0</v>
      </c>
      <c r="R85" s="98">
        <f>IF(R55=0,0,R55/TrRoad_act!R55*100)</f>
        <v>0</v>
      </c>
      <c r="S85" s="98">
        <f>IF(S55=0,0,S55/TrRoad_act!S55*100)</f>
        <v>0</v>
      </c>
      <c r="T85" s="98">
        <f>IF(T55=0,0,T55/TrRoad_act!T55*100)</f>
        <v>0</v>
      </c>
      <c r="U85" s="98">
        <f>IF(U55=0,0,U55/TrRoad_act!U55*100)</f>
        <v>0</v>
      </c>
      <c r="V85" s="98">
        <f>IF(V55=0,0,V55/TrRoad_act!V55*100)</f>
        <v>0</v>
      </c>
      <c r="W85" s="98">
        <f>IF(W55=0,0,W55/TrRoad_act!W55*100)</f>
        <v>0</v>
      </c>
      <c r="X85" s="98">
        <f>IF(X55=0,0,X55/TrRoad_act!X55*100)</f>
        <v>0</v>
      </c>
      <c r="Y85" s="98">
        <f>IF(Y55=0,0,Y55/TrRoad_act!Y55*100)</f>
        <v>0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41.115532318591491</v>
      </c>
      <c r="C88" s="29">
        <f>IF(TrRoad_act!C4=0,0,C18/TrRoad_act!C4*1000)</f>
        <v>39.038954558780034</v>
      </c>
      <c r="D88" s="29">
        <f>IF(TrRoad_act!D4=0,0,D18/TrRoad_act!D4*1000)</f>
        <v>36.684056268341827</v>
      </c>
      <c r="E88" s="29">
        <f>IF(TrRoad_act!E4=0,0,E18/TrRoad_act!E4*1000)</f>
        <v>37.194158300007736</v>
      </c>
      <c r="F88" s="29">
        <f>IF(TrRoad_act!F4=0,0,F18/TrRoad_act!F4*1000)</f>
        <v>34.239983069909499</v>
      </c>
      <c r="G88" s="29">
        <f>IF(TrRoad_act!G4=0,0,G18/TrRoad_act!G4*1000)</f>
        <v>40.065915035698765</v>
      </c>
      <c r="H88" s="29">
        <f>IF(TrRoad_act!H4=0,0,H18/TrRoad_act!H4*1000)</f>
        <v>40.326330268312262</v>
      </c>
      <c r="I88" s="29">
        <f>IF(TrRoad_act!I4=0,0,I18/TrRoad_act!I4*1000)</f>
        <v>40.063295103638083</v>
      </c>
      <c r="J88" s="29">
        <f>IF(TrRoad_act!J4=0,0,J18/TrRoad_act!J4*1000)</f>
        <v>45.293685789207082</v>
      </c>
      <c r="K88" s="29">
        <f>IF(TrRoad_act!K4=0,0,K18/TrRoad_act!K4*1000)</f>
        <v>39.241248540565564</v>
      </c>
      <c r="L88" s="29">
        <f>IF(TrRoad_act!L4=0,0,L18/TrRoad_act!L4*1000)</f>
        <v>45.198264762185836</v>
      </c>
      <c r="M88" s="29">
        <f>IF(TrRoad_act!M4=0,0,M18/TrRoad_act!M4*1000)</f>
        <v>45.682852005244733</v>
      </c>
      <c r="N88" s="29">
        <f>IF(TrRoad_act!N4=0,0,N18/TrRoad_act!N4*1000)</f>
        <v>46.571199589734647</v>
      </c>
      <c r="O88" s="29">
        <f>IF(TrRoad_act!O4=0,0,O18/TrRoad_act!O4*1000)</f>
        <v>47.422154193204506</v>
      </c>
      <c r="P88" s="29">
        <f>IF(TrRoad_act!P4=0,0,P18/TrRoad_act!P4*1000)</f>
        <v>47.042698423585662</v>
      </c>
      <c r="Q88" s="29">
        <f>IF(TrRoad_act!Q4=0,0,Q18/TrRoad_act!Q4*1000)</f>
        <v>48.14775413664232</v>
      </c>
      <c r="R88" s="29">
        <f>IF(TrRoad_act!R4=0,0,R18/TrRoad_act!R4*1000)</f>
        <v>47.066314829288238</v>
      </c>
      <c r="S88" s="29">
        <f>IF(TrRoad_act!S4=0,0,S18/TrRoad_act!S4*1000)</f>
        <v>47.605013988537479</v>
      </c>
      <c r="T88" s="29">
        <f>IF(TrRoad_act!T4=0,0,T18/TrRoad_act!T4*1000)</f>
        <v>51.980205594531768</v>
      </c>
      <c r="U88" s="29">
        <f>IF(TrRoad_act!U4=0,0,U18/TrRoad_act!U4*1000)</f>
        <v>52.537085317338551</v>
      </c>
      <c r="V88" s="29">
        <f>IF(TrRoad_act!V4=0,0,V18/TrRoad_act!V4*1000)</f>
        <v>50.622541004081604</v>
      </c>
      <c r="W88" s="29">
        <f>IF(TrRoad_act!W4=0,0,W18/TrRoad_act!W4*1000)</f>
        <v>49.46961378615417</v>
      </c>
      <c r="X88" s="29">
        <f>IF(TrRoad_act!X4=0,0,X18/TrRoad_act!X4*1000)</f>
        <v>54.597120251111193</v>
      </c>
      <c r="Y88" s="29">
        <f>IF(TrRoad_act!Y4=0,0,Y18/TrRoad_act!Y4*1000)</f>
        <v>53.768167284851671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35.863629377430975</v>
      </c>
      <c r="C89" s="152">
        <f>IF(TrRoad_act!C5=0,0,C19/TrRoad_act!C5*1000)</f>
        <v>35.723074502371503</v>
      </c>
      <c r="D89" s="152">
        <f>IF(TrRoad_act!D5=0,0,D19/TrRoad_act!D5*1000)</f>
        <v>35.587562494191211</v>
      </c>
      <c r="E89" s="152">
        <f>IF(TrRoad_act!E5=0,0,E19/TrRoad_act!E5*1000)</f>
        <v>35.437735119360539</v>
      </c>
      <c r="F89" s="152">
        <f>IF(TrRoad_act!F5=0,0,F19/TrRoad_act!F5*1000)</f>
        <v>35.302377231443785</v>
      </c>
      <c r="G89" s="152">
        <f>IF(TrRoad_act!G5=0,0,G19/TrRoad_act!G5*1000)</f>
        <v>35.171580880065662</v>
      </c>
      <c r="H89" s="152">
        <f>IF(TrRoad_act!H5=0,0,H19/TrRoad_act!H5*1000)</f>
        <v>34.961175508547754</v>
      </c>
      <c r="I89" s="152">
        <f>IF(TrRoad_act!I5=0,0,I19/TrRoad_act!I5*1000)</f>
        <v>34.674254029390227</v>
      </c>
      <c r="J89" s="152">
        <f>IF(TrRoad_act!J5=0,0,J19/TrRoad_act!J5*1000)</f>
        <v>34.1270084973916</v>
      </c>
      <c r="K89" s="152">
        <f>IF(TrRoad_act!K5=0,0,K19/TrRoad_act!K5*1000)</f>
        <v>33.625860311612286</v>
      </c>
      <c r="L89" s="152">
        <f>IF(TrRoad_act!L5=0,0,L19/TrRoad_act!L5*1000)</f>
        <v>33.093272883247721</v>
      </c>
      <c r="M89" s="152">
        <f>IF(TrRoad_act!M5=0,0,M19/TrRoad_act!M5*1000)</f>
        <v>32.604981632819118</v>
      </c>
      <c r="N89" s="152">
        <f>IF(TrRoad_act!N5=0,0,N19/TrRoad_act!N5*1000)</f>
        <v>32.14778151119679</v>
      </c>
      <c r="O89" s="152">
        <f>IF(TrRoad_act!O5=0,0,O19/TrRoad_act!O5*1000)</f>
        <v>31.613749555061951</v>
      </c>
      <c r="P89" s="152">
        <f>IF(TrRoad_act!P5=0,0,P19/TrRoad_act!P5*1000)</f>
        <v>31.049150326426105</v>
      </c>
      <c r="Q89" s="152">
        <f>IF(TrRoad_act!Q5=0,0,Q19/TrRoad_act!Q5*1000)</f>
        <v>30.362589943768427</v>
      </c>
      <c r="R89" s="152">
        <f>IF(TrRoad_act!R5=0,0,R19/TrRoad_act!R5*1000)</f>
        <v>29.629310893117268</v>
      </c>
      <c r="S89" s="152">
        <f>IF(TrRoad_act!S5=0,0,S19/TrRoad_act!S5*1000)</f>
        <v>29.087073284035029</v>
      </c>
      <c r="T89" s="152">
        <f>IF(TrRoad_act!T5=0,0,T19/TrRoad_act!T5*1000)</f>
        <v>29.311492630710013</v>
      </c>
      <c r="U89" s="152">
        <f>IF(TrRoad_act!U5=0,0,U19/TrRoad_act!U5*1000)</f>
        <v>29.943584577787266</v>
      </c>
      <c r="V89" s="152">
        <f>IF(TrRoad_act!V5=0,0,V19/TrRoad_act!V5*1000)</f>
        <v>29.740944817487708</v>
      </c>
      <c r="W89" s="152">
        <f>IF(TrRoad_act!W5=0,0,W19/TrRoad_act!W5*1000)</f>
        <v>29.539421903125614</v>
      </c>
      <c r="X89" s="152">
        <f>IF(TrRoad_act!X5=0,0,X19/TrRoad_act!X5*1000)</f>
        <v>29.253121991564704</v>
      </c>
      <c r="Y89" s="152">
        <f>IF(TrRoad_act!Y5=0,0,Y19/TrRoad_act!Y5*1000)</f>
        <v>29.103391066438967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45.419112044098981</v>
      </c>
      <c r="C90" s="116">
        <f>IF(TrRoad_act!C6=0,0,C21/TrRoad_act!C6*1000)</f>
        <v>43.198383538661233</v>
      </c>
      <c r="D90" s="116">
        <f>IF(TrRoad_act!D6=0,0,D21/TrRoad_act!D6*1000)</f>
        <v>43.843941012857861</v>
      </c>
      <c r="E90" s="116">
        <f>IF(TrRoad_act!E6=0,0,E21/TrRoad_act!E6*1000)</f>
        <v>42.149396387873587</v>
      </c>
      <c r="F90" s="116">
        <f>IF(TrRoad_act!F6=0,0,F21/TrRoad_act!F6*1000)</f>
        <v>36.533782095506957</v>
      </c>
      <c r="G90" s="116">
        <f>IF(TrRoad_act!G6=0,0,G21/TrRoad_act!G6*1000)</f>
        <v>41.162010630965582</v>
      </c>
      <c r="H90" s="116">
        <f>IF(TrRoad_act!H6=0,0,H21/TrRoad_act!H6*1000)</f>
        <v>41.003363678727773</v>
      </c>
      <c r="I90" s="116">
        <f>IF(TrRoad_act!I6=0,0,I21/TrRoad_act!I6*1000)</f>
        <v>41.239572754962467</v>
      </c>
      <c r="J90" s="116">
        <f>IF(TrRoad_act!J6=0,0,J21/TrRoad_act!J6*1000)</f>
        <v>47.938338940177907</v>
      </c>
      <c r="K90" s="116">
        <f>IF(TrRoad_act!K6=0,0,K21/TrRoad_act!K6*1000)</f>
        <v>40.99980110905387</v>
      </c>
      <c r="L90" s="116">
        <f>IF(TrRoad_act!L6=0,0,L21/TrRoad_act!L6*1000)</f>
        <v>47.96783262271537</v>
      </c>
      <c r="M90" s="116">
        <f>IF(TrRoad_act!M6=0,0,M21/TrRoad_act!M6*1000)</f>
        <v>47.921716734339789</v>
      </c>
      <c r="N90" s="116">
        <f>IF(TrRoad_act!N6=0,0,N21/TrRoad_act!N6*1000)</f>
        <v>47.85953889049074</v>
      </c>
      <c r="O90" s="116">
        <f>IF(TrRoad_act!O6=0,0,O21/TrRoad_act!O6*1000)</f>
        <v>48.419323273080813</v>
      </c>
      <c r="P90" s="116">
        <f>IF(TrRoad_act!P6=0,0,P21/TrRoad_act!P6*1000)</f>
        <v>46.539131765606228</v>
      </c>
      <c r="Q90" s="116">
        <f>IF(TrRoad_act!Q6=0,0,Q21/TrRoad_act!Q6*1000)</f>
        <v>47.529517205299221</v>
      </c>
      <c r="R90" s="116">
        <f>IF(TrRoad_act!R6=0,0,R21/TrRoad_act!R6*1000)</f>
        <v>46.519313440615221</v>
      </c>
      <c r="S90" s="116">
        <f>IF(TrRoad_act!S6=0,0,S21/TrRoad_act!S6*1000)</f>
        <v>46.537849076723631</v>
      </c>
      <c r="T90" s="116">
        <f>IF(TrRoad_act!T6=0,0,T21/TrRoad_act!T6*1000)</f>
        <v>50.048552702445811</v>
      </c>
      <c r="U90" s="116">
        <f>IF(TrRoad_act!U6=0,0,U21/TrRoad_act!U6*1000)</f>
        <v>51.284667072367121</v>
      </c>
      <c r="V90" s="116">
        <f>IF(TrRoad_act!V6=0,0,V21/TrRoad_act!V6*1000)</f>
        <v>48.388175244923154</v>
      </c>
      <c r="W90" s="116">
        <f>IF(TrRoad_act!W6=0,0,W21/TrRoad_act!W6*1000)</f>
        <v>48.652576390122697</v>
      </c>
      <c r="X90" s="116">
        <f>IF(TrRoad_act!X6=0,0,X21/TrRoad_act!X6*1000)</f>
        <v>53.244703252020336</v>
      </c>
      <c r="Y90" s="116">
        <f>IF(TrRoad_act!Y6=0,0,Y21/TrRoad_act!Y6*1000)</f>
        <v>52.428911181513634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48.073745743928278</v>
      </c>
      <c r="C91" s="87">
        <f>IF(TrRoad_act!C7=0,0,C22/TrRoad_act!C7*1000)</f>
        <v>45.955450168122795</v>
      </c>
      <c r="D91" s="87">
        <f>IF(TrRoad_act!D7=0,0,D22/TrRoad_act!D7*1000)</f>
        <v>50.565149930644189</v>
      </c>
      <c r="E91" s="87">
        <f>IF(TrRoad_act!E7=0,0,E22/TrRoad_act!E7*1000)</f>
        <v>46.220761853684088</v>
      </c>
      <c r="F91" s="87">
        <f>IF(TrRoad_act!F7=0,0,F22/TrRoad_act!F7*1000)</f>
        <v>37.823826643327315</v>
      </c>
      <c r="G91" s="87">
        <f>IF(TrRoad_act!G7=0,0,G22/TrRoad_act!G7*1000)</f>
        <v>39.703578381750077</v>
      </c>
      <c r="H91" s="87">
        <f>IF(TrRoad_act!H7=0,0,H22/TrRoad_act!H7*1000)</f>
        <v>38.816265391250482</v>
      </c>
      <c r="I91" s="87">
        <f>IF(TrRoad_act!I7=0,0,I22/TrRoad_act!I7*1000)</f>
        <v>40.361578399150332</v>
      </c>
      <c r="J91" s="87">
        <f>IF(TrRoad_act!J7=0,0,J22/TrRoad_act!J7*1000)</f>
        <v>48.398553997315446</v>
      </c>
      <c r="K91" s="87">
        <f>IF(TrRoad_act!K7=0,0,K22/TrRoad_act!K7*1000)</f>
        <v>40.713795219360847</v>
      </c>
      <c r="L91" s="87">
        <f>IF(TrRoad_act!L7=0,0,L22/TrRoad_act!L7*1000)</f>
        <v>50.722165656705826</v>
      </c>
      <c r="M91" s="87">
        <f>IF(TrRoad_act!M7=0,0,M22/TrRoad_act!M7*1000)</f>
        <v>52.537884265281264</v>
      </c>
      <c r="N91" s="87">
        <f>IF(TrRoad_act!N7=0,0,N22/TrRoad_act!N7*1000)</f>
        <v>53.4470670471025</v>
      </c>
      <c r="O91" s="87">
        <f>IF(TrRoad_act!O7=0,0,O22/TrRoad_act!O7*1000)</f>
        <v>54.106010348778959</v>
      </c>
      <c r="P91" s="87">
        <f>IF(TrRoad_act!P7=0,0,P22/TrRoad_act!P7*1000)</f>
        <v>51.308904848025392</v>
      </c>
      <c r="Q91" s="87">
        <f>IF(TrRoad_act!Q7=0,0,Q22/TrRoad_act!Q7*1000)</f>
        <v>52.996441539774381</v>
      </c>
      <c r="R91" s="87">
        <f>IF(TrRoad_act!R7=0,0,R22/TrRoad_act!R7*1000)</f>
        <v>51.908843654597774</v>
      </c>
      <c r="S91" s="87">
        <f>IF(TrRoad_act!S7=0,0,S22/TrRoad_act!S7*1000)</f>
        <v>50.796826387777784</v>
      </c>
      <c r="T91" s="87">
        <f>IF(TrRoad_act!T7=0,0,T22/TrRoad_act!T7*1000)</f>
        <v>52.247026918206608</v>
      </c>
      <c r="U91" s="87">
        <f>IF(TrRoad_act!U7=0,0,U22/TrRoad_act!U7*1000)</f>
        <v>54.488467826096262</v>
      </c>
      <c r="V91" s="87">
        <f>IF(TrRoad_act!V7=0,0,V22/TrRoad_act!V7*1000)</f>
        <v>51.560200203509034</v>
      </c>
      <c r="W91" s="87">
        <f>IF(TrRoad_act!W7=0,0,W22/TrRoad_act!W7*1000)</f>
        <v>52.700375871676762</v>
      </c>
      <c r="X91" s="87">
        <f>IF(TrRoad_act!X7=0,0,X22/TrRoad_act!X7*1000)</f>
        <v>55.785800275990226</v>
      </c>
      <c r="Y91" s="87">
        <f>IF(TrRoad_act!Y7=0,0,Y22/TrRoad_act!Y7*1000)</f>
        <v>55.846843249500338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30.681420920180077</v>
      </c>
      <c r="C92" s="87">
        <f>IF(TrRoad_act!C8=0,0,C24/TrRoad_act!C8*1000)</f>
        <v>29.399512635440239</v>
      </c>
      <c r="D92" s="87">
        <f>IF(TrRoad_act!D8=0,0,D24/TrRoad_act!D8*1000)</f>
        <v>11.724466274734919</v>
      </c>
      <c r="E92" s="87">
        <f>IF(TrRoad_act!E8=0,0,E24/TrRoad_act!E8*1000)</f>
        <v>23.510389846011755</v>
      </c>
      <c r="F92" s="87">
        <f>IF(TrRoad_act!F8=0,0,F24/TrRoad_act!F8*1000)</f>
        <v>31.150883195720951</v>
      </c>
      <c r="G92" s="87">
        <f>IF(TrRoad_act!G8=0,0,G24/TrRoad_act!G8*1000)</f>
        <v>47.753683200604492</v>
      </c>
      <c r="H92" s="87">
        <f>IF(TrRoad_act!H8=0,0,H24/TrRoad_act!H8*1000)</f>
        <v>50.757043705751322</v>
      </c>
      <c r="I92" s="87">
        <f>IF(TrRoad_act!I8=0,0,I24/TrRoad_act!I8*1000)</f>
        <v>44.831695177514845</v>
      </c>
      <c r="J92" s="87">
        <f>IF(TrRoad_act!J8=0,0,J24/TrRoad_act!J8*1000)</f>
        <v>45.99810704953164</v>
      </c>
      <c r="K92" s="87">
        <f>IF(TrRoad_act!K8=0,0,K24/TrRoad_act!K8*1000)</f>
        <v>42.205497108670116</v>
      </c>
      <c r="L92" s="87">
        <f>IF(TrRoad_act!L8=0,0,L24/TrRoad_act!L8*1000)</f>
        <v>43.002732648820249</v>
      </c>
      <c r="M92" s="87">
        <f>IF(TrRoad_act!M8=0,0,M24/TrRoad_act!M8*1000)</f>
        <v>40.593865934253465</v>
      </c>
      <c r="N92" s="87">
        <f>IF(TrRoad_act!N8=0,0,N24/TrRoad_act!N8*1000)</f>
        <v>39.76137619719438</v>
      </c>
      <c r="O92" s="87">
        <f>IF(TrRoad_act!O8=0,0,O24/TrRoad_act!O8*1000)</f>
        <v>40.588898097256525</v>
      </c>
      <c r="P92" s="87">
        <f>IF(TrRoad_act!P8=0,0,P24/TrRoad_act!P8*1000)</f>
        <v>39.978572237075213</v>
      </c>
      <c r="Q92" s="87">
        <f>IF(TrRoad_act!Q8=0,0,Q24/TrRoad_act!Q8*1000)</f>
        <v>40.268299721047107</v>
      </c>
      <c r="R92" s="87">
        <f>IF(TrRoad_act!R8=0,0,R24/TrRoad_act!R8*1000)</f>
        <v>39.498990284428295</v>
      </c>
      <c r="S92" s="87">
        <f>IF(TrRoad_act!S8=0,0,S24/TrRoad_act!S8*1000)</f>
        <v>40.653283782808472</v>
      </c>
      <c r="T92" s="87">
        <f>IF(TrRoad_act!T8=0,0,T24/TrRoad_act!T8*1000)</f>
        <v>47.237030115130899</v>
      </c>
      <c r="U92" s="87">
        <f>IF(TrRoad_act!U8=0,0,U24/TrRoad_act!U8*1000)</f>
        <v>47.653575027181397</v>
      </c>
      <c r="V92" s="87">
        <f>IF(TrRoad_act!V8=0,0,V24/TrRoad_act!V8*1000)</f>
        <v>44.600687161617131</v>
      </c>
      <c r="W92" s="87">
        <f>IF(TrRoad_act!W8=0,0,W24/TrRoad_act!W8*1000)</f>
        <v>44.001498527226893</v>
      </c>
      <c r="X92" s="87">
        <f>IF(TrRoad_act!X8=0,0,X24/TrRoad_act!X8*1000)</f>
        <v>51.408969919777483</v>
      </c>
      <c r="Y92" s="87">
        <f>IF(TrRoad_act!Y8=0,0,Y24/TrRoad_act!Y8*1000)</f>
        <v>50.272476198528814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0</v>
      </c>
      <c r="I93" s="87">
        <f>IF(TrRoad_act!I9=0,0,I26/TrRoad_act!I9*1000)</f>
        <v>0</v>
      </c>
      <c r="J93" s="87">
        <f>IF(TrRoad_act!J9=0,0,J26/TrRoad_act!J9*1000)</f>
        <v>0</v>
      </c>
      <c r="K93" s="87">
        <f>IF(TrRoad_act!K9=0,0,K26/TrRoad_act!K9*1000)</f>
        <v>0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44.10553638493856</v>
      </c>
      <c r="S93" s="87">
        <f>IF(TrRoad_act!S9=0,0,S26/TrRoad_act!S9*1000)</f>
        <v>48.517567011103189</v>
      </c>
      <c r="T93" s="87">
        <f>IF(TrRoad_act!T9=0,0,T26/TrRoad_act!T9*1000)</f>
        <v>67.556810679436794</v>
      </c>
      <c r="U93" s="87">
        <f>IF(TrRoad_act!U9=0,0,U26/TrRoad_act!U9*1000)</f>
        <v>48.454976425275952</v>
      </c>
      <c r="V93" s="87">
        <f>IF(TrRoad_act!V9=0,0,V26/TrRoad_act!V9*1000)</f>
        <v>55.875560643609319</v>
      </c>
      <c r="W93" s="87">
        <f>IF(TrRoad_act!W9=0,0,W26/TrRoad_act!W9*1000)</f>
        <v>63.942900894629808</v>
      </c>
      <c r="X93" s="87">
        <f>IF(TrRoad_act!X9=0,0,X26/TrRoad_act!X9*1000)</f>
        <v>69.563727004129717</v>
      </c>
      <c r="Y93" s="87">
        <f>IF(TrRoad_act!Y9=0,0,Y26/TrRoad_act!Y9*1000)</f>
        <v>52.907139626457749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X94" s="87">
        <f>IF(TrRoad_act!X10=0,0,X27/TrRoad_act!X10*1000)</f>
        <v>0</v>
      </c>
      <c r="Y94" s="87">
        <f>IF(TrRoad_act!Y10=0,0,Y27/TrRoad_act!Y10*1000)</f>
        <v>0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41.309931447401354</v>
      </c>
      <c r="M95" s="87">
        <f>IF(TrRoad_act!M11=0,0,M29/TrRoad_act!M11*1000)</f>
        <v>42.288330861487445</v>
      </c>
      <c r="N95" s="87">
        <f>IF(TrRoad_act!N11=0,0,N29/TrRoad_act!N11*1000)</f>
        <v>41.269722564625965</v>
      </c>
      <c r="O95" s="87">
        <f>IF(TrRoad_act!O11=0,0,O29/TrRoad_act!O11*1000)</f>
        <v>45.349945980356253</v>
      </c>
      <c r="P95" s="87">
        <f>IF(TrRoad_act!P11=0,0,P29/TrRoad_act!P11*1000)</f>
        <v>46.266490687020124</v>
      </c>
      <c r="Q95" s="87">
        <f>IF(TrRoad_act!Q11=0,0,Q29/TrRoad_act!Q11*1000)</f>
        <v>45.968117535690489</v>
      </c>
      <c r="R95" s="87">
        <f>IF(TrRoad_act!R11=0,0,R29/TrRoad_act!R11*1000)</f>
        <v>45.639832878382528</v>
      </c>
      <c r="S95" s="87">
        <f>IF(TrRoad_act!S11=0,0,S29/TrRoad_act!S11*1000)</f>
        <v>45.030713456364929</v>
      </c>
      <c r="T95" s="87">
        <f>IF(TrRoad_act!T11=0,0,T29/TrRoad_act!T11*1000)</f>
        <v>46.92948159816941</v>
      </c>
      <c r="U95" s="87">
        <f>IF(TrRoad_act!U11=0,0,U29/TrRoad_act!U11*1000)</f>
        <v>47.276858773273887</v>
      </c>
      <c r="V95" s="87">
        <f>IF(TrRoad_act!V11=0,0,V29/TrRoad_act!V11*1000)</f>
        <v>44.316794397193739</v>
      </c>
      <c r="W95" s="87">
        <f>IF(TrRoad_act!W11=0,0,W29/TrRoad_act!W11*1000)</f>
        <v>39.173096314226129</v>
      </c>
      <c r="X95" s="87">
        <f>IF(TrRoad_act!X11=0,0,X29/TrRoad_act!X11*1000)</f>
        <v>35.454684326500455</v>
      </c>
      <c r="Y95" s="87">
        <f>IF(TrRoad_act!Y11=0,0,Y29/TrRoad_act!Y11*1000)</f>
        <v>32.892210550627553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11.010329167365038</v>
      </c>
      <c r="F96" s="87">
        <f>IF(TrRoad_act!F12=0,0,F32/TrRoad_act!F12*1000)</f>
        <v>10.453969522936886</v>
      </c>
      <c r="G96" s="87">
        <f>IF(TrRoad_act!G12=0,0,G32/TrRoad_act!G12*1000)</f>
        <v>11.282227984721438</v>
      </c>
      <c r="H96" s="87">
        <f>IF(TrRoad_act!H12=0,0,H32/TrRoad_act!H12*1000)</f>
        <v>11.402535111942111</v>
      </c>
      <c r="I96" s="87">
        <f>IF(TrRoad_act!I12=0,0,I32/TrRoad_act!I12*1000)</f>
        <v>10.741558654829921</v>
      </c>
      <c r="J96" s="87">
        <f>IF(TrRoad_act!J12=0,0,J32/TrRoad_act!J12*1000)</f>
        <v>11.412019905104154</v>
      </c>
      <c r="K96" s="87">
        <f>IF(TrRoad_act!K12=0,0,K32/TrRoad_act!K12*1000)</f>
        <v>11.635912509170694</v>
      </c>
      <c r="L96" s="87">
        <f>IF(TrRoad_act!L12=0,0,L32/TrRoad_act!L12*1000)</f>
        <v>11.724133507443931</v>
      </c>
      <c r="M96" s="87">
        <f>IF(TrRoad_act!M12=0,0,M32/TrRoad_act!M12*1000)</f>
        <v>11.726057199550887</v>
      </c>
      <c r="N96" s="87">
        <f>IF(TrRoad_act!N12=0,0,N32/TrRoad_act!N12*1000)</f>
        <v>11.498150962632797</v>
      </c>
      <c r="O96" s="87">
        <f>IF(TrRoad_act!O12=0,0,O32/TrRoad_act!O12*1000)</f>
        <v>11.455009122197513</v>
      </c>
      <c r="P96" s="87">
        <f>IF(TrRoad_act!P12=0,0,P32/TrRoad_act!P12*1000)</f>
        <v>11.637595607433822</v>
      </c>
      <c r="Q96" s="87">
        <f>IF(TrRoad_act!Q12=0,0,Q32/TrRoad_act!Q12*1000)</f>
        <v>12.360082526552624</v>
      </c>
      <c r="R96" s="87">
        <f>IF(TrRoad_act!R12=0,0,R32/TrRoad_act!R12*1000)</f>
        <v>12.479701677462932</v>
      </c>
      <c r="S96" s="87">
        <f>IF(TrRoad_act!S12=0,0,S32/TrRoad_act!S12*1000)</f>
        <v>11.779687819923703</v>
      </c>
      <c r="T96" s="87">
        <f>IF(TrRoad_act!T12=0,0,T32/TrRoad_act!T12*1000)</f>
        <v>11.565782398197221</v>
      </c>
      <c r="U96" s="87">
        <f>IF(TrRoad_act!U12=0,0,U32/TrRoad_act!U12*1000)</f>
        <v>12.947629993051558</v>
      </c>
      <c r="V96" s="87">
        <f>IF(TrRoad_act!V12=0,0,V32/TrRoad_act!V12*1000)</f>
        <v>14.13253480639794</v>
      </c>
      <c r="W96" s="87">
        <f>IF(TrRoad_act!W12=0,0,W32/TrRoad_act!W12*1000)</f>
        <v>14.379833801854195</v>
      </c>
      <c r="X96" s="87">
        <f>IF(TrRoad_act!X12=0,0,X32/TrRoad_act!X12*1000)</f>
        <v>14.18290095712546</v>
      </c>
      <c r="Y96" s="87">
        <f>IF(TrRoad_act!Y12=0,0,Y32/TrRoad_act!Y12*1000)</f>
        <v>14.500822078413098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24.63960236281341</v>
      </c>
      <c r="C97" s="116">
        <f>IF(TrRoad_act!C13=0,0,C33/TrRoad_act!C13*1000)</f>
        <v>23.342017690804145</v>
      </c>
      <c r="D97" s="116">
        <f>IF(TrRoad_act!D13=0,0,D33/TrRoad_act!D13*1000)</f>
        <v>9.1669313077011498</v>
      </c>
      <c r="E97" s="116">
        <f>IF(TrRoad_act!E13=0,0,E33/TrRoad_act!E13*1000)</f>
        <v>18.105993428063716</v>
      </c>
      <c r="F97" s="116">
        <f>IF(TrRoad_act!F13=0,0,F33/TrRoad_act!F13*1000)</f>
        <v>25.224292427291285</v>
      </c>
      <c r="G97" s="116">
        <f>IF(TrRoad_act!G13=0,0,G33/TrRoad_act!G13*1000)</f>
        <v>35.899973976146669</v>
      </c>
      <c r="H97" s="116">
        <f>IF(TrRoad_act!H13=0,0,H33/TrRoad_act!H13*1000)</f>
        <v>37.889457864659065</v>
      </c>
      <c r="I97" s="116">
        <f>IF(TrRoad_act!I13=0,0,I33/TrRoad_act!I13*1000)</f>
        <v>35.523365625726349</v>
      </c>
      <c r="J97" s="116">
        <f>IF(TrRoad_act!J13=0,0,J33/TrRoad_act!J13*1000)</f>
        <v>34.957796713907932</v>
      </c>
      <c r="K97" s="116">
        <f>IF(TrRoad_act!K13=0,0,K33/TrRoad_act!K13*1000)</f>
        <v>31.691776708315604</v>
      </c>
      <c r="L97" s="116">
        <f>IF(TrRoad_act!L13=0,0,L33/TrRoad_act!L13*1000)</f>
        <v>33.929024969444562</v>
      </c>
      <c r="M97" s="116">
        <f>IF(TrRoad_act!M13=0,0,M33/TrRoad_act!M13*1000)</f>
        <v>36.288439839284422</v>
      </c>
      <c r="N97" s="116">
        <f>IF(TrRoad_act!N13=0,0,N33/TrRoad_act!N13*1000)</f>
        <v>41.736359318783677</v>
      </c>
      <c r="O97" s="116">
        <f>IF(TrRoad_act!O13=0,0,O33/TrRoad_act!O13*1000)</f>
        <v>44.001751658362679</v>
      </c>
      <c r="P97" s="116">
        <f>IF(TrRoad_act!P13=0,0,P33/TrRoad_act!P13*1000)</f>
        <v>51.047531394136861</v>
      </c>
      <c r="Q97" s="116">
        <f>IF(TrRoad_act!Q13=0,0,Q33/TrRoad_act!Q13*1000)</f>
        <v>52.627125324593308</v>
      </c>
      <c r="R97" s="116">
        <f>IF(TrRoad_act!R13=0,0,R33/TrRoad_act!R13*1000)</f>
        <v>51.366179163483032</v>
      </c>
      <c r="S97" s="116">
        <f>IF(TrRoad_act!S13=0,0,S33/TrRoad_act!S13*1000)</f>
        <v>54.322497750838217</v>
      </c>
      <c r="T97" s="116">
        <f>IF(TrRoad_act!T13=0,0,T33/TrRoad_act!T13*1000)</f>
        <v>63.019666936692005</v>
      </c>
      <c r="U97" s="116">
        <f>IF(TrRoad_act!U13=0,0,U33/TrRoad_act!U13*1000)</f>
        <v>60.147334466920277</v>
      </c>
      <c r="V97" s="116">
        <f>IF(TrRoad_act!V13=0,0,V33/TrRoad_act!V13*1000)</f>
        <v>66.989744776461322</v>
      </c>
      <c r="W97" s="116">
        <f>IF(TrRoad_act!W13=0,0,W33/TrRoad_act!W13*1000)</f>
        <v>56.85891636554544</v>
      </c>
      <c r="X97" s="116">
        <f>IF(TrRoad_act!X13=0,0,X33/TrRoad_act!X13*1000)</f>
        <v>63.556266958731605</v>
      </c>
      <c r="Y97" s="116">
        <f>IF(TrRoad_act!Y13=0,0,Y33/TrRoad_act!Y13*1000)</f>
        <v>62.209533638296193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20.607530603102461</v>
      </c>
      <c r="M98" s="101">
        <f>IF(TrRoad_act!M14=0,0,M34/TrRoad_act!M14*1000)</f>
        <v>20.874961740453134</v>
      </c>
      <c r="N98" s="101">
        <f>IF(TrRoad_act!N14=0,0,N34/TrRoad_act!N14*1000)</f>
        <v>21.080842616889573</v>
      </c>
      <c r="O98" s="101">
        <f>IF(TrRoad_act!O14=0,0,O34/TrRoad_act!O14*1000)</f>
        <v>21.12679620164327</v>
      </c>
      <c r="P98" s="101">
        <f>IF(TrRoad_act!P14=0,0,P34/TrRoad_act!P14*1000)</f>
        <v>21.296232592674862</v>
      </c>
      <c r="Q98" s="101">
        <f>IF(TrRoad_act!Q14=0,0,Q34/TrRoad_act!Q14*1000)</f>
        <v>21.327392478619736</v>
      </c>
      <c r="R98" s="101">
        <f>IF(TrRoad_act!R14=0,0,R34/TrRoad_act!R14*1000)</f>
        <v>21.321524057915582</v>
      </c>
      <c r="S98" s="101">
        <f>IF(TrRoad_act!S14=0,0,S34/TrRoad_act!S14*1000)</f>
        <v>21.32693347945629</v>
      </c>
      <c r="T98" s="101">
        <f>IF(TrRoad_act!T14=0,0,T34/TrRoad_act!T14*1000)</f>
        <v>20.970952037183046</v>
      </c>
      <c r="U98" s="101">
        <f>IF(TrRoad_act!U14=0,0,U34/TrRoad_act!U14*1000)</f>
        <v>20.312788965122291</v>
      </c>
      <c r="V98" s="101">
        <f>IF(TrRoad_act!V14=0,0,V34/TrRoad_act!V14*1000)</f>
        <v>20.332420519024417</v>
      </c>
      <c r="W98" s="101">
        <f>IF(TrRoad_act!W14=0,0,W34/TrRoad_act!W14*1000)</f>
        <v>19.878587957700219</v>
      </c>
      <c r="X98" s="101">
        <f>IF(TrRoad_act!X14=0,0,X34/TrRoad_act!X14*1000)</f>
        <v>19.810232994389246</v>
      </c>
      <c r="Y98" s="101">
        <f>IF(TrRoad_act!Y14=0,0,Y34/TrRoad_act!Y14*1000)</f>
        <v>19.453935256914843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24.63960236281341</v>
      </c>
      <c r="C99" s="101">
        <f>IF(TrRoad_act!C15=0,0,C36/TrRoad_act!C15*1000)</f>
        <v>23.342017690804145</v>
      </c>
      <c r="D99" s="101">
        <f>IF(TrRoad_act!D15=0,0,D36/TrRoad_act!D15*1000)</f>
        <v>9.1669313077011498</v>
      </c>
      <c r="E99" s="101">
        <f>IF(TrRoad_act!E15=0,0,E36/TrRoad_act!E15*1000)</f>
        <v>18.105993428063716</v>
      </c>
      <c r="F99" s="101">
        <f>IF(TrRoad_act!F15=0,0,F36/TrRoad_act!F15*1000)</f>
        <v>25.224292427291285</v>
      </c>
      <c r="G99" s="101">
        <f>IF(TrRoad_act!G15=0,0,G36/TrRoad_act!G15*1000)</f>
        <v>35.899973976146669</v>
      </c>
      <c r="H99" s="101">
        <f>IF(TrRoad_act!H15=0,0,H36/TrRoad_act!H15*1000)</f>
        <v>37.889457864659065</v>
      </c>
      <c r="I99" s="101">
        <f>IF(TrRoad_act!I15=0,0,I36/TrRoad_act!I15*1000)</f>
        <v>35.523365625726349</v>
      </c>
      <c r="J99" s="101">
        <f>IF(TrRoad_act!J15=0,0,J36/TrRoad_act!J15*1000)</f>
        <v>34.957796713907932</v>
      </c>
      <c r="K99" s="101">
        <f>IF(TrRoad_act!K15=0,0,K36/TrRoad_act!K15*1000)</f>
        <v>31.691776708315604</v>
      </c>
      <c r="L99" s="101">
        <f>IF(TrRoad_act!L15=0,0,L36/TrRoad_act!L15*1000)</f>
        <v>33.987382314099769</v>
      </c>
      <c r="M99" s="101">
        <f>IF(TrRoad_act!M15=0,0,M36/TrRoad_act!M15*1000)</f>
        <v>36.347352545846427</v>
      </c>
      <c r="N99" s="101">
        <f>IF(TrRoad_act!N15=0,0,N36/TrRoad_act!N15*1000)</f>
        <v>41.809830763954132</v>
      </c>
      <c r="O99" s="101">
        <f>IF(TrRoad_act!O15=0,0,O36/TrRoad_act!O15*1000)</f>
        <v>44.078579425068142</v>
      </c>
      <c r="P99" s="101">
        <f>IF(TrRoad_act!P15=0,0,P36/TrRoad_act!P15*1000)</f>
        <v>51.13543791932198</v>
      </c>
      <c r="Q99" s="101">
        <f>IF(TrRoad_act!Q15=0,0,Q36/TrRoad_act!Q15*1000)</f>
        <v>52.697292330934182</v>
      </c>
      <c r="R99" s="101">
        <f>IF(TrRoad_act!R15=0,0,R36/TrRoad_act!R15*1000)</f>
        <v>51.430271405862747</v>
      </c>
      <c r="S99" s="101">
        <f>IF(TrRoad_act!S15=0,0,S36/TrRoad_act!S15*1000)</f>
        <v>54.389341810731672</v>
      </c>
      <c r="T99" s="101">
        <f>IF(TrRoad_act!T15=0,0,T36/TrRoad_act!T15*1000)</f>
        <v>63.164625814792359</v>
      </c>
      <c r="U99" s="101">
        <f>IF(TrRoad_act!U15=0,0,U36/TrRoad_act!U15*1000)</f>
        <v>60.303310345025317</v>
      </c>
      <c r="V99" s="101">
        <f>IF(TrRoad_act!V15=0,0,V36/TrRoad_act!V15*1000)</f>
        <v>67.153969134094694</v>
      </c>
      <c r="W99" s="101">
        <f>IF(TrRoad_act!W15=0,0,W36/TrRoad_act!W15*1000)</f>
        <v>57.002499293512471</v>
      </c>
      <c r="X99" s="101">
        <f>IF(TrRoad_act!X15=0,0,X36/TrRoad_act!X15*1000)</f>
        <v>63.768816050768315</v>
      </c>
      <c r="Y99" s="101">
        <f>IF(TrRoad_act!Y15=0,0,Y36/TrRoad_act!Y15*1000)</f>
        <v>62.753423011100537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58.86858619705864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X101" s="101">
        <f>IF(TrRoad_act!X17=0,0,X39/TrRoad_act!X17*1000)</f>
        <v>0</v>
      </c>
      <c r="Y101" s="101">
        <f>IF(TrRoad_act!Y17=0,0,Y39/TrRoad_act!Y17*1000)</f>
        <v>0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0</v>
      </c>
      <c r="Q102" s="101">
        <f>IF(TrRoad_act!Q18=0,0,Q41/TrRoad_act!Q18*1000)</f>
        <v>0</v>
      </c>
      <c r="R102" s="101">
        <f>IF(TrRoad_act!R18=0,0,R41/TrRoad_act!R18*1000)</f>
        <v>0</v>
      </c>
      <c r="S102" s="101">
        <f>IF(TrRoad_act!S18=0,0,S41/TrRoad_act!S18*1000)</f>
        <v>0</v>
      </c>
      <c r="T102" s="101">
        <f>IF(TrRoad_act!T18=0,0,T41/TrRoad_act!T18*1000)</f>
        <v>48.886256616286452</v>
      </c>
      <c r="U102" s="101">
        <f>IF(TrRoad_act!U18=0,0,U41/TrRoad_act!U18*1000)</f>
        <v>45.707264395843694</v>
      </c>
      <c r="V102" s="101">
        <f>IF(TrRoad_act!V18=0,0,V41/TrRoad_act!V18*1000)</f>
        <v>56.536251066335645</v>
      </c>
      <c r="W102" s="101">
        <f>IF(TrRoad_act!W18=0,0,W41/TrRoad_act!W18*1000)</f>
        <v>47.754236564397189</v>
      </c>
      <c r="X102" s="101">
        <f>IF(TrRoad_act!X18=0,0,X41/TrRoad_act!X18*1000)</f>
        <v>43.955798135837668</v>
      </c>
      <c r="Y102" s="101">
        <f>IF(TrRoad_act!Y18=0,0,Y41/TrRoad_act!Y18*1000)</f>
        <v>42.181900692760763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64.689513585151275</v>
      </c>
      <c r="C103" s="29">
        <f>IF(TrRoad_act!C19=0,0,C42/TrRoad_act!C19*1000)</f>
        <v>62.129173736005392</v>
      </c>
      <c r="D103" s="29">
        <f>IF(TrRoad_act!D19=0,0,D42/TrRoad_act!D19*1000)</f>
        <v>38.556066666566466</v>
      </c>
      <c r="E103" s="29">
        <f>IF(TrRoad_act!E19=0,0,E42/TrRoad_act!E19*1000)</f>
        <v>52.88090540459384</v>
      </c>
      <c r="F103" s="29">
        <f>IF(TrRoad_act!F19=0,0,F42/TrRoad_act!F19*1000)</f>
        <v>63.63088286832545</v>
      </c>
      <c r="G103" s="29">
        <f>IF(TrRoad_act!G19=0,0,G42/TrRoad_act!G19*1000)</f>
        <v>108.45553976319781</v>
      </c>
      <c r="H103" s="29">
        <f>IF(TrRoad_act!H19=0,0,H42/TrRoad_act!H19*1000)</f>
        <v>117.45129462608578</v>
      </c>
      <c r="I103" s="29">
        <f>IF(TrRoad_act!I19=0,0,I42/TrRoad_act!I19*1000)</f>
        <v>105.92341584669823</v>
      </c>
      <c r="J103" s="29">
        <f>IF(TrRoad_act!J19=0,0,J42/TrRoad_act!J19*1000)</f>
        <v>101.72987160851801</v>
      </c>
      <c r="K103" s="29">
        <f>IF(TrRoad_act!K19=0,0,K42/TrRoad_act!K19*1000)</f>
        <v>92.017277392466141</v>
      </c>
      <c r="L103" s="29">
        <f>IF(TrRoad_act!L19=0,0,L42/TrRoad_act!L19*1000)</f>
        <v>97.246285853608271</v>
      </c>
      <c r="M103" s="29">
        <f>IF(TrRoad_act!M19=0,0,M42/TrRoad_act!M19*1000)</f>
        <v>94.353811045705314</v>
      </c>
      <c r="N103" s="29">
        <f>IF(TrRoad_act!N19=0,0,N42/TrRoad_act!N19*1000)</f>
        <v>94.483636577566386</v>
      </c>
      <c r="O103" s="29">
        <f>IF(TrRoad_act!O19=0,0,O42/TrRoad_act!O19*1000)</f>
        <v>96.281838827927459</v>
      </c>
      <c r="P103" s="29">
        <f>IF(TrRoad_act!P19=0,0,P42/TrRoad_act!P19*1000)</f>
        <v>98.635590540175443</v>
      </c>
      <c r="Q103" s="29">
        <f>IF(TrRoad_act!Q19=0,0,Q42/TrRoad_act!Q19*1000)</f>
        <v>102.31658761898434</v>
      </c>
      <c r="R103" s="29">
        <f>IF(TrRoad_act!R19=0,0,R42/TrRoad_act!R19*1000)</f>
        <v>99.555196638046141</v>
      </c>
      <c r="S103" s="29">
        <f>IF(TrRoad_act!S19=0,0,S42/TrRoad_act!S19*1000)</f>
        <v>107.32522203132058</v>
      </c>
      <c r="T103" s="29">
        <f>IF(TrRoad_act!T19=0,0,T42/TrRoad_act!T19*1000)</f>
        <v>126.97318767702859</v>
      </c>
      <c r="U103" s="29">
        <f>IF(TrRoad_act!U19=0,0,U42/TrRoad_act!U19*1000)</f>
        <v>132.38771836309817</v>
      </c>
      <c r="V103" s="29">
        <f>IF(TrRoad_act!V19=0,0,V42/TrRoad_act!V19*1000)</f>
        <v>120.98268834327222</v>
      </c>
      <c r="W103" s="29">
        <f>IF(TrRoad_act!W19=0,0,W42/TrRoad_act!W19*1000)</f>
        <v>120.47390959695237</v>
      </c>
      <c r="X103" s="29">
        <f>IF(TrRoad_act!X19=0,0,X42/TrRoad_act!X19*1000)</f>
        <v>145.95350719262575</v>
      </c>
      <c r="Y103" s="29">
        <f>IF(TrRoad_act!Y19=0,0,Y42/TrRoad_act!Y19*1000)</f>
        <v>146.47231782414713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560.10168372127976</v>
      </c>
      <c r="C104" s="152">
        <f>IF(TrRoad_act!C20=0,0,C43/TrRoad_act!C20*1000)</f>
        <v>526.29641944478328</v>
      </c>
      <c r="D104" s="152">
        <f>IF(TrRoad_act!D20=0,0,D43/TrRoad_act!D20*1000)</f>
        <v>220.09827393531512</v>
      </c>
      <c r="E104" s="152">
        <f>IF(TrRoad_act!E20=0,0,E43/TrRoad_act!E20*1000)</f>
        <v>399.33620093273009</v>
      </c>
      <c r="F104" s="152">
        <f>IF(TrRoad_act!F20=0,0,F43/TrRoad_act!F20*1000)</f>
        <v>534.28707058197926</v>
      </c>
      <c r="G104" s="152">
        <f>IF(TrRoad_act!G20=0,0,G43/TrRoad_act!G20*1000)</f>
        <v>734.62482930614351</v>
      </c>
      <c r="H104" s="152">
        <f>IF(TrRoad_act!H20=0,0,H43/TrRoad_act!H20*1000)</f>
        <v>752.79175759724069</v>
      </c>
      <c r="I104" s="152">
        <f>IF(TrRoad_act!I20=0,0,I43/TrRoad_act!I20*1000)</f>
        <v>691.17423110196603</v>
      </c>
      <c r="J104" s="152">
        <f>IF(TrRoad_act!J20=0,0,J43/TrRoad_act!J20*1000)</f>
        <v>657.70493270076327</v>
      </c>
      <c r="K104" s="152">
        <f>IF(TrRoad_act!K20=0,0,K43/TrRoad_act!K20*1000)</f>
        <v>586.36930317138365</v>
      </c>
      <c r="L104" s="152">
        <f>IF(TrRoad_act!L20=0,0,L43/TrRoad_act!L20*1000)</f>
        <v>567.58323576595126</v>
      </c>
      <c r="M104" s="152">
        <f>IF(TrRoad_act!M20=0,0,M43/TrRoad_act!M20*1000)</f>
        <v>527.30200450582549</v>
      </c>
      <c r="N104" s="152">
        <f>IF(TrRoad_act!N20=0,0,N43/TrRoad_act!N20*1000)</f>
        <v>504.60262283046353</v>
      </c>
      <c r="O104" s="152">
        <f>IF(TrRoad_act!O20=0,0,O43/TrRoad_act!O20*1000)</f>
        <v>507.19154879160709</v>
      </c>
      <c r="P104" s="152">
        <f>IF(TrRoad_act!P20=0,0,P43/TrRoad_act!P20*1000)</f>
        <v>506.66632023034674</v>
      </c>
      <c r="Q104" s="152">
        <f>IF(TrRoad_act!Q20=0,0,Q43/TrRoad_act!Q20*1000)</f>
        <v>503.07968034369412</v>
      </c>
      <c r="R104" s="152">
        <f>IF(TrRoad_act!R20=0,0,R43/TrRoad_act!R20*1000)</f>
        <v>488.5700596187005</v>
      </c>
      <c r="S104" s="152">
        <f>IF(TrRoad_act!S20=0,0,S43/TrRoad_act!S20*1000)</f>
        <v>510.79708710867942</v>
      </c>
      <c r="T104" s="152">
        <f>IF(TrRoad_act!T20=0,0,T43/TrRoad_act!T20*1000)</f>
        <v>582.17787371334919</v>
      </c>
      <c r="U104" s="152">
        <f>IF(TrRoad_act!U20=0,0,U43/TrRoad_act!U20*1000)</f>
        <v>599.11576976973402</v>
      </c>
      <c r="V104" s="152">
        <f>IF(TrRoad_act!V20=0,0,V43/TrRoad_act!V20*1000)</f>
        <v>547.10166566556097</v>
      </c>
      <c r="W104" s="152">
        <f>IF(TrRoad_act!W20=0,0,W43/TrRoad_act!W20*1000)</f>
        <v>544.94568612340015</v>
      </c>
      <c r="X104" s="152">
        <f>IF(TrRoad_act!X20=0,0,X43/TrRoad_act!X20*1000)</f>
        <v>655.21890805893315</v>
      </c>
      <c r="Y104" s="152">
        <f>IF(TrRoad_act!Y20=0,0,Y43/TrRoad_act!Y20*1000)</f>
        <v>652.93268663146864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798.86645790844193</v>
      </c>
      <c r="C105" s="87">
        <f>IF(TrRoad_act!C21=0,0,C44/TrRoad_act!C21*1000)</f>
        <v>801.91154478566648</v>
      </c>
      <c r="D105" s="87">
        <f>IF(TrRoad_act!D21=0,0,D44/TrRoad_act!D21*1000)</f>
        <v>820.63648992372919</v>
      </c>
      <c r="E105" s="87">
        <f>IF(TrRoad_act!E21=0,0,E44/TrRoad_act!E21*1000)</f>
        <v>789.75131553230017</v>
      </c>
      <c r="F105" s="87">
        <f>IF(TrRoad_act!F21=0,0,F44/TrRoad_act!F21*1000)</f>
        <v>755.26370437792502</v>
      </c>
      <c r="G105" s="87">
        <f>IF(TrRoad_act!G21=0,0,G44/TrRoad_act!G21*1000)</f>
        <v>750.7904490913279</v>
      </c>
      <c r="H105" s="87">
        <f>IF(TrRoad_act!H21=0,0,H44/TrRoad_act!H21*1000)</f>
        <v>740.25033486356836</v>
      </c>
      <c r="I105" s="87">
        <f>IF(TrRoad_act!I21=0,0,I44/TrRoad_act!I21*1000)</f>
        <v>749.71325290915559</v>
      </c>
      <c r="J105" s="87">
        <f>IF(TrRoad_act!J21=0,0,J44/TrRoad_act!J21*1000)</f>
        <v>761.65773773041451</v>
      </c>
      <c r="K105" s="87">
        <f>IF(TrRoad_act!K21=0,0,K44/TrRoad_act!K21*1000)</f>
        <v>722.67501213019887</v>
      </c>
      <c r="L105" s="87">
        <f>IF(TrRoad_act!L21=0,0,L44/TrRoad_act!L21*1000)</f>
        <v>767.38704630963332</v>
      </c>
      <c r="M105" s="87">
        <f>IF(TrRoad_act!M21=0,0,M44/TrRoad_act!M21*1000)</f>
        <v>767.00800511625698</v>
      </c>
      <c r="N105" s="87">
        <f>IF(TrRoad_act!N21=0,0,N44/TrRoad_act!N21*1000)</f>
        <v>773.29415569054822</v>
      </c>
      <c r="O105" s="87">
        <f>IF(TrRoad_act!O21=0,0,O44/TrRoad_act!O21*1000)</f>
        <v>766.24480952746728</v>
      </c>
      <c r="P105" s="87">
        <f>IF(TrRoad_act!P21=0,0,P44/TrRoad_act!P21*1000)</f>
        <v>836.97258876745286</v>
      </c>
      <c r="Q105" s="87">
        <f>IF(TrRoad_act!Q21=0,0,Q44/TrRoad_act!Q21*1000)</f>
        <v>834.48592078502509</v>
      </c>
      <c r="R105" s="87">
        <f>IF(TrRoad_act!R21=0,0,R44/TrRoad_act!R21*1000)</f>
        <v>815.68300151218421</v>
      </c>
      <c r="S105" s="87">
        <f>IF(TrRoad_act!S21=0,0,S44/TrRoad_act!S21*1000)</f>
        <v>808.24073176490174</v>
      </c>
      <c r="T105" s="87">
        <f>IF(TrRoad_act!T21=0,0,T44/TrRoad_act!T21*1000)</f>
        <v>814.07914302186612</v>
      </c>
      <c r="U105" s="87">
        <f>IF(TrRoad_act!U21=0,0,U44/TrRoad_act!U21*1000)</f>
        <v>821.6336141923623</v>
      </c>
      <c r="V105" s="87">
        <f>IF(TrRoad_act!V21=0,0,V44/TrRoad_act!V21*1000)</f>
        <v>790.4785530475616</v>
      </c>
      <c r="W105" s="87">
        <f>IF(TrRoad_act!W21=0,0,W44/TrRoad_act!W21*1000)</f>
        <v>798.9857153418659</v>
      </c>
      <c r="X105" s="87">
        <f>IF(TrRoad_act!X21=0,0,X44/TrRoad_act!X21*1000)</f>
        <v>819.49195752828678</v>
      </c>
      <c r="Y105" s="87">
        <f>IF(TrRoad_act!Y21=0,0,Y44/TrRoad_act!Y21*1000)</f>
        <v>832.7187006576271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553.13203944613667</v>
      </c>
      <c r="C106" s="87">
        <f>IF(TrRoad_act!C22=0,0,C46/TrRoad_act!C22*1000)</f>
        <v>516.85656603179552</v>
      </c>
      <c r="D106" s="87">
        <f>IF(TrRoad_act!D22=0,0,D46/TrRoad_act!D22*1000)</f>
        <v>200.02691234576909</v>
      </c>
      <c r="E106" s="87">
        <f>IF(TrRoad_act!E22=0,0,E46/TrRoad_act!E22*1000)</f>
        <v>386.77369771918114</v>
      </c>
      <c r="F106" s="87">
        <f>IF(TrRoad_act!F22=0,0,F46/TrRoad_act!F22*1000)</f>
        <v>527.30211657018856</v>
      </c>
      <c r="G106" s="87">
        <f>IF(TrRoad_act!G22=0,0,G46/TrRoad_act!G22*1000)</f>
        <v>734.11419265851544</v>
      </c>
      <c r="H106" s="87">
        <f>IF(TrRoad_act!H22=0,0,H46/TrRoad_act!H22*1000)</f>
        <v>753.17063621972511</v>
      </c>
      <c r="I106" s="87">
        <f>IF(TrRoad_act!I22=0,0,I46/TrRoad_act!I22*1000)</f>
        <v>689.55747817360577</v>
      </c>
      <c r="J106" s="87">
        <f>IF(TrRoad_act!J22=0,0,J46/TrRoad_act!J22*1000)</f>
        <v>655.16035296573943</v>
      </c>
      <c r="K106" s="87">
        <f>IF(TrRoad_act!K22=0,0,K46/TrRoad_act!K22*1000)</f>
        <v>583.14226376169938</v>
      </c>
      <c r="L106" s="87">
        <f>IF(TrRoad_act!L22=0,0,L46/TrRoad_act!L22*1000)</f>
        <v>562.42296596446727</v>
      </c>
      <c r="M106" s="87">
        <f>IF(TrRoad_act!M22=0,0,M46/TrRoad_act!M22*1000)</f>
        <v>521.73873244579966</v>
      </c>
      <c r="N106" s="87">
        <f>IF(TrRoad_act!N22=0,0,N46/TrRoad_act!N22*1000)</f>
        <v>498.65039192306403</v>
      </c>
      <c r="O106" s="87">
        <f>IF(TrRoad_act!O22=0,0,O46/TrRoad_act!O22*1000)</f>
        <v>501.65552704730908</v>
      </c>
      <c r="P106" s="87">
        <f>IF(TrRoad_act!P22=0,0,P46/TrRoad_act!P22*1000)</f>
        <v>500.29178885172934</v>
      </c>
      <c r="Q106" s="87">
        <f>IF(TrRoad_act!Q22=0,0,Q46/TrRoad_act!Q22*1000)</f>
        <v>497.09706370994257</v>
      </c>
      <c r="R106" s="87">
        <f>IF(TrRoad_act!R22=0,0,R46/TrRoad_act!R22*1000)</f>
        <v>482.96480376559822</v>
      </c>
      <c r="S106" s="87">
        <f>IF(TrRoad_act!S22=0,0,S46/TrRoad_act!S22*1000)</f>
        <v>506.13286412817325</v>
      </c>
      <c r="T106" s="87">
        <f>IF(TrRoad_act!T22=0,0,T46/TrRoad_act!T22*1000)</f>
        <v>578.91940840932364</v>
      </c>
      <c r="U106" s="87">
        <f>IF(TrRoad_act!U22=0,0,U46/TrRoad_act!U22*1000)</f>
        <v>596.7153615445834</v>
      </c>
      <c r="V106" s="87">
        <f>IF(TrRoad_act!V22=0,0,V46/TrRoad_act!V22*1000)</f>
        <v>544.29581738538172</v>
      </c>
      <c r="W106" s="87">
        <f>IF(TrRoad_act!W22=0,0,W46/TrRoad_act!W22*1000)</f>
        <v>541.74101700479684</v>
      </c>
      <c r="X106" s="87">
        <f>IF(TrRoad_act!X22=0,0,X46/TrRoad_act!X22*1000)</f>
        <v>653.58772960588601</v>
      </c>
      <c r="Y106" s="87">
        <f>IF(TrRoad_act!Y22=0,0,Y46/TrRoad_act!Y22*1000)</f>
        <v>651.22997863522778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873.12298890489274</v>
      </c>
      <c r="T107" s="87">
        <f>IF(TrRoad_act!T23=0,0,T48/TrRoad_act!T23*1000)</f>
        <v>865.9029968633356</v>
      </c>
      <c r="U107" s="87">
        <f>IF(TrRoad_act!U23=0,0,U48/TrRoad_act!U23*1000)</f>
        <v>814.68864292799276</v>
      </c>
      <c r="V107" s="87">
        <f>IF(TrRoad_act!V23=0,0,V48/TrRoad_act!V23*1000)</f>
        <v>805.06044610022116</v>
      </c>
      <c r="W107" s="87">
        <f>IF(TrRoad_act!W23=0,0,W48/TrRoad_act!W23*1000)</f>
        <v>797.37265490156869</v>
      </c>
      <c r="X107" s="87">
        <f>IF(TrRoad_act!X23=0,0,X48/TrRoad_act!X23*1000)</f>
        <v>789.74295111437402</v>
      </c>
      <c r="Y107" s="87">
        <f>IF(TrRoad_act!Y23=0,0,Y48/TrRoad_act!Y23*1000)</f>
        <v>820.91767194691909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X108" s="87">
        <f>IF(TrRoad_act!X24=0,0,X49/TrRoad_act!X24*1000)</f>
        <v>0</v>
      </c>
      <c r="Y108" s="87">
        <f>IF(TrRoad_act!Y24=0,0,Y49/TrRoad_act!Y24*1000)</f>
        <v>0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140.80046535419694</v>
      </c>
      <c r="K109" s="87">
        <f>IF(TrRoad_act!K25=0,0,K51/TrRoad_act!K25*1000)</f>
        <v>141.56150803286758</v>
      </c>
      <c r="L109" s="87">
        <f>IF(TrRoad_act!L25=0,0,L51/TrRoad_act!L25*1000)</f>
        <v>144.26920824602496</v>
      </c>
      <c r="M109" s="87">
        <f>IF(TrRoad_act!M25=0,0,M51/TrRoad_act!M25*1000)</f>
        <v>145.19778364946865</v>
      </c>
      <c r="N109" s="87">
        <f>IF(TrRoad_act!N25=0,0,N51/TrRoad_act!N25*1000)</f>
        <v>145.33176238634991</v>
      </c>
      <c r="O109" s="87">
        <f>IF(TrRoad_act!O25=0,0,O51/TrRoad_act!O25*1000)</f>
        <v>148.1152710714002</v>
      </c>
      <c r="P109" s="87">
        <f>IF(TrRoad_act!P25=0,0,P51/TrRoad_act!P25*1000)</f>
        <v>148.56061055070901</v>
      </c>
      <c r="Q109" s="87">
        <f>IF(TrRoad_act!Q25=0,0,Q51/TrRoad_act!Q25*1000)</f>
        <v>150.677282494352</v>
      </c>
      <c r="R109" s="87">
        <f>IF(TrRoad_act!R25=0,0,R51/TrRoad_act!R25*1000)</f>
        <v>154.06242108608302</v>
      </c>
      <c r="S109" s="87">
        <f>IF(TrRoad_act!S25=0,0,S51/TrRoad_act!S25*1000)</f>
        <v>161.40141154868832</v>
      </c>
      <c r="T109" s="87">
        <f>IF(TrRoad_act!T25=0,0,T51/TrRoad_act!T25*1000)</f>
        <v>162.47395040525754</v>
      </c>
      <c r="U109" s="87">
        <f>IF(TrRoad_act!U25=0,0,U51/TrRoad_act!U25*1000)</f>
        <v>212.05324139406645</v>
      </c>
      <c r="V109" s="87">
        <f>IF(TrRoad_act!V25=0,0,V51/TrRoad_act!V25*1000)</f>
        <v>213.19634349194951</v>
      </c>
      <c r="W109" s="87">
        <f>IF(TrRoad_act!W25=0,0,W51/TrRoad_act!W25*1000)</f>
        <v>233.65866313733287</v>
      </c>
      <c r="X109" s="87">
        <f>IF(TrRoad_act!X25=0,0,X51/TrRoad_act!X25*1000)</f>
        <v>238.51818473453264</v>
      </c>
      <c r="Y109" s="87">
        <f>IF(TrRoad_act!Y25=0,0,Y51/TrRoad_act!Y25*1000)</f>
        <v>243.16956257301709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48.452272603994466</v>
      </c>
      <c r="C110" s="116">
        <f>IF(TrRoad_act!C26=0,0,C52/TrRoad_act!C26*1000)</f>
        <v>45.787742492746411</v>
      </c>
      <c r="D110" s="116">
        <f>IF(TrRoad_act!D26=0,0,D52/TrRoad_act!D26*1000)</f>
        <v>17.959413292041521</v>
      </c>
      <c r="E110" s="116">
        <f>IF(TrRoad_act!E26=0,0,E52/TrRoad_act!E26*1000)</f>
        <v>35.3921818450453</v>
      </c>
      <c r="F110" s="116">
        <f>IF(TrRoad_act!F26=0,0,F52/TrRoad_act!F26*1000)</f>
        <v>49.113039145137243</v>
      </c>
      <c r="G110" s="116">
        <f>IF(TrRoad_act!G26=0,0,G52/TrRoad_act!G26*1000)</f>
        <v>69.61389979696969</v>
      </c>
      <c r="H110" s="116">
        <f>IF(TrRoad_act!H26=0,0,H52/TrRoad_act!H26*1000)</f>
        <v>72.957653677118643</v>
      </c>
      <c r="I110" s="116">
        <f>IF(TrRoad_act!I26=0,0,I52/TrRoad_act!I26*1000)</f>
        <v>67.667483265083504</v>
      </c>
      <c r="J110" s="116">
        <f>IF(TrRoad_act!J26=0,0,J52/TrRoad_act!J26*1000)</f>
        <v>65.174122214242928</v>
      </c>
      <c r="K110" s="116">
        <f>IF(TrRoad_act!K26=0,0,K52/TrRoad_act!K26*1000)</f>
        <v>58.547961879338423</v>
      </c>
      <c r="L110" s="116">
        <f>IF(TrRoad_act!L26=0,0,L52/TrRoad_act!L26*1000)</f>
        <v>58.51627185213335</v>
      </c>
      <c r="M110" s="116">
        <f>IF(TrRoad_act!M26=0,0,M52/TrRoad_act!M26*1000)</f>
        <v>55.08395121464924</v>
      </c>
      <c r="N110" s="116">
        <f>IF(TrRoad_act!N26=0,0,N52/TrRoad_act!N26*1000)</f>
        <v>53.981707656796438</v>
      </c>
      <c r="O110" s="116">
        <f>IF(TrRoad_act!O26=0,0,O52/TrRoad_act!O26*1000)</f>
        <v>55.014497695315931</v>
      </c>
      <c r="P110" s="116">
        <f>IF(TrRoad_act!P26=0,0,P52/TrRoad_act!P26*1000)</f>
        <v>54.484412074789709</v>
      </c>
      <c r="Q110" s="116">
        <f>IF(TrRoad_act!Q26=0,0,Q52/TrRoad_act!Q26*1000)</f>
        <v>55.176805710225985</v>
      </c>
      <c r="R110" s="116">
        <f>IF(TrRoad_act!R26=0,0,R52/TrRoad_act!R26*1000)</f>
        <v>55.036055070119396</v>
      </c>
      <c r="S110" s="116">
        <f>IF(TrRoad_act!S26=0,0,S52/TrRoad_act!S26*1000)</f>
        <v>58.592657648001016</v>
      </c>
      <c r="T110" s="116">
        <f>IF(TrRoad_act!T26=0,0,T52/TrRoad_act!T26*1000)</f>
        <v>68.695856678090252</v>
      </c>
      <c r="U110" s="116">
        <f>IF(TrRoad_act!U26=0,0,U52/TrRoad_act!U26*1000)</f>
        <v>71.75031434085281</v>
      </c>
      <c r="V110" s="116">
        <f>IF(TrRoad_act!V26=0,0,V52/TrRoad_act!V26*1000)</f>
        <v>66.881197371897471</v>
      </c>
      <c r="W110" s="116">
        <f>IF(TrRoad_act!W26=0,0,W52/TrRoad_act!W26*1000)</f>
        <v>67.937437724183894</v>
      </c>
      <c r="X110" s="116">
        <f>IF(TrRoad_act!X26=0,0,X52/TrRoad_act!X26*1000)</f>
        <v>84.394194235504926</v>
      </c>
      <c r="Y110" s="116">
        <f>IF(TrRoad_act!Y26=0,0,Y52/TrRoad_act!Y26*1000)</f>
        <v>85.968466517010327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48.452272603994466</v>
      </c>
      <c r="C111" s="101">
        <f>IF(TrRoad_act!C27=0,0,C53/TrRoad_act!C27*1000)</f>
        <v>45.787742492746411</v>
      </c>
      <c r="D111" s="101">
        <f>IF(TrRoad_act!D27=0,0,D53/TrRoad_act!D27*1000)</f>
        <v>17.959413292041521</v>
      </c>
      <c r="E111" s="101">
        <f>IF(TrRoad_act!E27=0,0,E53/TrRoad_act!E27*1000)</f>
        <v>35.3921818450453</v>
      </c>
      <c r="F111" s="101">
        <f>IF(TrRoad_act!F27=0,0,F53/TrRoad_act!F27*1000)</f>
        <v>49.113039145137243</v>
      </c>
      <c r="G111" s="101">
        <f>IF(TrRoad_act!G27=0,0,G53/TrRoad_act!G27*1000)</f>
        <v>69.61389979696969</v>
      </c>
      <c r="H111" s="101">
        <f>IF(TrRoad_act!H27=0,0,H53/TrRoad_act!H27*1000)</f>
        <v>72.957653677118643</v>
      </c>
      <c r="I111" s="101">
        <f>IF(TrRoad_act!I27=0,0,I53/TrRoad_act!I27*1000)</f>
        <v>67.667483265083504</v>
      </c>
      <c r="J111" s="101">
        <f>IF(TrRoad_act!J27=0,0,J53/TrRoad_act!J27*1000)</f>
        <v>65.174122214242928</v>
      </c>
      <c r="K111" s="101">
        <f>IF(TrRoad_act!K27=0,0,K53/TrRoad_act!K27*1000)</f>
        <v>58.547961879338423</v>
      </c>
      <c r="L111" s="101">
        <f>IF(TrRoad_act!L27=0,0,L53/TrRoad_act!L27*1000)</f>
        <v>58.51627185213335</v>
      </c>
      <c r="M111" s="101">
        <f>IF(TrRoad_act!M27=0,0,M53/TrRoad_act!M27*1000)</f>
        <v>55.08395121464924</v>
      </c>
      <c r="N111" s="101">
        <f>IF(TrRoad_act!N27=0,0,N53/TrRoad_act!N27*1000)</f>
        <v>53.981707656796438</v>
      </c>
      <c r="O111" s="101">
        <f>IF(TrRoad_act!O27=0,0,O53/TrRoad_act!O27*1000)</f>
        <v>55.014497695315931</v>
      </c>
      <c r="P111" s="101">
        <f>IF(TrRoad_act!P27=0,0,P53/TrRoad_act!P27*1000)</f>
        <v>54.484412074789709</v>
      </c>
      <c r="Q111" s="101">
        <f>IF(TrRoad_act!Q27=0,0,Q53/TrRoad_act!Q27*1000)</f>
        <v>55.176805710225985</v>
      </c>
      <c r="R111" s="101">
        <f>IF(TrRoad_act!R27=0,0,R53/TrRoad_act!R27*1000)</f>
        <v>55.036055070119396</v>
      </c>
      <c r="S111" s="101">
        <f>IF(TrRoad_act!S27=0,0,S53/TrRoad_act!S27*1000)</f>
        <v>58.592657648001016</v>
      </c>
      <c r="T111" s="101">
        <f>IF(TrRoad_act!T27=0,0,T53/TrRoad_act!T27*1000)</f>
        <v>68.695856678090252</v>
      </c>
      <c r="U111" s="101">
        <f>IF(TrRoad_act!U27=0,0,U53/TrRoad_act!U27*1000)</f>
        <v>71.75031434085281</v>
      </c>
      <c r="V111" s="101">
        <f>IF(TrRoad_act!V27=0,0,V53/TrRoad_act!V27*1000)</f>
        <v>66.881197371897471</v>
      </c>
      <c r="W111" s="101">
        <f>IF(TrRoad_act!W27=0,0,W53/TrRoad_act!W27*1000)</f>
        <v>67.937437724183894</v>
      </c>
      <c r="X111" s="101">
        <f>IF(TrRoad_act!X27=0,0,X53/TrRoad_act!X27*1000)</f>
        <v>84.394194235504926</v>
      </c>
      <c r="Y111" s="101">
        <f>IF(TrRoad_act!Y27=0,0,Y53/TrRoad_act!Y27*1000)</f>
        <v>85.968466517010327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0</v>
      </c>
      <c r="C112" s="88">
        <f>IF(TrRoad_act!C28=0,0,C55/TrRoad_act!C28*1000)</f>
        <v>0</v>
      </c>
      <c r="D112" s="88">
        <f>IF(TrRoad_act!D28=0,0,D55/TrRoad_act!D28*1000)</f>
        <v>0</v>
      </c>
      <c r="E112" s="88">
        <f>IF(TrRoad_act!E28=0,0,E55/TrRoad_act!E28*1000)</f>
        <v>0</v>
      </c>
      <c r="F112" s="88">
        <f>IF(TrRoad_act!F28=0,0,F55/TrRoad_act!F28*1000)</f>
        <v>0</v>
      </c>
      <c r="G112" s="88">
        <f>IF(TrRoad_act!G28=0,0,G55/TrRoad_act!G28*1000)</f>
        <v>0</v>
      </c>
      <c r="H112" s="88">
        <f>IF(TrRoad_act!H28=0,0,H55/TrRoad_act!H28*1000)</f>
        <v>0</v>
      </c>
      <c r="I112" s="88">
        <f>IF(TrRoad_act!I28=0,0,I55/TrRoad_act!I28*1000)</f>
        <v>0</v>
      </c>
      <c r="J112" s="88">
        <f>IF(TrRoad_act!J28=0,0,J55/TrRoad_act!J28*1000)</f>
        <v>0</v>
      </c>
      <c r="K112" s="88">
        <f>IF(TrRoad_act!K28=0,0,K55/TrRoad_act!K28*1000)</f>
        <v>0</v>
      </c>
      <c r="L112" s="88">
        <f>IF(TrRoad_act!L28=0,0,L55/TrRoad_act!L28*1000)</f>
        <v>0</v>
      </c>
      <c r="M112" s="88">
        <f>IF(TrRoad_act!M28=0,0,M55/TrRoad_act!M28*1000)</f>
        <v>0</v>
      </c>
      <c r="N112" s="88">
        <f>IF(TrRoad_act!N28=0,0,N55/TrRoad_act!N28*1000)</f>
        <v>0</v>
      </c>
      <c r="O112" s="88">
        <f>IF(TrRoad_act!O28=0,0,O55/TrRoad_act!O28*1000)</f>
        <v>0</v>
      </c>
      <c r="P112" s="88">
        <f>IF(TrRoad_act!P28=0,0,P55/TrRoad_act!P28*1000)</f>
        <v>0</v>
      </c>
      <c r="Q112" s="88">
        <f>IF(TrRoad_act!Q28=0,0,Q55/TrRoad_act!Q28*1000)</f>
        <v>0</v>
      </c>
      <c r="R112" s="88">
        <f>IF(TrRoad_act!R28=0,0,R55/TrRoad_act!R28*1000)</f>
        <v>0</v>
      </c>
      <c r="S112" s="88">
        <f>IF(TrRoad_act!S28=0,0,S55/TrRoad_act!S28*1000)</f>
        <v>0</v>
      </c>
      <c r="T112" s="88">
        <f>IF(TrRoad_act!T28=0,0,T55/TrRoad_act!T28*1000)</f>
        <v>0</v>
      </c>
      <c r="U112" s="88">
        <f>IF(TrRoad_act!U28=0,0,U55/TrRoad_act!U28*1000)</f>
        <v>0</v>
      </c>
      <c r="V112" s="88">
        <f>IF(TrRoad_act!V28=0,0,V55/TrRoad_act!V28*1000)</f>
        <v>0</v>
      </c>
      <c r="W112" s="88">
        <f>IF(TrRoad_act!W28=0,0,W55/TrRoad_act!W28*1000)</f>
        <v>0</v>
      </c>
      <c r="X112" s="88">
        <f>IF(TrRoad_act!X28=0,0,X55/TrRoad_act!X28*1000)</f>
        <v>0</v>
      </c>
      <c r="Y112" s="88">
        <f>IF(TrRoad_act!Y28=0,0,Y55/TrRoad_act!Y28*1000)</f>
        <v>0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94.017700047523604</v>
      </c>
      <c r="C116" s="152">
        <f>IF(C19=0,0,1000000*C19/TrRoad_act!C59)</f>
        <v>93.512888459926558</v>
      </c>
      <c r="D116" s="152">
        <f>IF(D19=0,0,1000000*D19/TrRoad_act!D59)</f>
        <v>93.094581628939011</v>
      </c>
      <c r="E116" s="152">
        <f>IF(E19=0,0,1000000*E19/TrRoad_act!E59)</f>
        <v>92.839406112564106</v>
      </c>
      <c r="F116" s="152">
        <f>IF(F19=0,0,1000000*F19/TrRoad_act!F59)</f>
        <v>91.853122429962085</v>
      </c>
      <c r="G116" s="152">
        <f>IF(G19=0,0,1000000*G19/TrRoad_act!G59)</f>
        <v>91.075329946374623</v>
      </c>
      <c r="H116" s="152">
        <f>IF(H19=0,0,1000000*H19/TrRoad_act!H59)</f>
        <v>90.58434345790954</v>
      </c>
      <c r="I116" s="152">
        <f>IF(I19=0,0,1000000*I19/TrRoad_act!I59)</f>
        <v>89.971920545734761</v>
      </c>
      <c r="J116" s="152">
        <f>IF(J19=0,0,1000000*J19/TrRoad_act!J59)</f>
        <v>88.566512315452428</v>
      </c>
      <c r="K116" s="152">
        <f>IF(K19=0,0,1000000*K19/TrRoad_act!K59)</f>
        <v>86.551463792006118</v>
      </c>
      <c r="L116" s="152">
        <f>IF(L19=0,0,1000000*L19/TrRoad_act!L59)</f>
        <v>89.220385341581107</v>
      </c>
      <c r="M116" s="152">
        <f>IF(M19=0,0,1000000*M19/TrRoad_act!M59)</f>
        <v>88.407139567308647</v>
      </c>
      <c r="N116" s="152">
        <f>IF(N19=0,0,1000000*N19/TrRoad_act!N59)</f>
        <v>86.49086544506514</v>
      </c>
      <c r="O116" s="152">
        <f>IF(O19=0,0,1000000*O19/TrRoad_act!O59)</f>
        <v>84.748885864293399</v>
      </c>
      <c r="P116" s="152">
        <f>IF(P19=0,0,1000000*P19/TrRoad_act!P59)</f>
        <v>83.297903415182404</v>
      </c>
      <c r="Q116" s="152">
        <f>IF(Q19=0,0,1000000*Q19/TrRoad_act!Q59)</f>
        <v>77.35341828089733</v>
      </c>
      <c r="R116" s="152">
        <f>IF(R19=0,0,1000000*R19/TrRoad_act!R59)</f>
        <v>70.84184710062577</v>
      </c>
      <c r="S116" s="152">
        <f>IF(S19=0,0,1000000*S19/TrRoad_act!S59)</f>
        <v>60.102995163139717</v>
      </c>
      <c r="T116" s="152">
        <f>IF(T19=0,0,1000000*T19/TrRoad_act!T59)</f>
        <v>52.510532195238014</v>
      </c>
      <c r="U116" s="152">
        <f>IF(U19=0,0,1000000*U19/TrRoad_act!U59)</f>
        <v>51.808484010740671</v>
      </c>
      <c r="V116" s="152">
        <f>IF(V19=0,0,1000000*V19/TrRoad_act!V59)</f>
        <v>43.918123158268919</v>
      </c>
      <c r="W116" s="152">
        <f>IF(W19=0,0,1000000*W19/TrRoad_act!W59)</f>
        <v>41.299519559639023</v>
      </c>
      <c r="X116" s="152">
        <f>IF(X19=0,0,1000000*X19/TrRoad_act!X59)</f>
        <v>37.69416598169461</v>
      </c>
      <c r="Y116" s="152">
        <f>IF(Y19=0,0,1000000*Y19/TrRoad_act!Y59)</f>
        <v>38.075644495134469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448.94100480150553</v>
      </c>
      <c r="C117" s="116">
        <f>IF(C21=0,0,1000000*C21/TrRoad_act!C60)</f>
        <v>412.51540024716957</v>
      </c>
      <c r="D117" s="116">
        <f>IF(D21=0,0,1000000*D21/TrRoad_act!D60)</f>
        <v>415.83805015911946</v>
      </c>
      <c r="E117" s="116">
        <f>IF(E21=0,0,1000000*E21/TrRoad_act!E60)</f>
        <v>396.60393582218961</v>
      </c>
      <c r="F117" s="116">
        <f>IF(F21=0,0,1000000*F21/TrRoad_act!F60)</f>
        <v>348.02236952369083</v>
      </c>
      <c r="G117" s="116">
        <f>IF(G21=0,0,1000000*G21/TrRoad_act!G60)</f>
        <v>399.34426364520232</v>
      </c>
      <c r="H117" s="116">
        <f>IF(H21=0,0,1000000*H21/TrRoad_act!H60)</f>
        <v>396.79425765385162</v>
      </c>
      <c r="I117" s="116">
        <f>IF(I21=0,0,1000000*I21/TrRoad_act!I60)</f>
        <v>396.48170703258813</v>
      </c>
      <c r="J117" s="116">
        <f>IF(J21=0,0,1000000*J21/TrRoad_act!J60)</f>
        <v>462.65258095110522</v>
      </c>
      <c r="K117" s="116">
        <f>IF(K21=0,0,1000000*K21/TrRoad_act!K60)</f>
        <v>393.8570337440114</v>
      </c>
      <c r="L117" s="116">
        <f>IF(L21=0,0,1000000*L21/TrRoad_act!L60)</f>
        <v>437.98421937957869</v>
      </c>
      <c r="M117" s="116">
        <f>IF(M21=0,0,1000000*M21/TrRoad_act!M60)</f>
        <v>431.65691763739761</v>
      </c>
      <c r="N117" s="116">
        <f>IF(N21=0,0,1000000*N21/TrRoad_act!N60)</f>
        <v>429.11337899041587</v>
      </c>
      <c r="O117" s="116">
        <f>IF(O21=0,0,1000000*O21/TrRoad_act!O60)</f>
        <v>432.61269878589388</v>
      </c>
      <c r="P117" s="116">
        <f>IF(P21=0,0,1000000*P21/TrRoad_act!P60)</f>
        <v>421.74717122961277</v>
      </c>
      <c r="Q117" s="116">
        <f>IF(Q21=0,0,1000000*Q21/TrRoad_act!Q60)</f>
        <v>432.4955053651621</v>
      </c>
      <c r="R117" s="116">
        <f>IF(R21=0,0,1000000*R21/TrRoad_act!R60)</f>
        <v>426.50540021184207</v>
      </c>
      <c r="S117" s="116">
        <f>IF(S21=0,0,1000000*S21/TrRoad_act!S60)</f>
        <v>417.58153656454976</v>
      </c>
      <c r="T117" s="116">
        <f>IF(T21=0,0,1000000*T21/TrRoad_act!T60)</f>
        <v>445.5420124188617</v>
      </c>
      <c r="U117" s="116">
        <f>IF(U21=0,0,1000000*U21/TrRoad_act!U60)</f>
        <v>454.32549778050037</v>
      </c>
      <c r="V117" s="116">
        <f>IF(V21=0,0,1000000*V21/TrRoad_act!V60)</f>
        <v>371.9819566273199</v>
      </c>
      <c r="W117" s="116">
        <f>IF(W21=0,0,1000000*W21/TrRoad_act!W60)</f>
        <v>394.10667293394914</v>
      </c>
      <c r="X117" s="116">
        <f>IF(X21=0,0,1000000*X21/TrRoad_act!X60)</f>
        <v>448.01583736550009</v>
      </c>
      <c r="Y117" s="116">
        <f>IF(Y21=0,0,1000000*Y21/TrRoad_act!Y60)</f>
        <v>453.69988351565439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470.25233045141476</v>
      </c>
      <c r="C118" s="87">
        <f>IF(C22=0,0,1000000*C22/TrRoad_act!C61)</f>
        <v>432.22920684838772</v>
      </c>
      <c r="D118" s="87">
        <f>IF(D22=0,0,1000000*D22/TrRoad_act!D61)</f>
        <v>471.31507957096659</v>
      </c>
      <c r="E118" s="87">
        <f>IF(E22=0,0,1000000*E22/TrRoad_act!E61)</f>
        <v>425.15530207923064</v>
      </c>
      <c r="F118" s="87">
        <f>IF(F22=0,0,1000000*F22/TrRoad_act!F61)</f>
        <v>347.13976078112563</v>
      </c>
      <c r="G118" s="87">
        <f>IF(G22=0,0,1000000*G22/TrRoad_act!G61)</f>
        <v>377.20244777797012</v>
      </c>
      <c r="H118" s="87">
        <f>IF(H22=0,0,1000000*H22/TrRoad_act!H61)</f>
        <v>366.92047051691566</v>
      </c>
      <c r="I118" s="87">
        <f>IF(I22=0,0,1000000*I22/TrRoad_act!I61)</f>
        <v>372.33513868181154</v>
      </c>
      <c r="J118" s="87">
        <f>IF(J22=0,0,1000000*J22/TrRoad_act!J61)</f>
        <v>453.25207508205318</v>
      </c>
      <c r="K118" s="87">
        <f>IF(K22=0,0,1000000*K22/TrRoad_act!K61)</f>
        <v>377.91260404862629</v>
      </c>
      <c r="L118" s="87">
        <f>IF(L22=0,0,1000000*L22/TrRoad_act!L61)</f>
        <v>414.94050444033832</v>
      </c>
      <c r="M118" s="87">
        <f>IF(M22=0,0,1000000*M22/TrRoad_act!M61)</f>
        <v>408.91092407813727</v>
      </c>
      <c r="N118" s="87">
        <f>IF(N22=0,0,1000000*N22/TrRoad_act!N61)</f>
        <v>404.54824013228625</v>
      </c>
      <c r="O118" s="87">
        <f>IF(O22=0,0,1000000*O22/TrRoad_act!O61)</f>
        <v>403.21791021810429</v>
      </c>
      <c r="P118" s="87">
        <f>IF(P22=0,0,1000000*P22/TrRoad_act!P61)</f>
        <v>390.61602435341064</v>
      </c>
      <c r="Q118" s="87">
        <f>IF(Q22=0,0,1000000*Q22/TrRoad_act!Q61)</f>
        <v>400.55839323227036</v>
      </c>
      <c r="R118" s="87">
        <f>IF(R22=0,0,1000000*R22/TrRoad_act!R61)</f>
        <v>392.94567747848521</v>
      </c>
      <c r="S118" s="87">
        <f>IF(S22=0,0,1000000*S22/TrRoad_act!S61)</f>
        <v>387.60497860653425</v>
      </c>
      <c r="T118" s="87">
        <f>IF(T22=0,0,1000000*T22/TrRoad_act!T61)</f>
        <v>380.44284935030259</v>
      </c>
      <c r="U118" s="87">
        <f>IF(U22=0,0,1000000*U22/TrRoad_act!U61)</f>
        <v>395.33168024850289</v>
      </c>
      <c r="V118" s="87">
        <f>IF(V22=0,0,1000000*V22/TrRoad_act!V61)</f>
        <v>330.35156281583784</v>
      </c>
      <c r="W118" s="87">
        <f>IF(W22=0,0,1000000*W22/TrRoad_act!W61)</f>
        <v>350.44577634224174</v>
      </c>
      <c r="X118" s="87">
        <f>IF(X22=0,0,1000000*X22/TrRoad_act!X61)</f>
        <v>379.15351710885489</v>
      </c>
      <c r="Y118" s="87">
        <f>IF(Y22=0,0,1000000*Y22/TrRoad_act!Y61)</f>
        <v>384.30302256445037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322.00193097564431</v>
      </c>
      <c r="C119" s="87">
        <f>IF(C24=0,0,1000000*C24/TrRoad_act!C62)</f>
        <v>304.03097407061171</v>
      </c>
      <c r="D119" s="87">
        <f>IF(D24=0,0,1000000*D24/TrRoad_act!D62)</f>
        <v>121.37904581202183</v>
      </c>
      <c r="E119" s="87">
        <f>IF(E24=0,0,1000000*E24/TrRoad_act!E62)</f>
        <v>247.19689697085028</v>
      </c>
      <c r="F119" s="87">
        <f>IF(F24=0,0,1000000*F24/TrRoad_act!F62)</f>
        <v>352.66236042217258</v>
      </c>
      <c r="G119" s="87">
        <f>IF(G24=0,0,1000000*G24/TrRoad_act!G62)</f>
        <v>512.214186523178</v>
      </c>
      <c r="H119" s="87">
        <f>IF(H24=0,0,1000000*H24/TrRoad_act!H62)</f>
        <v>549.18854701922464</v>
      </c>
      <c r="I119" s="87">
        <f>IF(I24=0,0,1000000*I24/TrRoad_act!I62)</f>
        <v>520.0978221524183</v>
      </c>
      <c r="J119" s="87">
        <f>IF(J24=0,0,1000000*J24/TrRoad_act!J62)</f>
        <v>510.64642822536814</v>
      </c>
      <c r="K119" s="87">
        <f>IF(K24=0,0,1000000*K24/TrRoad_act!K62)</f>
        <v>473.64880627896372</v>
      </c>
      <c r="L119" s="87">
        <f>IF(L24=0,0,1000000*L24/TrRoad_act!L62)</f>
        <v>496.75807863284643</v>
      </c>
      <c r="M119" s="87">
        <f>IF(M24=0,0,1000000*M24/TrRoad_act!M62)</f>
        <v>487.3539579439842</v>
      </c>
      <c r="N119" s="87">
        <f>IF(N24=0,0,1000000*N24/TrRoad_act!N62)</f>
        <v>486.83513698660761</v>
      </c>
      <c r="O119" s="87">
        <f>IF(O24=0,0,1000000*O24/TrRoad_act!O62)</f>
        <v>499.89514168848041</v>
      </c>
      <c r="P119" s="87">
        <f>IF(P24=0,0,1000000*P24/TrRoad_act!P62)</f>
        <v>491.08953442473353</v>
      </c>
      <c r="Q119" s="87">
        <f>IF(Q24=0,0,1000000*Q24/TrRoad_act!Q62)</f>
        <v>503.13068087786161</v>
      </c>
      <c r="R119" s="87">
        <f>IF(R24=0,0,1000000*R24/TrRoad_act!R62)</f>
        <v>496.96293688456268</v>
      </c>
      <c r="S119" s="87">
        <f>IF(S24=0,0,1000000*S24/TrRoad_act!S62)</f>
        <v>479.59302215738751</v>
      </c>
      <c r="T119" s="87">
        <f>IF(T24=0,0,1000000*T24/TrRoad_act!T62)</f>
        <v>580.95369280172702</v>
      </c>
      <c r="U119" s="87">
        <f>IF(U24=0,0,1000000*U24/TrRoad_act!U62)</f>
        <v>579.895474360702</v>
      </c>
      <c r="V119" s="87">
        <f>IF(V24=0,0,1000000*V24/TrRoad_act!V62)</f>
        <v>459.40356644401345</v>
      </c>
      <c r="W119" s="87">
        <f>IF(W24=0,0,1000000*W24/TrRoad_act!W62)</f>
        <v>488.23178708509766</v>
      </c>
      <c r="X119" s="87">
        <f>IF(X24=0,0,1000000*X24/TrRoad_act!X62)</f>
        <v>604.46933068165833</v>
      </c>
      <c r="Y119" s="87">
        <f>IF(Y24=0,0,1000000*Y24/TrRoad_act!Y62)</f>
        <v>620.48191109118534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0</v>
      </c>
      <c r="I120" s="87">
        <f>IF(I26=0,0,1000000*I26/TrRoad_act!I63)</f>
        <v>0</v>
      </c>
      <c r="J120" s="87">
        <f>IF(J26=0,0,1000000*J26/TrRoad_act!J63)</f>
        <v>0</v>
      </c>
      <c r="K120" s="87">
        <f>IF(K26=0,0,1000000*K26/TrRoad_act!K63)</f>
        <v>0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549.35511607910553</v>
      </c>
      <c r="S120" s="87">
        <f>IF(S26=0,0,1000000*S26/TrRoad_act!S63)</f>
        <v>572.63763193936438</v>
      </c>
      <c r="T120" s="87">
        <f>IF(T26=0,0,1000000*T26/TrRoad_act!T63)</f>
        <v>814.73032959945579</v>
      </c>
      <c r="U120" s="87">
        <f>IF(U26=0,0,1000000*U26/TrRoad_act!U63)</f>
        <v>563.57264542726114</v>
      </c>
      <c r="V120" s="87">
        <f>IF(V26=0,0,1000000*V26/TrRoad_act!V63)</f>
        <v>550.44777666349125</v>
      </c>
      <c r="W120" s="87">
        <f>IF(W26=0,0,1000000*W26/TrRoad_act!W63)</f>
        <v>685.21418409457044</v>
      </c>
      <c r="X120" s="87">
        <f>IF(X26=0,0,1000000*X26/TrRoad_act!X63)</f>
        <v>797.57719992964087</v>
      </c>
      <c r="Y120" s="87">
        <f>IF(Y26=0,0,1000000*Y26/TrRoad_act!Y63)</f>
        <v>642.87227074160728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X121" s="87">
        <f>IF(X27=0,0,1000000*X27/TrRoad_act!X64)</f>
        <v>0</v>
      </c>
      <c r="Y121" s="87">
        <f>IF(Y27=0,0,1000000*Y27/TrRoad_act!Y64)</f>
        <v>0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640.51864139804366</v>
      </c>
      <c r="M122" s="87">
        <f>IF(M29=0,0,1000000*M29/TrRoad_act!M65)</f>
        <v>553.20763589023204</v>
      </c>
      <c r="N122" s="87">
        <f>IF(N29=0,0,1000000*N29/TrRoad_act!N65)</f>
        <v>515.05008302267754</v>
      </c>
      <c r="O122" s="87">
        <f>IF(O29=0,0,1000000*O29/TrRoad_act!O65)</f>
        <v>464.44717839056528</v>
      </c>
      <c r="P122" s="87">
        <f>IF(P29=0,0,1000000*P29/TrRoad_act!P65)</f>
        <v>466.81090019328815</v>
      </c>
      <c r="Q122" s="87">
        <f>IF(Q29=0,0,1000000*Q29/TrRoad_act!Q65)</f>
        <v>478.61133127355947</v>
      </c>
      <c r="R122" s="87">
        <f>IF(R29=0,0,1000000*R29/TrRoad_act!R65)</f>
        <v>509.97871274700697</v>
      </c>
      <c r="S122" s="87">
        <f>IF(S29=0,0,1000000*S29/TrRoad_act!S65)</f>
        <v>516.12536260165734</v>
      </c>
      <c r="T122" s="87">
        <f>IF(T29=0,0,1000000*T29/TrRoad_act!T65)</f>
        <v>560.2838173341346</v>
      </c>
      <c r="U122" s="87">
        <f>IF(U29=0,0,1000000*U29/TrRoad_act!U65)</f>
        <v>589.24414126350234</v>
      </c>
      <c r="V122" s="87">
        <f>IF(V29=0,0,1000000*V29/TrRoad_act!V65)</f>
        <v>500.39747274594748</v>
      </c>
      <c r="W122" s="87">
        <f>IF(W29=0,0,1000000*W29/TrRoad_act!W65)</f>
        <v>490.48589740912081</v>
      </c>
      <c r="X122" s="87">
        <f>IF(X29=0,0,1000000*X29/TrRoad_act!X65)</f>
        <v>484.19488904104782</v>
      </c>
      <c r="Y122" s="87">
        <f>IF(Y29=0,0,1000000*Y29/TrRoad_act!Y65)</f>
        <v>485.30217383116803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121.27038293741528</v>
      </c>
      <c r="F123" s="87">
        <f>IF(F32=0,0,1000000*F32/TrRoad_act!F66)</f>
        <v>122.40686490579326</v>
      </c>
      <c r="G123" s="87">
        <f>IF(G32=0,0,1000000*G32/TrRoad_act!G66)</f>
        <v>126.12679546652839</v>
      </c>
      <c r="H123" s="87">
        <f>IF(H32=0,0,1000000*H32/TrRoad_act!H66)</f>
        <v>127.11371573973319</v>
      </c>
      <c r="I123" s="87">
        <f>IF(I32=0,0,1000000*I32/TrRoad_act!I66)</f>
        <v>128.64009185848778</v>
      </c>
      <c r="J123" s="87">
        <f>IF(J32=0,0,1000000*J32/TrRoad_act!J66)</f>
        <v>129.68180186772818</v>
      </c>
      <c r="K123" s="87">
        <f>IF(K32=0,0,1000000*K32/TrRoad_act!K66)</f>
        <v>130.08558766115291</v>
      </c>
      <c r="L123" s="87">
        <f>IF(L32=0,0,1000000*L32/TrRoad_act!L66)</f>
        <v>132.35274920212521</v>
      </c>
      <c r="M123" s="87">
        <f>IF(M32=0,0,1000000*M32/TrRoad_act!M66)</f>
        <v>132.40860421465371</v>
      </c>
      <c r="N123" s="87">
        <f>IF(N32=0,0,1000000*N32/TrRoad_act!N66)</f>
        <v>129.70696486396326</v>
      </c>
      <c r="O123" s="87">
        <f>IF(O32=0,0,1000000*O32/TrRoad_act!O66)</f>
        <v>128.57418697786716</v>
      </c>
      <c r="P123" s="87">
        <f>IF(P32=0,0,1000000*P32/TrRoad_act!P66)</f>
        <v>130.74786329008927</v>
      </c>
      <c r="Q123" s="87">
        <f>IF(Q32=0,0,1000000*Q32/TrRoad_act!Q66)</f>
        <v>138.68314531863754</v>
      </c>
      <c r="R123" s="87">
        <f>IF(R32=0,0,1000000*R32/TrRoad_act!R66)</f>
        <v>141.0853755845126</v>
      </c>
      <c r="S123" s="87">
        <f>IF(S32=0,0,1000000*S32/TrRoad_act!S66)</f>
        <v>130.50955149236157</v>
      </c>
      <c r="T123" s="87">
        <f>IF(T32=0,0,1000000*T32/TrRoad_act!T66)</f>
        <v>125.03518659574885</v>
      </c>
      <c r="U123" s="87">
        <f>IF(U32=0,0,1000000*U32/TrRoad_act!U66)</f>
        <v>140.77794888644078</v>
      </c>
      <c r="V123" s="87">
        <f>IF(V32=0,0,1000000*V32/TrRoad_act!V66)</f>
        <v>141.7943397081315</v>
      </c>
      <c r="W123" s="87">
        <f>IF(W32=0,0,1000000*W32/TrRoad_act!W66)</f>
        <v>153.2141269918109</v>
      </c>
      <c r="X123" s="87">
        <f>IF(X32=0,0,1000000*X32/TrRoad_act!X66)</f>
        <v>149.6738720002063</v>
      </c>
      <c r="Y123" s="87">
        <f>IF(Y32=0,0,1000000*Y32/TrRoad_act!Y66)</f>
        <v>153.74584772094471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7205.4781226282057</v>
      </c>
      <c r="C124" s="116">
        <f>IF(C33=0,0,1000000*C33/TrRoad_act!C67)</f>
        <v>6983.2898247472613</v>
      </c>
      <c r="D124" s="116">
        <f>IF(D33=0,0,1000000*D33/TrRoad_act!D67)</f>
        <v>2790.1883498392845</v>
      </c>
      <c r="E124" s="116">
        <f>IF(E33=0,0,1000000*E33/TrRoad_act!E67)</f>
        <v>5611.5982161614302</v>
      </c>
      <c r="F124" s="116">
        <f>IF(F33=0,0,1000000*F33/TrRoad_act!F67)</f>
        <v>7977.322083267326</v>
      </c>
      <c r="G124" s="116">
        <f>IF(G33=0,0,1000000*G33/TrRoad_act!G67)</f>
        <v>11154.716073755149</v>
      </c>
      <c r="H124" s="116">
        <f>IF(H33=0,0,1000000*H33/TrRoad_act!H67)</f>
        <v>12005.53164279438</v>
      </c>
      <c r="I124" s="116">
        <f>IF(I33=0,0,1000000*I33/TrRoad_act!I67)</f>
        <v>11339.633148540963</v>
      </c>
      <c r="J124" s="116">
        <f>IF(J33=0,0,1000000*J33/TrRoad_act!J67)</f>
        <v>11269.580482991812</v>
      </c>
      <c r="K124" s="116">
        <f>IF(K33=0,0,1000000*K33/TrRoad_act!K67)</f>
        <v>8857.0491987368496</v>
      </c>
      <c r="L124" s="116">
        <f>IF(L33=0,0,1000000*L33/TrRoad_act!L67)</f>
        <v>9165.0526659763818</v>
      </c>
      <c r="M124" s="116">
        <f>IF(M33=0,0,1000000*M33/TrRoad_act!M67)</f>
        <v>9830.0786126577532</v>
      </c>
      <c r="N124" s="116">
        <f>IF(N33=0,0,1000000*N33/TrRoad_act!N67)</f>
        <v>11389.099372698045</v>
      </c>
      <c r="O124" s="116">
        <f>IF(O33=0,0,1000000*O33/TrRoad_act!O67)</f>
        <v>12040.699579412078</v>
      </c>
      <c r="P124" s="116">
        <f>IF(P33=0,0,1000000*P33/TrRoad_act!P67)</f>
        <v>13979.182177564679</v>
      </c>
      <c r="Q124" s="116">
        <f>IF(Q33=0,0,1000000*Q33/TrRoad_act!Q67)</f>
        <v>14556.211586833118</v>
      </c>
      <c r="R124" s="116">
        <f>IF(R33=0,0,1000000*R33/TrRoad_act!R67)</f>
        <v>14052.699927148622</v>
      </c>
      <c r="S124" s="116">
        <f>IF(S33=0,0,1000000*S33/TrRoad_act!S67)</f>
        <v>14593.913798407875</v>
      </c>
      <c r="T124" s="116">
        <f>IF(T33=0,0,1000000*T33/TrRoad_act!T67)</f>
        <v>16950.181841886937</v>
      </c>
      <c r="U124" s="116">
        <f>IF(U33=0,0,1000000*U33/TrRoad_act!U67)</f>
        <v>15955.318100311017</v>
      </c>
      <c r="V124" s="116">
        <f>IF(V33=0,0,1000000*V33/TrRoad_act!V67)</f>
        <v>11607.272824020585</v>
      </c>
      <c r="W124" s="116">
        <f>IF(W33=0,0,1000000*W33/TrRoad_act!W67)</f>
        <v>10172.453578890185</v>
      </c>
      <c r="X124" s="116">
        <f>IF(X33=0,0,1000000*X33/TrRoad_act!X67)</f>
        <v>14609.932643118162</v>
      </c>
      <c r="Y124" s="116">
        <f>IF(Y33=0,0,1000000*Y33/TrRoad_act!Y67)</f>
        <v>15251.679021395943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2496.7075534210635</v>
      </c>
      <c r="M125" s="101">
        <f>IF(M34=0,0,1000000*M34/TrRoad_act!M68)</f>
        <v>2520.5724433806199</v>
      </c>
      <c r="N125" s="101">
        <f>IF(N34=0,0,1000000*N34/TrRoad_act!N68)</f>
        <v>2542.8425412498291</v>
      </c>
      <c r="O125" s="101">
        <f>IF(O34=0,0,1000000*O34/TrRoad_act!O68)</f>
        <v>2548.4585929146242</v>
      </c>
      <c r="P125" s="101">
        <f>IF(P34=0,0,1000000*P34/TrRoad_act!P68)</f>
        <v>2569.9629867225681</v>
      </c>
      <c r="Q125" s="101">
        <f>IF(Q34=0,0,1000000*Q34/TrRoad_act!Q68)</f>
        <v>2575.5862737166658</v>
      </c>
      <c r="R125" s="101">
        <f>IF(R34=0,0,1000000*R34/TrRoad_act!R68)</f>
        <v>2478.4152412762096</v>
      </c>
      <c r="S125" s="101">
        <f>IF(S34=0,0,1000000*S34/TrRoad_act!S68)</f>
        <v>2397.8341453656217</v>
      </c>
      <c r="T125" s="101">
        <f>IF(T34=0,0,1000000*T34/TrRoad_act!T68)</f>
        <v>2319.5191523951644</v>
      </c>
      <c r="U125" s="101">
        <f>IF(U34=0,0,1000000*U34/TrRoad_act!U68)</f>
        <v>2029.5846940009937</v>
      </c>
      <c r="V125" s="101">
        <f>IF(V34=0,0,1000000*V34/TrRoad_act!V68)</f>
        <v>1578.5066897037859</v>
      </c>
      <c r="W125" s="101">
        <f>IF(W34=0,0,1000000*W34/TrRoad_act!W68)</f>
        <v>1335.9618196519043</v>
      </c>
      <c r="X125" s="101">
        <f>IF(X34=0,0,1000000*X34/TrRoad_act!X68)</f>
        <v>1570.6538300940801</v>
      </c>
      <c r="Y125" s="101">
        <f>IF(Y34=0,0,1000000*Y34/TrRoad_act!Y68)</f>
        <v>1600.9961349583039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7205.4781226282057</v>
      </c>
      <c r="C126" s="101">
        <f>IF(C36=0,0,1000000*C36/TrRoad_act!C69)</f>
        <v>6983.2898247472613</v>
      </c>
      <c r="D126" s="101">
        <f>IF(D36=0,0,1000000*D36/TrRoad_act!D69)</f>
        <v>2790.1883498392845</v>
      </c>
      <c r="E126" s="101">
        <f>IF(E36=0,0,1000000*E36/TrRoad_act!E69)</f>
        <v>5611.5982161614302</v>
      </c>
      <c r="F126" s="101">
        <f>IF(F36=0,0,1000000*F36/TrRoad_act!F69)</f>
        <v>7977.322083267326</v>
      </c>
      <c r="G126" s="101">
        <f>IF(G36=0,0,1000000*G36/TrRoad_act!G69)</f>
        <v>11154.716073755149</v>
      </c>
      <c r="H126" s="101">
        <f>IF(H36=0,0,1000000*H36/TrRoad_act!H69)</f>
        <v>12005.53164279438</v>
      </c>
      <c r="I126" s="101">
        <f>IF(I36=0,0,1000000*I36/TrRoad_act!I69)</f>
        <v>11339.633148540963</v>
      </c>
      <c r="J126" s="101">
        <f>IF(J36=0,0,1000000*J36/TrRoad_act!J69)</f>
        <v>11269.580482991812</v>
      </c>
      <c r="K126" s="101">
        <f>IF(K36=0,0,1000000*K36/TrRoad_act!K69)</f>
        <v>8857.0491987368496</v>
      </c>
      <c r="L126" s="101">
        <f>IF(L36=0,0,1000000*L36/TrRoad_act!L69)</f>
        <v>9230.5355967052401</v>
      </c>
      <c r="M126" s="101">
        <f>IF(M36=0,0,1000000*M36/TrRoad_act!M69)</f>
        <v>9893.0554033178105</v>
      </c>
      <c r="N126" s="101">
        <f>IF(N36=0,0,1000000*N36/TrRoad_act!N69)</f>
        <v>11460.604912906058</v>
      </c>
      <c r="O126" s="101">
        <f>IF(O36=0,0,1000000*O36/TrRoad_act!O69)</f>
        <v>12113.330028396464</v>
      </c>
      <c r="P126" s="101">
        <f>IF(P36=0,0,1000000*P36/TrRoad_act!P69)</f>
        <v>14055.968846263559</v>
      </c>
      <c r="Q126" s="101">
        <f>IF(Q36=0,0,1000000*Q36/TrRoad_act!Q69)</f>
        <v>14617.90378720962</v>
      </c>
      <c r="R126" s="101">
        <f>IF(R36=0,0,1000000*R36/TrRoad_act!R69)</f>
        <v>14110.979306231564</v>
      </c>
      <c r="S126" s="101">
        <f>IF(S36=0,0,1000000*S36/TrRoad_act!S69)</f>
        <v>14653.118068568276</v>
      </c>
      <c r="T126" s="101">
        <f>IF(T36=0,0,1000000*T36/TrRoad_act!T69)</f>
        <v>17041.137147871701</v>
      </c>
      <c r="U126" s="101">
        <f>IF(U36=0,0,1000000*U36/TrRoad_act!U69)</f>
        <v>16047.895398204755</v>
      </c>
      <c r="V126" s="101">
        <f>IF(V36=0,0,1000000*V36/TrRoad_act!V69)</f>
        <v>11659.199283068132</v>
      </c>
      <c r="W126" s="101">
        <f>IF(W36=0,0,1000000*W36/TrRoad_act!W69)</f>
        <v>10204.747873959885</v>
      </c>
      <c r="X126" s="101">
        <f>IF(X36=0,0,1000000*X36/TrRoad_act!X69)</f>
        <v>14685.470700445538</v>
      </c>
      <c r="Y126" s="101">
        <f>IF(Y36=0,0,1000000*Y36/TrRoad_act!Y69)</f>
        <v>15388.411522800359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13694.987340400328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X128" s="101">
        <f>IF(X39=0,0,1000000*X39/TrRoad_act!X71)</f>
        <v>0</v>
      </c>
      <c r="Y128" s="101">
        <f>IF(Y39=0,0,1000000*Y39/TrRoad_act!Y71)</f>
        <v>0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0</v>
      </c>
      <c r="Q129" s="101">
        <f>IF(Q41=0,0,1000000*Q41/TrRoad_act!Q72)</f>
        <v>0</v>
      </c>
      <c r="R129" s="101">
        <f>IF(R41=0,0,1000000*R41/TrRoad_act!R72)</f>
        <v>0</v>
      </c>
      <c r="S129" s="101">
        <f>IF(S41=0,0,1000000*S41/TrRoad_act!S72)</f>
        <v>0</v>
      </c>
      <c r="T129" s="101">
        <f>IF(T41=0,0,1000000*T41/TrRoad_act!T72)</f>
        <v>13271.161111674239</v>
      </c>
      <c r="U129" s="101">
        <f>IF(U41=0,0,1000000*U41/TrRoad_act!U72)</f>
        <v>13210.364042843492</v>
      </c>
      <c r="V129" s="101">
        <f>IF(V41=0,0,1000000*V41/TrRoad_act!V72)</f>
        <v>11250.747148827468</v>
      </c>
      <c r="W129" s="101">
        <f>IF(W41=0,0,1000000*W41/TrRoad_act!W72)</f>
        <v>12816.514258513489</v>
      </c>
      <c r="X129" s="101">
        <f>IF(X41=0,0,1000000*X41/TrRoad_act!X72)</f>
        <v>12857.589236843582</v>
      </c>
      <c r="Y129" s="101">
        <f>IF(Y41=0,0,1000000*Y41/TrRoad_act!Y72)</f>
        <v>12498.191565070902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573.36028085153123</v>
      </c>
      <c r="C131" s="152">
        <f>IF(C43=0,0,1000000*C43/TrRoad_act!C74)</f>
        <v>540.00097688040125</v>
      </c>
      <c r="D131" s="152">
        <f>IF(D43=0,0,1000000*D43/TrRoad_act!D74)</f>
        <v>228.14352016108376</v>
      </c>
      <c r="E131" s="152">
        <f>IF(E43=0,0,1000000*E43/TrRoad_act!E74)</f>
        <v>417.1045446490852</v>
      </c>
      <c r="F131" s="152">
        <f>IF(F43=0,0,1000000*F43/TrRoad_act!F74)</f>
        <v>555.34845675146266</v>
      </c>
      <c r="G131" s="152">
        <f>IF(G43=0,0,1000000*G43/TrRoad_act!G74)</f>
        <v>760.58771145413402</v>
      </c>
      <c r="H131" s="152">
        <f>IF(H43=0,0,1000000*H43/TrRoad_act!H74)</f>
        <v>791.19069522743621</v>
      </c>
      <c r="I131" s="152">
        <f>IF(I43=0,0,1000000*I43/TrRoad_act!I74)</f>
        <v>760.4102080211461</v>
      </c>
      <c r="J131" s="152">
        <f>IF(J43=0,0,1000000*J43/TrRoad_act!J74)</f>
        <v>744.58968646662584</v>
      </c>
      <c r="K131" s="152">
        <f>IF(K43=0,0,1000000*K43/TrRoad_act!K74)</f>
        <v>686.13092398548815</v>
      </c>
      <c r="L131" s="152">
        <f>IF(L43=0,0,1000000*L43/TrRoad_act!L74)</f>
        <v>630.42894213793056</v>
      </c>
      <c r="M131" s="152">
        <f>IF(M43=0,0,1000000*M43/TrRoad_act!M74)</f>
        <v>604.24018412745841</v>
      </c>
      <c r="N131" s="152">
        <f>IF(N43=0,0,1000000*N43/TrRoad_act!N74)</f>
        <v>576.22950759657476</v>
      </c>
      <c r="O131" s="152">
        <f>IF(O43=0,0,1000000*O43/TrRoad_act!O74)</f>
        <v>580.06530859583722</v>
      </c>
      <c r="P131" s="152">
        <f>IF(P43=0,0,1000000*P43/TrRoad_act!P74)</f>
        <v>586.76101364168403</v>
      </c>
      <c r="Q131" s="152">
        <f>IF(Q43=0,0,1000000*Q43/TrRoad_act!Q74)</f>
        <v>589.57661454010019</v>
      </c>
      <c r="R131" s="152">
        <f>IF(R43=0,0,1000000*R43/TrRoad_act!R74)</f>
        <v>558.01838438765333</v>
      </c>
      <c r="S131" s="152">
        <f>IF(S43=0,0,1000000*S43/TrRoad_act!S74)</f>
        <v>587.45970702918737</v>
      </c>
      <c r="T131" s="152">
        <f>IF(T43=0,0,1000000*T43/TrRoad_act!T74)</f>
        <v>649.1342974344501</v>
      </c>
      <c r="U131" s="152">
        <f>IF(U43=0,0,1000000*U43/TrRoad_act!U74)</f>
        <v>674.12812302940301</v>
      </c>
      <c r="V131" s="152">
        <f>IF(V43=0,0,1000000*V43/TrRoad_act!V74)</f>
        <v>586.47829455207398</v>
      </c>
      <c r="W131" s="152">
        <f>IF(W43=0,0,1000000*W43/TrRoad_act!W74)</f>
        <v>561.97811679623044</v>
      </c>
      <c r="X131" s="152">
        <f>IF(X43=0,0,1000000*X43/TrRoad_act!X74)</f>
        <v>648.57432784559046</v>
      </c>
      <c r="Y131" s="152">
        <f>IF(Y43=0,0,1000000*Y43/TrRoad_act!Y74)</f>
        <v>623.28261357360816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394.46909339365737</v>
      </c>
      <c r="C132" s="87">
        <f>IF(C44=0,0,1000000*C44/TrRoad_act!C75)</f>
        <v>451.61748303083442</v>
      </c>
      <c r="D132" s="87">
        <f>IF(D44=0,0,1000000*D44/TrRoad_act!D75)</f>
        <v>468.40831746214928</v>
      </c>
      <c r="E132" s="87">
        <f>IF(E44=0,0,1000000*E44/TrRoad_act!E75)</f>
        <v>449.932253057281</v>
      </c>
      <c r="F132" s="87">
        <f>IF(F44=0,0,1000000*F44/TrRoad_act!F75)</f>
        <v>432.42051828008738</v>
      </c>
      <c r="G132" s="87">
        <f>IF(G44=0,0,1000000*G44/TrRoad_act!G75)</f>
        <v>439.36620309624317</v>
      </c>
      <c r="H132" s="87">
        <f>IF(H44=0,0,1000000*H44/TrRoad_act!H75)</f>
        <v>432.60447842366489</v>
      </c>
      <c r="I132" s="87">
        <f>IF(I44=0,0,1000000*I44/TrRoad_act!I75)</f>
        <v>431.8448566840525</v>
      </c>
      <c r="J132" s="87">
        <f>IF(J44=0,0,1000000*J44/TrRoad_act!J75)</f>
        <v>420.24889109738086</v>
      </c>
      <c r="K132" s="87">
        <f>IF(K44=0,0,1000000*K44/TrRoad_act!K75)</f>
        <v>407.38581096033738</v>
      </c>
      <c r="L132" s="87">
        <f>IF(L44=0,0,1000000*L44/TrRoad_act!L75)</f>
        <v>458.15286051387727</v>
      </c>
      <c r="M132" s="87">
        <f>IF(M44=0,0,1000000*M44/TrRoad_act!M75)</f>
        <v>451.43907237112137</v>
      </c>
      <c r="N132" s="87">
        <f>IF(N44=0,0,1000000*N44/TrRoad_act!N75)</f>
        <v>472.79364827948808</v>
      </c>
      <c r="O132" s="87">
        <f>IF(O44=0,0,1000000*O44/TrRoad_act!O75)</f>
        <v>472.6935098104795</v>
      </c>
      <c r="P132" s="87">
        <f>IF(P44=0,0,1000000*P44/TrRoad_act!P75)</f>
        <v>484.28869642303147</v>
      </c>
      <c r="Q132" s="87">
        <f>IF(Q44=0,0,1000000*Q44/TrRoad_act!Q75)</f>
        <v>481.27738413309288</v>
      </c>
      <c r="R132" s="87">
        <f>IF(R44=0,0,1000000*R44/TrRoad_act!R75)</f>
        <v>454.55915635048319</v>
      </c>
      <c r="S132" s="87">
        <f>IF(S44=0,0,1000000*S44/TrRoad_act!S75)</f>
        <v>449.51200753268091</v>
      </c>
      <c r="T132" s="87">
        <f>IF(T44=0,0,1000000*T44/TrRoad_act!T75)</f>
        <v>435.20659428146166</v>
      </c>
      <c r="U132" s="87">
        <f>IF(U44=0,0,1000000*U44/TrRoad_act!U75)</f>
        <v>439.97400356241434</v>
      </c>
      <c r="V132" s="87">
        <f>IF(V44=0,0,1000000*V44/TrRoad_act!V75)</f>
        <v>406.34301488982254</v>
      </c>
      <c r="W132" s="87">
        <f>IF(W44=0,0,1000000*W44/TrRoad_act!W75)</f>
        <v>393.93516606848209</v>
      </c>
      <c r="X132" s="87">
        <f>IF(X44=0,0,1000000*X44/TrRoad_act!X75)</f>
        <v>387.64839088250585</v>
      </c>
      <c r="Y132" s="87">
        <f>IF(Y44=0,0,1000000*Y44/TrRoad_act!Y75)</f>
        <v>378.10912986962188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584.53593386670832</v>
      </c>
      <c r="C133" s="87">
        <f>IF(C46=0,0,1000000*C46/TrRoad_act!C76)</f>
        <v>545.67581868408172</v>
      </c>
      <c r="D133" s="87">
        <f>IF(D46=0,0,1000000*D46/TrRoad_act!D76)</f>
        <v>213.1517463981854</v>
      </c>
      <c r="E133" s="87">
        <f>IF(E46=0,0,1000000*E46/TrRoad_act!E76)</f>
        <v>415.11458430775838</v>
      </c>
      <c r="F133" s="87">
        <f>IF(F46=0,0,1000000*F46/TrRoad_act!F76)</f>
        <v>562.58934940253243</v>
      </c>
      <c r="G133" s="87">
        <f>IF(G46=0,0,1000000*G46/TrRoad_act!G76)</f>
        <v>778.98621416416597</v>
      </c>
      <c r="H133" s="87">
        <f>IF(H46=0,0,1000000*H46/TrRoad_act!H76)</f>
        <v>811.15456486639437</v>
      </c>
      <c r="I133" s="87">
        <f>IF(I46=0,0,1000000*I46/TrRoad_act!I76)</f>
        <v>778.18899000494025</v>
      </c>
      <c r="J133" s="87">
        <f>IF(J46=0,0,1000000*J46/TrRoad_act!J76)</f>
        <v>761.72900306833435</v>
      </c>
      <c r="K133" s="87">
        <f>IF(K46=0,0,1000000*K46/TrRoad_act!K76)</f>
        <v>700.45643016520637</v>
      </c>
      <c r="L133" s="87">
        <f>IF(L46=0,0,1000000*L46/TrRoad_act!L76)</f>
        <v>639.0746555225212</v>
      </c>
      <c r="M133" s="87">
        <f>IF(M46=0,0,1000000*M46/TrRoad_act!M76)</f>
        <v>611.47377744308494</v>
      </c>
      <c r="N133" s="87">
        <f>IF(N46=0,0,1000000*N46/TrRoad_act!N76)</f>
        <v>580.72433960830722</v>
      </c>
      <c r="O133" s="87">
        <f>IF(O46=0,0,1000000*O46/TrRoad_act!O76)</f>
        <v>584.79340286106765</v>
      </c>
      <c r="P133" s="87">
        <f>IF(P46=0,0,1000000*P46/TrRoad_act!P76)</f>
        <v>591.16258195369835</v>
      </c>
      <c r="Q133" s="87">
        <f>IF(Q46=0,0,1000000*Q46/TrRoad_act!Q76)</f>
        <v>594.02691198256002</v>
      </c>
      <c r="R133" s="87">
        <f>IF(R46=0,0,1000000*R46/TrRoad_act!R76)</f>
        <v>562.12132687927783</v>
      </c>
      <c r="S133" s="87">
        <f>IF(S46=0,0,1000000*S46/TrRoad_act!S76)</f>
        <v>592.60837196881778</v>
      </c>
      <c r="T133" s="87">
        <f>IF(T46=0,0,1000000*T46/TrRoad_act!T76)</f>
        <v>656.76005191213176</v>
      </c>
      <c r="U133" s="87">
        <f>IF(U46=0,0,1000000*U46/TrRoad_act!U76)</f>
        <v>683.49118039454379</v>
      </c>
      <c r="V133" s="87">
        <f>IF(V46=0,0,1000000*V46/TrRoad_act!V76)</f>
        <v>593.69410782240789</v>
      </c>
      <c r="W133" s="87">
        <f>IF(W46=0,0,1000000*W46/TrRoad_act!W76)</f>
        <v>569.04056828730563</v>
      </c>
      <c r="X133" s="87">
        <f>IF(X46=0,0,1000000*X46/TrRoad_act!X76)</f>
        <v>661.01647769226895</v>
      </c>
      <c r="Y133" s="87">
        <f>IF(Y46=0,0,1000000*Y46/TrRoad_act!Y76)</f>
        <v>637.27287782542612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871.4191166909161</v>
      </c>
      <c r="T134" s="87">
        <f>IF(T48=0,0,1000000*T48/TrRoad_act!T77)</f>
        <v>836.28346605391118</v>
      </c>
      <c r="U134" s="87">
        <f>IF(U48=0,0,1000000*U48/TrRoad_act!U77)</f>
        <v>793.42620707939818</v>
      </c>
      <c r="V134" s="87">
        <f>IF(V48=0,0,1000000*V48/TrRoad_act!V77)</f>
        <v>747.63681480384378</v>
      </c>
      <c r="W134" s="87">
        <f>IF(W48=0,0,1000000*W48/TrRoad_act!W77)</f>
        <v>712.61493499944083</v>
      </c>
      <c r="X134" s="87">
        <f>IF(X48=0,0,1000000*X48/TrRoad_act!X77)</f>
        <v>679.16769776663398</v>
      </c>
      <c r="Y134" s="87">
        <f>IF(Y48=0,0,1000000*Y48/TrRoad_act!Y77)</f>
        <v>682.17941752597187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X135" s="87">
        <f>IF(X49=0,0,1000000*X49/TrRoad_act!X78)</f>
        <v>0</v>
      </c>
      <c r="Y135" s="87">
        <f>IF(Y49=0,0,1000000*Y49/TrRoad_act!Y78)</f>
        <v>0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116.86103462384173</v>
      </c>
      <c r="K136" s="87">
        <f>IF(K51=0,0,1000000*K51/TrRoad_act!K79)</f>
        <v>120.05359745964546</v>
      </c>
      <c r="L136" s="87">
        <f>IF(L51=0,0,1000000*L51/TrRoad_act!L79)</f>
        <v>130.91837030379219</v>
      </c>
      <c r="M136" s="87">
        <f>IF(M51=0,0,1000000*M51/TrRoad_act!M79)</f>
        <v>134.03707790353982</v>
      </c>
      <c r="N136" s="87">
        <f>IF(N51=0,0,1000000*N51/TrRoad_act!N79)</f>
        <v>134.65662214242869</v>
      </c>
      <c r="O136" s="87">
        <f>IF(O51=0,0,1000000*O51/TrRoad_act!O79)</f>
        <v>138.87662694388436</v>
      </c>
      <c r="P136" s="87">
        <f>IF(P51=0,0,1000000*P51/TrRoad_act!P79)</f>
        <v>139.34845231441511</v>
      </c>
      <c r="Q136" s="87">
        <f>IF(Q51=0,0,1000000*Q51/TrRoad_act!Q79)</f>
        <v>142.77836547718317</v>
      </c>
      <c r="R136" s="87">
        <f>IF(R51=0,0,1000000*R51/TrRoad_act!R79)</f>
        <v>143.85416540534834</v>
      </c>
      <c r="S136" s="87">
        <f>IF(S51=0,0,1000000*S51/TrRoad_act!S79)</f>
        <v>150.57777156445545</v>
      </c>
      <c r="T136" s="87">
        <f>IF(T51=0,0,1000000*T51/TrRoad_act!T79)</f>
        <v>149.03146355149715</v>
      </c>
      <c r="U136" s="87">
        <f>IF(U51=0,0,1000000*U51/TrRoad_act!U79)</f>
        <v>194.37060184214727</v>
      </c>
      <c r="V136" s="87">
        <f>IF(V51=0,0,1000000*V51/TrRoad_act!V79)</f>
        <v>192.02595777771495</v>
      </c>
      <c r="W136" s="87">
        <f>IF(W51=0,0,1000000*W51/TrRoad_act!W79)</f>
        <v>206.72721772516178</v>
      </c>
      <c r="X136" s="87">
        <f>IF(X51=0,0,1000000*X51/TrRoad_act!X79)</f>
        <v>207.31284848266691</v>
      </c>
      <c r="Y136" s="87">
        <f>IF(Y51=0,0,1000000*Y51/TrRoad_act!Y79)</f>
        <v>207.68078576811737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3911.5777362901244</v>
      </c>
      <c r="C137" s="116">
        <f>IF(C52=0,0,1000000*C52/TrRoad_act!C80)</f>
        <v>3438.7905910545405</v>
      </c>
      <c r="D137" s="116">
        <f>IF(D52=0,0,1000000*D52/TrRoad_act!D80)</f>
        <v>424.47136273554395</v>
      </c>
      <c r="E137" s="116">
        <f>IF(E52=0,0,1000000*E52/TrRoad_act!E80)</f>
        <v>1925.7184528727014</v>
      </c>
      <c r="F137" s="116">
        <f>IF(F52=0,0,1000000*F52/TrRoad_act!F80)</f>
        <v>4344.7035611486299</v>
      </c>
      <c r="G137" s="116">
        <f>IF(G52=0,0,1000000*G52/TrRoad_act!G80)</f>
        <v>3037.7181865477864</v>
      </c>
      <c r="H137" s="116">
        <f>IF(H52=0,0,1000000*H52/TrRoad_act!H80)</f>
        <v>3018.4596521972303</v>
      </c>
      <c r="I137" s="116">
        <f>IF(I52=0,0,1000000*I52/TrRoad_act!I80)</f>
        <v>3329.7659935187444</v>
      </c>
      <c r="J137" s="116">
        <f>IF(J52=0,0,1000000*J52/TrRoad_act!J80)</f>
        <v>3334.5519380564388</v>
      </c>
      <c r="K137" s="116">
        <f>IF(K52=0,0,1000000*K52/TrRoad_act!K80)</f>
        <v>3005.3011302163081</v>
      </c>
      <c r="L137" s="116">
        <f>IF(L52=0,0,1000000*L52/TrRoad_act!L80)</f>
        <v>2420.9797969155948</v>
      </c>
      <c r="M137" s="116">
        <f>IF(M52=0,0,1000000*M52/TrRoad_act!M80)</f>
        <v>2132.1816442970976</v>
      </c>
      <c r="N137" s="116">
        <f>IF(N52=0,0,1000000*N52/TrRoad_act!N80)</f>
        <v>1935.8564557308923</v>
      </c>
      <c r="O137" s="116">
        <f>IF(O52=0,0,1000000*O52/TrRoad_act!O80)</f>
        <v>1996.0389075242035</v>
      </c>
      <c r="P137" s="116">
        <f>IF(P52=0,0,1000000*P52/TrRoad_act!P80)</f>
        <v>1884.3959741647834</v>
      </c>
      <c r="Q137" s="116">
        <f>IF(Q52=0,0,1000000*Q52/TrRoad_act!Q80)</f>
        <v>1784.253634657576</v>
      </c>
      <c r="R137" s="116">
        <f>IF(R52=0,0,1000000*R52/TrRoad_act!R80)</f>
        <v>1770.6092620973545</v>
      </c>
      <c r="S137" s="116">
        <f>IF(S52=0,0,1000000*S52/TrRoad_act!S80)</f>
        <v>1806.2746016167841</v>
      </c>
      <c r="T137" s="116">
        <f>IF(T52=0,0,1000000*T52/TrRoad_act!T80)</f>
        <v>1974.4001021184699</v>
      </c>
      <c r="U137" s="116">
        <f>IF(U52=0,0,1000000*U52/TrRoad_act!U80)</f>
        <v>2042.8241289784326</v>
      </c>
      <c r="V137" s="116">
        <f>IF(V52=0,0,1000000*V52/TrRoad_act!V80)</f>
        <v>1837.0452617373162</v>
      </c>
      <c r="W137" s="116">
        <f>IF(W52=0,0,1000000*W52/TrRoad_act!W80)</f>
        <v>1833.8759935466114</v>
      </c>
      <c r="X137" s="116">
        <f>IF(X52=0,0,1000000*X52/TrRoad_act!X80)</f>
        <v>2229.9406210934394</v>
      </c>
      <c r="Y137" s="116">
        <f>IF(Y52=0,0,1000000*Y52/TrRoad_act!Y80)</f>
        <v>2200.0876906125886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3911.5777362901244</v>
      </c>
      <c r="C138" s="101">
        <f>IF(C53=0,0,1000000*C53/TrRoad_act!C81)</f>
        <v>3438.7905910545405</v>
      </c>
      <c r="D138" s="101">
        <f>IF(D53=0,0,1000000*D53/TrRoad_act!D81)</f>
        <v>424.47136273554395</v>
      </c>
      <c r="E138" s="101">
        <f>IF(E53=0,0,1000000*E53/TrRoad_act!E81)</f>
        <v>1925.7184528727014</v>
      </c>
      <c r="F138" s="101">
        <f>IF(F53=0,0,1000000*F53/TrRoad_act!F81)</f>
        <v>4344.7035611486299</v>
      </c>
      <c r="G138" s="101">
        <f>IF(G53=0,0,1000000*G53/TrRoad_act!G81)</f>
        <v>3037.7181865477864</v>
      </c>
      <c r="H138" s="101">
        <f>IF(H53=0,0,1000000*H53/TrRoad_act!H81)</f>
        <v>3018.4596521972303</v>
      </c>
      <c r="I138" s="101">
        <f>IF(I53=0,0,1000000*I53/TrRoad_act!I81)</f>
        <v>3329.7659935187444</v>
      </c>
      <c r="J138" s="101">
        <f>IF(J53=0,0,1000000*J53/TrRoad_act!J81)</f>
        <v>3334.5519380564388</v>
      </c>
      <c r="K138" s="101">
        <f>IF(K53=0,0,1000000*K53/TrRoad_act!K81)</f>
        <v>3005.3011302163081</v>
      </c>
      <c r="L138" s="101">
        <f>IF(L53=0,0,1000000*L53/TrRoad_act!L81)</f>
        <v>2420.9797969155948</v>
      </c>
      <c r="M138" s="101">
        <f>IF(M53=0,0,1000000*M53/TrRoad_act!M81)</f>
        <v>2132.1816442970976</v>
      </c>
      <c r="N138" s="101">
        <f>IF(N53=0,0,1000000*N53/TrRoad_act!N81)</f>
        <v>1935.8564557308923</v>
      </c>
      <c r="O138" s="101">
        <f>IF(O53=0,0,1000000*O53/TrRoad_act!O81)</f>
        <v>1996.0389075242035</v>
      </c>
      <c r="P138" s="101">
        <f>IF(P53=0,0,1000000*P53/TrRoad_act!P81)</f>
        <v>1884.3959741647834</v>
      </c>
      <c r="Q138" s="101">
        <f>IF(Q53=0,0,1000000*Q53/TrRoad_act!Q81)</f>
        <v>1784.253634657576</v>
      </c>
      <c r="R138" s="101">
        <f>IF(R53=0,0,1000000*R53/TrRoad_act!R81)</f>
        <v>1770.6092620973545</v>
      </c>
      <c r="S138" s="101">
        <f>IF(S53=0,0,1000000*S53/TrRoad_act!S81)</f>
        <v>1806.2746016167841</v>
      </c>
      <c r="T138" s="101">
        <f>IF(T53=0,0,1000000*T53/TrRoad_act!T81)</f>
        <v>1974.4001021184699</v>
      </c>
      <c r="U138" s="101">
        <f>IF(U53=0,0,1000000*U53/TrRoad_act!U81)</f>
        <v>2042.8241289784326</v>
      </c>
      <c r="V138" s="101">
        <f>IF(V53=0,0,1000000*V53/TrRoad_act!V81)</f>
        <v>1837.0452617373162</v>
      </c>
      <c r="W138" s="101">
        <f>IF(W53=0,0,1000000*W53/TrRoad_act!W81)</f>
        <v>1833.8759935466114</v>
      </c>
      <c r="X138" s="101">
        <f>IF(X53=0,0,1000000*X53/TrRoad_act!X81)</f>
        <v>2229.9406210934394</v>
      </c>
      <c r="Y138" s="101">
        <f>IF(Y53=0,0,1000000*Y53/TrRoad_act!Y81)</f>
        <v>2200.0876906125886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0</v>
      </c>
      <c r="C139" s="88">
        <f>IF(C55=0,0,1000000*C55/TrRoad_act!C82)</f>
        <v>0</v>
      </c>
      <c r="D139" s="88">
        <f>IF(D55=0,0,1000000*D55/TrRoad_act!D82)</f>
        <v>0</v>
      </c>
      <c r="E139" s="88">
        <f>IF(E55=0,0,1000000*E55/TrRoad_act!E82)</f>
        <v>0</v>
      </c>
      <c r="F139" s="88">
        <f>IF(F55=0,0,1000000*F55/TrRoad_act!F82)</f>
        <v>0</v>
      </c>
      <c r="G139" s="88">
        <f>IF(G55=0,0,1000000*G55/TrRoad_act!G82)</f>
        <v>0</v>
      </c>
      <c r="H139" s="88">
        <f>IF(H55=0,0,1000000*H55/TrRoad_act!H82)</f>
        <v>0</v>
      </c>
      <c r="I139" s="88">
        <f>IF(I55=0,0,1000000*I55/TrRoad_act!I82)</f>
        <v>0</v>
      </c>
      <c r="J139" s="88">
        <f>IF(J55=0,0,1000000*J55/TrRoad_act!J82)</f>
        <v>0</v>
      </c>
      <c r="K139" s="88">
        <f>IF(K55=0,0,1000000*K55/TrRoad_act!K82)</f>
        <v>0</v>
      </c>
      <c r="L139" s="88">
        <f>IF(L55=0,0,1000000*L55/TrRoad_act!L82)</f>
        <v>0</v>
      </c>
      <c r="M139" s="88">
        <f>IF(M55=0,0,1000000*M55/TrRoad_act!M82)</f>
        <v>0</v>
      </c>
      <c r="N139" s="88">
        <f>IF(N55=0,0,1000000*N55/TrRoad_act!N82)</f>
        <v>0</v>
      </c>
      <c r="O139" s="88">
        <f>IF(O55=0,0,1000000*O55/TrRoad_act!O82)</f>
        <v>0</v>
      </c>
      <c r="P139" s="88">
        <f>IF(P55=0,0,1000000*P55/TrRoad_act!P82)</f>
        <v>0</v>
      </c>
      <c r="Q139" s="88">
        <f>IF(Q55=0,0,1000000*Q55/TrRoad_act!Q82)</f>
        <v>0</v>
      </c>
      <c r="R139" s="88">
        <f>IF(R55=0,0,1000000*R55/TrRoad_act!R82)</f>
        <v>0</v>
      </c>
      <c r="S139" s="88">
        <f>IF(S55=0,0,1000000*S55/TrRoad_act!S82)</f>
        <v>0</v>
      </c>
      <c r="T139" s="88">
        <f>IF(T55=0,0,1000000*T55/TrRoad_act!T82)</f>
        <v>0</v>
      </c>
      <c r="U139" s="88">
        <f>IF(U55=0,0,1000000*U55/TrRoad_act!U82)</f>
        <v>0</v>
      </c>
      <c r="V139" s="88">
        <f>IF(V55=0,0,1000000*V55/TrRoad_act!V82)</f>
        <v>0</v>
      </c>
      <c r="W139" s="88">
        <f>IF(W55=0,0,1000000*W55/TrRoad_act!W82)</f>
        <v>0</v>
      </c>
      <c r="X139" s="88">
        <f>IF(X55=0,0,1000000*X55/TrRoad_act!X82)</f>
        <v>0</v>
      </c>
      <c r="Y139" s="88">
        <f>IF(Y55=0,0,1000000*Y55/TrRoad_act!Y82)</f>
        <v>0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0.61517910390260921</v>
      </c>
      <c r="C142" s="46">
        <f t="shared" si="42"/>
        <v>0.62966644444851216</v>
      </c>
      <c r="D142" s="46">
        <f t="shared" si="42"/>
        <v>0.88642474004625549</v>
      </c>
      <c r="E142" s="46">
        <f t="shared" si="42"/>
        <v>0.73117748859882903</v>
      </c>
      <c r="F142" s="46">
        <f t="shared" si="42"/>
        <v>0.57183440695702825</v>
      </c>
      <c r="G142" s="46">
        <f t="shared" si="42"/>
        <v>0.64696829087984342</v>
      </c>
      <c r="H142" s="46">
        <f t="shared" si="42"/>
        <v>0.64976941053410653</v>
      </c>
      <c r="I142" s="46">
        <f t="shared" si="42"/>
        <v>0.64312636595419403</v>
      </c>
      <c r="J142" s="46">
        <f t="shared" si="42"/>
        <v>0.67582055172248079</v>
      </c>
      <c r="K142" s="46">
        <f t="shared" si="42"/>
        <v>0.67095494663036259</v>
      </c>
      <c r="L142" s="46">
        <f t="shared" ref="L142" si="43">IF(L18=0,0,L18/L$17)</f>
        <v>0.7366511496392758</v>
      </c>
      <c r="M142" s="46">
        <f t="shared" ref="M142:V142" si="44">IF(M18=0,0,M18/M$17)</f>
        <v>0.7560478225335685</v>
      </c>
      <c r="N142" s="46">
        <f t="shared" si="44"/>
        <v>0.77372777921916347</v>
      </c>
      <c r="O142" s="46">
        <f t="shared" si="44"/>
        <v>0.77530356733745676</v>
      </c>
      <c r="P142" s="46">
        <f t="shared" si="44"/>
        <v>0.78562296985674518</v>
      </c>
      <c r="Q142" s="46">
        <f t="shared" si="44"/>
        <v>0.79799428514438775</v>
      </c>
      <c r="R142" s="46">
        <f t="shared" si="44"/>
        <v>0.80096821555737574</v>
      </c>
      <c r="S142" s="46">
        <f t="shared" si="44"/>
        <v>0.79303198474660686</v>
      </c>
      <c r="T142" s="46">
        <f t="shared" si="44"/>
        <v>0.78936194509294078</v>
      </c>
      <c r="U142" s="46">
        <f t="shared" si="44"/>
        <v>0.78298810994078549</v>
      </c>
      <c r="V142" s="46">
        <f t="shared" si="44"/>
        <v>0.76036107597421021</v>
      </c>
      <c r="W142" s="46">
        <f t="shared" ref="W142:Y142" si="45">IF(W18=0,0,W18/W$17)</f>
        <v>0.76949669330106674</v>
      </c>
      <c r="X142" s="46">
        <f t="shared" si="45"/>
        <v>0.76868138861176205</v>
      </c>
      <c r="Y142" s="46">
        <f t="shared" si="45"/>
        <v>0.77603645604110483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7.4678200588287067E-3</v>
      </c>
      <c r="C143" s="154">
        <f t="shared" si="46"/>
        <v>8.2553111910724526E-3</v>
      </c>
      <c r="D143" s="154">
        <f t="shared" si="46"/>
        <v>1.2461357660497831E-2</v>
      </c>
      <c r="E143" s="154">
        <f t="shared" si="46"/>
        <v>1.0099339787491517E-2</v>
      </c>
      <c r="F143" s="154">
        <f t="shared" si="46"/>
        <v>7.8088433542560049E-3</v>
      </c>
      <c r="G143" s="154">
        <f t="shared" si="46"/>
        <v>6.945363101691338E-3</v>
      </c>
      <c r="H143" s="154">
        <f t="shared" si="46"/>
        <v>6.8930507616167249E-3</v>
      </c>
      <c r="I143" s="154">
        <f t="shared" si="46"/>
        <v>6.9506323827282909E-3</v>
      </c>
      <c r="J143" s="154">
        <f t="shared" si="46"/>
        <v>7.0113208936978498E-3</v>
      </c>
      <c r="K143" s="154">
        <f t="shared" si="46"/>
        <v>7.8300807015648857E-3</v>
      </c>
      <c r="L143" s="154">
        <f t="shared" ref="L143" si="47">IF(L19=0,0,L19/L$17)</f>
        <v>7.4606177320372816E-3</v>
      </c>
      <c r="M143" s="154">
        <f t="shared" ref="M143:V143" si="48">IF(M19=0,0,M19/M$17)</f>
        <v>7.8650840361360313E-3</v>
      </c>
      <c r="N143" s="154">
        <f t="shared" si="48"/>
        <v>7.8280520490781307E-3</v>
      </c>
      <c r="O143" s="154">
        <f t="shared" si="48"/>
        <v>7.959771404482641E-3</v>
      </c>
      <c r="P143" s="154">
        <f t="shared" si="48"/>
        <v>8.2721469030321605E-3</v>
      </c>
      <c r="Q143" s="154">
        <f t="shared" si="48"/>
        <v>7.9606888120611532E-3</v>
      </c>
      <c r="R143" s="154">
        <f t="shared" si="48"/>
        <v>8.4137939375537544E-3</v>
      </c>
      <c r="S143" s="154">
        <f t="shared" si="48"/>
        <v>7.6385596896929092E-3</v>
      </c>
      <c r="T143" s="154">
        <f t="shared" si="48"/>
        <v>6.6260344931738831E-3</v>
      </c>
      <c r="U143" s="154">
        <f t="shared" si="48"/>
        <v>6.9320188047544357E-3</v>
      </c>
      <c r="V143" s="154">
        <f t="shared" si="48"/>
        <v>7.5504875663279861E-3</v>
      </c>
      <c r="W143" s="154">
        <f t="shared" ref="W143:Y143" si="49">IF(W19=0,0,W19/W$17)</f>
        <v>7.6842130176571852E-3</v>
      </c>
      <c r="X143" s="154">
        <f t="shared" si="49"/>
        <v>6.5968122095373706E-3</v>
      </c>
      <c r="Y143" s="154">
        <f t="shared" si="49"/>
        <v>6.9755450001029607E-3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0.53371801046054501</v>
      </c>
      <c r="C144" s="156">
        <f t="shared" si="50"/>
        <v>0.5445767908007817</v>
      </c>
      <c r="D144" s="156">
        <f t="shared" si="50"/>
        <v>0.82899219614624209</v>
      </c>
      <c r="E144" s="156">
        <f t="shared" si="50"/>
        <v>0.64916197836864842</v>
      </c>
      <c r="F144" s="156">
        <f t="shared" si="50"/>
        <v>0.47919173452758923</v>
      </c>
      <c r="G144" s="156">
        <f t="shared" si="50"/>
        <v>0.52734080595239552</v>
      </c>
      <c r="H144" s="156">
        <f t="shared" si="50"/>
        <v>0.52463435693883742</v>
      </c>
      <c r="I144" s="156">
        <f t="shared" si="50"/>
        <v>0.52700905245468599</v>
      </c>
      <c r="J144" s="156">
        <f t="shared" si="50"/>
        <v>0.57018017029376622</v>
      </c>
      <c r="K144" s="156">
        <f t="shared" si="50"/>
        <v>0.56659592294578665</v>
      </c>
      <c r="L144" s="156">
        <f t="shared" ref="L144" si="51">IF(L21=0,0,L21/L$17)</f>
        <v>0.62820282875922762</v>
      </c>
      <c r="M144" s="156">
        <f t="shared" ref="M144:V144" si="52">IF(M21=0,0,M21/M$17)</f>
        <v>0.64412604426457798</v>
      </c>
      <c r="N144" s="156">
        <f t="shared" si="52"/>
        <v>0.64608278345940362</v>
      </c>
      <c r="O144" s="156">
        <f t="shared" si="52"/>
        <v>0.64710565392022523</v>
      </c>
      <c r="P144" s="156">
        <f t="shared" si="52"/>
        <v>0.63540273345626697</v>
      </c>
      <c r="Q144" s="156">
        <f t="shared" si="52"/>
        <v>0.63778181381968591</v>
      </c>
      <c r="R144" s="156">
        <f t="shared" si="52"/>
        <v>0.64307198146031908</v>
      </c>
      <c r="S144" s="156">
        <f t="shared" si="52"/>
        <v>0.62936042311410112</v>
      </c>
      <c r="T144" s="156">
        <f t="shared" si="52"/>
        <v>0.61744392095349399</v>
      </c>
      <c r="U144" s="156">
        <f t="shared" si="52"/>
        <v>0.61585192068713324</v>
      </c>
      <c r="V144" s="156">
        <f t="shared" si="52"/>
        <v>0.61490004225499728</v>
      </c>
      <c r="W144" s="156">
        <f t="shared" ref="W144:Y144" si="53">IF(W21=0,0,W21/W$17)</f>
        <v>0.63930724419883389</v>
      </c>
      <c r="X144" s="156">
        <f t="shared" si="53"/>
        <v>0.61137747066499826</v>
      </c>
      <c r="Y144" s="156">
        <f t="shared" si="53"/>
        <v>0.6105563250975472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0.47868849949107412</v>
      </c>
      <c r="C145" s="103">
        <f t="shared" si="54"/>
        <v>0.4828568862241378</v>
      </c>
      <c r="D145" s="103">
        <f t="shared" si="54"/>
        <v>0.79063079435921091</v>
      </c>
      <c r="E145" s="103">
        <f t="shared" si="54"/>
        <v>0.5842685678696774</v>
      </c>
      <c r="F145" s="103">
        <f t="shared" si="54"/>
        <v>0.40032181468242845</v>
      </c>
      <c r="G145" s="103">
        <f t="shared" si="54"/>
        <v>0.41631017010024413</v>
      </c>
      <c r="H145" s="103">
        <f t="shared" si="54"/>
        <v>0.40553172668922582</v>
      </c>
      <c r="I145" s="103">
        <f t="shared" si="54"/>
        <v>0.41387503776103723</v>
      </c>
      <c r="J145" s="103">
        <f t="shared" si="54"/>
        <v>0.46660440784513102</v>
      </c>
      <c r="K145" s="103">
        <f t="shared" si="54"/>
        <v>0.45283355232550587</v>
      </c>
      <c r="L145" s="103">
        <f t="shared" ref="L145" si="55">IF(L22=0,0,L22/L$17)</f>
        <v>0.42794819447964405</v>
      </c>
      <c r="M145" s="103">
        <f t="shared" ref="M145:V145" si="56">IF(M22=0,0,M22/M$17)</f>
        <v>0.43337689082235958</v>
      </c>
      <c r="N145" s="103">
        <f t="shared" si="56"/>
        <v>0.42709669917143506</v>
      </c>
      <c r="O145" s="103">
        <f t="shared" si="56"/>
        <v>0.41883146249395103</v>
      </c>
      <c r="P145" s="103">
        <f t="shared" si="56"/>
        <v>0.40504470801854814</v>
      </c>
      <c r="Q145" s="103">
        <f t="shared" si="56"/>
        <v>0.40515315087027698</v>
      </c>
      <c r="R145" s="103">
        <f t="shared" si="56"/>
        <v>0.40270422480863666</v>
      </c>
      <c r="S145" s="103">
        <f t="shared" si="56"/>
        <v>0.39573498961413972</v>
      </c>
      <c r="T145" s="103">
        <f t="shared" si="56"/>
        <v>0.35654068013886908</v>
      </c>
      <c r="U145" s="103">
        <f t="shared" si="56"/>
        <v>0.36040132790639051</v>
      </c>
      <c r="V145" s="103">
        <f t="shared" si="56"/>
        <v>0.36668704390177131</v>
      </c>
      <c r="W145" s="103">
        <f t="shared" ref="W145:Y145" si="57">IF(W22=0,0,W22/W$17)</f>
        <v>0.38364820421631501</v>
      </c>
      <c r="X145" s="103">
        <f t="shared" si="57"/>
        <v>0.34952289076391108</v>
      </c>
      <c r="Y145" s="103">
        <f t="shared" si="57"/>
        <v>0.35024219132875251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5.5029510969470889E-2</v>
      </c>
      <c r="C146" s="103">
        <f t="shared" si="58"/>
        <v>6.1719904576643898E-2</v>
      </c>
      <c r="D146" s="103">
        <f t="shared" si="58"/>
        <v>3.8361401787031138E-2</v>
      </c>
      <c r="E146" s="103">
        <f t="shared" si="58"/>
        <v>6.4884563308587537E-2</v>
      </c>
      <c r="F146" s="103">
        <f t="shared" si="58"/>
        <v>7.8859216261692233E-2</v>
      </c>
      <c r="G146" s="103">
        <f t="shared" si="58"/>
        <v>0.11101851694597667</v>
      </c>
      <c r="H146" s="103">
        <f t="shared" si="58"/>
        <v>0.11908914295894421</v>
      </c>
      <c r="I146" s="103">
        <f t="shared" si="58"/>
        <v>0.11311287859979172</v>
      </c>
      <c r="J146" s="103">
        <f t="shared" si="58"/>
        <v>0.10355424003574769</v>
      </c>
      <c r="K146" s="103">
        <f t="shared" si="58"/>
        <v>0.11373540489303005</v>
      </c>
      <c r="L146" s="103">
        <f t="shared" ref="L146" si="59">IF(L24=0,0,L24/L$17)</f>
        <v>0.19950943967270521</v>
      </c>
      <c r="M146" s="103">
        <f t="shared" ref="M146:V146" si="60">IF(M24=0,0,M24/M$17)</f>
        <v>0.20998153562050526</v>
      </c>
      <c r="N146" s="103">
        <f t="shared" si="60"/>
        <v>0.21808123460615941</v>
      </c>
      <c r="O146" s="103">
        <f t="shared" si="60"/>
        <v>0.22701085395826431</v>
      </c>
      <c r="P146" s="103">
        <f t="shared" si="60"/>
        <v>0.2282022174050391</v>
      </c>
      <c r="Q146" s="103">
        <f t="shared" si="60"/>
        <v>0.22963731097117107</v>
      </c>
      <c r="R146" s="103">
        <f t="shared" si="60"/>
        <v>0.23151537158903587</v>
      </c>
      <c r="S146" s="103">
        <f t="shared" si="60"/>
        <v>0.22711978083394721</v>
      </c>
      <c r="T146" s="103">
        <f t="shared" si="60"/>
        <v>0.25421461312297838</v>
      </c>
      <c r="U146" s="103">
        <f t="shared" si="60"/>
        <v>0.24830957278940224</v>
      </c>
      <c r="V146" s="103">
        <f t="shared" si="60"/>
        <v>0.23976468158037043</v>
      </c>
      <c r="W146" s="103">
        <f t="shared" ref="W146:Y146" si="61">IF(W24=0,0,W24/W$17)</f>
        <v>0.24492923298474489</v>
      </c>
      <c r="X146" s="103">
        <f t="shared" si="61"/>
        <v>0.2498866377976276</v>
      </c>
      <c r="Y146" s="103">
        <f t="shared" si="61"/>
        <v>0.24727279041988912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0</v>
      </c>
      <c r="C147" s="103">
        <f t="shared" si="62"/>
        <v>0</v>
      </c>
      <c r="D147" s="103">
        <f t="shared" si="62"/>
        <v>0</v>
      </c>
      <c r="E147" s="103">
        <f t="shared" si="62"/>
        <v>0</v>
      </c>
      <c r="F147" s="103">
        <f t="shared" si="62"/>
        <v>0</v>
      </c>
      <c r="G147" s="103">
        <f t="shared" si="62"/>
        <v>0</v>
      </c>
      <c r="H147" s="103">
        <f t="shared" si="62"/>
        <v>0</v>
      </c>
      <c r="I147" s="103">
        <f t="shared" si="62"/>
        <v>0</v>
      </c>
      <c r="J147" s="103">
        <f t="shared" si="62"/>
        <v>0</v>
      </c>
      <c r="K147" s="103">
        <f t="shared" si="62"/>
        <v>0</v>
      </c>
      <c r="L147" s="103">
        <f t="shared" ref="L147" si="63">IF(L26=0,0,L26/L$17)</f>
        <v>0</v>
      </c>
      <c r="M147" s="103">
        <f t="shared" ref="M147:V147" si="64">IF(M26=0,0,M26/M$17)</f>
        <v>0</v>
      </c>
      <c r="N147" s="103">
        <f t="shared" si="64"/>
        <v>0</v>
      </c>
      <c r="O147" s="103">
        <f t="shared" si="64"/>
        <v>0</v>
      </c>
      <c r="P147" s="103">
        <f t="shared" si="64"/>
        <v>0</v>
      </c>
      <c r="Q147" s="103">
        <f t="shared" si="64"/>
        <v>0</v>
      </c>
      <c r="R147" s="103">
        <f t="shared" si="64"/>
        <v>5.8553524029371241E-3</v>
      </c>
      <c r="S147" s="103">
        <f t="shared" si="64"/>
        <v>3.5492408633701158E-3</v>
      </c>
      <c r="T147" s="103">
        <f t="shared" si="64"/>
        <v>3.5737241009500681E-3</v>
      </c>
      <c r="U147" s="103">
        <f t="shared" si="64"/>
        <v>3.4822896360461406E-3</v>
      </c>
      <c r="V147" s="103">
        <f t="shared" si="64"/>
        <v>3.8263324903468959E-3</v>
      </c>
      <c r="W147" s="103">
        <f t="shared" ref="W147:Y147" si="65">IF(W26=0,0,W26/W$17)</f>
        <v>4.2590581351444048E-3</v>
      </c>
      <c r="X147" s="103">
        <f t="shared" si="65"/>
        <v>3.773998755717013E-3</v>
      </c>
      <c r="Y147" s="103">
        <f t="shared" si="65"/>
        <v>2.6713769667324801E-3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0</v>
      </c>
      <c r="M148" s="103">
        <f t="shared" ref="M148:V148" si="68">IF(M27=0,0,M27/M$17)</f>
        <v>0</v>
      </c>
      <c r="N148" s="103">
        <f t="shared" si="68"/>
        <v>0</v>
      </c>
      <c r="O148" s="103">
        <f t="shared" si="68"/>
        <v>0</v>
      </c>
      <c r="P148" s="103">
        <f t="shared" si="68"/>
        <v>0</v>
      </c>
      <c r="Q148" s="103">
        <f t="shared" si="68"/>
        <v>0</v>
      </c>
      <c r="R148" s="103">
        <f t="shared" si="68"/>
        <v>0</v>
      </c>
      <c r="S148" s="103">
        <f t="shared" si="68"/>
        <v>0</v>
      </c>
      <c r="T148" s="103">
        <f t="shared" si="68"/>
        <v>0</v>
      </c>
      <c r="U148" s="103">
        <f t="shared" si="68"/>
        <v>0</v>
      </c>
      <c r="V148" s="103">
        <f t="shared" si="68"/>
        <v>0</v>
      </c>
      <c r="W148" s="103">
        <f t="shared" ref="W148:Y148" si="69">IF(W27=0,0,W27/W$17)</f>
        <v>0</v>
      </c>
      <c r="X148" s="103">
        <f t="shared" si="69"/>
        <v>0</v>
      </c>
      <c r="Y148" s="103">
        <f t="shared" si="69"/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7.168309267706252E-4</v>
      </c>
      <c r="M149" s="103">
        <f t="shared" ref="M149:V149" si="72">IF(M29=0,0,M29/M$17)</f>
        <v>7.4367220733170261E-4</v>
      </c>
      <c r="N149" s="103">
        <f t="shared" si="72"/>
        <v>8.7515138732387426E-4</v>
      </c>
      <c r="O149" s="103">
        <f t="shared" si="72"/>
        <v>1.2190895771681681E-3</v>
      </c>
      <c r="P149" s="103">
        <f t="shared" si="72"/>
        <v>2.0914597165195164E-3</v>
      </c>
      <c r="Q149" s="103">
        <f t="shared" si="72"/>
        <v>2.8902879035694962E-3</v>
      </c>
      <c r="R149" s="103">
        <f t="shared" si="72"/>
        <v>2.8917686513952271E-3</v>
      </c>
      <c r="S149" s="103">
        <f t="shared" si="72"/>
        <v>2.8364241267361495E-3</v>
      </c>
      <c r="T149" s="103">
        <f t="shared" si="72"/>
        <v>2.9336254548763567E-3</v>
      </c>
      <c r="U149" s="103">
        <f t="shared" si="72"/>
        <v>3.0479640069800171E-3</v>
      </c>
      <c r="V149" s="103">
        <f t="shared" si="72"/>
        <v>3.6416354166430554E-3</v>
      </c>
      <c r="W149" s="103">
        <f t="shared" ref="W149:Y149" si="73">IF(W29=0,0,W29/W$17)</f>
        <v>5.0557498663059775E-3</v>
      </c>
      <c r="X149" s="103">
        <f t="shared" si="73"/>
        <v>6.5192986333433818E-3</v>
      </c>
      <c r="Y149" s="103">
        <f t="shared" si="73"/>
        <v>8.0483054042768971E-3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8.8471903834956E-6</v>
      </c>
      <c r="F150" s="103">
        <f t="shared" si="74"/>
        <v>1.0703583468573709E-5</v>
      </c>
      <c r="G150" s="103">
        <f t="shared" si="74"/>
        <v>1.211890617476473E-5</v>
      </c>
      <c r="H150" s="103">
        <f t="shared" si="74"/>
        <v>1.3487290667313471E-5</v>
      </c>
      <c r="I150" s="103">
        <f t="shared" si="74"/>
        <v>2.1136093857076274E-5</v>
      </c>
      <c r="J150" s="103">
        <f t="shared" si="74"/>
        <v>2.1522412887439274E-5</v>
      </c>
      <c r="K150" s="103">
        <f t="shared" si="74"/>
        <v>2.6965727250762087E-5</v>
      </c>
      <c r="L150" s="103">
        <f t="shared" ref="L150" si="75">IF(L32=0,0,L32/L$17)</f>
        <v>2.8363680107768364E-5</v>
      </c>
      <c r="M150" s="103">
        <f t="shared" ref="M150:V150" si="76">IF(M32=0,0,M32/M$17)</f>
        <v>2.3945614381423203E-5</v>
      </c>
      <c r="N150" s="103">
        <f t="shared" si="76"/>
        <v>2.9698294485283201E-5</v>
      </c>
      <c r="O150" s="103">
        <f t="shared" si="76"/>
        <v>4.4247890841676887E-5</v>
      </c>
      <c r="P150" s="103">
        <f t="shared" si="76"/>
        <v>6.4348316160287811E-5</v>
      </c>
      <c r="Q150" s="103">
        <f t="shared" si="76"/>
        <v>1.0106407466834314E-4</v>
      </c>
      <c r="R150" s="103">
        <f t="shared" si="76"/>
        <v>1.0526400831413648E-4</v>
      </c>
      <c r="S150" s="103">
        <f t="shared" si="76"/>
        <v>1.1998767590792962E-4</v>
      </c>
      <c r="T150" s="103">
        <f t="shared" si="76"/>
        <v>1.8127813581993269E-4</v>
      </c>
      <c r="U150" s="103">
        <f t="shared" si="76"/>
        <v>6.1076634831433083E-4</v>
      </c>
      <c r="V150" s="103">
        <f t="shared" si="76"/>
        <v>9.8034886586569861E-4</v>
      </c>
      <c r="W150" s="103">
        <f t="shared" ref="W150:Y150" si="77">IF(W32=0,0,W32/W$17)</f>
        <v>1.414998996323603E-3</v>
      </c>
      <c r="X150" s="103">
        <f t="shared" si="77"/>
        <v>1.6746447143991818E-3</v>
      </c>
      <c r="Y150" s="103">
        <f t="shared" si="77"/>
        <v>2.3216609778961409E-3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7.3993273383235414E-2</v>
      </c>
      <c r="C151" s="156">
        <f t="shared" si="78"/>
        <v>7.6834342456658031E-2</v>
      </c>
      <c r="D151" s="156">
        <f t="shared" si="78"/>
        <v>4.4971186239515626E-2</v>
      </c>
      <c r="E151" s="156">
        <f t="shared" si="78"/>
        <v>7.1916170442689026E-2</v>
      </c>
      <c r="F151" s="156">
        <f t="shared" si="78"/>
        <v>8.483382907518297E-2</v>
      </c>
      <c r="G151" s="156">
        <f t="shared" si="78"/>
        <v>0.11268212182575647</v>
      </c>
      <c r="H151" s="156">
        <f t="shared" si="78"/>
        <v>0.11824200283365245</v>
      </c>
      <c r="I151" s="156">
        <f t="shared" si="78"/>
        <v>0.10916668111677978</v>
      </c>
      <c r="J151" s="156">
        <f t="shared" si="78"/>
        <v>9.8629060535016716E-2</v>
      </c>
      <c r="K151" s="156">
        <f t="shared" si="78"/>
        <v>9.6528942983011012E-2</v>
      </c>
      <c r="L151" s="156">
        <f t="shared" ref="L151" si="79">IF(L33=0,0,L33/L$17)</f>
        <v>0.100987703148011</v>
      </c>
      <c r="M151" s="156">
        <f t="shared" ref="M151:V151" si="80">IF(M33=0,0,M33/M$17)</f>
        <v>0.1040566942328546</v>
      </c>
      <c r="N151" s="156">
        <f t="shared" si="80"/>
        <v>0.11981694371068163</v>
      </c>
      <c r="O151" s="156">
        <f t="shared" si="80"/>
        <v>0.12023814201274891</v>
      </c>
      <c r="P151" s="156">
        <f t="shared" si="80"/>
        <v>0.14194808949744614</v>
      </c>
      <c r="Q151" s="156">
        <f t="shared" si="80"/>
        <v>0.15225178251264071</v>
      </c>
      <c r="R151" s="156">
        <f t="shared" si="80"/>
        <v>0.14948244015950291</v>
      </c>
      <c r="S151" s="156">
        <f t="shared" si="80"/>
        <v>0.15603300194281292</v>
      </c>
      <c r="T151" s="156">
        <f t="shared" si="80"/>
        <v>0.16529198964627301</v>
      </c>
      <c r="U151" s="156">
        <f t="shared" si="80"/>
        <v>0.16020417044889787</v>
      </c>
      <c r="V151" s="156">
        <f t="shared" si="80"/>
        <v>0.13791054615288495</v>
      </c>
      <c r="W151" s="156">
        <f t="shared" ref="W151:Y151" si="81">IF(W33=0,0,W33/W$17)</f>
        <v>0.12250523608457557</v>
      </c>
      <c r="X151" s="156">
        <f t="shared" si="81"/>
        <v>0.1507071057372264</v>
      </c>
      <c r="Y151" s="156">
        <f t="shared" si="81"/>
        <v>0.15850458594345471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0</v>
      </c>
      <c r="C152" s="103">
        <f t="shared" si="82"/>
        <v>0</v>
      </c>
      <c r="D152" s="103">
        <f t="shared" si="82"/>
        <v>0</v>
      </c>
      <c r="E152" s="103">
        <f t="shared" si="82"/>
        <v>0</v>
      </c>
      <c r="F152" s="103">
        <f t="shared" si="82"/>
        <v>0</v>
      </c>
      <c r="G152" s="103">
        <f t="shared" si="82"/>
        <v>0</v>
      </c>
      <c r="H152" s="103">
        <f t="shared" si="82"/>
        <v>0</v>
      </c>
      <c r="I152" s="103">
        <f t="shared" si="82"/>
        <v>0</v>
      </c>
      <c r="J152" s="103">
        <f t="shared" si="82"/>
        <v>0</v>
      </c>
      <c r="K152" s="103">
        <f t="shared" si="82"/>
        <v>0</v>
      </c>
      <c r="L152" s="103">
        <f t="shared" ref="L152" si="83">IF(L34=0,0,L34/L$17)</f>
        <v>2.6752679787458067E-4</v>
      </c>
      <c r="M152" s="103">
        <f t="shared" ref="M152:V152" si="84">IF(M34=0,0,M34/M$17)</f>
        <v>2.2791817838283018E-4</v>
      </c>
      <c r="N152" s="103">
        <f t="shared" si="84"/>
        <v>2.1450238230729399E-4</v>
      </c>
      <c r="O152" s="103">
        <f t="shared" si="84"/>
        <v>1.932447524676351E-4</v>
      </c>
      <c r="P152" s="103">
        <f t="shared" si="84"/>
        <v>1.7445822466970596E-4</v>
      </c>
      <c r="Q152" s="103">
        <f t="shared" si="84"/>
        <v>1.3800992335463209E-4</v>
      </c>
      <c r="R152" s="103">
        <f t="shared" si="84"/>
        <v>1.3208209238186981E-4</v>
      </c>
      <c r="S152" s="103">
        <f t="shared" si="84"/>
        <v>1.2384927886962239E-4</v>
      </c>
      <c r="T152" s="103">
        <f t="shared" si="84"/>
        <v>1.1780783635120942E-4</v>
      </c>
      <c r="U152" s="103">
        <f t="shared" si="84"/>
        <v>1.1644946046524811E-4</v>
      </c>
      <c r="V152" s="103">
        <f t="shared" si="84"/>
        <v>9.2845817225378402E-5</v>
      </c>
      <c r="W152" s="103">
        <f t="shared" ref="W152:Y152" si="85">IF(W34=0,0,W34/W$17)</f>
        <v>8.3038839363043073E-5</v>
      </c>
      <c r="X152" s="103">
        <f t="shared" si="85"/>
        <v>8.1077072837271313E-5</v>
      </c>
      <c r="Y152" s="103">
        <f t="shared" si="85"/>
        <v>8.6485663037979538E-5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7.3993273383235414E-2</v>
      </c>
      <c r="C153" s="103">
        <f t="shared" si="86"/>
        <v>7.6834342456658031E-2</v>
      </c>
      <c r="D153" s="103">
        <f t="shared" si="86"/>
        <v>4.4971186239515626E-2</v>
      </c>
      <c r="E153" s="103">
        <f t="shared" si="86"/>
        <v>7.1916170442689026E-2</v>
      </c>
      <c r="F153" s="103">
        <f t="shared" si="86"/>
        <v>8.483382907518297E-2</v>
      </c>
      <c r="G153" s="103">
        <f t="shared" si="86"/>
        <v>0.11268212182575647</v>
      </c>
      <c r="H153" s="103">
        <f t="shared" si="86"/>
        <v>0.11824200283365245</v>
      </c>
      <c r="I153" s="103">
        <f t="shared" si="86"/>
        <v>0.10916668111677978</v>
      </c>
      <c r="J153" s="103">
        <f t="shared" si="86"/>
        <v>9.8629060535016716E-2</v>
      </c>
      <c r="K153" s="103">
        <f t="shared" si="86"/>
        <v>9.6528942983011012E-2</v>
      </c>
      <c r="L153" s="103">
        <f t="shared" ref="L153" si="87">IF(L36=0,0,L36/L$17)</f>
        <v>0.10072017635013643</v>
      </c>
      <c r="M153" s="103">
        <f t="shared" ref="M153:V153" si="88">IF(M36=0,0,M36/M$17)</f>
        <v>0.10382877605447177</v>
      </c>
      <c r="N153" s="103">
        <f t="shared" si="88"/>
        <v>0.11960244132837435</v>
      </c>
      <c r="O153" s="103">
        <f t="shared" si="88"/>
        <v>0.12004489726028128</v>
      </c>
      <c r="P153" s="103">
        <f t="shared" si="88"/>
        <v>0.14177363127277642</v>
      </c>
      <c r="Q153" s="103">
        <f t="shared" si="88"/>
        <v>0.1521137725892861</v>
      </c>
      <c r="R153" s="103">
        <f t="shared" si="88"/>
        <v>0.14935035806712102</v>
      </c>
      <c r="S153" s="103">
        <f t="shared" si="88"/>
        <v>0.15590915266394328</v>
      </c>
      <c r="T153" s="103">
        <f t="shared" si="88"/>
        <v>0.16468397150065608</v>
      </c>
      <c r="U153" s="103">
        <f t="shared" si="88"/>
        <v>0.1595046764451192</v>
      </c>
      <c r="V153" s="103">
        <f t="shared" si="88"/>
        <v>0.13715594526028196</v>
      </c>
      <c r="W153" s="103">
        <f t="shared" ref="W153:Y153" si="89">IF(W36=0,0,W36/W$17)</f>
        <v>0.12162556634375146</v>
      </c>
      <c r="X153" s="103">
        <f t="shared" si="89"/>
        <v>0.14990701153554464</v>
      </c>
      <c r="Y153" s="103">
        <f t="shared" si="89"/>
        <v>0.15493790861936213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1.1950646862888277E-3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0</v>
      </c>
      <c r="O155" s="103">
        <f t="shared" si="96"/>
        <v>0</v>
      </c>
      <c r="P155" s="103">
        <f t="shared" si="96"/>
        <v>0</v>
      </c>
      <c r="Q155" s="103">
        <f t="shared" si="96"/>
        <v>0</v>
      </c>
      <c r="R155" s="103">
        <f t="shared" si="96"/>
        <v>0</v>
      </c>
      <c r="S155" s="103">
        <f t="shared" si="96"/>
        <v>0</v>
      </c>
      <c r="T155" s="103">
        <f t="shared" si="96"/>
        <v>0</v>
      </c>
      <c r="U155" s="103">
        <f t="shared" si="96"/>
        <v>0</v>
      </c>
      <c r="V155" s="103">
        <f t="shared" si="96"/>
        <v>0</v>
      </c>
      <c r="W155" s="103">
        <f t="shared" ref="W155:Y155" si="97">IF(W39=0,0,W39/W$17)</f>
        <v>0</v>
      </c>
      <c r="X155" s="103">
        <f t="shared" si="97"/>
        <v>0</v>
      </c>
      <c r="Y155" s="103">
        <f t="shared" si="97"/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0</v>
      </c>
      <c r="M156" s="103">
        <f t="shared" ref="M156:V156" si="100">IF(M41=0,0,M41/M$17)</f>
        <v>0</v>
      </c>
      <c r="N156" s="103">
        <f t="shared" si="100"/>
        <v>0</v>
      </c>
      <c r="O156" s="103">
        <f t="shared" si="100"/>
        <v>0</v>
      </c>
      <c r="P156" s="103">
        <f t="shared" si="100"/>
        <v>0</v>
      </c>
      <c r="Q156" s="103">
        <f t="shared" si="100"/>
        <v>0</v>
      </c>
      <c r="R156" s="103">
        <f t="shared" si="100"/>
        <v>0</v>
      </c>
      <c r="S156" s="103">
        <f t="shared" si="100"/>
        <v>0</v>
      </c>
      <c r="T156" s="103">
        <f t="shared" si="100"/>
        <v>4.9021030926571561E-4</v>
      </c>
      <c r="U156" s="103">
        <f t="shared" si="100"/>
        <v>5.8304454331342258E-4</v>
      </c>
      <c r="V156" s="103">
        <f t="shared" si="100"/>
        <v>6.6175507537760475E-4</v>
      </c>
      <c r="W156" s="103">
        <f t="shared" ref="W156:Y156" si="101">IF(W41=0,0,W41/W$17)</f>
        <v>7.9663090146105857E-4</v>
      </c>
      <c r="X156" s="103">
        <f t="shared" si="101"/>
        <v>7.1901712884451716E-4</v>
      </c>
      <c r="Y156" s="103">
        <f t="shared" si="101"/>
        <v>2.2851269747657934E-3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0.38482089609739079</v>
      </c>
      <c r="C157" s="46">
        <f t="shared" si="102"/>
        <v>0.37033355555148778</v>
      </c>
      <c r="D157" s="46">
        <f t="shared" si="102"/>
        <v>0.11357525995374455</v>
      </c>
      <c r="E157" s="46">
        <f t="shared" si="102"/>
        <v>0.26882251140117108</v>
      </c>
      <c r="F157" s="46">
        <f t="shared" si="102"/>
        <v>0.4281655930429718</v>
      </c>
      <c r="G157" s="46">
        <f t="shared" si="102"/>
        <v>0.35303170912015652</v>
      </c>
      <c r="H157" s="46">
        <f t="shared" si="102"/>
        <v>0.35023058946589353</v>
      </c>
      <c r="I157" s="46">
        <f t="shared" si="102"/>
        <v>0.35687363404580585</v>
      </c>
      <c r="J157" s="46">
        <f t="shared" si="102"/>
        <v>0.32417944827751916</v>
      </c>
      <c r="K157" s="46">
        <f t="shared" si="102"/>
        <v>0.32904505336963746</v>
      </c>
      <c r="L157" s="46">
        <f t="shared" ref="L157" si="103">IF(L42=0,0,L42/L$17)</f>
        <v>0.26334885036072425</v>
      </c>
      <c r="M157" s="46">
        <f t="shared" ref="M157:V157" si="104">IF(M42=0,0,M42/M$17)</f>
        <v>0.24395217746643152</v>
      </c>
      <c r="N157" s="46">
        <f t="shared" si="104"/>
        <v>0.22627222078083642</v>
      </c>
      <c r="O157" s="46">
        <f t="shared" si="104"/>
        <v>0.22469643266254327</v>
      </c>
      <c r="P157" s="46">
        <f t="shared" si="104"/>
        <v>0.21437703014325477</v>
      </c>
      <c r="Q157" s="46">
        <f t="shared" si="104"/>
        <v>0.20200571485561222</v>
      </c>
      <c r="R157" s="46">
        <f t="shared" si="104"/>
        <v>0.19903178444262432</v>
      </c>
      <c r="S157" s="46">
        <f t="shared" si="104"/>
        <v>0.20696801525339312</v>
      </c>
      <c r="T157" s="46">
        <f t="shared" si="104"/>
        <v>0.2106380549070592</v>
      </c>
      <c r="U157" s="46">
        <f t="shared" si="104"/>
        <v>0.21701189005921442</v>
      </c>
      <c r="V157" s="46">
        <f t="shared" si="104"/>
        <v>0.23963892402578971</v>
      </c>
      <c r="W157" s="46">
        <f t="shared" ref="W157:Y157" si="105">IF(W42=0,0,W42/W$17)</f>
        <v>0.23050330669893324</v>
      </c>
      <c r="X157" s="46">
        <f t="shared" si="105"/>
        <v>0.23131861138823792</v>
      </c>
      <c r="Y157" s="46">
        <f t="shared" si="105"/>
        <v>0.22396354395889512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0.10573807429642575</v>
      </c>
      <c r="C158" s="154">
        <f t="shared" si="106"/>
        <v>0.10668829109846896</v>
      </c>
      <c r="D158" s="154">
        <f t="shared" si="106"/>
        <v>6.6062423304652701E-2</v>
      </c>
      <c r="E158" s="154">
        <f t="shared" si="106"/>
        <v>9.7550378752272751E-2</v>
      </c>
      <c r="F158" s="154">
        <f t="shared" si="106"/>
        <v>0.10757789698345835</v>
      </c>
      <c r="G158" s="154">
        <f t="shared" si="106"/>
        <v>0.13966781959535987</v>
      </c>
      <c r="H158" s="154">
        <f t="shared" si="106"/>
        <v>0.14691499369659666</v>
      </c>
      <c r="I158" s="154">
        <f t="shared" si="106"/>
        <v>0.14287875566390904</v>
      </c>
      <c r="J158" s="154">
        <f t="shared" si="106"/>
        <v>0.12930426055678551</v>
      </c>
      <c r="K158" s="154">
        <f t="shared" si="106"/>
        <v>0.13295880353784356</v>
      </c>
      <c r="L158" s="154">
        <f t="shared" ref="L158" si="107">IF(L43=0,0,L43/L$17)</f>
        <v>0.11693935737473335</v>
      </c>
      <c r="M158" s="154">
        <f t="shared" ref="M158:V158" si="108">IF(M43=0,0,M43/M$17)</f>
        <v>0.11337608058231347</v>
      </c>
      <c r="N158" s="154">
        <f t="shared" si="108"/>
        <v>0.10861467432246463</v>
      </c>
      <c r="O158" s="154">
        <f t="shared" si="108"/>
        <v>0.10802437958199641</v>
      </c>
      <c r="P158" s="154">
        <f t="shared" si="108"/>
        <v>0.10752160912714351</v>
      </c>
      <c r="Q158" s="154">
        <f t="shared" si="108"/>
        <v>0.10453412878614207</v>
      </c>
      <c r="R158" s="154">
        <f t="shared" si="108"/>
        <v>0.10030185513615007</v>
      </c>
      <c r="S158" s="154">
        <f t="shared" si="108"/>
        <v>0.1061534967221025</v>
      </c>
      <c r="T158" s="154">
        <f t="shared" si="108"/>
        <v>0.10961119781352967</v>
      </c>
      <c r="U158" s="154">
        <f t="shared" si="108"/>
        <v>0.11292120530073106</v>
      </c>
      <c r="V158" s="154">
        <f t="shared" si="108"/>
        <v>0.12208736886282109</v>
      </c>
      <c r="W158" s="154">
        <f t="shared" ref="W158:Y158" si="109">IF(W43=0,0,W43/W$17)</f>
        <v>0.11483450161496027</v>
      </c>
      <c r="X158" s="154">
        <f t="shared" si="109"/>
        <v>0.11198850819561212</v>
      </c>
      <c r="Y158" s="154">
        <f t="shared" si="109"/>
        <v>0.10654119293163855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4.2774341099918707E-3</v>
      </c>
      <c r="C159" s="103">
        <f t="shared" si="110"/>
        <v>5.3833104877370934E-3</v>
      </c>
      <c r="D159" s="103">
        <f t="shared" si="110"/>
        <v>7.9661237596319427E-3</v>
      </c>
      <c r="E159" s="103">
        <f t="shared" si="110"/>
        <v>6.0141727232272965E-3</v>
      </c>
      <c r="F159" s="103">
        <f t="shared" si="110"/>
        <v>4.659602586218785E-3</v>
      </c>
      <c r="G159" s="103">
        <f t="shared" si="110"/>
        <v>4.370819835125269E-3</v>
      </c>
      <c r="H159" s="103">
        <f t="shared" si="110"/>
        <v>4.2364036777513096E-3</v>
      </c>
      <c r="I159" s="103">
        <f t="shared" si="110"/>
        <v>4.1652554485078408E-3</v>
      </c>
      <c r="J159" s="103">
        <f t="shared" si="110"/>
        <v>3.6453841609361192E-3</v>
      </c>
      <c r="K159" s="103">
        <f t="shared" si="110"/>
        <v>3.8385408971885024E-3</v>
      </c>
      <c r="L159" s="103">
        <f t="shared" ref="L159" si="111">IF(L44=0,0,L44/L$17)</f>
        <v>4.0228101188048261E-3</v>
      </c>
      <c r="M159" s="103">
        <f t="shared" ref="M159:V159" si="112">IF(M44=0,0,M44/M$17)</f>
        <v>3.7799835755553553E-3</v>
      </c>
      <c r="N159" s="103">
        <f t="shared" si="112"/>
        <v>3.6407185197613458E-3</v>
      </c>
      <c r="O159" s="103">
        <f t="shared" si="112"/>
        <v>3.5154149861317914E-3</v>
      </c>
      <c r="P159" s="103">
        <f t="shared" si="112"/>
        <v>3.4464208393830405E-3</v>
      </c>
      <c r="Q159" s="103">
        <f t="shared" si="112"/>
        <v>3.1616961984205312E-3</v>
      </c>
      <c r="R159" s="103">
        <f t="shared" si="112"/>
        <v>2.9093990103887224E-3</v>
      </c>
      <c r="S159" s="103">
        <f t="shared" si="112"/>
        <v>2.7164486567178262E-3</v>
      </c>
      <c r="T159" s="103">
        <f t="shared" si="112"/>
        <v>2.3530756737699028E-3</v>
      </c>
      <c r="U159" s="103">
        <f t="shared" si="112"/>
        <v>2.3496292288789039E-3</v>
      </c>
      <c r="V159" s="103">
        <f t="shared" si="112"/>
        <v>2.6594844028981724E-3</v>
      </c>
      <c r="W159" s="103">
        <f t="shared" ref="W159:Y159" si="113">IF(W44=0,0,W44/W$17)</f>
        <v>2.6791402881595726E-3</v>
      </c>
      <c r="X159" s="103">
        <f t="shared" si="113"/>
        <v>2.601350793333893E-3</v>
      </c>
      <c r="Y159" s="103">
        <f t="shared" si="113"/>
        <v>2.8627012005475543E-3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0.10146064018643386</v>
      </c>
      <c r="C160" s="103">
        <f t="shared" si="114"/>
        <v>0.10130498061073187</v>
      </c>
      <c r="D160" s="103">
        <f t="shared" si="114"/>
        <v>5.8096299545020762E-2</v>
      </c>
      <c r="E160" s="103">
        <f t="shared" si="114"/>
        <v>9.1536206029045455E-2</v>
      </c>
      <c r="F160" s="103">
        <f t="shared" si="114"/>
        <v>0.10291829439723955</v>
      </c>
      <c r="G160" s="103">
        <f t="shared" si="114"/>
        <v>0.1352969997602346</v>
      </c>
      <c r="H160" s="103">
        <f t="shared" si="114"/>
        <v>0.14267859001884536</v>
      </c>
      <c r="I160" s="103">
        <f t="shared" si="114"/>
        <v>0.13871350021540119</v>
      </c>
      <c r="J160" s="103">
        <f t="shared" si="114"/>
        <v>0.12565629044428547</v>
      </c>
      <c r="K160" s="103">
        <f t="shared" si="114"/>
        <v>0.12911724613472017</v>
      </c>
      <c r="L160" s="103">
        <f t="shared" ref="L160" si="115">IF(L46=0,0,L46/L$17)</f>
        <v>0.11291265054933919</v>
      </c>
      <c r="M160" s="103">
        <f t="shared" ref="M160:V160" si="116">IF(M46=0,0,M46/M$17)</f>
        <v>0.10959124898317334</v>
      </c>
      <c r="N160" s="103">
        <f t="shared" si="116"/>
        <v>0.10496908765684328</v>
      </c>
      <c r="O160" s="103">
        <f t="shared" si="116"/>
        <v>0.1044943835579084</v>
      </c>
      <c r="P160" s="103">
        <f t="shared" si="116"/>
        <v>0.10406099908519595</v>
      </c>
      <c r="Q160" s="103">
        <f t="shared" si="116"/>
        <v>0.10135713134817287</v>
      </c>
      <c r="R160" s="103">
        <f t="shared" si="116"/>
        <v>9.7375590013309365E-2</v>
      </c>
      <c r="S160" s="103">
        <f t="shared" si="116"/>
        <v>0.10340471398120497</v>
      </c>
      <c r="T160" s="103">
        <f t="shared" si="116"/>
        <v>0.10722356296332582</v>
      </c>
      <c r="U160" s="103">
        <f t="shared" si="116"/>
        <v>0.11045033602821391</v>
      </c>
      <c r="V160" s="103">
        <f t="shared" si="116"/>
        <v>0.11927841034974314</v>
      </c>
      <c r="W160" s="103">
        <f t="shared" ref="W160:Y160" si="117">IF(W46=0,0,W46/W$17)</f>
        <v>0.1119949695383286</v>
      </c>
      <c r="X160" s="103">
        <f t="shared" si="117"/>
        <v>0.10923189302526672</v>
      </c>
      <c r="Y160" s="103">
        <f t="shared" si="117"/>
        <v>0.10345633707877305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0</v>
      </c>
      <c r="P161" s="103">
        <f t="shared" si="120"/>
        <v>0</v>
      </c>
      <c r="Q161" s="103">
        <f t="shared" si="120"/>
        <v>0</v>
      </c>
      <c r="R161" s="103">
        <f t="shared" si="120"/>
        <v>0</v>
      </c>
      <c r="S161" s="103">
        <f t="shared" si="120"/>
        <v>9.0018427174342321E-6</v>
      </c>
      <c r="T161" s="103">
        <f t="shared" si="120"/>
        <v>7.7226621898114785E-6</v>
      </c>
      <c r="U161" s="103">
        <f t="shared" si="120"/>
        <v>1.4007269415413776E-5</v>
      </c>
      <c r="V161" s="103">
        <f t="shared" si="120"/>
        <v>1.5990936591818893E-5</v>
      </c>
      <c r="W161" s="103">
        <f t="shared" ref="W161:Y161" si="121">IF(W48=0,0,W48/W$17)</f>
        <v>1.4764572920340492E-5</v>
      </c>
      <c r="X161" s="103">
        <f t="shared" si="121"/>
        <v>1.1686200961979623E-5</v>
      </c>
      <c r="Y161" s="103">
        <f t="shared" si="121"/>
        <v>1.417356499958862E-5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0</v>
      </c>
      <c r="R162" s="103">
        <f t="shared" si="124"/>
        <v>0</v>
      </c>
      <c r="S162" s="103">
        <f t="shared" si="124"/>
        <v>0</v>
      </c>
      <c r="T162" s="103">
        <f t="shared" si="124"/>
        <v>0</v>
      </c>
      <c r="U162" s="103">
        <f t="shared" si="124"/>
        <v>0</v>
      </c>
      <c r="V162" s="103">
        <f t="shared" si="124"/>
        <v>0</v>
      </c>
      <c r="W162" s="103">
        <f t="shared" ref="W162:Y162" si="125">IF(W49=0,0,W49/W$17)</f>
        <v>0</v>
      </c>
      <c r="X162" s="103">
        <f t="shared" si="125"/>
        <v>0</v>
      </c>
      <c r="Y162" s="103">
        <f t="shared" si="125"/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2.585951563908736E-6</v>
      </c>
      <c r="K163" s="103">
        <f t="shared" si="126"/>
        <v>3.0165059348672033E-6</v>
      </c>
      <c r="L163" s="103">
        <f t="shared" ref="L163" si="127">IF(L51=0,0,L51/L$17)</f>
        <v>3.8967065893485892E-6</v>
      </c>
      <c r="M163" s="103">
        <f t="shared" ref="M163:V163" si="128">IF(M51=0,0,M51/M$17)</f>
        <v>4.8480235847629886E-6</v>
      </c>
      <c r="N163" s="103">
        <f t="shared" si="128"/>
        <v>4.8681458600163799E-6</v>
      </c>
      <c r="O163" s="103">
        <f t="shared" si="128"/>
        <v>1.4581037956242268E-5</v>
      </c>
      <c r="P163" s="103">
        <f t="shared" si="128"/>
        <v>1.4189202564496932E-5</v>
      </c>
      <c r="Q163" s="103">
        <f t="shared" si="128"/>
        <v>1.5301239548672465E-5</v>
      </c>
      <c r="R163" s="103">
        <f t="shared" si="128"/>
        <v>1.6866112451989487E-5</v>
      </c>
      <c r="S163" s="103">
        <f t="shared" si="128"/>
        <v>2.3332241462274633E-5</v>
      </c>
      <c r="T163" s="103">
        <f t="shared" si="128"/>
        <v>2.6836514244143618E-5</v>
      </c>
      <c r="U163" s="103">
        <f t="shared" si="128"/>
        <v>1.0723277422282964E-4</v>
      </c>
      <c r="V163" s="103">
        <f t="shared" si="128"/>
        <v>1.3348317358797044E-4</v>
      </c>
      <c r="W163" s="103">
        <f t="shared" ref="W163:Y163" si="129">IF(W51=0,0,W51/W$17)</f>
        <v>1.4562721555174557E-4</v>
      </c>
      <c r="X163" s="103">
        <f t="shared" si="129"/>
        <v>1.435781760495382E-4</v>
      </c>
      <c r="Y163" s="103">
        <f t="shared" si="129"/>
        <v>2.0798108731835316E-4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0.27908282180096505</v>
      </c>
      <c r="C164" s="156">
        <f t="shared" si="130"/>
        <v>0.26364526445301883</v>
      </c>
      <c r="D164" s="156">
        <f t="shared" si="130"/>
        <v>4.7512836649091852E-2</v>
      </c>
      <c r="E164" s="156">
        <f t="shared" si="130"/>
        <v>0.17127213264889832</v>
      </c>
      <c r="F164" s="156">
        <f t="shared" si="130"/>
        <v>0.32058769605951348</v>
      </c>
      <c r="G164" s="156">
        <f t="shared" si="130"/>
        <v>0.21336388952479662</v>
      </c>
      <c r="H164" s="156">
        <f t="shared" si="130"/>
        <v>0.20331559576929686</v>
      </c>
      <c r="I164" s="156">
        <f t="shared" si="130"/>
        <v>0.21399487838189685</v>
      </c>
      <c r="J164" s="156">
        <f t="shared" si="130"/>
        <v>0.19487518772073362</v>
      </c>
      <c r="K164" s="156">
        <f t="shared" si="130"/>
        <v>0.1960862498317939</v>
      </c>
      <c r="L164" s="156">
        <f t="shared" ref="L164" si="131">IF(L52=0,0,L52/L$17)</f>
        <v>0.14640949298599087</v>
      </c>
      <c r="M164" s="156">
        <f t="shared" ref="M164:V164" si="132">IF(M52=0,0,M52/M$17)</f>
        <v>0.13057609688411806</v>
      </c>
      <c r="N164" s="156">
        <f t="shared" si="132"/>
        <v>0.11765754645837177</v>
      </c>
      <c r="O164" s="156">
        <f t="shared" si="132"/>
        <v>0.11667205308054689</v>
      </c>
      <c r="P164" s="156">
        <f t="shared" si="132"/>
        <v>0.10685542101611127</v>
      </c>
      <c r="Q164" s="156">
        <f t="shared" si="132"/>
        <v>9.7471586069470165E-2</v>
      </c>
      <c r="R164" s="156">
        <f t="shared" si="132"/>
        <v>9.8729929306474215E-2</v>
      </c>
      <c r="S164" s="156">
        <f t="shared" si="132"/>
        <v>0.10081451853129063</v>
      </c>
      <c r="T164" s="156">
        <f t="shared" si="132"/>
        <v>0.10102685709352954</v>
      </c>
      <c r="U164" s="156">
        <f t="shared" si="132"/>
        <v>0.10409068475848335</v>
      </c>
      <c r="V164" s="156">
        <f t="shared" si="132"/>
        <v>0.1175515551629686</v>
      </c>
      <c r="W164" s="156">
        <f t="shared" ref="W164:Y164" si="133">IF(W52=0,0,W52/W$17)</f>
        <v>0.11566880508397298</v>
      </c>
      <c r="X164" s="156">
        <f t="shared" si="133"/>
        <v>0.1193301031926258</v>
      </c>
      <c r="Y164" s="156">
        <f t="shared" si="133"/>
        <v>0.11742235102725657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0.27908282180096505</v>
      </c>
      <c r="C165" s="104">
        <f t="shared" si="134"/>
        <v>0.26364526445301883</v>
      </c>
      <c r="D165" s="104">
        <f t="shared" si="134"/>
        <v>4.7512836649091852E-2</v>
      </c>
      <c r="E165" s="104">
        <f t="shared" si="134"/>
        <v>0.17127213264889832</v>
      </c>
      <c r="F165" s="104">
        <f t="shared" si="134"/>
        <v>0.32058769605951348</v>
      </c>
      <c r="G165" s="104">
        <f t="shared" si="134"/>
        <v>0.21336388952479662</v>
      </c>
      <c r="H165" s="104">
        <f t="shared" si="134"/>
        <v>0.20331559576929686</v>
      </c>
      <c r="I165" s="104">
        <f t="shared" si="134"/>
        <v>0.21399487838189685</v>
      </c>
      <c r="J165" s="104">
        <f t="shared" si="134"/>
        <v>0.19487518772073362</v>
      </c>
      <c r="K165" s="104">
        <f t="shared" si="134"/>
        <v>0.1960862498317939</v>
      </c>
      <c r="L165" s="104">
        <f t="shared" ref="L165" si="135">IF(L53=0,0,L53/L$17)</f>
        <v>0.14640949298599087</v>
      </c>
      <c r="M165" s="104">
        <f t="shared" ref="M165:V165" si="136">IF(M53=0,0,M53/M$17)</f>
        <v>0.13057609688411806</v>
      </c>
      <c r="N165" s="104">
        <f t="shared" si="136"/>
        <v>0.11765754645837177</v>
      </c>
      <c r="O165" s="104">
        <f t="shared" si="136"/>
        <v>0.11667205308054689</v>
      </c>
      <c r="P165" s="104">
        <f t="shared" si="136"/>
        <v>0.10685542101611127</v>
      </c>
      <c r="Q165" s="104">
        <f t="shared" si="136"/>
        <v>9.7471586069470165E-2</v>
      </c>
      <c r="R165" s="104">
        <f t="shared" si="136"/>
        <v>9.8729929306474215E-2</v>
      </c>
      <c r="S165" s="104">
        <f t="shared" si="136"/>
        <v>0.10081451853129063</v>
      </c>
      <c r="T165" s="104">
        <f t="shared" si="136"/>
        <v>0.10102685709352954</v>
      </c>
      <c r="U165" s="104">
        <f t="shared" si="136"/>
        <v>0.10409068475848335</v>
      </c>
      <c r="V165" s="104">
        <f t="shared" si="136"/>
        <v>0.1175515551629686</v>
      </c>
      <c r="W165" s="104">
        <f t="shared" ref="W165:Y165" si="137">IF(W53=0,0,W53/W$17)</f>
        <v>0.11566880508397298</v>
      </c>
      <c r="X165" s="104">
        <f t="shared" si="137"/>
        <v>0.1193301031926258</v>
      </c>
      <c r="Y165" s="104">
        <f t="shared" si="137"/>
        <v>0.11742235102725657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0</v>
      </c>
      <c r="C166" s="105">
        <f t="shared" si="138"/>
        <v>0</v>
      </c>
      <c r="D166" s="105">
        <f t="shared" si="138"/>
        <v>0</v>
      </c>
      <c r="E166" s="105">
        <f t="shared" si="138"/>
        <v>0</v>
      </c>
      <c r="F166" s="105">
        <f t="shared" si="138"/>
        <v>0</v>
      </c>
      <c r="G166" s="105">
        <f t="shared" si="138"/>
        <v>0</v>
      </c>
      <c r="H166" s="105">
        <f t="shared" si="138"/>
        <v>0</v>
      </c>
      <c r="I166" s="105">
        <f t="shared" si="138"/>
        <v>0</v>
      </c>
      <c r="J166" s="105">
        <f t="shared" si="138"/>
        <v>0</v>
      </c>
      <c r="K166" s="105">
        <f t="shared" si="138"/>
        <v>0</v>
      </c>
      <c r="L166" s="105">
        <f t="shared" ref="L166" si="139">IF(L55=0,0,L55/L$17)</f>
        <v>0</v>
      </c>
      <c r="M166" s="105">
        <f t="shared" ref="M166:V166" si="140">IF(M55=0,0,M55/M$17)</f>
        <v>0</v>
      </c>
      <c r="N166" s="105">
        <f t="shared" si="140"/>
        <v>0</v>
      </c>
      <c r="O166" s="105">
        <f t="shared" si="140"/>
        <v>0</v>
      </c>
      <c r="P166" s="105">
        <f t="shared" si="140"/>
        <v>0</v>
      </c>
      <c r="Q166" s="105">
        <f t="shared" si="140"/>
        <v>0</v>
      </c>
      <c r="R166" s="105">
        <f t="shared" si="140"/>
        <v>0</v>
      </c>
      <c r="S166" s="105">
        <f t="shared" si="140"/>
        <v>0</v>
      </c>
      <c r="T166" s="105">
        <f t="shared" si="140"/>
        <v>0</v>
      </c>
      <c r="U166" s="105">
        <f t="shared" si="140"/>
        <v>0</v>
      </c>
      <c r="V166" s="105">
        <f t="shared" si="140"/>
        <v>0</v>
      </c>
      <c r="W166" s="105">
        <f t="shared" ref="W166:Y166" si="141">IF(W55=0,0,W55/W$17)</f>
        <v>0</v>
      </c>
      <c r="X166" s="105">
        <f t="shared" si="141"/>
        <v>0</v>
      </c>
      <c r="Y166" s="105">
        <f t="shared" si="141"/>
        <v>0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460.12803839999998</v>
      </c>
      <c r="C4" s="146">
        <f t="shared" si="0"/>
        <v>428.73024491999996</v>
      </c>
      <c r="D4" s="146">
        <f t="shared" si="0"/>
        <v>287.60273316000001</v>
      </c>
      <c r="E4" s="146">
        <f t="shared" si="0"/>
        <v>367.84163879999994</v>
      </c>
      <c r="F4" s="146">
        <f t="shared" si="0"/>
        <v>448.89492384000005</v>
      </c>
      <c r="G4" s="146">
        <f t="shared" si="0"/>
        <v>470.9017166399999</v>
      </c>
      <c r="H4" s="146">
        <f t="shared" si="0"/>
        <v>483.64670916</v>
      </c>
      <c r="I4" s="146">
        <f t="shared" si="0"/>
        <v>495.77277419999996</v>
      </c>
      <c r="J4" s="146">
        <f t="shared" si="0"/>
        <v>543.45114648000003</v>
      </c>
      <c r="K4" s="146">
        <f t="shared" si="0"/>
        <v>479.01572963999996</v>
      </c>
      <c r="L4" s="146">
        <f t="shared" ref="L4" si="1">L5+L9+L10+L15</f>
        <v>504.50598143999997</v>
      </c>
      <c r="M4" s="146">
        <f t="shared" ref="M4:V4" si="2">M5+M9+M10+M15</f>
        <v>494.94717035999997</v>
      </c>
      <c r="N4" s="146">
        <f t="shared" si="2"/>
        <v>491.96738124000001</v>
      </c>
      <c r="O4" s="146">
        <f t="shared" si="2"/>
        <v>501.31979999999999</v>
      </c>
      <c r="P4" s="146">
        <f t="shared" si="2"/>
        <v>510.87861108000004</v>
      </c>
      <c r="Q4" s="146">
        <f t="shared" si="2"/>
        <v>541.9161554399999</v>
      </c>
      <c r="R4" s="146">
        <f t="shared" si="2"/>
        <v>544.81880591999993</v>
      </c>
      <c r="S4" s="146">
        <f t="shared" si="2"/>
        <v>560.88738971999999</v>
      </c>
      <c r="T4" s="146">
        <f t="shared" si="2"/>
        <v>623.30900975999987</v>
      </c>
      <c r="U4" s="146">
        <f t="shared" si="2"/>
        <v>650.88876672000004</v>
      </c>
      <c r="V4" s="146">
        <f t="shared" si="2"/>
        <v>520.33192956000005</v>
      </c>
      <c r="W4" s="146">
        <f t="shared" ref="W4:Y4" si="3">W5+W9+W10+W15</f>
        <v>547.56999287999986</v>
      </c>
      <c r="X4" s="146">
        <f t="shared" si="3"/>
        <v>660.93630876000009</v>
      </c>
      <c r="Y4" s="146">
        <f t="shared" si="3"/>
        <v>681.0934046399999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460.12803839999998</v>
      </c>
      <c r="C5" s="101">
        <f t="shared" si="4"/>
        <v>428.73024491999996</v>
      </c>
      <c r="D5" s="101">
        <f t="shared" si="4"/>
        <v>287.60273316000001</v>
      </c>
      <c r="E5" s="101">
        <f t="shared" si="4"/>
        <v>367.84163879999994</v>
      </c>
      <c r="F5" s="101">
        <f t="shared" si="4"/>
        <v>448.89492384000005</v>
      </c>
      <c r="G5" s="101">
        <f t="shared" si="4"/>
        <v>470.9017166399999</v>
      </c>
      <c r="H5" s="101">
        <f t="shared" si="4"/>
        <v>483.64670916</v>
      </c>
      <c r="I5" s="101">
        <f t="shared" si="4"/>
        <v>495.77277419999996</v>
      </c>
      <c r="J5" s="101">
        <f t="shared" si="4"/>
        <v>543.45114648000003</v>
      </c>
      <c r="K5" s="101">
        <f t="shared" si="4"/>
        <v>479.01572963999996</v>
      </c>
      <c r="L5" s="101">
        <f t="shared" ref="L5" si="5">SUM(L6:L8)</f>
        <v>504.50598143999997</v>
      </c>
      <c r="M5" s="101">
        <f t="shared" ref="M5:V5" si="6">SUM(M6:M8)</f>
        <v>494.94717035999997</v>
      </c>
      <c r="N5" s="101">
        <f t="shared" si="6"/>
        <v>491.96738124000001</v>
      </c>
      <c r="O5" s="101">
        <f t="shared" si="6"/>
        <v>501.31979999999999</v>
      </c>
      <c r="P5" s="101">
        <f t="shared" si="6"/>
        <v>510.87861108000004</v>
      </c>
      <c r="Q5" s="101">
        <f t="shared" si="6"/>
        <v>541.9161554399999</v>
      </c>
      <c r="R5" s="101">
        <f t="shared" si="6"/>
        <v>544.81880591999993</v>
      </c>
      <c r="S5" s="101">
        <f t="shared" si="6"/>
        <v>560.88738971999999</v>
      </c>
      <c r="T5" s="101">
        <f t="shared" si="6"/>
        <v>623.30900975999987</v>
      </c>
      <c r="U5" s="101">
        <f t="shared" si="6"/>
        <v>650.88876672000004</v>
      </c>
      <c r="V5" s="101">
        <f t="shared" si="6"/>
        <v>520.33192956000005</v>
      </c>
      <c r="W5" s="101">
        <f t="shared" ref="W5:Y5" si="7">SUM(W6:W8)</f>
        <v>547.56999287999986</v>
      </c>
      <c r="X5" s="101">
        <f t="shared" si="7"/>
        <v>660.93630876000009</v>
      </c>
      <c r="Y5" s="101">
        <f t="shared" si="7"/>
        <v>681.0934046399999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2.9026504799999988</v>
      </c>
      <c r="S6" s="101">
        <v>1.8200059200000003</v>
      </c>
      <c r="T6" s="101">
        <v>2.0492103600000005</v>
      </c>
      <c r="U6" s="101">
        <v>2.0928250799999999</v>
      </c>
      <c r="V6" s="101">
        <v>1.89837612</v>
      </c>
      <c r="W6" s="101">
        <v>2.17982736</v>
      </c>
      <c r="X6" s="101">
        <v>2.3249826000000002</v>
      </c>
      <c r="Y6" s="101">
        <v>2.4671847600000003</v>
      </c>
      <c r="DA6" s="175" t="s">
        <v>741</v>
      </c>
    </row>
    <row r="7" spans="1:105" ht="11.45" customHeight="1" x14ac:dyDescent="0.25">
      <c r="A7" s="128" t="s">
        <v>53</v>
      </c>
      <c r="B7" s="101">
        <v>217.96917912000001</v>
      </c>
      <c r="C7" s="101">
        <v>205.68927456</v>
      </c>
      <c r="D7" s="101">
        <v>230.24933316000002</v>
      </c>
      <c r="E7" s="101">
        <v>214.89932771999997</v>
      </c>
      <c r="F7" s="101">
        <v>178.05936456000001</v>
      </c>
      <c r="G7" s="101">
        <v>193.69352771999999</v>
      </c>
      <c r="H7" s="101">
        <v>193.69352771999999</v>
      </c>
      <c r="I7" s="101">
        <v>202.63314455999998</v>
      </c>
      <c r="J7" s="101">
        <v>250.31151684</v>
      </c>
      <c r="K7" s="101">
        <v>214.55279999999999</v>
      </c>
      <c r="L7" s="101">
        <v>214.55279999999999</v>
      </c>
      <c r="M7" s="101">
        <v>214.55279999999999</v>
      </c>
      <c r="N7" s="101">
        <v>211.57301088</v>
      </c>
      <c r="O7" s="101">
        <v>214.55279999999999</v>
      </c>
      <c r="P7" s="101">
        <v>214.55279999999999</v>
      </c>
      <c r="Q7" s="101">
        <v>226.47245543999998</v>
      </c>
      <c r="R7" s="101">
        <v>226.47245543999998</v>
      </c>
      <c r="S7" s="101">
        <v>229.19303484</v>
      </c>
      <c r="T7" s="101">
        <v>230.95710792</v>
      </c>
      <c r="U7" s="101">
        <v>244.43526491999998</v>
      </c>
      <c r="V7" s="101">
        <v>205.80977339999998</v>
      </c>
      <c r="W7" s="101">
        <v>222.45557796</v>
      </c>
      <c r="X7" s="101">
        <v>244.5515226</v>
      </c>
      <c r="Y7" s="101">
        <v>254.64747924</v>
      </c>
      <c r="DA7" s="175" t="s">
        <v>742</v>
      </c>
    </row>
    <row r="8" spans="1:105" ht="11.45" customHeight="1" x14ac:dyDescent="0.25">
      <c r="A8" s="128" t="s">
        <v>54</v>
      </c>
      <c r="B8" s="101">
        <v>242.15885927999997</v>
      </c>
      <c r="C8" s="101">
        <v>223.04097035999996</v>
      </c>
      <c r="D8" s="101">
        <v>57.353400000000015</v>
      </c>
      <c r="E8" s="101">
        <v>152.94231108</v>
      </c>
      <c r="F8" s="101">
        <v>270.83555928000004</v>
      </c>
      <c r="G8" s="101">
        <v>277.20818891999994</v>
      </c>
      <c r="H8" s="101">
        <v>289.95318143999998</v>
      </c>
      <c r="I8" s="101">
        <v>293.13962964000001</v>
      </c>
      <c r="J8" s="101">
        <v>293.13962964000001</v>
      </c>
      <c r="K8" s="101">
        <v>264.46292963999997</v>
      </c>
      <c r="L8" s="101">
        <v>289.95318143999998</v>
      </c>
      <c r="M8" s="101">
        <v>280.39437035999998</v>
      </c>
      <c r="N8" s="101">
        <v>280.39437035999998</v>
      </c>
      <c r="O8" s="101">
        <v>286.767</v>
      </c>
      <c r="P8" s="101">
        <v>296.32581108000005</v>
      </c>
      <c r="Q8" s="101">
        <v>315.44369999999992</v>
      </c>
      <c r="R8" s="101">
        <v>315.44369999999992</v>
      </c>
      <c r="S8" s="101">
        <v>329.87434896000002</v>
      </c>
      <c r="T8" s="101">
        <v>390.30269147999991</v>
      </c>
      <c r="U8" s="101">
        <v>404.36067672000007</v>
      </c>
      <c r="V8" s="101">
        <v>312.62378004000004</v>
      </c>
      <c r="W8" s="101">
        <v>322.9345875599999</v>
      </c>
      <c r="X8" s="101">
        <v>414.05980356000009</v>
      </c>
      <c r="Y8" s="101">
        <v>423.9787406399999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X9" s="101">
        <v>0</v>
      </c>
      <c r="Y9" s="101">
        <v>0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460.12803839999998</v>
      </c>
      <c r="C17" s="79">
        <f t="shared" si="12"/>
        <v>428.73024491999996</v>
      </c>
      <c r="D17" s="79">
        <f t="shared" si="12"/>
        <v>287.60273316000001</v>
      </c>
      <c r="E17" s="79">
        <f t="shared" si="12"/>
        <v>367.8416388</v>
      </c>
      <c r="F17" s="79">
        <f t="shared" si="12"/>
        <v>448.89492384000005</v>
      </c>
      <c r="G17" s="79">
        <f t="shared" si="12"/>
        <v>470.9017166399999</v>
      </c>
      <c r="H17" s="79">
        <f t="shared" si="12"/>
        <v>483.64670916</v>
      </c>
      <c r="I17" s="79">
        <f t="shared" si="12"/>
        <v>495.77277420000001</v>
      </c>
      <c r="J17" s="79">
        <f t="shared" si="12"/>
        <v>543.45114647999992</v>
      </c>
      <c r="K17" s="79">
        <f t="shared" si="12"/>
        <v>479.01572963999996</v>
      </c>
      <c r="L17" s="79">
        <f t="shared" ref="L17" si="13">SUM(L18,L33)</f>
        <v>504.50598143999997</v>
      </c>
      <c r="M17" s="79">
        <f t="shared" ref="M17:V17" si="14">SUM(M18,M33)</f>
        <v>494.94717035999997</v>
      </c>
      <c r="N17" s="79">
        <f t="shared" si="14"/>
        <v>491.9673812399999</v>
      </c>
      <c r="O17" s="79">
        <f t="shared" si="14"/>
        <v>501.31980000000004</v>
      </c>
      <c r="P17" s="79">
        <f t="shared" si="14"/>
        <v>510.8786110800001</v>
      </c>
      <c r="Q17" s="79">
        <f t="shared" si="14"/>
        <v>541.91615543999978</v>
      </c>
      <c r="R17" s="79">
        <f t="shared" si="14"/>
        <v>544.81880591999993</v>
      </c>
      <c r="S17" s="79">
        <f t="shared" si="14"/>
        <v>560.88738971999999</v>
      </c>
      <c r="T17" s="79">
        <f t="shared" si="14"/>
        <v>623.30900975999998</v>
      </c>
      <c r="U17" s="79">
        <f t="shared" si="14"/>
        <v>650.88876672000015</v>
      </c>
      <c r="V17" s="79">
        <f t="shared" si="14"/>
        <v>520.33192956000005</v>
      </c>
      <c r="W17" s="79">
        <f t="shared" ref="W17:Y17" si="15">SUM(W18,W33)</f>
        <v>547.56999287999975</v>
      </c>
      <c r="X17" s="79">
        <f t="shared" si="15"/>
        <v>660.93630875999997</v>
      </c>
      <c r="Y17" s="79">
        <f t="shared" si="15"/>
        <v>681.09340463999979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277.38302274005241</v>
      </c>
      <c r="C18" s="32">
        <f t="shared" si="16"/>
        <v>264.83542605992216</v>
      </c>
      <c r="D18" s="32">
        <f t="shared" si="16"/>
        <v>253.28351860860505</v>
      </c>
      <c r="E18" s="32">
        <f t="shared" si="16"/>
        <v>265.10435023672659</v>
      </c>
      <c r="F18" s="32">
        <f t="shared" si="16"/>
        <v>251.5500497736416</v>
      </c>
      <c r="G18" s="32">
        <f t="shared" si="16"/>
        <v>300.05725914172859</v>
      </c>
      <c r="H18" s="32">
        <f t="shared" si="16"/>
        <v>309.69420210468752</v>
      </c>
      <c r="I18" s="32">
        <f t="shared" si="16"/>
        <v>313.96946192817285</v>
      </c>
      <c r="J18" s="32">
        <f t="shared" si="16"/>
        <v>361.78445606807111</v>
      </c>
      <c r="K18" s="32">
        <f t="shared" si="16"/>
        <v>316.62752421478882</v>
      </c>
      <c r="L18" s="32">
        <f t="shared" ref="L18" si="17">SUM(L19,L20,L27)</f>
        <v>368.16754740933214</v>
      </c>
      <c r="M18" s="32">
        <f t="shared" ref="M18:V18" si="18">SUM(M19,M20,M27)</f>
        <v>371.5677318479992</v>
      </c>
      <c r="N18" s="32">
        <f t="shared" si="18"/>
        <v>378.80587197388218</v>
      </c>
      <c r="O18" s="32">
        <f t="shared" si="18"/>
        <v>387.95417632185729</v>
      </c>
      <c r="P18" s="32">
        <f t="shared" si="18"/>
        <v>401.51787985205465</v>
      </c>
      <c r="Q18" s="32">
        <f t="shared" si="18"/>
        <v>432.17549043624297</v>
      </c>
      <c r="R18" s="32">
        <f t="shared" si="18"/>
        <v>436.0193468531246</v>
      </c>
      <c r="S18" s="32">
        <f t="shared" si="18"/>
        <v>444.64095368899757</v>
      </c>
      <c r="T18" s="32">
        <f t="shared" si="18"/>
        <v>492.22244328745683</v>
      </c>
      <c r="U18" s="32">
        <f t="shared" si="18"/>
        <v>509.94276560606647</v>
      </c>
      <c r="V18" s="32">
        <f t="shared" si="18"/>
        <v>398.24778219768314</v>
      </c>
      <c r="W18" s="32">
        <f t="shared" ref="W18:Y18" si="19">SUM(W19,W20,W27)</f>
        <v>422.33535413584457</v>
      </c>
      <c r="X18" s="32">
        <f t="shared" si="19"/>
        <v>508.56184012125993</v>
      </c>
      <c r="Y18" s="32">
        <f t="shared" si="19"/>
        <v>528.78949898599149</v>
      </c>
      <c r="DA18" s="173" t="s">
        <v>403</v>
      </c>
    </row>
    <row r="19" spans="1:105" ht="11.45" customHeight="1" x14ac:dyDescent="0.25">
      <c r="A19" s="136" t="s">
        <v>173</v>
      </c>
      <c r="B19" s="141">
        <v>3.3190101535457859</v>
      </c>
      <c r="C19" s="141">
        <v>3.4200288686008915</v>
      </c>
      <c r="D19" s="141">
        <v>3.537624086063198</v>
      </c>
      <c r="E19" s="141">
        <v>3.6149335592639069</v>
      </c>
      <c r="F19" s="141">
        <v>3.3683878188143868</v>
      </c>
      <c r="G19" s="141">
        <v>3.1459049960523049</v>
      </c>
      <c r="H19" s="141">
        <v>3.2043765516003591</v>
      </c>
      <c r="I19" s="141">
        <v>3.3140201627363992</v>
      </c>
      <c r="J19" s="141">
        <v>3.6772624471545488</v>
      </c>
      <c r="K19" s="141">
        <v>3.6167015636414268</v>
      </c>
      <c r="L19" s="141">
        <v>3.6363286454509529</v>
      </c>
      <c r="M19" s="141">
        <v>3.7855614051600619</v>
      </c>
      <c r="N19" s="141">
        <v>3.7695068685665167</v>
      </c>
      <c r="O19" s="141">
        <v>3.9593990081578867</v>
      </c>
      <c r="P19" s="141">
        <v>4.2427784507294533</v>
      </c>
      <c r="Q19" s="141">
        <v>4.3105420370575338</v>
      </c>
      <c r="R19" s="141">
        <v>4.5807590951170569</v>
      </c>
      <c r="S19" s="141">
        <v>4.2909414131340702</v>
      </c>
      <c r="T19" s="141">
        <v>4.163759251284243</v>
      </c>
      <c r="U19" s="141">
        <v>4.5570965808861246</v>
      </c>
      <c r="V19" s="141">
        <v>4.0970118071775987</v>
      </c>
      <c r="W19" s="141">
        <v>4.3043627866043499</v>
      </c>
      <c r="X19" s="141">
        <v>4.4495207287373004</v>
      </c>
      <c r="Y19" s="141">
        <v>4.8706072554549786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238.90052441284496</v>
      </c>
      <c r="C20" s="130">
        <f t="shared" si="20"/>
        <v>227.37954136979607</v>
      </c>
      <c r="D20" s="130">
        <f t="shared" si="20"/>
        <v>236.09485770942794</v>
      </c>
      <c r="E20" s="130">
        <f t="shared" si="20"/>
        <v>233.96495321955103</v>
      </c>
      <c r="F20" s="130">
        <f t="shared" si="20"/>
        <v>209.05350243326413</v>
      </c>
      <c r="G20" s="130">
        <f t="shared" si="20"/>
        <v>242.33674459595329</v>
      </c>
      <c r="H20" s="130">
        <f t="shared" si="20"/>
        <v>247.71534235252412</v>
      </c>
      <c r="I20" s="130">
        <f t="shared" si="20"/>
        <v>255.00022130039019</v>
      </c>
      <c r="J20" s="130">
        <f t="shared" si="20"/>
        <v>302.7957934976954</v>
      </c>
      <c r="K20" s="130">
        <f t="shared" si="20"/>
        <v>265.33601388364696</v>
      </c>
      <c r="L20" s="130">
        <f t="shared" ref="L20" si="21">SUM(L21:L26)</f>
        <v>312.20880724842289</v>
      </c>
      <c r="M20" s="130">
        <f t="shared" ref="M20:V20" si="22">SUM(M21:M26)</f>
        <v>315.11980195900799</v>
      </c>
      <c r="N20" s="130">
        <f t="shared" si="22"/>
        <v>315.08079101999527</v>
      </c>
      <c r="O20" s="130">
        <f t="shared" si="22"/>
        <v>323.3151063131541</v>
      </c>
      <c r="P20" s="130">
        <f t="shared" si="22"/>
        <v>324.86380159739775</v>
      </c>
      <c r="Q20" s="130">
        <f t="shared" si="22"/>
        <v>345.14295643278547</v>
      </c>
      <c r="R20" s="130">
        <f t="shared" si="22"/>
        <v>349.713337750427</v>
      </c>
      <c r="S20" s="130">
        <f t="shared" si="22"/>
        <v>352.70174149348094</v>
      </c>
      <c r="T20" s="130">
        <f t="shared" si="22"/>
        <v>385.49450151405716</v>
      </c>
      <c r="U20" s="130">
        <f t="shared" si="22"/>
        <v>401.67470907563842</v>
      </c>
      <c r="V20" s="130">
        <f t="shared" si="22"/>
        <v>324.23779418277593</v>
      </c>
      <c r="W20" s="130">
        <f t="shared" ref="W20:Y20" si="23">SUM(W21:W26)</f>
        <v>351.88573140836348</v>
      </c>
      <c r="X20" s="130">
        <f t="shared" si="23"/>
        <v>405.27525072672404</v>
      </c>
      <c r="Y20" s="130">
        <f t="shared" si="23"/>
        <v>417.67182084979555</v>
      </c>
      <c r="DA20" s="176" t="s">
        <v>405</v>
      </c>
    </row>
    <row r="21" spans="1:105" ht="11.45" customHeight="1" x14ac:dyDescent="0.25">
      <c r="A21" s="111" t="s">
        <v>110</v>
      </c>
      <c r="B21" s="96">
        <v>212.74909915888674</v>
      </c>
      <c r="C21" s="96">
        <v>200.03903572710203</v>
      </c>
      <c r="D21" s="96">
        <v>224.45022585096763</v>
      </c>
      <c r="E21" s="96">
        <v>209.13169554222532</v>
      </c>
      <c r="F21" s="96">
        <v>172.68103136516766</v>
      </c>
      <c r="G21" s="96">
        <v>188.56785813067299</v>
      </c>
      <c r="H21" s="96">
        <v>188.51977170529008</v>
      </c>
      <c r="I21" s="96">
        <v>197.33315538333559</v>
      </c>
      <c r="J21" s="96">
        <v>244.72234157588798</v>
      </c>
      <c r="K21" s="96">
        <v>209.16308262795334</v>
      </c>
      <c r="L21" s="96">
        <v>208.58330157741537</v>
      </c>
      <c r="M21" s="96">
        <v>208.58961255185443</v>
      </c>
      <c r="N21" s="96">
        <v>205.66341804771295</v>
      </c>
      <c r="O21" s="96">
        <v>208.33775154019668</v>
      </c>
      <c r="P21" s="96">
        <v>207.74715184678072</v>
      </c>
      <c r="Q21" s="96">
        <v>219.38173058927327</v>
      </c>
      <c r="R21" s="96">
        <v>219.24604454605361</v>
      </c>
      <c r="S21" s="96">
        <v>222.30312055462389</v>
      </c>
      <c r="T21" s="96">
        <v>224.04796668607295</v>
      </c>
      <c r="U21" s="96">
        <v>236.92717885049248</v>
      </c>
      <c r="V21" s="96">
        <v>198.97008440942687</v>
      </c>
      <c r="W21" s="96">
        <v>214.90308110690177</v>
      </c>
      <c r="X21" s="96">
        <v>235.75164764789795</v>
      </c>
      <c r="Y21" s="96">
        <v>244.5532439726349</v>
      </c>
      <c r="DA21" s="171" t="s">
        <v>751</v>
      </c>
    </row>
    <row r="22" spans="1:105" ht="11.45" customHeight="1" x14ac:dyDescent="0.25">
      <c r="A22" s="111" t="s">
        <v>111</v>
      </c>
      <c r="B22" s="96">
        <v>26.151425253958209</v>
      </c>
      <c r="C22" s="96">
        <v>27.340505642694026</v>
      </c>
      <c r="D22" s="96">
        <v>11.644631858460309</v>
      </c>
      <c r="E22" s="96">
        <v>24.833257677325726</v>
      </c>
      <c r="F22" s="96">
        <v>36.372471068096473</v>
      </c>
      <c r="G22" s="96">
        <v>53.768886465280303</v>
      </c>
      <c r="H22" s="96">
        <v>59.195570647234035</v>
      </c>
      <c r="I22" s="96">
        <v>57.667065917054586</v>
      </c>
      <c r="J22" s="96">
        <v>58.073451921807447</v>
      </c>
      <c r="K22" s="96">
        <v>56.172931255693584</v>
      </c>
      <c r="L22" s="96">
        <v>103.38345965722699</v>
      </c>
      <c r="M22" s="96">
        <v>106.28161563184544</v>
      </c>
      <c r="N22" s="96">
        <v>109.13372352419542</v>
      </c>
      <c r="O22" s="96">
        <v>114.56648991931391</v>
      </c>
      <c r="P22" s="96">
        <v>116.41092642690212</v>
      </c>
      <c r="Q22" s="96">
        <v>124.76776303405906</v>
      </c>
      <c r="R22" s="96">
        <v>126.5748779519613</v>
      </c>
      <c r="S22" s="96">
        <v>127.57977661732053</v>
      </c>
      <c r="T22" s="96">
        <v>158.20904916526936</v>
      </c>
      <c r="U22" s="96">
        <v>161.33329582917088</v>
      </c>
      <c r="V22" s="96">
        <v>122.12801422859843</v>
      </c>
      <c r="W22" s="96">
        <v>133.1094723435302</v>
      </c>
      <c r="X22" s="96">
        <v>164.66472910896448</v>
      </c>
      <c r="Y22" s="96">
        <v>168.25580476837567</v>
      </c>
      <c r="DA22" s="171" t="s">
        <v>752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2.9026504799999988</v>
      </c>
      <c r="S23" s="96">
        <v>1.8154015665621053</v>
      </c>
      <c r="T23" s="96">
        <v>2.0447916542610192</v>
      </c>
      <c r="U23" s="96">
        <v>2.0844405618862485</v>
      </c>
      <c r="V23" s="96">
        <v>1.8904754805198589</v>
      </c>
      <c r="W23" s="96">
        <v>2.1722968136463243</v>
      </c>
      <c r="X23" s="96">
        <v>2.3178055067638685</v>
      </c>
      <c r="Y23" s="96">
        <v>1.6983854802019467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96">
        <v>0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0.24204601378051538</v>
      </c>
      <c r="M25" s="96">
        <v>0.2485737753080941</v>
      </c>
      <c r="N25" s="96">
        <v>0.28364944808693987</v>
      </c>
      <c r="O25" s="96">
        <v>0.41086485364355008</v>
      </c>
      <c r="P25" s="96">
        <v>0.70572332371490343</v>
      </c>
      <c r="Q25" s="96">
        <v>0.99346280945315002</v>
      </c>
      <c r="R25" s="96">
        <v>0.9897647724121057</v>
      </c>
      <c r="S25" s="96">
        <v>1.0034427549743994</v>
      </c>
      <c r="T25" s="96">
        <v>1.1926940084538196</v>
      </c>
      <c r="U25" s="96">
        <v>1.3297938340887616</v>
      </c>
      <c r="V25" s="96">
        <v>1.2492200642307489</v>
      </c>
      <c r="W25" s="96">
        <v>1.7008811442852372</v>
      </c>
      <c r="X25" s="96">
        <v>2.5410684630977718</v>
      </c>
      <c r="Y25" s="96">
        <v>3.1643866285830762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35.163488173661698</v>
      </c>
      <c r="C27" s="130">
        <f t="shared" si="24"/>
        <v>34.035855821525182</v>
      </c>
      <c r="D27" s="130">
        <f t="shared" si="24"/>
        <v>13.651036813113905</v>
      </c>
      <c r="E27" s="130">
        <f t="shared" si="24"/>
        <v>27.524463457911654</v>
      </c>
      <c r="F27" s="130">
        <f t="shared" si="24"/>
        <v>39.128159521563063</v>
      </c>
      <c r="G27" s="130">
        <f t="shared" si="24"/>
        <v>54.574609549723007</v>
      </c>
      <c r="H27" s="130">
        <f t="shared" si="24"/>
        <v>58.774483200563068</v>
      </c>
      <c r="I27" s="130">
        <f t="shared" si="24"/>
        <v>55.655220465046227</v>
      </c>
      <c r="J27" s="130">
        <f t="shared" si="24"/>
        <v>55.311400123221169</v>
      </c>
      <c r="K27" s="130">
        <f t="shared" si="24"/>
        <v>47.674808767500451</v>
      </c>
      <c r="L27" s="130">
        <f t="shared" ref="L27" si="25">SUM(L28:L32)</f>
        <v>52.32241151545832</v>
      </c>
      <c r="M27" s="130">
        <f t="shared" ref="M27:V27" si="26">SUM(M28:M32)</f>
        <v>52.662368483831159</v>
      </c>
      <c r="N27" s="130">
        <f t="shared" si="26"/>
        <v>59.955574085320386</v>
      </c>
      <c r="O27" s="130">
        <f t="shared" si="26"/>
        <v>60.679671000545255</v>
      </c>
      <c r="P27" s="130">
        <f t="shared" si="26"/>
        <v>72.41129980392742</v>
      </c>
      <c r="Q27" s="130">
        <f t="shared" si="26"/>
        <v>82.721991966399941</v>
      </c>
      <c r="R27" s="130">
        <f t="shared" si="26"/>
        <v>81.725250007580556</v>
      </c>
      <c r="S27" s="130">
        <f t="shared" si="26"/>
        <v>87.648270782382539</v>
      </c>
      <c r="T27" s="130">
        <f t="shared" si="26"/>
        <v>102.5641825221154</v>
      </c>
      <c r="U27" s="130">
        <f t="shared" si="26"/>
        <v>103.71095994954193</v>
      </c>
      <c r="V27" s="130">
        <f t="shared" si="26"/>
        <v>69.912976207729614</v>
      </c>
      <c r="W27" s="130">
        <f t="shared" ref="W27:Y27" si="27">SUM(W28:W32)</f>
        <v>66.145259940876713</v>
      </c>
      <c r="X27" s="130">
        <f t="shared" si="27"/>
        <v>98.837068665798583</v>
      </c>
      <c r="Y27" s="130">
        <f t="shared" si="27"/>
        <v>106.24707088074103</v>
      </c>
      <c r="DA27" s="176" t="s">
        <v>406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0.13039340621349013</v>
      </c>
      <c r="M28" s="97">
        <v>0.10969981447830848</v>
      </c>
      <c r="N28" s="97">
        <v>0.10329111231783983</v>
      </c>
      <c r="O28" s="97">
        <v>9.612500690926587E-2</v>
      </c>
      <c r="P28" s="97">
        <v>8.9479503308848365E-2</v>
      </c>
      <c r="Q28" s="97">
        <v>7.4729409752822773E-2</v>
      </c>
      <c r="R28" s="97">
        <v>7.1910038499974377E-2</v>
      </c>
      <c r="S28" s="97">
        <v>6.9572016358730324E-2</v>
      </c>
      <c r="T28" s="97">
        <v>7.4029718527192076E-2</v>
      </c>
      <c r="U28" s="97">
        <v>7.6553663958361828E-2</v>
      </c>
      <c r="V28" s="97">
        <v>5.0379582255828156E-2</v>
      </c>
      <c r="W28" s="97">
        <v>4.6514755535248621E-2</v>
      </c>
      <c r="X28" s="97">
        <v>5.4686127898747938E-2</v>
      </c>
      <c r="Y28" s="97">
        <v>6.0387783016151435E-2</v>
      </c>
      <c r="DA28" s="175" t="s">
        <v>757</v>
      </c>
    </row>
    <row r="29" spans="1:105" ht="11.45" customHeight="1" x14ac:dyDescent="0.25">
      <c r="A29" s="111" t="s">
        <v>111</v>
      </c>
      <c r="B29" s="97">
        <v>35.163488173661698</v>
      </c>
      <c r="C29" s="97">
        <v>34.035855821525182</v>
      </c>
      <c r="D29" s="97">
        <v>13.651036813113905</v>
      </c>
      <c r="E29" s="97">
        <v>27.524463457911654</v>
      </c>
      <c r="F29" s="97">
        <v>39.128159521563063</v>
      </c>
      <c r="G29" s="97">
        <v>54.574609549723007</v>
      </c>
      <c r="H29" s="97">
        <v>58.774483200563068</v>
      </c>
      <c r="I29" s="97">
        <v>55.655220465046227</v>
      </c>
      <c r="J29" s="97">
        <v>55.311400123221169</v>
      </c>
      <c r="K29" s="97">
        <v>47.674808767500451</v>
      </c>
      <c r="L29" s="97">
        <v>52.192018109244827</v>
      </c>
      <c r="M29" s="97">
        <v>52.552668669352848</v>
      </c>
      <c r="N29" s="97">
        <v>59.852282973002545</v>
      </c>
      <c r="O29" s="97">
        <v>60.583545993635987</v>
      </c>
      <c r="P29" s="97">
        <v>72.321820300618569</v>
      </c>
      <c r="Q29" s="97">
        <v>82.647262556647121</v>
      </c>
      <c r="R29" s="97">
        <v>81.653339969080577</v>
      </c>
      <c r="S29" s="97">
        <v>87.578698766023805</v>
      </c>
      <c r="T29" s="97">
        <v>102.49015280358822</v>
      </c>
      <c r="U29" s="97">
        <v>103.63440628558357</v>
      </c>
      <c r="V29" s="97">
        <v>69.862596625473785</v>
      </c>
      <c r="W29" s="97">
        <v>66.098745185341471</v>
      </c>
      <c r="X29" s="97">
        <v>98.782382537899835</v>
      </c>
      <c r="Y29" s="97">
        <v>105.42689496734444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0.75978813038043902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X31" s="97">
        <v>0</v>
      </c>
      <c r="Y31" s="97">
        <v>0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182.74501565994757</v>
      </c>
      <c r="C33" s="32">
        <f t="shared" si="28"/>
        <v>163.89481886007781</v>
      </c>
      <c r="D33" s="32">
        <f t="shared" si="28"/>
        <v>34.319214551394978</v>
      </c>
      <c r="E33" s="32">
        <f t="shared" si="28"/>
        <v>102.7372885632734</v>
      </c>
      <c r="F33" s="32">
        <f t="shared" si="28"/>
        <v>197.34487406635844</v>
      </c>
      <c r="G33" s="32">
        <f t="shared" si="28"/>
        <v>170.84445749827131</v>
      </c>
      <c r="H33" s="32">
        <f t="shared" si="28"/>
        <v>173.95250705531245</v>
      </c>
      <c r="I33" s="32">
        <f t="shared" si="28"/>
        <v>181.80331227182717</v>
      </c>
      <c r="J33" s="32">
        <f t="shared" si="28"/>
        <v>181.66669041192884</v>
      </c>
      <c r="K33" s="32">
        <f t="shared" si="28"/>
        <v>162.38820542521114</v>
      </c>
      <c r="L33" s="32">
        <f t="shared" ref="L33" si="29">L34+L40</f>
        <v>136.33843403066783</v>
      </c>
      <c r="M33" s="32">
        <f t="shared" ref="M33:V33" si="30">M34+M40</f>
        <v>123.37943851200077</v>
      </c>
      <c r="N33" s="32">
        <f t="shared" si="30"/>
        <v>113.16150926611772</v>
      </c>
      <c r="O33" s="32">
        <f t="shared" si="30"/>
        <v>113.36562367814275</v>
      </c>
      <c r="P33" s="32">
        <f t="shared" si="30"/>
        <v>109.36073122794545</v>
      </c>
      <c r="Q33" s="32">
        <f t="shared" si="30"/>
        <v>109.74066500375687</v>
      </c>
      <c r="R33" s="32">
        <f t="shared" si="30"/>
        <v>108.79945906687533</v>
      </c>
      <c r="S33" s="32">
        <f t="shared" si="30"/>
        <v>116.24643603100245</v>
      </c>
      <c r="T33" s="32">
        <f t="shared" si="30"/>
        <v>131.0865664725431</v>
      </c>
      <c r="U33" s="32">
        <f t="shared" si="30"/>
        <v>140.94600111393362</v>
      </c>
      <c r="V33" s="32">
        <f t="shared" si="30"/>
        <v>122.08414736231693</v>
      </c>
      <c r="W33" s="32">
        <f t="shared" ref="W33:Y33" si="31">W34+W40</f>
        <v>125.23463874415522</v>
      </c>
      <c r="X33" s="32">
        <f t="shared" si="31"/>
        <v>152.3744686387401</v>
      </c>
      <c r="Y33" s="32">
        <f t="shared" si="31"/>
        <v>152.30390565400833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50.117750299718068</v>
      </c>
      <c r="C34" s="141">
        <f t="shared" si="32"/>
        <v>47.105998626304284</v>
      </c>
      <c r="D34" s="141">
        <f t="shared" si="32"/>
        <v>19.896657878377887</v>
      </c>
      <c r="E34" s="141">
        <f t="shared" si="32"/>
        <v>37.186334898269948</v>
      </c>
      <c r="F34" s="141">
        <f t="shared" si="32"/>
        <v>49.479256672735403</v>
      </c>
      <c r="G34" s="141">
        <f t="shared" si="32"/>
        <v>67.507292967132614</v>
      </c>
      <c r="H34" s="141">
        <f t="shared" si="32"/>
        <v>72.890542765292594</v>
      </c>
      <c r="I34" s="141">
        <f t="shared" si="32"/>
        <v>72.704711738256734</v>
      </c>
      <c r="J34" s="141">
        <f t="shared" si="32"/>
        <v>72.380244574979173</v>
      </c>
      <c r="K34" s="141">
        <f t="shared" si="32"/>
        <v>65.542905209788771</v>
      </c>
      <c r="L34" s="141">
        <f t="shared" ref="L34" si="33">SUM(L35:L39)</f>
        <v>60.470746083754911</v>
      </c>
      <c r="M34" s="141">
        <f t="shared" ref="M34:V34" si="34">SUM(M35:M39)</f>
        <v>57.288682014126884</v>
      </c>
      <c r="N34" s="141">
        <f t="shared" si="34"/>
        <v>54.282504069214539</v>
      </c>
      <c r="O34" s="141">
        <f t="shared" si="34"/>
        <v>54.484264659178905</v>
      </c>
      <c r="P34" s="141">
        <f t="shared" si="34"/>
        <v>54.851451275841427</v>
      </c>
      <c r="Q34" s="141">
        <f t="shared" si="34"/>
        <v>56.781885344486746</v>
      </c>
      <c r="R34" s="141">
        <f t="shared" si="34"/>
        <v>54.821493515820038</v>
      </c>
      <c r="S34" s="141">
        <f t="shared" si="34"/>
        <v>59.615993245358773</v>
      </c>
      <c r="T34" s="141">
        <f t="shared" si="34"/>
        <v>68.213064416267599</v>
      </c>
      <c r="U34" s="141">
        <f t="shared" si="34"/>
        <v>73.315530614738705</v>
      </c>
      <c r="V34" s="141">
        <f t="shared" si="34"/>
        <v>62.207363563679849</v>
      </c>
      <c r="W34" s="141">
        <f t="shared" ref="W34:Y34" si="35">SUM(W35:W39)</f>
        <v>62.373160660429512</v>
      </c>
      <c r="X34" s="141">
        <f t="shared" si="35"/>
        <v>73.740975908041349</v>
      </c>
      <c r="Y34" s="141">
        <f t="shared" si="35"/>
        <v>72.404325371289829</v>
      </c>
      <c r="DA34" s="174" t="s">
        <v>412</v>
      </c>
    </row>
    <row r="35" spans="1:105" ht="11.45" customHeight="1" x14ac:dyDescent="0.25">
      <c r="A35" s="111" t="s">
        <v>110</v>
      </c>
      <c r="B35" s="96">
        <v>1.9010698075674859</v>
      </c>
      <c r="C35" s="96">
        <v>2.230209964297059</v>
      </c>
      <c r="D35" s="96">
        <v>2.261483222969177</v>
      </c>
      <c r="E35" s="96">
        <v>2.1526986185107808</v>
      </c>
      <c r="F35" s="96">
        <v>2.0099453760179515</v>
      </c>
      <c r="G35" s="96">
        <v>1.979764593274705</v>
      </c>
      <c r="H35" s="96">
        <v>1.9693794631095793</v>
      </c>
      <c r="I35" s="96">
        <v>1.9859690139279567</v>
      </c>
      <c r="J35" s="96">
        <v>1.9119128169574362</v>
      </c>
      <c r="K35" s="96">
        <v>1.7730158084052259</v>
      </c>
      <c r="L35" s="96">
        <v>1.9607303571396604</v>
      </c>
      <c r="M35" s="96">
        <v>1.819352453199115</v>
      </c>
      <c r="N35" s="96">
        <v>1.7531454033157436</v>
      </c>
      <c r="O35" s="96">
        <v>1.7486595910926503</v>
      </c>
      <c r="P35" s="96">
        <v>1.7676668754660807</v>
      </c>
      <c r="Q35" s="96">
        <v>1.7119905944631468</v>
      </c>
      <c r="R35" s="96">
        <v>1.583976987917237</v>
      </c>
      <c r="S35" s="96">
        <v>1.5259581009088827</v>
      </c>
      <c r="T35" s="96">
        <v>1.4786582556617884</v>
      </c>
      <c r="U35" s="96">
        <v>1.5446419905742688</v>
      </c>
      <c r="V35" s="96">
        <v>1.4430775369089812</v>
      </c>
      <c r="W35" s="96">
        <v>1.5007381666733741</v>
      </c>
      <c r="X35" s="96">
        <v>1.7545996323682083</v>
      </c>
      <c r="Y35" s="96">
        <v>1.9988536003109139</v>
      </c>
      <c r="DA35" s="171" t="s">
        <v>762</v>
      </c>
    </row>
    <row r="36" spans="1:105" ht="11.45" customHeight="1" x14ac:dyDescent="0.25">
      <c r="A36" s="111" t="s">
        <v>111</v>
      </c>
      <c r="B36" s="96">
        <v>48.21668049215058</v>
      </c>
      <c r="C36" s="96">
        <v>44.875788662007224</v>
      </c>
      <c r="D36" s="96">
        <v>17.635174655408711</v>
      </c>
      <c r="E36" s="96">
        <v>35.033636279759165</v>
      </c>
      <c r="F36" s="96">
        <v>47.46931129671745</v>
      </c>
      <c r="G36" s="96">
        <v>65.527528373857905</v>
      </c>
      <c r="H36" s="96">
        <v>70.921163302183018</v>
      </c>
      <c r="I36" s="96">
        <v>70.718742724328777</v>
      </c>
      <c r="J36" s="96">
        <v>70.468331758021733</v>
      </c>
      <c r="K36" s="96">
        <v>63.769889401383551</v>
      </c>
      <c r="L36" s="96">
        <v>58.510015726615251</v>
      </c>
      <c r="M36" s="96">
        <v>55.469329560927768</v>
      </c>
      <c r="N36" s="96">
        <v>52.529358665898798</v>
      </c>
      <c r="O36" s="96">
        <v>52.735605068086258</v>
      </c>
      <c r="P36" s="96">
        <v>53.083784400375343</v>
      </c>
      <c r="Q36" s="96">
        <v>55.0698947500236</v>
      </c>
      <c r="R36" s="96">
        <v>53.237516527902798</v>
      </c>
      <c r="S36" s="96">
        <v>58.085430791011994</v>
      </c>
      <c r="T36" s="96">
        <v>66.72998745486683</v>
      </c>
      <c r="U36" s="96">
        <v>71.762504106050685</v>
      </c>
      <c r="V36" s="96">
        <v>60.756385387290727</v>
      </c>
      <c r="W36" s="96">
        <v>60.864891947402462</v>
      </c>
      <c r="X36" s="96">
        <v>71.979199182437</v>
      </c>
      <c r="Y36" s="96">
        <v>70.396460621561303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4.6043534378950486E-3</v>
      </c>
      <c r="T37" s="96">
        <v>4.4187057389812393E-3</v>
      </c>
      <c r="U37" s="96">
        <v>8.3845181137512607E-3</v>
      </c>
      <c r="V37" s="96">
        <v>7.9006394801411309E-3</v>
      </c>
      <c r="W37" s="96">
        <v>7.5305463536756842E-3</v>
      </c>
      <c r="X37" s="96">
        <v>7.1770932361315837E-3</v>
      </c>
      <c r="Y37" s="96">
        <v>9.011149417614368E-3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132.6272653602295</v>
      </c>
      <c r="C40" s="130">
        <f t="shared" si="36"/>
        <v>116.78882023377354</v>
      </c>
      <c r="D40" s="130">
        <f t="shared" si="36"/>
        <v>14.422556673017089</v>
      </c>
      <c r="E40" s="130">
        <f t="shared" si="36"/>
        <v>65.550953665003448</v>
      </c>
      <c r="F40" s="130">
        <f t="shared" si="36"/>
        <v>147.86561739362304</v>
      </c>
      <c r="G40" s="130">
        <f t="shared" si="36"/>
        <v>103.33716453113868</v>
      </c>
      <c r="H40" s="130">
        <f t="shared" si="36"/>
        <v>101.06196429001986</v>
      </c>
      <c r="I40" s="130">
        <f t="shared" si="36"/>
        <v>109.09860053357043</v>
      </c>
      <c r="J40" s="130">
        <f t="shared" si="36"/>
        <v>109.28644583694967</v>
      </c>
      <c r="K40" s="130">
        <f t="shared" si="36"/>
        <v>96.845300215422384</v>
      </c>
      <c r="L40" s="130">
        <f t="shared" ref="L40" si="37">SUM(L41:L42)</f>
        <v>75.867687946912909</v>
      </c>
      <c r="M40" s="130">
        <f t="shared" ref="M40:V40" si="38">SUM(M41:M42)</f>
        <v>66.090756497873898</v>
      </c>
      <c r="N40" s="130">
        <f t="shared" si="38"/>
        <v>58.879005196903186</v>
      </c>
      <c r="O40" s="130">
        <f t="shared" si="38"/>
        <v>58.881359018963856</v>
      </c>
      <c r="P40" s="130">
        <f t="shared" si="38"/>
        <v>54.509279952104016</v>
      </c>
      <c r="Q40" s="130">
        <f t="shared" si="38"/>
        <v>52.958779659270135</v>
      </c>
      <c r="R40" s="130">
        <f t="shared" si="38"/>
        <v>53.977965551055284</v>
      </c>
      <c r="S40" s="130">
        <f t="shared" si="38"/>
        <v>56.63044278564368</v>
      </c>
      <c r="T40" s="130">
        <f t="shared" si="38"/>
        <v>62.873502056275491</v>
      </c>
      <c r="U40" s="130">
        <f t="shared" si="38"/>
        <v>67.630470499194914</v>
      </c>
      <c r="V40" s="130">
        <f t="shared" si="38"/>
        <v>59.876783798637078</v>
      </c>
      <c r="W40" s="130">
        <f t="shared" ref="W40:Y40" si="39">SUM(W41:W42)</f>
        <v>62.861478083725707</v>
      </c>
      <c r="X40" s="130">
        <f t="shared" si="39"/>
        <v>78.633492730698762</v>
      </c>
      <c r="Y40" s="130">
        <f t="shared" si="39"/>
        <v>79.899580282718503</v>
      </c>
      <c r="DA40" s="176" t="s">
        <v>413</v>
      </c>
    </row>
    <row r="41" spans="1:105" ht="11.45" customHeight="1" x14ac:dyDescent="0.25">
      <c r="A41" s="128" t="s">
        <v>27</v>
      </c>
      <c r="B41" s="97">
        <v>132.6272653602295</v>
      </c>
      <c r="C41" s="97">
        <v>116.78882023377354</v>
      </c>
      <c r="D41" s="97">
        <v>14.422556673017089</v>
      </c>
      <c r="E41" s="97">
        <v>65.550953665003448</v>
      </c>
      <c r="F41" s="97">
        <v>147.86561739362304</v>
      </c>
      <c r="G41" s="97">
        <v>103.33716453113868</v>
      </c>
      <c r="H41" s="97">
        <v>101.06196429001986</v>
      </c>
      <c r="I41" s="97">
        <v>109.09860053357043</v>
      </c>
      <c r="J41" s="97">
        <v>109.28644583694967</v>
      </c>
      <c r="K41" s="97">
        <v>96.845300215422384</v>
      </c>
      <c r="L41" s="97">
        <v>75.867687946912909</v>
      </c>
      <c r="M41" s="97">
        <v>66.090756497873898</v>
      </c>
      <c r="N41" s="97">
        <v>58.879005196903186</v>
      </c>
      <c r="O41" s="97">
        <v>58.881359018963856</v>
      </c>
      <c r="P41" s="97">
        <v>54.509279952104016</v>
      </c>
      <c r="Q41" s="97">
        <v>52.958779659270135</v>
      </c>
      <c r="R41" s="97">
        <v>53.977965551055284</v>
      </c>
      <c r="S41" s="97">
        <v>56.63044278564368</v>
      </c>
      <c r="T41" s="97">
        <v>62.873502056275491</v>
      </c>
      <c r="U41" s="97">
        <v>67.630470499194914</v>
      </c>
      <c r="V41" s="97">
        <v>59.876783798637078</v>
      </c>
      <c r="W41" s="97">
        <v>62.861478083725707</v>
      </c>
      <c r="X41" s="97">
        <v>78.633492730698762</v>
      </c>
      <c r="Y41" s="97">
        <v>79.899580282718503</v>
      </c>
      <c r="DA41" s="175" t="s">
        <v>767</v>
      </c>
    </row>
    <row r="42" spans="1:105" ht="11.45" customHeight="1" x14ac:dyDescent="0.25">
      <c r="A42" s="138" t="s">
        <v>116</v>
      </c>
      <c r="B42" s="98">
        <v>0</v>
      </c>
      <c r="C42" s="98">
        <v>0</v>
      </c>
      <c r="D42" s="98">
        <v>0</v>
      </c>
      <c r="E42" s="98">
        <v>0</v>
      </c>
      <c r="F42" s="98">
        <v>0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0</v>
      </c>
      <c r="W42" s="98">
        <v>0</v>
      </c>
      <c r="X42" s="98">
        <v>0</v>
      </c>
      <c r="Y42" s="98">
        <v>0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3.0038580940884847</v>
      </c>
      <c r="C47" s="145">
        <f>IF(C4=0,0,C4/TrRoad_ene!C4)</f>
        <v>3.0026398851605731</v>
      </c>
      <c r="D47" s="145">
        <f>IF(D4=0,0,D4/TrRoad_ene!D4)</f>
        <v>2.939423338126419</v>
      </c>
      <c r="E47" s="145">
        <f>IF(E4=0,0,E4/TrRoad_ene!E4)</f>
        <v>2.9817347269916681</v>
      </c>
      <c r="F47" s="145">
        <f>IF(F4=0,0,F4/TrRoad_ene!F4)</f>
        <v>3.0194286203689735</v>
      </c>
      <c r="G47" s="145">
        <f>IF(G4=0,0,G4/TrRoad_ene!G4)</f>
        <v>3.0164426733626604</v>
      </c>
      <c r="H47" s="145">
        <f>IF(H4=0,0,H4/TrRoad_ene!H4)</f>
        <v>3.0186420591847116</v>
      </c>
      <c r="I47" s="145">
        <f>IF(I4=0,0,I4/TrRoad_ene!I4)</f>
        <v>3.0169443306361123</v>
      </c>
      <c r="J47" s="145">
        <f>IF(J4=0,0,J4/TrRoad_ene!J4)</f>
        <v>3.00643055803743</v>
      </c>
      <c r="K47" s="145">
        <f>IF(K4=0,0,K4/TrRoad_ene!K4)</f>
        <v>3.0089764528703666</v>
      </c>
      <c r="L47" s="145">
        <f>IF(L4=0,0,L4/TrRoad_ene!L4)</f>
        <v>3.0032634498599156</v>
      </c>
      <c r="M47" s="145">
        <f>IF(M4=0,0,M4/TrRoad_ene!M4)</f>
        <v>2.9836465061851554</v>
      </c>
      <c r="N47" s="145">
        <f>IF(N4=0,0,N4/TrRoad_ene!N4)</f>
        <v>2.9642916084654258</v>
      </c>
      <c r="O47" s="145">
        <f>IF(O4=0,0,O4/TrRoad_ene!O4)</f>
        <v>2.9241633755058749</v>
      </c>
      <c r="P47" s="145">
        <f>IF(P4=0,0,P4/TrRoad_ene!P4)</f>
        <v>2.8900213729149256</v>
      </c>
      <c r="Q47" s="145">
        <f>IF(Q4=0,0,Q4/TrRoad_ene!Q4)</f>
        <v>2.9037973932430861</v>
      </c>
      <c r="R47" s="145">
        <f>IF(R4=0,0,R4/TrRoad_ene!R4)</f>
        <v>2.9035008604066963</v>
      </c>
      <c r="S47" s="145">
        <f>IF(S4=0,0,S4/TrRoad_ene!S4)</f>
        <v>2.8970101571931175</v>
      </c>
      <c r="T47" s="145">
        <f>IF(T4=0,0,T4/TrRoad_ene!T4)</f>
        <v>2.8779744653782711</v>
      </c>
      <c r="U47" s="145">
        <f>IF(U4=0,0,U4/TrRoad_ene!U4)</f>
        <v>2.8727228296610487</v>
      </c>
      <c r="V47" s="145">
        <f>IF(V4=0,0,V4/TrRoad_ene!V4)</f>
        <v>2.782298412657688</v>
      </c>
      <c r="W47" s="145">
        <f>IF(W4=0,0,W4/TrRoad_ene!W4)</f>
        <v>2.8362572449009318</v>
      </c>
      <c r="X47" s="145">
        <f>IF(X4=0,0,X4/TrRoad_ene!X4)</f>
        <v>2.8431249574432531</v>
      </c>
      <c r="Y47" s="145">
        <f>IF(Y4=0,0,Y4/TrRoad_ene!Y4)</f>
        <v>2.8302002064108378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2.9014524000000002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2.9014524000000002</v>
      </c>
      <c r="P48" s="97">
        <f>IF(P7=0,0,(P7+P12)/(TrRoad_ene!P7+TrRoad_ene!P12))</f>
        <v>2.9014524000000002</v>
      </c>
      <c r="Q48" s="97">
        <f>IF(Q7=0,0,(Q7+Q12)/(TrRoad_ene!Q7+TrRoad_ene!Q12))</f>
        <v>2.9014524000000002</v>
      </c>
      <c r="R48" s="97">
        <f>IF(R7=0,0,(R7+R12)/(TrRoad_ene!R7+TrRoad_ene!R12))</f>
        <v>2.9014524000000002</v>
      </c>
      <c r="S48" s="97">
        <f>IF(S7=0,0,(S7+S12)/(TrRoad_ene!S7+TrRoad_ene!S12))</f>
        <v>2.9014524000000002</v>
      </c>
      <c r="T48" s="97">
        <f>IF(T7=0,0,(T7+T12)/(TrRoad_ene!T7+TrRoad_ene!T12))</f>
        <v>2.9014524000000002</v>
      </c>
      <c r="U48" s="97">
        <f>IF(U7=0,0,(U7+U12)/(TrRoad_ene!U7+TrRoad_ene!U12))</f>
        <v>2.9014524000000002</v>
      </c>
      <c r="V48" s="97">
        <f>IF(V7=0,0,(V7+V12)/(TrRoad_ene!V7+TrRoad_ene!V12))</f>
        <v>2.9014524000000002</v>
      </c>
      <c r="W48" s="97">
        <f>IF(W7=0,0,(W7+W12)/(TrRoad_ene!W7+TrRoad_ene!W12))</f>
        <v>2.9014524000000002</v>
      </c>
      <c r="X48" s="97">
        <f>IF(X7=0,0,(X7+X12)/(TrRoad_ene!X7+TrRoad_ene!X12))</f>
        <v>2.9014524000000002</v>
      </c>
      <c r="Y48" s="97">
        <f>IF(Y7=0,0,(Y7+Y12)/(TrRoad_ene!Y7+TrRoad_ene!Y12))</f>
        <v>2.9014524000000002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3.1024188000000006</v>
      </c>
      <c r="F49" s="97">
        <f>IF(F8=0,0,(F8+F13+F14)/(TrRoad_ene!F8+TrRoad_ene!F13+TrRoad_ene!F14))</f>
        <v>3.1024188000000006</v>
      </c>
      <c r="G49" s="97">
        <f>IF(G8=0,0,(G8+G13+G14)/(TrRoad_ene!G8+TrRoad_ene!G13+TrRoad_ene!G14))</f>
        <v>3.1024187999999997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3.1024188000000006</v>
      </c>
      <c r="J49" s="97">
        <f>IF(J8=0,0,(J8+J13+J14)/(TrRoad_ene!J8+TrRoad_ene!J13+TrRoad_ene!J14))</f>
        <v>3.1024188000000006</v>
      </c>
      <c r="K49" s="97">
        <f>IF(K8=0,0,(K8+K13+K14)/(TrRoad_ene!K8+TrRoad_ene!K13+TrRoad_ene!K14))</f>
        <v>3.1024188000000001</v>
      </c>
      <c r="L49" s="97">
        <f>IF(L8=0,0,(L8+L13+L14)/(TrRoad_ene!L8+TrRoad_ene!L13+TrRoad_ene!L14))</f>
        <v>3.0847127152061455</v>
      </c>
      <c r="M49" s="97">
        <f>IF(M8=0,0,(M8+M13+M14)/(TrRoad_ene!M8+TrRoad_ene!M13+TrRoad_ene!M14))</f>
        <v>3.0511640761014549</v>
      </c>
      <c r="N49" s="97">
        <f>IF(N8=0,0,(N8+N13+N14)/(TrRoad_ene!N8+TrRoad_ene!N13+TrRoad_ene!N14))</f>
        <v>3.0152636469092267</v>
      </c>
      <c r="O49" s="97">
        <f>IF(O8=0,0,(O8+O13+O14)/(TrRoad_ene!O8+TrRoad_ene!O13+TrRoad_ene!O14))</f>
        <v>2.9437285548977847</v>
      </c>
      <c r="P49" s="97">
        <f>IF(P8=0,0,(P8+P13+P14)/(TrRoad_ene!P8+TrRoad_ene!P13+TrRoad_ene!P14))</f>
        <v>2.8857401335747142</v>
      </c>
      <c r="Q49" s="97">
        <f>IF(Q8=0,0,(Q8+Q13+Q14)/(TrRoad_ene!Q8+TrRoad_ene!Q13+TrRoad_ene!Q14))</f>
        <v>2.9113481878919805</v>
      </c>
      <c r="R49" s="97">
        <f>IF(R8=0,0,(R8+R13+R14)/(TrRoad_ene!R8+TrRoad_ene!R13+TrRoad_ene!R14))</f>
        <v>2.9136511641944196</v>
      </c>
      <c r="S49" s="97">
        <f>IF(S8=0,0,(S8+S13+S14)/(TrRoad_ene!S8+TrRoad_ene!S13+TrRoad_ene!S14))</f>
        <v>2.9013573248284983</v>
      </c>
      <c r="T49" s="97">
        <f>IF(T8=0,0,(T8+T13+T14)/(TrRoad_ene!T8+TrRoad_ene!T13+TrRoad_ene!T14))</f>
        <v>2.873520770079105</v>
      </c>
      <c r="U49" s="97">
        <f>IF(U8=0,0,(U8+U13+U14)/(TrRoad_ene!U8+TrRoad_ene!U13+TrRoad_ene!U14))</f>
        <v>2.8675928748241417</v>
      </c>
      <c r="V49" s="97">
        <f>IF(V8=0,0,(V8+V13+V14)/(TrRoad_ene!V8+TrRoad_ene!V13+TrRoad_ene!V14))</f>
        <v>2.7236626605197847</v>
      </c>
      <c r="W49" s="97">
        <f>IF(W8=0,0,(W8+W13+W14)/(TrRoad_ene!W8+TrRoad_ene!W13+TrRoad_ene!W14))</f>
        <v>2.8149735408809948</v>
      </c>
      <c r="X49" s="97">
        <f>IF(X8=0,0,(X8+X13+X14)/(TrRoad_ene!X8+TrRoad_ene!X13+TrRoad_ene!X14))</f>
        <v>2.83461373642904</v>
      </c>
      <c r="Y49" s="97">
        <f>IF(Y8=0,0,(Y8+Y13+Y14)/(TrRoad_ene!Y8+TrRoad_ene!Y13+TrRoad_ene!Y14))</f>
        <v>2.8275103926408289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0</v>
      </c>
      <c r="I50" s="97">
        <f>IF(I6=0,0,I6/TrRoad_ene!I6)</f>
        <v>0</v>
      </c>
      <c r="J50" s="97">
        <f>IF(J6=0,0,J6/TrRoad_ene!J6)</f>
        <v>0</v>
      </c>
      <c r="K50" s="97">
        <f>IF(K6=0,0,K6/TrRoad_ene!K6)</f>
        <v>0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X51" s="97">
        <f>IF(X9=0,0,(X9+X11)/(TrRoad_ene!X9+TrRoad_ene!X11))</f>
        <v>0</v>
      </c>
      <c r="Y51" s="97">
        <f>IF(Y9=0,0,(Y9+Y11)/(TrRoad_ene!Y9+TrRoad_ene!Y11))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228.15733657571462</v>
      </c>
      <c r="C54" s="62">
        <f>IF(TrRoad_act!C30=0,0,C17/TrRoad_act!C30*1000
)</f>
        <v>212.05683589317846</v>
      </c>
      <c r="D54" s="62">
        <f>IF(TrRoad_act!D30=0,0,D17/TrRoad_act!D30*1000
)</f>
        <v>151.46667913718616</v>
      </c>
      <c r="E54" s="62">
        <f>IF(TrRoad_act!E30=0,0,E17/TrRoad_act!E30*1000
)</f>
        <v>176.28831810206637</v>
      </c>
      <c r="F54" s="62">
        <f>IF(TrRoad_act!F30=0,0,F17/TrRoad_act!F30*1000
)</f>
        <v>206.42726011583068</v>
      </c>
      <c r="G54" s="62">
        <f>IF(TrRoad_act!G30=0,0,G17/TrRoad_act!G30*1000
)</f>
        <v>217.33856114328614</v>
      </c>
      <c r="H54" s="62">
        <f>IF(TrRoad_act!H30=0,0,H17/TrRoad_act!H30*1000
)</f>
        <v>216.22730944393865</v>
      </c>
      <c r="I54" s="62">
        <f>IF(TrRoad_act!I30=0,0,I17/TrRoad_act!I30*1000
)</f>
        <v>220.79344059969918</v>
      </c>
      <c r="J54" s="62">
        <f>IF(TrRoad_act!J30=0,0,J17/TrRoad_act!J30*1000
)</f>
        <v>223.74702998735518</v>
      </c>
      <c r="K54" s="62">
        <f>IF(TrRoad_act!K30=0,0,K17/TrRoad_act!K30*1000
)</f>
        <v>190.18796608679446</v>
      </c>
      <c r="L54" s="62">
        <f>IF(TrRoad_act!L30=0,0,L17/TrRoad_act!L30*1000
)</f>
        <v>202.82066951520397</v>
      </c>
      <c r="M54" s="62">
        <f>IF(TrRoad_act!M30=0,0,M17/TrRoad_act!M30*1000
)</f>
        <v>195.43312498524</v>
      </c>
      <c r="N54" s="62">
        <f>IF(TrRoad_act!N30=0,0,N17/TrRoad_act!N30*1000
)</f>
        <v>193.37113729534948</v>
      </c>
      <c r="O54" s="62">
        <f>IF(TrRoad_act!O30=0,0,O17/TrRoad_act!O30*1000
)</f>
        <v>191.84129280900478</v>
      </c>
      <c r="P54" s="62">
        <f>IF(TrRoad_act!P30=0,0,P17/TrRoad_act!P30*1000
)</f>
        <v>185.04878247264276</v>
      </c>
      <c r="Q54" s="62">
        <f>IF(TrRoad_act!Q30=0,0,Q17/TrRoad_act!Q30*1000
)</f>
        <v>188.74356203806087</v>
      </c>
      <c r="R54" s="62">
        <f>IF(TrRoad_act!R30=0,0,R17/TrRoad_act!R30*1000
)</f>
        <v>184.76283265229802</v>
      </c>
      <c r="S54" s="62">
        <f>IF(TrRoad_act!S30=0,0,S17/TrRoad_act!S30*1000
)</f>
        <v>190.10207079254107</v>
      </c>
      <c r="T54" s="62">
        <f>IF(TrRoad_act!T30=0,0,T17/TrRoad_act!T30*1000
)</f>
        <v>207.04693313219073</v>
      </c>
      <c r="U54" s="62">
        <f>IF(TrRoad_act!U30=0,0,U17/TrRoad_act!U30*1000
)</f>
        <v>213.55250881554207</v>
      </c>
      <c r="V54" s="62">
        <f>IF(TrRoad_act!V30=0,0,V17/TrRoad_act!V30*1000
)</f>
        <v>188.15310589862031</v>
      </c>
      <c r="W54" s="62">
        <f>IF(TrRoad_act!W30=0,0,W17/TrRoad_act!W30*1000
)</f>
        <v>190.20009749706534</v>
      </c>
      <c r="X54" s="62">
        <f>IF(TrRoad_act!X30=0,0,X17/TrRoad_act!X30*1000
)</f>
        <v>226.87443811032995</v>
      </c>
      <c r="Y54" s="62">
        <f>IF(TrRoad_act!Y30=0,0,Y17/TrRoad_act!Y30*1000
)</f>
        <v>227.86681679532921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190.25155151286995</v>
      </c>
      <c r="C55" s="29">
        <f>IF(TrRoad_act!C31=0,0,C18/TrRoad_act!C31*1000
)</f>
        <v>178.59983657180308</v>
      </c>
      <c r="D55" s="29">
        <f>IF(TrRoad_act!D31=0,0,D18/TrRoad_act!D31*1000
)</f>
        <v>163.66202663920163</v>
      </c>
      <c r="E55" s="29">
        <f>IF(TrRoad_act!E31=0,0,E18/TrRoad_act!E31*1000
)</f>
        <v>164.37370245234877</v>
      </c>
      <c r="F55" s="29">
        <f>IF(TrRoad_act!F31=0,0,F18/TrRoad_act!F31*1000
)</f>
        <v>159.64693550847616</v>
      </c>
      <c r="G55" s="29">
        <f>IF(TrRoad_act!G31=0,0,G18/TrRoad_act!G31*1000
)</f>
        <v>172.63585405881403</v>
      </c>
      <c r="H55" s="29">
        <f>IF(TrRoad_act!H31=0,0,H18/TrRoad_act!H31*1000
)</f>
        <v>171.6755188611433</v>
      </c>
      <c r="I55" s="29">
        <f>IF(TrRoad_act!I31=0,0,I18/TrRoad_act!I31*1000
)</f>
        <v>178.37752090777337</v>
      </c>
      <c r="J55" s="29">
        <f>IF(TrRoad_act!J31=0,0,J18/TrRoad_act!J31*1000
)</f>
        <v>188.41100106534657</v>
      </c>
      <c r="K55" s="29">
        <f>IF(TrRoad_act!K31=0,0,K18/TrRoad_act!K31*1000
)</f>
        <v>157.93966701721411</v>
      </c>
      <c r="L55" s="29">
        <f>IF(TrRoad_act!L31=0,0,L18/TrRoad_act!L31*1000
)</f>
        <v>181.38699222739376</v>
      </c>
      <c r="M55" s="29">
        <f>IF(TrRoad_act!M31=0,0,M18/TrRoad_act!M31*1000
)</f>
        <v>179.30856603039237</v>
      </c>
      <c r="N55" s="29">
        <f>IF(TrRoad_act!N31=0,0,N18/TrRoad_act!N31*1000
)</f>
        <v>180.8542293282714</v>
      </c>
      <c r="O55" s="29">
        <f>IF(TrRoad_act!O31=0,0,O18/TrRoad_act!O31*1000
)</f>
        <v>179.97157089389557</v>
      </c>
      <c r="P55" s="29">
        <f>IF(TrRoad_act!P31=0,0,P18/TrRoad_act!P31*1000
)</f>
        <v>175.41463331135461</v>
      </c>
      <c r="Q55" s="29">
        <f>IF(TrRoad_act!Q31=0,0,Q18/TrRoad_act!Q31*1000
)</f>
        <v>180.64676677396656</v>
      </c>
      <c r="R55" s="29">
        <f>IF(TrRoad_act!R31=0,0,R18/TrRoad_act!R31*1000
)</f>
        <v>176.34772980405197</v>
      </c>
      <c r="S55" s="29">
        <f>IF(TrRoad_act!S31=0,0,S18/TrRoad_act!S31*1000
)</f>
        <v>180.82912183432785</v>
      </c>
      <c r="T55" s="29">
        <f>IF(TrRoad_act!T31=0,0,T18/TrRoad_act!T31*1000
)</f>
        <v>195.17667903532939</v>
      </c>
      <c r="U55" s="29">
        <f>IF(TrRoad_act!U31=0,0,U18/TrRoad_act!U31*1000
)</f>
        <v>201.00275653443822</v>
      </c>
      <c r="V55" s="29">
        <f>IF(TrRoad_act!V31=0,0,V18/TrRoad_act!V31*1000
)</f>
        <v>175.56690727700664</v>
      </c>
      <c r="W55" s="29">
        <f>IF(TrRoad_act!W31=0,0,W18/TrRoad_act!W31*1000
)</f>
        <v>176.34652504924293</v>
      </c>
      <c r="X55" s="29">
        <f>IF(TrRoad_act!X31=0,0,X18/TrRoad_act!X31*1000
)</f>
        <v>208.33697353617345</v>
      </c>
      <c r="Y55" s="29">
        <f>IF(TrRoad_act!Y31=0,0,Y18/TrRoad_act!Y31*1000
)</f>
        <v>209.52975306591662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115.99973108414724</v>
      </c>
      <c r="C56" s="152">
        <f>IF(TrRoad_act!C32=0,0,C19/TrRoad_act!C32*1000
)</f>
        <v>115.54289477649908</v>
      </c>
      <c r="D56" s="152">
        <f>IF(TrRoad_act!D32=0,0,D19/TrRoad_act!D32*1000
)</f>
        <v>115.08459310839646</v>
      </c>
      <c r="E56" s="152">
        <f>IF(TrRoad_act!E32=0,0,E19/TrRoad_act!E32*1000
)</f>
        <v>114.6482034273505</v>
      </c>
      <c r="F56" s="152">
        <f>IF(TrRoad_act!F32=0,0,F19/TrRoad_act!F32*1000
)</f>
        <v>114.22558826224953</v>
      </c>
      <c r="G56" s="152">
        <f>IF(TrRoad_act!G32=0,0,G19/TrRoad_act!G32*1000
)</f>
        <v>113.6993279989739</v>
      </c>
      <c r="H56" s="152">
        <f>IF(TrRoad_act!H32=0,0,H19/TrRoad_act!H32*1000
)</f>
        <v>113.05067571801514</v>
      </c>
      <c r="I56" s="152">
        <f>IF(TrRoad_act!I32=0,0,I19/TrRoad_act!I32*1000
)</f>
        <v>112.30284948836275</v>
      </c>
      <c r="J56" s="152">
        <f>IF(TrRoad_act!J32=0,0,J19/TrRoad_act!J32*1000
)</f>
        <v>110.58860212596598</v>
      </c>
      <c r="K56" s="152">
        <f>IF(TrRoad_act!K32=0,0,K19/TrRoad_act!K32*1000
)</f>
        <v>109.01692209439273</v>
      </c>
      <c r="L56" s="152">
        <f>IF(TrRoad_act!L32=0,0,L19/TrRoad_act!L32*1000
)</f>
        <v>107.10592010666585</v>
      </c>
      <c r="M56" s="152">
        <f>IF(TrRoad_act!M32=0,0,M19/TrRoad_act!M32*1000
)</f>
        <v>105.43313159234189</v>
      </c>
      <c r="N56" s="152">
        <f>IF(TrRoad_act!N32=0,0,N19/TrRoad_act!N32*1000
)</f>
        <v>103.31311856596298</v>
      </c>
      <c r="O56" s="152">
        <f>IF(TrRoad_act!O32=0,0,O19/TrRoad_act!O32*1000
)</f>
        <v>101.54463821720339</v>
      </c>
      <c r="P56" s="152">
        <f>IF(TrRoad_act!P32=0,0,P19/TrRoad_act!P32*1000
)</f>
        <v>99.947666683850485</v>
      </c>
      <c r="Q56" s="152">
        <f>IF(TrRoad_act!Q32=0,0,Q19/TrRoad_act!Q32*1000
)</f>
        <v>97.906541182048159</v>
      </c>
      <c r="R56" s="152">
        <f>IF(TrRoad_act!R32=0,0,R19/TrRoad_act!R32*1000
)</f>
        <v>95.623508249954568</v>
      </c>
      <c r="S56" s="152">
        <f>IF(TrRoad_act!S32=0,0,S19/TrRoad_act!S32*1000
)</f>
        <v>93.829524155554154</v>
      </c>
      <c r="T56" s="152">
        <f>IF(TrRoad_act!T32=0,0,T19/TrRoad_act!T32*1000
)</f>
        <v>94.517749963926022</v>
      </c>
      <c r="U56" s="152">
        <f>IF(TrRoad_act!U32=0,0,U19/TrRoad_act!U32*1000
)</f>
        <v>96.622572611858061</v>
      </c>
      <c r="V56" s="152">
        <f>IF(TrRoad_act!V32=0,0,V19/TrRoad_act!V32*1000
)</f>
        <v>95.873117355467784</v>
      </c>
      <c r="W56" s="152">
        <f>IF(TrRoad_act!W32=0,0,W19/TrRoad_act!W32*1000
)</f>
        <v>95.276988960148216</v>
      </c>
      <c r="X56" s="152">
        <f>IF(TrRoad_act!X32=0,0,X19/TrRoad_act!X32*1000
)</f>
        <v>94.381124428609482</v>
      </c>
      <c r="Y56" s="152">
        <f>IF(TrRoad_act!Y32=0,0,Y19/TrRoad_act!Y32*1000
)</f>
        <v>94.024491783243192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170.74196212859709</v>
      </c>
      <c r="C57" s="116">
        <f>IF(TrRoad_act!C33=0,0,C20/TrRoad_act!C33*1000
)</f>
        <v>159.85586490280107</v>
      </c>
      <c r="D57" s="116">
        <f>IF(TrRoad_act!D33=0,0,D20/TrRoad_act!D33*1000
)</f>
        <v>158.94847628794673</v>
      </c>
      <c r="E57" s="116">
        <f>IF(TrRoad_act!E33=0,0,E20/TrRoad_act!E33*1000
)</f>
        <v>151.03309921256755</v>
      </c>
      <c r="F57" s="116">
        <f>IF(TrRoad_act!F33=0,0,F20/TrRoad_act!F33*1000
)</f>
        <v>138.14559778995596</v>
      </c>
      <c r="G57" s="116">
        <f>IF(TrRoad_act!G33=0,0,G20/TrRoad_act!G33*1000
)</f>
        <v>144.41171301268815</v>
      </c>
      <c r="H57" s="116">
        <f>IF(TrRoad_act!H33=0,0,H20/TrRoad_act!H33*1000
)</f>
        <v>142.16708588077799</v>
      </c>
      <c r="I57" s="116">
        <f>IF(TrRoad_act!I33=0,0,I20/TrRoad_act!I33*1000
)</f>
        <v>150.28996011613512</v>
      </c>
      <c r="J57" s="116">
        <f>IF(TrRoad_act!J33=0,0,J20/TrRoad_act!J33*1000
)</f>
        <v>163.50731275496048</v>
      </c>
      <c r="K57" s="116">
        <f>IF(TrRoad_act!K33=0,0,K20/TrRoad_act!K33*1000
)</f>
        <v>137.00899580922456</v>
      </c>
      <c r="L57" s="116">
        <f>IF(TrRoad_act!L33=0,0,L20/TrRoad_act!L33*1000
)</f>
        <v>159.59740488677636</v>
      </c>
      <c r="M57" s="116">
        <f>IF(TrRoad_act!M33=0,0,M20/TrRoad_act!M33*1000
)</f>
        <v>158.27775673530664</v>
      </c>
      <c r="N57" s="116">
        <f>IF(TrRoad_act!N33=0,0,N20/TrRoad_act!N33*1000
)</f>
        <v>157.20738866802745</v>
      </c>
      <c r="O57" s="116">
        <f>IF(TrRoad_act!O33=0,0,O20/TrRoad_act!O33*1000
)</f>
        <v>156.83464309906827</v>
      </c>
      <c r="P57" s="116">
        <f>IF(TrRoad_act!P33=0,0,P20/TrRoad_act!P33*1000
)</f>
        <v>149.14918695508928</v>
      </c>
      <c r="Q57" s="116">
        <f>IF(TrRoad_act!Q33=0,0,Q20/TrRoad_act!Q33*1000
)</f>
        <v>152.00224918238652</v>
      </c>
      <c r="R57" s="116">
        <f>IF(TrRoad_act!R33=0,0,R20/TrRoad_act!R33*1000
)</f>
        <v>149.03593044442138</v>
      </c>
      <c r="S57" s="116">
        <f>IF(TrRoad_act!S33=0,0,S20/TrRoad_act!S33*1000
)</f>
        <v>151.16847100446216</v>
      </c>
      <c r="T57" s="116">
        <f>IF(TrRoad_act!T33=0,0,T20/TrRoad_act!T33*1000
)</f>
        <v>160.89421795699289</v>
      </c>
      <c r="U57" s="116">
        <f>IF(TrRoad_act!U33=0,0,U20/TrRoad_act!U33*1000
)</f>
        <v>166.78142206023048</v>
      </c>
      <c r="V57" s="116">
        <f>IF(TrRoad_act!V33=0,0,V20/TrRoad_act!V33*1000
)</f>
        <v>150.01843541463847</v>
      </c>
      <c r="W57" s="116">
        <f>IF(TrRoad_act!W33=0,0,W20/TrRoad_act!W33*1000
)</f>
        <v>153.64109286880964</v>
      </c>
      <c r="X57" s="116">
        <f>IF(TrRoad_act!X33=0,0,X20/TrRoad_act!X33*1000
)</f>
        <v>174.61159181852898</v>
      </c>
      <c r="Y57" s="116">
        <f>IF(TrRoad_act!Y33=0,0,Y20/TrRoad_act!Y33*1000
)</f>
        <v>174.63963598320782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176.99702368224652</v>
      </c>
      <c r="C58" s="87">
        <f>IF(TrRoad_act!C34=0,0,C21/TrRoad_act!C34*1000
)</f>
        <v>166.22751587883761</v>
      </c>
      <c r="D58" s="87">
        <f>IF(TrRoad_act!D34=0,0,D21/TrRoad_act!D34*1000
)</f>
        <v>179.90896533470573</v>
      </c>
      <c r="E58" s="87">
        <f>IF(TrRoad_act!E34=0,0,E21/TrRoad_act!E34*1000
)</f>
        <v>161.85666668782824</v>
      </c>
      <c r="F58" s="87">
        <f>IF(TrRoad_act!F34=0,0,F21/TrRoad_act!F34*1000
)</f>
        <v>138.98067065779185</v>
      </c>
      <c r="G58" s="87">
        <f>IF(TrRoad_act!G34=0,0,G21/TrRoad_act!G34*1000
)</f>
        <v>135.07413588426033</v>
      </c>
      <c r="H58" s="87">
        <f>IF(TrRoad_act!H34=0,0,H21/TrRoad_act!H34*1000
)</f>
        <v>130.33710692666742</v>
      </c>
      <c r="I58" s="87">
        <f>IF(TrRoad_act!I34=0,0,I21/TrRoad_act!I34*1000
)</f>
        <v>142.38939512733117</v>
      </c>
      <c r="J58" s="87">
        <f>IF(TrRoad_act!J34=0,0,J21/TrRoad_act!J34*1000
)</f>
        <v>160.28046968255765</v>
      </c>
      <c r="K58" s="87">
        <f>IF(TrRoad_act!K34=0,0,K21/TrRoad_act!K34*1000
)</f>
        <v>131.86030442179748</v>
      </c>
      <c r="L58" s="87">
        <f>IF(TrRoad_act!L34=0,0,L21/TrRoad_act!L34*1000
)</f>
        <v>160.28209165919873</v>
      </c>
      <c r="M58" s="87">
        <f>IF(TrRoad_act!M34=0,0,M21/TrRoad_act!M34*1000
)</f>
        <v>164.8630452308841</v>
      </c>
      <c r="N58" s="87">
        <f>IF(TrRoad_act!N34=0,0,N21/TrRoad_act!N34*1000
)</f>
        <v>167.07282755703389</v>
      </c>
      <c r="O58" s="87">
        <f>IF(TrRoad_act!O34=0,0,O21/TrRoad_act!O34*1000
)</f>
        <v>167.97265363185247</v>
      </c>
      <c r="P58" s="87">
        <f>IF(TrRoad_act!P34=0,0,P21/TrRoad_act!P34*1000
)</f>
        <v>158.81517529829293</v>
      </c>
      <c r="Q58" s="87">
        <f>IF(TrRoad_act!Q34=0,0,Q21/TrRoad_act!Q34*1000
)</f>
        <v>163.16772473273556</v>
      </c>
      <c r="R58" s="87">
        <f>IF(TrRoad_act!R34=0,0,R21/TrRoad_act!R34*1000
)</f>
        <v>160.15288730463556</v>
      </c>
      <c r="S58" s="87">
        <f>IF(TrRoad_act!S34=0,0,S21/TrRoad_act!S34*1000
)</f>
        <v>159.28455437530087</v>
      </c>
      <c r="T58" s="87">
        <f>IF(TrRoad_act!T34=0,0,T21/TrRoad_act!T34*1000
)</f>
        <v>162.46102911008302</v>
      </c>
      <c r="U58" s="87">
        <f>IF(TrRoad_act!U34=0,0,U21/TrRoad_act!U34*1000
)</f>
        <v>171.66898694515413</v>
      </c>
      <c r="V58" s="87">
        <f>IF(TrRoad_act!V34=0,0,V21/TrRoad_act!V34*1000
)</f>
        <v>158.27473158727955</v>
      </c>
      <c r="W58" s="87">
        <f>IF(TrRoad_act!W34=0,0,W21/TrRoad_act!W34*1000
)</f>
        <v>162.96496205771373</v>
      </c>
      <c r="X58" s="87">
        <f>IF(TrRoad_act!X34=0,0,X21/TrRoad_act!X34*1000
)</f>
        <v>179.13410951000287</v>
      </c>
      <c r="Y58" s="87">
        <f>IF(TrRoad_act!Y34=0,0,Y21/TrRoad_act!Y34*1000
)</f>
        <v>182.75347498101999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132.61510652173661</v>
      </c>
      <c r="C59" s="87">
        <f>IF(TrRoad_act!C35=0,0,C22/TrRoad_act!C35*1000
)</f>
        <v>124.8433889944787</v>
      </c>
      <c r="D59" s="87">
        <f>IF(TrRoad_act!D35=0,0,D22/TrRoad_act!D35*1000
)</f>
        <v>48.972707688430482</v>
      </c>
      <c r="E59" s="87">
        <f>IF(TrRoad_act!E35=0,0,E22/TrRoad_act!E35*1000
)</f>
        <v>96.652446498398007</v>
      </c>
      <c r="F59" s="87">
        <f>IF(TrRoad_act!F35=0,0,F22/TrRoad_act!F35*1000
)</f>
        <v>134.37510957864242</v>
      </c>
      <c r="G59" s="87">
        <f>IF(TrRoad_act!G35=0,0,G22/TrRoad_act!G35*1000
)</f>
        <v>190.72558245419884</v>
      </c>
      <c r="H59" s="87">
        <f>IF(TrRoad_act!H35=0,0,H22/TrRoad_act!H35*1000
)</f>
        <v>200.08299321170202</v>
      </c>
      <c r="I59" s="87">
        <f>IF(TrRoad_act!I35=0,0,I22/TrRoad_act!I35*1000
)</f>
        <v>185.67532493623153</v>
      </c>
      <c r="J59" s="87">
        <f>IF(TrRoad_act!J35=0,0,J22/TrRoad_act!J35*1000
)</f>
        <v>178.83301889370813</v>
      </c>
      <c r="K59" s="87">
        <f>IF(TrRoad_act!K35=0,0,K22/TrRoad_act!K35*1000
)</f>
        <v>160.47265365892403</v>
      </c>
      <c r="L59" s="87">
        <f>IF(TrRoad_act!L35=0,0,L22/TrRoad_act!L35*1000
)</f>
        <v>158.61968964734234</v>
      </c>
      <c r="M59" s="87">
        <f>IF(TrRoad_act!M35=0,0,M22/TrRoad_act!M35*1000
)</f>
        <v>147.07397097701633</v>
      </c>
      <c r="N59" s="87">
        <f>IF(TrRoad_act!N35=0,0,N22/TrRoad_act!N35*1000
)</f>
        <v>141.81682199519662</v>
      </c>
      <c r="O59" s="87">
        <f>IF(TrRoad_act!O35=0,0,O22/TrRoad_act!O35*1000
)</f>
        <v>140.36447280586296</v>
      </c>
      <c r="P59" s="87">
        <f>IF(TrRoad_act!P35=0,0,P22/TrRoad_act!P35*1000
)</f>
        <v>135.12722485385154</v>
      </c>
      <c r="Q59" s="87">
        <f>IF(TrRoad_act!Q35=0,0,Q22/TrRoad_act!Q35*1000
)</f>
        <v>136.58534185460317</v>
      </c>
      <c r="R59" s="87">
        <f>IF(TrRoad_act!R35=0,0,R22/TrRoad_act!R35*1000
)</f>
        <v>134.36187998407343</v>
      </c>
      <c r="S59" s="87">
        <f>IF(TrRoad_act!S35=0,0,S22/TrRoad_act!S35*1000
)</f>
        <v>139.9564894055257</v>
      </c>
      <c r="T59" s="87">
        <f>IF(TrRoad_act!T35=0,0,T22/TrRoad_act!T35*1000
)</f>
        <v>159.71424324183374</v>
      </c>
      <c r="U59" s="87">
        <f>IF(TrRoad_act!U35=0,0,U22/TrRoad_act!U35*1000
)</f>
        <v>162.91434746052846</v>
      </c>
      <c r="V59" s="87">
        <f>IF(TrRoad_act!V35=0,0,V22/TrRoad_act!V35*1000
)</f>
        <v>141.10778103344393</v>
      </c>
      <c r="W59" s="87">
        <f>IF(TrRoad_act!W35=0,0,W22/TrRoad_act!W35*1000
)</f>
        <v>144.93771703814511</v>
      </c>
      <c r="X59" s="87">
        <f>IF(TrRoad_act!X35=0,0,X22/TrRoad_act!X35*1000
)</f>
        <v>177.07062319764395</v>
      </c>
      <c r="Y59" s="87">
        <f>IF(TrRoad_act!Y35=0,0,Y22/TrRoad_act!Y35*1000
)</f>
        <v>176.01942825230017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0</v>
      </c>
      <c r="I60" s="87">
        <f>IF(TrRoad_act!I36=0,0,I23/TrRoad_act!I36*1000
)</f>
        <v>0</v>
      </c>
      <c r="J60" s="87">
        <f>IF(TrRoad_act!J36=0,0,J23/TrRoad_act!J36*1000
)</f>
        <v>0</v>
      </c>
      <c r="K60" s="87">
        <f>IF(TrRoad_act!K36=0,0,K23/TrRoad_act!K36*1000
)</f>
        <v>0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128.10187563389934</v>
      </c>
      <c r="S60" s="87">
        <f>IF(TrRoad_act!S36=0,0,S23/TrRoad_act!S36*1000
)</f>
        <v>143.05353112050275</v>
      </c>
      <c r="T60" s="87">
        <f>IF(TrRoad_act!T36=0,0,T23/TrRoad_act!T36*1000
)</f>
        <v>197.94339888211832</v>
      </c>
      <c r="U60" s="87">
        <f>IF(TrRoad_act!U36=0,0,U23/TrRoad_act!U36*1000
)</f>
        <v>143.82704338207699</v>
      </c>
      <c r="V60" s="87">
        <f>IF(TrRoad_act!V36=0,0,V23/TrRoad_act!V36*1000
)</f>
        <v>161.42548775308686</v>
      </c>
      <c r="W60" s="87">
        <f>IF(TrRoad_act!W36=0,0,W23/TrRoad_act!W36*1000
)</f>
        <v>186.09000243828089</v>
      </c>
      <c r="X60" s="87">
        <f>IF(TrRoad_act!X36=0,0,X23/TrRoad_act!X36*1000
)</f>
        <v>210.19853488246468</v>
      </c>
      <c r="Y60" s="87">
        <f>IF(TrRoad_act!Y36=0,0,Y23/TrRoad_act!Y36*1000
)</f>
        <v>162.88965675292729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X61" s="87">
        <f>IF(TrRoad_act!X37=0,0,X24/TrRoad_act!X37*1000
)</f>
        <v>0</v>
      </c>
      <c r="Y61" s="87">
        <f>IF(TrRoad_act!Y37=0,0,Y24/TrRoad_act!Y37*1000
)</f>
        <v>0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88.634300655876132</v>
      </c>
      <c r="M62" s="87">
        <f>IF(TrRoad_act!M38=0,0,M25/TrRoad_act!M38*1000
)</f>
        <v>90.575901378802158</v>
      </c>
      <c r="N62" s="87">
        <f>IF(TrRoad_act!N38=0,0,N25/TrRoad_act!N38*1000
)</f>
        <v>85.513891823549358</v>
      </c>
      <c r="O62" s="87">
        <f>IF(TrRoad_act!O38=0,0,O25/TrRoad_act!O38*1000
)</f>
        <v>94.047728563261941</v>
      </c>
      <c r="P62" s="87">
        <f>IF(TrRoad_act!P38=0,0,P25/TrRoad_act!P38*1000
)</f>
        <v>92.883287165748186</v>
      </c>
      <c r="Q62" s="87">
        <f>IF(TrRoad_act!Q38=0,0,Q25/TrRoad_act!Q38*1000
)</f>
        <v>88.626303533771519</v>
      </c>
      <c r="R62" s="87">
        <f>IF(TrRoad_act!R38=0,0,R25/TrRoad_act!R38*1000
)</f>
        <v>87.348057498034308</v>
      </c>
      <c r="S62" s="87">
        <f>IF(TrRoad_act!S38=0,0,S25/TrRoad_act!S38*1000
)</f>
        <v>87.642080347894009</v>
      </c>
      <c r="T62" s="87">
        <f>IF(TrRoad_act!T38=0,0,T25/TrRoad_act!T38*1000
)</f>
        <v>93.246825343079834</v>
      </c>
      <c r="U62" s="87">
        <f>IF(TrRoad_act!U38=0,0,U25/TrRoad_act!U38*1000
)</f>
        <v>97.61593501272155</v>
      </c>
      <c r="V62" s="87">
        <f>IF(TrRoad_act!V38=0,0,V25/TrRoad_act!V38*1000
)</f>
        <v>84.838460604122361</v>
      </c>
      <c r="W62" s="87">
        <f>IF(TrRoad_act!W38=0,0,W25/TrRoad_act!W38*1000
)</f>
        <v>71.76645289650574</v>
      </c>
      <c r="X62" s="87">
        <f>IF(TrRoad_act!X38=0,0,X25/TrRoad_act!X38*1000
)</f>
        <v>64.890452485309481</v>
      </c>
      <c r="Y62" s="87">
        <f>IF(TrRoad_act!Y38=0,0,Y25/TrRoad_act!Y38*1000
)</f>
        <v>59.76905272533957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1165.2157474293183</v>
      </c>
      <c r="C64" s="116">
        <f>IF(TrRoad_act!C40=0,0,C27/TrRoad_act!C40*1000
)</f>
        <v>1103.6504563558419</v>
      </c>
      <c r="D64" s="116">
        <f>IF(TrRoad_act!D40=0,0,D27/TrRoad_act!D40*1000
)</f>
        <v>433.26951804083643</v>
      </c>
      <c r="E64" s="116">
        <f>IF(TrRoad_act!E40=0,0,E27/TrRoad_act!E40*1000
)</f>
        <v>855.14257443655379</v>
      </c>
      <c r="F64" s="116">
        <f>IF(TrRoad_act!F40=0,0,F27/TrRoad_act!F40*1000
)</f>
        <v>1189.5951530624559</v>
      </c>
      <c r="G64" s="116">
        <f>IF(TrRoad_act!G40=0,0,G27/TrRoad_act!G40*1000
)</f>
        <v>1688.1163376605825</v>
      </c>
      <c r="H64" s="116">
        <f>IF(TrRoad_act!H40=0,0,H27/TrRoad_act!H40*1000
)</f>
        <v>1771.2616600854676</v>
      </c>
      <c r="I64" s="116">
        <f>IF(TrRoad_act!I40=0,0,I27/TrRoad_act!I40*1000
)</f>
        <v>1641.310017149063</v>
      </c>
      <c r="J64" s="116">
        <f>IF(TrRoad_act!J40=0,0,J27/TrRoad_act!J40*1000
)</f>
        <v>1577.7745023574005</v>
      </c>
      <c r="K64" s="116">
        <f>IF(TrRoad_act!K40=0,0,K27/TrRoad_act!K40*1000
)</f>
        <v>1364.8854414689361</v>
      </c>
      <c r="L64" s="116">
        <f>IF(TrRoad_act!L40=0,0,L27/TrRoad_act!L40*1000
)</f>
        <v>1322.7092933098647</v>
      </c>
      <c r="M64" s="116">
        <f>IF(TrRoad_act!M40=0,0,M27/TrRoad_act!M40*1000
)</f>
        <v>1160.1890755010463</v>
      </c>
      <c r="N64" s="116">
        <f>IF(TrRoad_act!N40=0,0,N27/TrRoad_act!N40*1000
)</f>
        <v>1114.1214391695485</v>
      </c>
      <c r="O64" s="116">
        <f>IF(TrRoad_act!O40=0,0,O27/TrRoad_act!O40*1000
)</f>
        <v>1100.3336624647466</v>
      </c>
      <c r="P64" s="116">
        <f>IF(TrRoad_act!P40=0,0,P27/TrRoad_act!P40*1000
)</f>
        <v>1058.6224358271561</v>
      </c>
      <c r="Q64" s="116">
        <f>IF(TrRoad_act!Q40=0,0,Q27/TrRoad_act!Q40*1000
)</f>
        <v>1064.5246124283149</v>
      </c>
      <c r="R64" s="116">
        <f>IF(TrRoad_act!R40=0,0,R27/TrRoad_act!R40*1000
)</f>
        <v>1046.5520554178581</v>
      </c>
      <c r="S64" s="116">
        <f>IF(TrRoad_act!S40=0,0,S27/TrRoad_act!S40*1000
)</f>
        <v>1095.6033847797817</v>
      </c>
      <c r="T64" s="116">
        <f>IF(TrRoad_act!T40=0,0,T27/TrRoad_act!T40*1000
)</f>
        <v>1251.8513672905578</v>
      </c>
      <c r="U64" s="116">
        <f>IF(TrRoad_act!U40=0,0,U27/TrRoad_act!U40*1000
)</f>
        <v>1273.4646359226663</v>
      </c>
      <c r="V64" s="116">
        <f>IF(TrRoad_act!V40=0,0,V27/TrRoad_act!V40*1000
)</f>
        <v>1087.2935646614249</v>
      </c>
      <c r="W64" s="116">
        <f>IF(TrRoad_act!W40=0,0,W27/TrRoad_act!W40*1000
)</f>
        <v>1112.9944462540254</v>
      </c>
      <c r="X64" s="116">
        <f>IF(TrRoad_act!X40=0,0,X27/TrRoad_act!X40*1000
)</f>
        <v>1355.7896936323534</v>
      </c>
      <c r="Y64" s="116">
        <f>IF(TrRoad_act!Y40=0,0,Y27/TrRoad_act!Y40*1000
)</f>
        <v>1323.5552094170098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387.81858538258274</v>
      </c>
      <c r="M65" s="101">
        <f>IF(TrRoad_act!M41=0,0,M28/TrRoad_act!M41*1000
)</f>
        <v>387.81858538258268</v>
      </c>
      <c r="N65" s="101">
        <f>IF(TrRoad_act!N41=0,0,N28/TrRoad_act!N41*1000
)</f>
        <v>387.81858538258257</v>
      </c>
      <c r="O65" s="101">
        <f>IF(TrRoad_act!O41=0,0,O28/TrRoad_act!O41*1000
)</f>
        <v>387.81858538258263</v>
      </c>
      <c r="P65" s="101">
        <f>IF(TrRoad_act!P41=0,0,P28/TrRoad_act!P41*1000
)</f>
        <v>387.81858538258263</v>
      </c>
      <c r="Q65" s="101">
        <f>IF(TrRoad_act!Q41=0,0,Q28/TrRoad_act!Q41*1000
)</f>
        <v>387.81858538258274</v>
      </c>
      <c r="R65" s="101">
        <f>IF(TrRoad_act!R41=0,0,R28/TrRoad_act!R41*1000
)</f>
        <v>387.81858538258268</v>
      </c>
      <c r="S65" s="101">
        <f>IF(TrRoad_act!S41=0,0,S28/TrRoad_act!S41*1000
)</f>
        <v>387.81858538258263</v>
      </c>
      <c r="T65" s="101">
        <f>IF(TrRoad_act!T41=0,0,T28/TrRoad_act!T41*1000
)</f>
        <v>381.30323978574489</v>
      </c>
      <c r="U65" s="101">
        <f>IF(TrRoad_act!U41=0,0,U28/TrRoad_act!U41*1000
)</f>
        <v>370.41703118087781</v>
      </c>
      <c r="V65" s="101">
        <f>IF(TrRoad_act!V41=0,0,V28/TrRoad_act!V41*1000
)</f>
        <v>367.54713063902534</v>
      </c>
      <c r="W65" s="101">
        <f>IF(TrRoad_act!W41=0,0,W28/TrRoad_act!W41*1000
)</f>
        <v>361.58710435125977</v>
      </c>
      <c r="X65" s="101">
        <f>IF(TrRoad_act!X41=0,0,X28/TrRoad_act!X41*1000
)</f>
        <v>361.58710435125971</v>
      </c>
      <c r="Y65" s="101">
        <f>IF(TrRoad_act!Y41=0,0,Y28/TrRoad_act!Y41*1000
)</f>
        <v>355.25046699550029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1165.2157474293183</v>
      </c>
      <c r="C66" s="101">
        <f>IF(TrRoad_act!C42=0,0,C29/TrRoad_act!C42*1000
)</f>
        <v>1103.6504563558419</v>
      </c>
      <c r="D66" s="101">
        <f>IF(TrRoad_act!D42=0,0,D29/TrRoad_act!D42*1000
)</f>
        <v>433.26951804083643</v>
      </c>
      <c r="E66" s="101">
        <f>IF(TrRoad_act!E42=0,0,E29/TrRoad_act!E42*1000
)</f>
        <v>855.14257443655379</v>
      </c>
      <c r="F66" s="101">
        <f>IF(TrRoad_act!F42=0,0,F29/TrRoad_act!F42*1000
)</f>
        <v>1189.5951530624559</v>
      </c>
      <c r="G66" s="101">
        <f>IF(TrRoad_act!G42=0,0,G29/TrRoad_act!G42*1000
)</f>
        <v>1688.1163376605825</v>
      </c>
      <c r="H66" s="101">
        <f>IF(TrRoad_act!H42=0,0,H29/TrRoad_act!H42*1000
)</f>
        <v>1771.2616600854676</v>
      </c>
      <c r="I66" s="101">
        <f>IF(TrRoad_act!I42=0,0,I29/TrRoad_act!I42*1000
)</f>
        <v>1641.310017149063</v>
      </c>
      <c r="J66" s="101">
        <f>IF(TrRoad_act!J42=0,0,J29/TrRoad_act!J42*1000
)</f>
        <v>1577.7745023574005</v>
      </c>
      <c r="K66" s="101">
        <f>IF(TrRoad_act!K42=0,0,K29/TrRoad_act!K42*1000
)</f>
        <v>1364.8854414689361</v>
      </c>
      <c r="L66" s="101">
        <f>IF(TrRoad_act!L42=0,0,L29/TrRoad_act!L42*1000
)</f>
        <v>1330.7237052075336</v>
      </c>
      <c r="M66" s="101">
        <f>IF(TrRoad_act!M42=0,0,M29/TrRoad_act!M42*1000
)</f>
        <v>1165.0324292158689</v>
      </c>
      <c r="N66" s="101">
        <f>IF(TrRoad_act!N42=0,0,N29/TrRoad_act!N42*1000
)</f>
        <v>1117.7339554326381</v>
      </c>
      <c r="O66" s="101">
        <f>IF(TrRoad_act!O42=0,0,O29/TrRoad_act!O42*1000
)</f>
        <v>1103.5505759200578</v>
      </c>
      <c r="P66" s="101">
        <f>IF(TrRoad_act!P42=0,0,P29/TrRoad_act!P42*1000
)</f>
        <v>1060.8927849235479</v>
      </c>
      <c r="Q66" s="101">
        <f>IF(TrRoad_act!Q42=0,0,Q29/TrRoad_act!Q42*1000
)</f>
        <v>1066.2068059481669</v>
      </c>
      <c r="R66" s="101">
        <f>IF(TrRoad_act!R42=0,0,R29/TrRoad_act!R42*1000
)</f>
        <v>1048.1199167651162</v>
      </c>
      <c r="S66" s="101">
        <f>IF(TrRoad_act!S42=0,0,S29/TrRoad_act!S42*1000
)</f>
        <v>1097.1940990564426</v>
      </c>
      <c r="T66" s="101">
        <f>IF(TrRoad_act!T42=0,0,T29/TrRoad_act!T42*1000
)</f>
        <v>1258.7418747981224</v>
      </c>
      <c r="U66" s="101">
        <f>IF(TrRoad_act!U42=0,0,U29/TrRoad_act!U42*1000
)</f>
        <v>1281.9146470458149</v>
      </c>
      <c r="V66" s="101">
        <f>IF(TrRoad_act!V42=0,0,V29/TrRoad_act!V42*1000
)</f>
        <v>1095.0711885439321</v>
      </c>
      <c r="W66" s="101">
        <f>IF(TrRoad_act!W42=0,0,W29/TrRoad_act!W42*1000
)</f>
        <v>1123.3389571054752</v>
      </c>
      <c r="X66" s="101">
        <f>IF(TrRoad_act!X42=0,0,X29/TrRoad_act!X42*1000
)</f>
        <v>1367.3050763247334</v>
      </c>
      <c r="Y66" s="101">
        <f>IF(TrRoad_act!Y42=0,0,Y29/TrRoad_act!Y42*1000
)</f>
        <v>1355.8240307839878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1188.3842232071249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X68" s="101">
        <f>IF(TrRoad_act!X44=0,0,X31/TrRoad_act!X44*1000
)</f>
        <v>0</v>
      </c>
      <c r="Y68" s="101">
        <f>IF(TrRoad_act!Y44=0,0,Y31/TrRoad_act!Y44*1000
)</f>
        <v>0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327.07014340756524</v>
      </c>
      <c r="C70" s="29">
        <f>IF(TrRoad_act!C46=0,0,C33/TrRoad_act!C46*1000
)</f>
        <v>304.11266426420616</v>
      </c>
      <c r="D70" s="29">
        <f>IF(TrRoad_act!D46=0,0,D33/TrRoad_act!D46*1000
)</f>
        <v>97.724178170693094</v>
      </c>
      <c r="E70" s="29">
        <f>IF(TrRoad_act!E46=0,0,E33/TrRoad_act!E46*1000
)</f>
        <v>216.84769384526453</v>
      </c>
      <c r="F70" s="29">
        <f>IF(TrRoad_act!F46=0,0,F33/TrRoad_act!F46*1000
)</f>
        <v>329.49762599927885</v>
      </c>
      <c r="G70" s="29">
        <f>IF(TrRoad_act!G46=0,0,G33/TrRoad_act!G46*1000
)</f>
        <v>398.62904576771098</v>
      </c>
      <c r="H70" s="29">
        <f>IF(TrRoad_act!H46=0,0,H33/TrRoad_act!H46*1000
)</f>
        <v>401.92316813073251</v>
      </c>
      <c r="I70" s="29">
        <f>IF(TrRoad_act!I46=0,0,I33/TrRoad_act!I46*1000
)</f>
        <v>374.64044373842268</v>
      </c>
      <c r="J70" s="29">
        <f>IF(TrRoad_act!J46=0,0,J33/TrRoad_act!J46*1000
)</f>
        <v>357.13589949644972</v>
      </c>
      <c r="K70" s="29">
        <f>IF(TrRoad_act!K46=0,0,K33/TrRoad_act!K46*1000
)</f>
        <v>315.98781199996353</v>
      </c>
      <c r="L70" s="29">
        <f>IF(TrRoad_act!L46=0,0,L33/TrRoad_act!L46*1000
)</f>
        <v>297.86853897973174</v>
      </c>
      <c r="M70" s="29">
        <f>IF(TrRoad_act!M46=0,0,M33/TrRoad_act!M46*1000
)</f>
        <v>268.01796280622631</v>
      </c>
      <c r="N70" s="29">
        <f>IF(TrRoad_act!N46=0,0,N33/TrRoad_act!N46*1000
)</f>
        <v>251.6800866067334</v>
      </c>
      <c r="O70" s="29">
        <f>IF(TrRoad_act!O46=0,0,O33/TrRoad_act!O46*1000
)</f>
        <v>247.76162248095031</v>
      </c>
      <c r="P70" s="29">
        <f>IF(TrRoad_act!P46=0,0,P33/TrRoad_act!P46*1000
)</f>
        <v>231.78807289956862</v>
      </c>
      <c r="Q70" s="29">
        <f>IF(TrRoad_act!Q46=0,0,Q33/TrRoad_act!Q46*1000
)</f>
        <v>229.20028076649822</v>
      </c>
      <c r="R70" s="29">
        <f>IF(TrRoad_act!R46=0,0,R33/TrRoad_act!R46*1000
)</f>
        <v>228.45072825948563</v>
      </c>
      <c r="S70" s="29">
        <f>IF(TrRoad_act!S46=0,0,S33/TrRoad_act!S46*1000
)</f>
        <v>236.48828669418316</v>
      </c>
      <c r="T70" s="29">
        <f>IF(TrRoad_act!T46=0,0,T33/TrRoad_act!T46*1000
)</f>
        <v>268.32342689304443</v>
      </c>
      <c r="U70" s="29">
        <f>IF(TrRoad_act!U46=0,0,U33/TrRoad_act!U46*1000
)</f>
        <v>275.86931977179358</v>
      </c>
      <c r="V70" s="29">
        <f>IF(TrRoad_act!V46=0,0,V33/TrRoad_act!V46*1000
)</f>
        <v>245.58408714651162</v>
      </c>
      <c r="W70" s="29">
        <f>IF(TrRoad_act!W46=0,0,W33/TrRoad_act!W46*1000
)</f>
        <v>258.75029243878834</v>
      </c>
      <c r="X70" s="29">
        <f>IF(TrRoad_act!X46=0,0,X33/TrRoad_act!X46*1000
)</f>
        <v>322.71040134428739</v>
      </c>
      <c r="Y70" s="29">
        <f>IF(TrRoad_act!Y46=0,0,Y33/TrRoad_act!Y46*1000
)</f>
        <v>327.32320044228908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194.37455388897044</v>
      </c>
      <c r="C71" s="152">
        <f>IF(TrRoad_act!C47=0,0,C34/TrRoad_act!C47*1000
)</f>
        <v>182.19325472887832</v>
      </c>
      <c r="D71" s="152">
        <f>IF(TrRoad_act!D47=0,0,D34/TrRoad_act!D47*1000
)</f>
        <v>75.679019738166801</v>
      </c>
      <c r="E71" s="152">
        <f>IF(TrRoad_act!E47=0,0,E34/TrRoad_act!E47*1000
)</f>
        <v>137.63404817464655</v>
      </c>
      <c r="F71" s="152">
        <f>IF(TrRoad_act!F47=0,0,F34/TrRoad_act!F47*1000
)</f>
        <v>184.64047161547271</v>
      </c>
      <c r="G71" s="152">
        <f>IF(TrRoad_act!G47=0,0,G34/TrRoad_act!G47*1000
)</f>
        <v>254.35549042638422</v>
      </c>
      <c r="H71" s="152">
        <f>IF(TrRoad_act!H47=0,0,H34/TrRoad_act!H47*1000
)</f>
        <v>259.82953111884501</v>
      </c>
      <c r="I71" s="152">
        <f>IF(TrRoad_act!I47=0,0,I34/TrRoad_act!I47*1000
)</f>
        <v>236.01867512487664</v>
      </c>
      <c r="J71" s="152">
        <f>IF(TrRoad_act!J47=0,0,J34/TrRoad_act!J47*1000
)</f>
        <v>223.15341362570041</v>
      </c>
      <c r="K71" s="152">
        <f>IF(TrRoad_act!K47=0,0,K34/TrRoad_act!K47*1000
)</f>
        <v>197.37129950225341</v>
      </c>
      <c r="L71" s="152">
        <f>IF(TrRoad_act!L47=0,0,L34/TrRoad_act!L47*1000
)</f>
        <v>192.35139196239189</v>
      </c>
      <c r="M71" s="152">
        <f>IF(TrRoad_act!M47=0,0,M34/TrRoad_act!M47*1000
)</f>
        <v>175.60512456665674</v>
      </c>
      <c r="N71" s="152">
        <f>IF(TrRoad_act!N47=0,0,N34/TrRoad_act!N47*1000
)</f>
        <v>166.37682578748593</v>
      </c>
      <c r="O71" s="152">
        <f>IF(TrRoad_act!O47=0,0,O34/TrRoad_act!O47*1000
)</f>
        <v>163.33845936888966</v>
      </c>
      <c r="P71" s="152">
        <f>IF(TrRoad_act!P47=0,0,P34/TrRoad_act!P47*1000
)</f>
        <v>155.1308703684852</v>
      </c>
      <c r="Q71" s="152">
        <f>IF(TrRoad_act!Q47=0,0,Q34/TrRoad_act!Q47*1000
)</f>
        <v>154.98564569294999</v>
      </c>
      <c r="R71" s="152">
        <f>IF(TrRoad_act!R47=0,0,R34/TrRoad_act!R47*1000
)</f>
        <v>151.66946781310526</v>
      </c>
      <c r="S71" s="152">
        <f>IF(TrRoad_act!S47=0,0,S34/TrRoad_act!S47*1000
)</f>
        <v>157.73622857260389</v>
      </c>
      <c r="T71" s="152">
        <f>IF(TrRoad_act!T47=0,0,T34/TrRoad_act!T47*1000
)</f>
        <v>179.54683188735743</v>
      </c>
      <c r="U71" s="152">
        <f>IF(TrRoad_act!U47=0,0,U34/TrRoad_act!U47*1000
)</f>
        <v>183.83166424314766</v>
      </c>
      <c r="V71" s="152">
        <f>IF(TrRoad_act!V47=0,0,V34/TrRoad_act!V47*1000
)</f>
        <v>161.56895961477289</v>
      </c>
      <c r="W71" s="152">
        <f>IF(TrRoad_act!W47=0,0,W34/TrRoad_act!W47*1000
)</f>
        <v>167.71438918584883</v>
      </c>
      <c r="X71" s="152">
        <f>IF(TrRoad_act!X47=0,0,X34/TrRoad_act!X47*1000
)</f>
        <v>204.79398339414712</v>
      </c>
      <c r="Y71" s="152">
        <f>IF(TrRoad_act!Y47=0,0,Y34/TrRoad_act!Y47*1000
)</f>
        <v>204.99276476569847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224.82255743279595</v>
      </c>
      <c r="C72" s="87">
        <f>IF(TrRoad_act!C48=0,0,C35/TrRoad_act!C48*1000
)</f>
        <v>218.38147330598329</v>
      </c>
      <c r="D72" s="87">
        <f>IF(TrRoad_act!D48=0,0,D35/TrRoad_act!D48*1000
)</f>
        <v>222.73208185933194</v>
      </c>
      <c r="E72" s="87">
        <f>IF(TrRoad_act!E48=0,0,E35/TrRoad_act!E48*1000
)</f>
        <v>214.45025238555826</v>
      </c>
      <c r="F72" s="87">
        <f>IF(TrRoad_act!F48=0,0,F35/TrRoad_act!F48*1000
)</f>
        <v>204.83166275931271</v>
      </c>
      <c r="G72" s="87">
        <f>IF(TrRoad_act!G48=0,0,G35/TrRoad_act!G48*1000
)</f>
        <v>202.50798767090981</v>
      </c>
      <c r="H72" s="87">
        <f>IF(TrRoad_act!H48=0,0,H35/TrRoad_act!H48*1000
)</f>
        <v>199.73349829814157</v>
      </c>
      <c r="I72" s="87">
        <f>IF(TrRoad_act!I48=0,0,I35/TrRoad_act!I48*1000
)</f>
        <v>203.01935468358167</v>
      </c>
      <c r="J72" s="87">
        <f>IF(TrRoad_act!J48=0,0,J35/TrRoad_act!J48*1000
)</f>
        <v>208.4844051398612</v>
      </c>
      <c r="K72" s="87">
        <f>IF(TrRoad_act!K48=0,0,K35/TrRoad_act!K48*1000
)</f>
        <v>196.7558796019969</v>
      </c>
      <c r="L72" s="87">
        <f>IF(TrRoad_act!L48=0,0,L35/TrRoad_act!L48*1000
)</f>
        <v>205.95193423312222</v>
      </c>
      <c r="M72" s="87">
        <f>IF(TrRoad_act!M48=0,0,M35/TrRoad_act!M48*1000
)</f>
        <v>206.58580667958825</v>
      </c>
      <c r="N72" s="87">
        <f>IF(TrRoad_act!N48=0,0,N35/TrRoad_act!N48*1000
)</f>
        <v>206.3067308890208</v>
      </c>
      <c r="O72" s="87">
        <f>IF(TrRoad_act!O48=0,0,O35/TrRoad_act!O48*1000
)</f>
        <v>203.96935286760186</v>
      </c>
      <c r="P72" s="87">
        <f>IF(TrRoad_act!P48=0,0,P35/TrRoad_act!P48*1000
)</f>
        <v>199.25130241265654</v>
      </c>
      <c r="Q72" s="87">
        <f>IF(TrRoad_act!Q48=0,0,Q35/TrRoad_act!Q48*1000
)</f>
        <v>198.82139291496219</v>
      </c>
      <c r="R72" s="87">
        <f>IF(TrRoad_act!R48=0,0,R35/TrRoad_act!R48*1000
)</f>
        <v>196.01638279724693</v>
      </c>
      <c r="S72" s="87">
        <f>IF(TrRoad_act!S48=0,0,S35/TrRoad_act!S48*1000
)</f>
        <v>194.32505555451576</v>
      </c>
      <c r="T72" s="87">
        <f>IF(TrRoad_act!T48=0,0,T35/TrRoad_act!T48*1000
)</f>
        <v>197.67312439286923</v>
      </c>
      <c r="U72" s="87">
        <f>IF(TrRoad_act!U48=0,0,U35/TrRoad_act!U48*1000
)</f>
        <v>199.42481712367464</v>
      </c>
      <c r="V72" s="87">
        <f>IF(TrRoad_act!V48=0,0,V35/TrRoad_act!V48*1000
)</f>
        <v>193.83295777568915</v>
      </c>
      <c r="W72" s="87">
        <f>IF(TrRoad_act!W48=0,0,W35/TrRoad_act!W48*1000
)</f>
        <v>197.97292015036007</v>
      </c>
      <c r="X72" s="87">
        <f>IF(TrRoad_act!X48=0,0,X35/TrRoad_act!X48*1000
)</f>
        <v>205.16797957932488</v>
      </c>
      <c r="Y72" s="87">
        <f>IF(TrRoad_act!Y48=0,0,Y35/TrRoad_act!Y48*1000
)</f>
        <v>210.62349486027196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193.34215802448006</v>
      </c>
      <c r="C73" s="87">
        <f>IF(TrRoad_act!C49=0,0,C36/TrRoad_act!C49*1000
)</f>
        <v>180.70507487746883</v>
      </c>
      <c r="D73" s="87">
        <f>IF(TrRoad_act!D49=0,0,D36/TrRoad_act!D49*1000
)</f>
        <v>69.771778655701354</v>
      </c>
      <c r="E73" s="87">
        <f>IF(TrRoad_act!E49=0,0,E36/TrRoad_act!E49*1000
)</f>
        <v>134.66993389411925</v>
      </c>
      <c r="F73" s="87">
        <f>IF(TrRoad_act!F49=0,0,F36/TrRoad_act!F49*1000
)</f>
        <v>183.8730144071092</v>
      </c>
      <c r="G73" s="87">
        <f>IF(TrRoad_act!G49=0,0,G36/TrRoad_act!G49*1000
)</f>
        <v>256.3383365507508</v>
      </c>
      <c r="H73" s="87">
        <f>IF(TrRoad_act!H49=0,0,H36/TrRoad_act!H49*1000
)</f>
        <v>262.01870747441831</v>
      </c>
      <c r="I73" s="87">
        <f>IF(TrRoad_act!I49=0,0,I36/TrRoad_act!I49*1000
)</f>
        <v>237.10095302491354</v>
      </c>
      <c r="J73" s="87">
        <f>IF(TrRoad_act!J49=0,0,J36/TrRoad_act!J49*1000
)</f>
        <v>223.60209411515396</v>
      </c>
      <c r="K73" s="87">
        <f>IF(TrRoad_act!K49=0,0,K36/TrRoad_act!K49*1000
)</f>
        <v>197.40781687413349</v>
      </c>
      <c r="L73" s="87">
        <f>IF(TrRoad_act!L49=0,0,L36/TrRoad_act!L49*1000
)</f>
        <v>191.95378880091357</v>
      </c>
      <c r="M73" s="87">
        <f>IF(TrRoad_act!M49=0,0,M36/TrRoad_act!M49*1000
)</f>
        <v>174.77467663183043</v>
      </c>
      <c r="N73" s="87">
        <f>IF(TrRoad_act!N49=0,0,N36/TrRoad_act!N49*1000
)</f>
        <v>165.33661663570828</v>
      </c>
      <c r="O73" s="87">
        <f>IF(TrRoad_act!O49=0,0,O36/TrRoad_act!O49*1000
)</f>
        <v>162.34734929188775</v>
      </c>
      <c r="P73" s="87">
        <f>IF(TrRoad_act!P49=0,0,P36/TrRoad_act!P49*1000
)</f>
        <v>154.06762470787757</v>
      </c>
      <c r="Q73" s="87">
        <f>IF(TrRoad_act!Q49=0,0,Q36/TrRoad_act!Q49*1000
)</f>
        <v>154.0088929147644</v>
      </c>
      <c r="R73" s="87">
        <f>IF(TrRoad_act!R49=0,0,R36/TrRoad_act!R49*1000
)</f>
        <v>150.7391546543254</v>
      </c>
      <c r="S73" s="87">
        <f>IF(TrRoad_act!S49=0,0,S36/TrRoad_act!S49*1000
)</f>
        <v>157.06941583318104</v>
      </c>
      <c r="T73" s="87">
        <f>IF(TrRoad_act!T49=0,0,T36/TrRoad_act!T49*1000
)</f>
        <v>179.3440523734059</v>
      </c>
      <c r="U73" s="87">
        <f>IF(TrRoad_act!U49=0,0,U36/TrRoad_act!U49*1000
)</f>
        <v>184.03268813221217</v>
      </c>
      <c r="V73" s="87">
        <f>IF(TrRoad_act!V49=0,0,V36/TrRoad_act!V49*1000
)</f>
        <v>161.40168401419115</v>
      </c>
      <c r="W73" s="87">
        <f>IF(TrRoad_act!W49=0,0,W36/TrRoad_act!W49*1000
)</f>
        <v>167.60224871350155</v>
      </c>
      <c r="X73" s="87">
        <f>IF(TrRoad_act!X49=0,0,X36/TrRoad_act!X49*1000
)</f>
        <v>205.55231003988391</v>
      </c>
      <c r="Y73" s="87">
        <f>IF(TrRoad_act!Y49=0,0,Y36/TrRoad_act!Y49*1000
)</f>
        <v>205.98828172171261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232.82951127148678</v>
      </c>
      <c r="T74" s="87">
        <f>IF(TrRoad_act!T50=0,0,T37/TrRoad_act!T50*1000
)</f>
        <v>232.82951127148678</v>
      </c>
      <c r="U74" s="87">
        <f>IF(TrRoad_act!U50=0,0,U37/TrRoad_act!U50*1000
)</f>
        <v>218.62205954464758</v>
      </c>
      <c r="V74" s="87">
        <f>IF(TrRoad_act!V50=0,0,V37/TrRoad_act!V50*1000
)</f>
        <v>218.62205954464767</v>
      </c>
      <c r="W74" s="87">
        <f>IF(TrRoad_act!W50=0,0,W37/TrRoad_act!W50*1000
)</f>
        <v>218.62205954464758</v>
      </c>
      <c r="X74" s="87">
        <f>IF(TrRoad_act!X50=0,0,X37/TrRoad_act!X50*1000
)</f>
        <v>218.62205954464767</v>
      </c>
      <c r="Y74" s="87">
        <f>IF(TrRoad_act!Y50=0,0,Y37/TrRoad_act!Y50*1000
)</f>
        <v>229.20859130781625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X75" s="87">
        <f>IF(TrRoad_act!X51=0,0,X38/TrRoad_act!X51*1000
)</f>
        <v>0</v>
      </c>
      <c r="Y75" s="87">
        <f>IF(TrRoad_act!Y51=0,0,Y38/TrRoad_act!Y51*1000
)</f>
        <v>0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440.77985898295941</v>
      </c>
      <c r="C77" s="116">
        <f>IF(TrRoad_act!C53=0,0,C40/TrRoad_act!C53*1000
)</f>
        <v>416.54010419806332</v>
      </c>
      <c r="D77" s="116">
        <f>IF(TrRoad_act!D53=0,0,D40/TrRoad_act!D53*1000
)</f>
        <v>163.38031701799127</v>
      </c>
      <c r="E77" s="116">
        <f>IF(TrRoad_act!E53=0,0,E40/TrRoad_act!E53*1000
)</f>
        <v>321.96964320456311</v>
      </c>
      <c r="F77" s="116">
        <f>IF(TrRoad_act!F53=0,0,F40/TrRoad_act!F53*1000
)</f>
        <v>446.79098224246081</v>
      </c>
      <c r="G77" s="116">
        <f>IF(TrRoad_act!G53=0,0,G40/TrRoad_act!G53*1000
)</f>
        <v>633.29134603342629</v>
      </c>
      <c r="H77" s="116">
        <f>IF(TrRoad_act!H53=0,0,H40/TrRoad_act!H53*1000
)</f>
        <v>663.7101331110066</v>
      </c>
      <c r="I77" s="116">
        <f>IF(TrRoad_act!I53=0,0,I40/TrRoad_act!I53*1000
)</f>
        <v>615.58441180024954</v>
      </c>
      <c r="J77" s="116">
        <f>IF(TrRoad_act!J53=0,0,J40/TrRoad_act!J53*1000
)</f>
        <v>592.90181564288139</v>
      </c>
      <c r="K77" s="116">
        <f>IF(TrRoad_act!K53=0,0,K40/TrRoad_act!K53*1000
)</f>
        <v>532.62233108931468</v>
      </c>
      <c r="L77" s="116">
        <f>IF(TrRoad_act!L53=0,0,L40/TrRoad_act!L53*1000
)</f>
        <v>529.29591066446835</v>
      </c>
      <c r="M77" s="116">
        <f>IF(TrRoad_act!M53=0,0,M40/TrRoad_act!M53*1000
)</f>
        <v>492.83076804286873</v>
      </c>
      <c r="N77" s="116">
        <f>IF(TrRoad_act!N53=0,0,N40/TrRoad_act!N53*1000
)</f>
        <v>477.28641891475996</v>
      </c>
      <c r="O77" s="116">
        <f>IF(TrRoad_act!O53=0,0,O40/TrRoad_act!O53*1000
)</f>
        <v>474.87803130661825</v>
      </c>
      <c r="P77" s="116">
        <f>IF(TrRoad_act!P53=0,0,P40/TrRoad_act!P53*1000
)</f>
        <v>461.03792774824819</v>
      </c>
      <c r="Q77" s="116">
        <f>IF(TrRoad_act!Q53=0,0,Q40/TrRoad_act!Q53*1000
)</f>
        <v>471.04008821932086</v>
      </c>
      <c r="R77" s="116">
        <f>IF(TrRoad_act!R53=0,0,R40/TrRoad_act!R53*1000
)</f>
        <v>470.21016936097527</v>
      </c>
      <c r="S77" s="116">
        <f>IF(TrRoad_act!S53=0,0,S40/TrRoad_act!S53*1000
)</f>
        <v>498.48441208507552</v>
      </c>
      <c r="T77" s="116">
        <f>IF(TrRoad_act!T53=0,0,T40/TrRoad_act!T53*1000
)</f>
        <v>578.8313576216442</v>
      </c>
      <c r="U77" s="116">
        <f>IF(TrRoad_act!U53=0,0,U40/TrRoad_act!U53*1000
)</f>
        <v>603.32103419705686</v>
      </c>
      <c r="V77" s="116">
        <f>IF(TrRoad_act!V53=0,0,V40/TrRoad_act!V53*1000
)</f>
        <v>534.15158669075561</v>
      </c>
      <c r="W77" s="116">
        <f>IF(TrRoad_act!W53=0,0,W40/TrRoad_act!W53*1000
)</f>
        <v>560.77758573453207</v>
      </c>
      <c r="X77" s="116">
        <f>IF(TrRoad_act!X53=0,0,X40/TrRoad_act!X53*1000
)</f>
        <v>701.47730463263122</v>
      </c>
      <c r="Y77" s="116">
        <f>IF(TrRoad_act!Y53=0,0,Y40/TrRoad_act!Y53*1000
)</f>
        <v>712.77187711793817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440.77985898295941</v>
      </c>
      <c r="C78" s="101">
        <f>IF(TrRoad_act!C54=0,0,C41/TrRoad_act!C54*1000
)</f>
        <v>416.54010419806332</v>
      </c>
      <c r="D78" s="101">
        <f>IF(TrRoad_act!D54=0,0,D41/TrRoad_act!D54*1000
)</f>
        <v>163.38031701799127</v>
      </c>
      <c r="E78" s="101">
        <f>IF(TrRoad_act!E54=0,0,E41/TrRoad_act!E54*1000
)</f>
        <v>321.96964320456311</v>
      </c>
      <c r="F78" s="101">
        <f>IF(TrRoad_act!F54=0,0,F41/TrRoad_act!F54*1000
)</f>
        <v>446.79098224246081</v>
      </c>
      <c r="G78" s="101">
        <f>IF(TrRoad_act!G54=0,0,G41/TrRoad_act!G54*1000
)</f>
        <v>633.29134603342629</v>
      </c>
      <c r="H78" s="101">
        <f>IF(TrRoad_act!H54=0,0,H41/TrRoad_act!H54*1000
)</f>
        <v>663.7101331110066</v>
      </c>
      <c r="I78" s="101">
        <f>IF(TrRoad_act!I54=0,0,I41/TrRoad_act!I54*1000
)</f>
        <v>615.58441180024954</v>
      </c>
      <c r="J78" s="101">
        <f>IF(TrRoad_act!J54=0,0,J41/TrRoad_act!J54*1000
)</f>
        <v>592.90181564288139</v>
      </c>
      <c r="K78" s="101">
        <f>IF(TrRoad_act!K54=0,0,K41/TrRoad_act!K54*1000
)</f>
        <v>532.62233108931468</v>
      </c>
      <c r="L78" s="101">
        <f>IF(TrRoad_act!L54=0,0,L41/TrRoad_act!L54*1000
)</f>
        <v>529.29591066446835</v>
      </c>
      <c r="M78" s="101">
        <f>IF(TrRoad_act!M54=0,0,M41/TrRoad_act!M54*1000
)</f>
        <v>492.83076804286873</v>
      </c>
      <c r="N78" s="101">
        <f>IF(TrRoad_act!N54=0,0,N41/TrRoad_act!N54*1000
)</f>
        <v>477.28641891475996</v>
      </c>
      <c r="O78" s="101">
        <f>IF(TrRoad_act!O54=0,0,O41/TrRoad_act!O54*1000
)</f>
        <v>474.87803130661825</v>
      </c>
      <c r="P78" s="101">
        <f>IF(TrRoad_act!P54=0,0,P41/TrRoad_act!P54*1000
)</f>
        <v>461.03792774824819</v>
      </c>
      <c r="Q78" s="101">
        <f>IF(TrRoad_act!Q54=0,0,Q41/TrRoad_act!Q54*1000
)</f>
        <v>471.04008821932086</v>
      </c>
      <c r="R78" s="101">
        <f>IF(TrRoad_act!R54=0,0,R41/TrRoad_act!R54*1000
)</f>
        <v>470.21016936097527</v>
      </c>
      <c r="S78" s="101">
        <f>IF(TrRoad_act!S54=0,0,S41/TrRoad_act!S54*1000
)</f>
        <v>498.48441208507552</v>
      </c>
      <c r="T78" s="101">
        <f>IF(TrRoad_act!T54=0,0,T41/TrRoad_act!T54*1000
)</f>
        <v>578.8313576216442</v>
      </c>
      <c r="U78" s="101">
        <f>IF(TrRoad_act!U54=0,0,U41/TrRoad_act!U54*1000
)</f>
        <v>603.32103419705686</v>
      </c>
      <c r="V78" s="101">
        <f>IF(TrRoad_act!V54=0,0,V41/TrRoad_act!V54*1000
)</f>
        <v>534.15158669075561</v>
      </c>
      <c r="W78" s="101">
        <f>IF(TrRoad_act!W54=0,0,W41/TrRoad_act!W54*1000
)</f>
        <v>560.77758573453207</v>
      </c>
      <c r="X78" s="101">
        <f>IF(TrRoad_act!X54=0,0,X41/TrRoad_act!X54*1000
)</f>
        <v>701.47730463263122</v>
      </c>
      <c r="Y78" s="101">
        <f>IF(TrRoad_act!Y54=0,0,Y41/TrRoad_act!Y54*1000
)</f>
        <v>712.77187711793817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0</v>
      </c>
      <c r="C79" s="88">
        <f>IF(TrRoad_act!C55=0,0,C42/TrRoad_act!C55*1000
)</f>
        <v>0</v>
      </c>
      <c r="D79" s="88">
        <f>IF(TrRoad_act!D55=0,0,D42/TrRoad_act!D55*1000
)</f>
        <v>0</v>
      </c>
      <c r="E79" s="88">
        <f>IF(TrRoad_act!E55=0,0,E42/TrRoad_act!E55*1000
)</f>
        <v>0</v>
      </c>
      <c r="F79" s="88">
        <f>IF(TrRoad_act!F55=0,0,F42/TrRoad_act!F55*1000
)</f>
        <v>0</v>
      </c>
      <c r="G79" s="88">
        <f>IF(TrRoad_act!G55=0,0,G42/TrRoad_act!G55*1000
)</f>
        <v>0</v>
      </c>
      <c r="H79" s="88">
        <f>IF(TrRoad_act!H55=0,0,H42/TrRoad_act!H55*1000
)</f>
        <v>0</v>
      </c>
      <c r="I79" s="88">
        <f>IF(TrRoad_act!I55=0,0,I42/TrRoad_act!I55*1000
)</f>
        <v>0</v>
      </c>
      <c r="J79" s="88">
        <f>IF(TrRoad_act!J55=0,0,J42/TrRoad_act!J55*1000
)</f>
        <v>0</v>
      </c>
      <c r="K79" s="88">
        <f>IF(TrRoad_act!K55=0,0,K42/TrRoad_act!K55*1000
)</f>
        <v>0</v>
      </c>
      <c r="L79" s="88">
        <f>IF(TrRoad_act!L55=0,0,L42/TrRoad_act!L55*1000
)</f>
        <v>0</v>
      </c>
      <c r="M79" s="88">
        <f>IF(TrRoad_act!M55=0,0,M42/TrRoad_act!M55*1000
)</f>
        <v>0</v>
      </c>
      <c r="N79" s="88">
        <f>IF(TrRoad_act!N55=0,0,N42/TrRoad_act!N55*1000
)</f>
        <v>0</v>
      </c>
      <c r="O79" s="88">
        <f>IF(TrRoad_act!O55=0,0,O42/TrRoad_act!O55*1000
)</f>
        <v>0</v>
      </c>
      <c r="P79" s="88">
        <f>IF(TrRoad_act!P55=0,0,P42/TrRoad_act!P55*1000
)</f>
        <v>0</v>
      </c>
      <c r="Q79" s="88">
        <f>IF(TrRoad_act!Q55=0,0,Q42/TrRoad_act!Q55*1000
)</f>
        <v>0</v>
      </c>
      <c r="R79" s="88">
        <f>IF(TrRoad_act!R55=0,0,R42/TrRoad_act!R55*1000
)</f>
        <v>0</v>
      </c>
      <c r="S79" s="88">
        <f>IF(TrRoad_act!S55=0,0,S42/TrRoad_act!S55*1000
)</f>
        <v>0</v>
      </c>
      <c r="T79" s="88">
        <f>IF(TrRoad_act!T55=0,0,T42/TrRoad_act!T55*1000
)</f>
        <v>0</v>
      </c>
      <c r="U79" s="88">
        <f>IF(TrRoad_act!U55=0,0,U42/TrRoad_act!U55*1000
)</f>
        <v>0</v>
      </c>
      <c r="V79" s="88">
        <f>IF(TrRoad_act!V55=0,0,V42/TrRoad_act!V55*1000
)</f>
        <v>0</v>
      </c>
      <c r="W79" s="88">
        <f>IF(TrRoad_act!W55=0,0,W42/TrRoad_act!W55*1000
)</f>
        <v>0</v>
      </c>
      <c r="X79" s="88">
        <f>IF(TrRoad_act!X55=0,0,X42/TrRoad_act!X55*1000
)</f>
        <v>0</v>
      </c>
      <c r="Y79" s="88">
        <f>IF(TrRoad_act!Y55=0,0,Y42/TrRoad_act!Y55*1000
)</f>
        <v>0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121.02774253419192</v>
      </c>
      <c r="C82" s="29">
        <f>IF(TrRoad_act!C4=0,0,C18/TrRoad_act!C4*1000)</f>
        <v>114.99602664769574</v>
      </c>
      <c r="D82" s="29">
        <f>IF(TrRoad_act!D4=0,0,D18/TrRoad_act!D4*1000)</f>
        <v>107.13010784213591</v>
      </c>
      <c r="E82" s="29">
        <f>IF(TrRoad_act!E4=0,0,E18/TrRoad_act!E4*1000)</f>
        <v>109.31427836705571</v>
      </c>
      <c r="F82" s="29">
        <f>IF(TrRoad_act!F4=0,0,F18/TrRoad_act!F4*1000)</f>
        <v>101.31359794749616</v>
      </c>
      <c r="G82" s="29">
        <f>IF(TrRoad_act!G4=0,0,G18/TrRoad_act!G4*1000)</f>
        <v>119.03125442037943</v>
      </c>
      <c r="H82" s="29">
        <f>IF(TrRoad_act!H4=0,0,H18/TrRoad_act!H4*1000)</f>
        <v>119.96260755991334</v>
      </c>
      <c r="I82" s="29">
        <f>IF(TrRoad_act!I4=0,0,I18/TrRoad_act!I4*1000)</f>
        <v>119.02066798635946</v>
      </c>
      <c r="J82" s="29">
        <f>IF(TrRoad_act!J4=0,0,J18/TrRoad_act!J4*1000)</f>
        <v>134.13645973513547</v>
      </c>
      <c r="K82" s="29">
        <f>IF(TrRoad_act!K4=0,0,K18/TrRoad_act!K4*1000)</f>
        <v>116.32341329465402</v>
      </c>
      <c r="L82" s="29">
        <f>IF(TrRoad_act!L4=0,0,L18/TrRoad_act!L4*1000)</f>
        <v>134.47219884741025</v>
      </c>
      <c r="M82" s="29">
        <f>IF(TrRoad_act!M4=0,0,M18/TrRoad_act!M4*1000)</f>
        <v>135.34133498605362</v>
      </c>
      <c r="N82" s="29">
        <f>IF(TrRoad_act!N4=0,0,N18/TrRoad_act!N4*1000)</f>
        <v>137.382227379493</v>
      </c>
      <c r="O82" s="29">
        <f>IF(TrRoad_act!O4=0,0,O18/TrRoad_act!O4*1000)</f>
        <v>138.41294305244691</v>
      </c>
      <c r="P82" s="29">
        <f>IF(TrRoad_act!P4=0,0,P18/TrRoad_act!P4*1000)</f>
        <v>136.00857054468869</v>
      </c>
      <c r="Q82" s="29">
        <f>IF(TrRoad_act!Q4=0,0,Q18/TrRoad_act!Q4*1000)</f>
        <v>139.72386784610271</v>
      </c>
      <c r="R82" s="29">
        <f>IF(TrRoad_act!R4=0,0,R18/TrRoad_act!R4*1000)</f>
        <v>136.54334630742542</v>
      </c>
      <c r="S82" s="29">
        <f>IF(TrRoad_act!S4=0,0,S18/TrRoad_act!S4*1000)</f>
        <v>137.86238777415343</v>
      </c>
      <c r="T82" s="29">
        <f>IF(TrRoad_act!T4=0,0,T18/TrRoad_act!T4*1000)</f>
        <v>149.66034816416015</v>
      </c>
      <c r="U82" s="29">
        <f>IF(TrRoad_act!U4=0,0,U18/TrRoad_act!U4*1000)</f>
        <v>151.01468889095753</v>
      </c>
      <c r="V82" s="29">
        <f>IF(TrRoad_act!V4=0,0,V18/TrRoad_act!V4*1000)</f>
        <v>141.77532825288563</v>
      </c>
      <c r="W82" s="29">
        <f>IF(TrRoad_act!W4=0,0,W18/TrRoad_act!W4*1000)</f>
        <v>140.63557001638191</v>
      </c>
      <c r="X82" s="29">
        <f>IF(TrRoad_act!X4=0,0,X18/TrRoad_act!X4*1000)</f>
        <v>155.38299102905336</v>
      </c>
      <c r="Y82" s="29">
        <f>IF(TrRoad_act!Y4=0,0,Y18/TrRoad_act!Y4*1000)</f>
        <v>152.24267825757434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104.05661352985763</v>
      </c>
      <c r="C83" s="152">
        <f>IF(TrRoad_act!C5=0,0,C19/TrRoad_act!C5*1000)</f>
        <v>103.64880025028461</v>
      </c>
      <c r="D83" s="152">
        <f>IF(TrRoad_act!D5=0,0,D19/TrRoad_act!D5*1000)</f>
        <v>103.25561860892108</v>
      </c>
      <c r="E83" s="152">
        <f>IF(TrRoad_act!E5=0,0,E19/TrRoad_act!E5*1000)</f>
        <v>102.82090161263292</v>
      </c>
      <c r="F83" s="152">
        <f>IF(TrRoad_act!F5=0,0,F19/TrRoad_act!F5*1000)</f>
        <v>102.42816714387793</v>
      </c>
      <c r="G83" s="152">
        <f>IF(TrRoad_act!G5=0,0,G19/TrRoad_act!G5*1000)</f>
        <v>102.0486677562606</v>
      </c>
      <c r="H83" s="152">
        <f>IF(TrRoad_act!H5=0,0,H19/TrRoad_act!H5*1000)</f>
        <v>101.4381865860971</v>
      </c>
      <c r="I83" s="152">
        <f>IF(TrRoad_act!I5=0,0,I19/TrRoad_act!I5*1000)</f>
        <v>100.60569757178394</v>
      </c>
      <c r="J83" s="152">
        <f>IF(TrRoad_act!J5=0,0,J19/TrRoad_act!J5*1000)</f>
        <v>99.017890709577273</v>
      </c>
      <c r="K83" s="152">
        <f>IF(TrRoad_act!K5=0,0,K19/TrRoad_act!K5*1000)</f>
        <v>97.563833103192223</v>
      </c>
      <c r="L83" s="152">
        <f>IF(TrRoad_act!L5=0,0,L19/TrRoad_act!L5*1000)</f>
        <v>96.018556030954002</v>
      </c>
      <c r="M83" s="152">
        <f>IF(TrRoad_act!M5=0,0,M19/TrRoad_act!M5*1000)</f>
        <v>94.60180221049896</v>
      </c>
      <c r="N83" s="152">
        <f>IF(TrRoad_act!N5=0,0,N19/TrRoad_act!N5*1000)</f>
        <v>93.275257820337558</v>
      </c>
      <c r="O83" s="152">
        <f>IF(TrRoad_act!O5=0,0,O19/TrRoad_act!O5*1000)</f>
        <v>91.725789519533436</v>
      </c>
      <c r="P83" s="152">
        <f>IF(TrRoad_act!P5=0,0,P19/TrRoad_act!P5*1000)</f>
        <v>90.087631732569818</v>
      </c>
      <c r="Q83" s="152">
        <f>IF(TrRoad_act!Q5=0,0,Q19/TrRoad_act!Q5*1000)</f>
        <v>88.095609462562777</v>
      </c>
      <c r="R83" s="152">
        <f>IF(TrRoad_act!R5=0,0,R19/TrRoad_act!R5*1000)</f>
        <v>85.968035201181237</v>
      </c>
      <c r="S83" s="152">
        <f>IF(TrRoad_act!S5=0,0,S19/TrRoad_act!S5*1000)</f>
        <v>84.394758588939311</v>
      </c>
      <c r="T83" s="152">
        <f>IF(TrRoad_act!T5=0,0,T19/TrRoad_act!T5*1000)</f>
        <v>85.045900640955878</v>
      </c>
      <c r="U83" s="152">
        <f>IF(TrRoad_act!U5=0,0,U19/TrRoad_act!U5*1000)</f>
        <v>86.879885337823836</v>
      </c>
      <c r="V83" s="152">
        <f>IF(TrRoad_act!V5=0,0,V19/TrRoad_act!V5*1000)</f>
        <v>86.291935718967295</v>
      </c>
      <c r="W83" s="152">
        <f>IF(TrRoad_act!W5=0,0,W19/TrRoad_act!W5*1000)</f>
        <v>85.707226575436394</v>
      </c>
      <c r="X83" s="152">
        <f>IF(TrRoad_act!X5=0,0,X19/TrRoad_act!X5*1000)</f>
        <v>84.876541009918199</v>
      </c>
      <c r="Y83" s="152">
        <f>IF(TrRoad_act!Y5=0,0,Y19/TrRoad_act!Y5*1000)</f>
        <v>84.442103857857916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132.72251356269166</v>
      </c>
      <c r="C84" s="116">
        <f>IF(TrRoad_act!C6=0,0,C20/TrRoad_act!C6*1000)</f>
        <v>126.32196742766446</v>
      </c>
      <c r="D84" s="116">
        <f>IF(TrRoad_act!D6=0,0,D20/TrRoad_act!D6*1000)</f>
        <v>127.61884200509618</v>
      </c>
      <c r="E84" s="116">
        <f>IF(TrRoad_act!E6=0,0,E20/TrRoad_act!E6*1000)</f>
        <v>123.13944906292159</v>
      </c>
      <c r="F84" s="116">
        <f>IF(TrRoad_act!F6=0,0,F20/TrRoad_act!F6*1000)</f>
        <v>107.20692432475083</v>
      </c>
      <c r="G84" s="116">
        <f>IF(TrRoad_act!G6=0,0,G20/TrRoad_act!G6*1000)</f>
        <v>121.16837229797665</v>
      </c>
      <c r="H84" s="116">
        <f>IF(TrRoad_act!H6=0,0,H20/TrRoad_act!H6*1000)</f>
        <v>120.83675236708497</v>
      </c>
      <c r="I84" s="116">
        <f>IF(TrRoad_act!I6=0,0,I20/TrRoad_act!I6*1000)</f>
        <v>121.42867680970961</v>
      </c>
      <c r="J84" s="116">
        <f>IF(TrRoad_act!J6=0,0,J20/TrRoad_act!J6*1000)</f>
        <v>140.8352527896258</v>
      </c>
      <c r="K84" s="116">
        <f>IF(TrRoad_act!K6=0,0,K20/TrRoad_act!K6*1000)</f>
        <v>120.60727903802135</v>
      </c>
      <c r="L84" s="116">
        <f>IF(TrRoad_act!L6=0,0,L20/TrRoad_act!L6*1000)</f>
        <v>141.91309420382856</v>
      </c>
      <c r="M84" s="116">
        <f>IF(TrRoad_act!M6=0,0,M20/TrRoad_act!M6*1000)</f>
        <v>141.32719039257293</v>
      </c>
      <c r="N84" s="116">
        <f>IF(TrRoad_act!N6=0,0,N20/TrRoad_act!N6*1000)</f>
        <v>140.63288449532649</v>
      </c>
      <c r="O84" s="116">
        <f>IF(TrRoad_act!O6=0,0,O20/TrRoad_act!O6*1000)</f>
        <v>141.10951307429698</v>
      </c>
      <c r="P84" s="116">
        <f>IF(TrRoad_act!P6=0,0,P20/TrRoad_act!P6*1000)</f>
        <v>134.60272565267252</v>
      </c>
      <c r="Q84" s="116">
        <f>IF(TrRoad_act!Q6=0,0,Q20/TrRoad_act!Q6*1000)</f>
        <v>137.82388864939679</v>
      </c>
      <c r="R84" s="116">
        <f>IF(TrRoad_act!R6=0,0,R20/TrRoad_act!R6*1000)</f>
        <v>134.82045048111806</v>
      </c>
      <c r="S84" s="116">
        <f>IF(TrRoad_act!S6=0,0,S20/TrRoad_act!S6*1000)</f>
        <v>134.7065841740021</v>
      </c>
      <c r="T84" s="116">
        <f>IF(TrRoad_act!T6=0,0,T20/TrRoad_act!T6*1000)</f>
        <v>144.27654168213016</v>
      </c>
      <c r="U84" s="116">
        <f>IF(TrRoad_act!U6=0,0,U20/TrRoad_act!U6*1000)</f>
        <v>147.62933976611754</v>
      </c>
      <c r="V84" s="116">
        <f>IF(TrRoad_act!V6=0,0,V20/TrRoad_act!V6*1000)</f>
        <v>136.43367874710546</v>
      </c>
      <c r="W84" s="116">
        <f>IF(TrRoad_act!W6=0,0,W20/TrRoad_act!W6*1000)</f>
        <v>138.70874818317171</v>
      </c>
      <c r="X84" s="116">
        <f>IF(TrRoad_act!X6=0,0,X20/TrRoad_act!X6*1000)</f>
        <v>151.82853454501443</v>
      </c>
      <c r="Y84" s="116">
        <f>IF(TrRoad_act!Y6=0,0,Y20/TrRoad_act!Y6*1000)</f>
        <v>149.035854853948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139.48368496571049</v>
      </c>
      <c r="C85" s="87">
        <f>IF(TrRoad_act!C7=0,0,C21/TrRoad_act!C7*1000)</f>
        <v>133.3375511833803</v>
      </c>
      <c r="D85" s="87">
        <f>IF(TrRoad_act!D7=0,0,D21/TrRoad_act!D7*1000)</f>
        <v>146.71237562262743</v>
      </c>
      <c r="E85" s="87">
        <f>IF(TrRoad_act!E7=0,0,E21/TrRoad_act!E7*1000)</f>
        <v>134.10734041020018</v>
      </c>
      <c r="F85" s="87">
        <f>IF(TrRoad_act!F7=0,0,F21/TrRoad_act!F7*1000)</f>
        <v>109.74403259146598</v>
      </c>
      <c r="G85" s="87">
        <f>IF(TrRoad_act!G7=0,0,G21/TrRoad_act!G7*1000)</f>
        <v>115.1980427843169</v>
      </c>
      <c r="H85" s="87">
        <f>IF(TrRoad_act!H7=0,0,H21/TrRoad_act!H7*1000)</f>
        <v>112.62354637848065</v>
      </c>
      <c r="I85" s="87">
        <f>IF(TrRoad_act!I7=0,0,I21/TrRoad_act!I7*1000)</f>
        <v>117.10719851400287</v>
      </c>
      <c r="J85" s="87">
        <f>IF(TrRoad_act!J7=0,0,J21/TrRoad_act!J7*1000)</f>
        <v>140.42610065204047</v>
      </c>
      <c r="K85" s="87">
        <f>IF(TrRoad_act!K7=0,0,K21/TrRoad_act!K7*1000)</f>
        <v>118.12913885232305</v>
      </c>
      <c r="L85" s="87">
        <f>IF(TrRoad_act!L7=0,0,L21/TrRoad_act!L7*1000)</f>
        <v>147.1679492778467</v>
      </c>
      <c r="M85" s="87">
        <f>IF(TrRoad_act!M7=0,0,M21/TrRoad_act!M7*1000)</f>
        <v>152.43617039242258</v>
      </c>
      <c r="N85" s="87">
        <f>IF(TrRoad_act!N7=0,0,N21/TrRoad_act!N7*1000)</f>
        <v>155.07412095677648</v>
      </c>
      <c r="O85" s="87">
        <f>IF(TrRoad_act!O7=0,0,O21/TrRoad_act!O7*1000)</f>
        <v>156.98601358088953</v>
      </c>
      <c r="P85" s="87">
        <f>IF(TrRoad_act!P7=0,0,P21/TrRoad_act!P7*1000)</f>
        <v>148.87034511267493</v>
      </c>
      <c r="Q85" s="87">
        <f>IF(TrRoad_act!Q7=0,0,Q21/TrRoad_act!Q7*1000)</f>
        <v>153.76665249703808</v>
      </c>
      <c r="R85" s="87">
        <f>IF(TrRoad_act!R7=0,0,R21/TrRoad_act!R7*1000)</f>
        <v>150.6110390028575</v>
      </c>
      <c r="S85" s="87">
        <f>IF(TrRoad_act!S7=0,0,S21/TrRoad_act!S7*1000)</f>
        <v>147.38457383520119</v>
      </c>
      <c r="T85" s="87">
        <f>IF(TrRoad_act!T7=0,0,T21/TrRoad_act!T7*1000)</f>
        <v>151.59226164469516</v>
      </c>
      <c r="U85" s="87">
        <f>IF(TrRoad_act!U7=0,0,U21/TrRoad_act!U7*1000)</f>
        <v>158.0956957463498</v>
      </c>
      <c r="V85" s="87">
        <f>IF(TrRoad_act!V7=0,0,V21/TrRoad_act!V7*1000)</f>
        <v>149.59946662495179</v>
      </c>
      <c r="W85" s="87">
        <f>IF(TrRoad_act!W7=0,0,W21/TrRoad_act!W7*1000)</f>
        <v>152.9076320537786</v>
      </c>
      <c r="X85" s="87">
        <f>IF(TrRoad_act!X7=0,0,X21/TrRoad_act!X7*1000)</f>
        <v>161.85984409669251</v>
      </c>
      <c r="Y85" s="87">
        <f>IF(TrRoad_act!Y7=0,0,Y21/TrRoad_act!Y7*1000)</f>
        <v>162.03695737868657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95.186617073479979</v>
      </c>
      <c r="C86" s="87">
        <f>IF(TrRoad_act!C8=0,0,C22/TrRoad_act!C8*1000)</f>
        <v>91.209600711027335</v>
      </c>
      <c r="D86" s="87">
        <f>IF(TrRoad_act!D8=0,0,D22/TrRoad_act!D8*1000)</f>
        <v>36.374204590703577</v>
      </c>
      <c r="E86" s="87">
        <f>IF(TrRoad_act!E8=0,0,E22/TrRoad_act!E8*1000)</f>
        <v>72.93907545359599</v>
      </c>
      <c r="F86" s="87">
        <f>IF(TrRoad_act!F8=0,0,F22/TrRoad_act!F8*1000)</f>
        <v>96.643085663008776</v>
      </c>
      <c r="G86" s="87">
        <f>IF(TrRoad_act!G8=0,0,G22/TrRoad_act!G8*1000)</f>
        <v>148.15192453079953</v>
      </c>
      <c r="H86" s="87">
        <f>IF(TrRoad_act!H8=0,0,H22/TrRoad_act!H8*1000)</f>
        <v>157.46960662514456</v>
      </c>
      <c r="I86" s="87">
        <f>IF(TrRoad_act!I8=0,0,I22/TrRoad_act!I8*1000)</f>
        <v>139.08669395459142</v>
      </c>
      <c r="J86" s="87">
        <f>IF(TrRoad_act!J8=0,0,J22/TrRoad_act!J8*1000)</f>
        <v>142.70539207487951</v>
      </c>
      <c r="K86" s="87">
        <f>IF(TrRoad_act!K8=0,0,K22/TrRoad_act!K8*1000)</f>
        <v>130.93912769328384</v>
      </c>
      <c r="L86" s="87">
        <f>IF(TrRoad_act!L8=0,0,L22/TrRoad_act!L8*1000)</f>
        <v>132.65107619042629</v>
      </c>
      <c r="M86" s="87">
        <f>IF(TrRoad_act!M8=0,0,M22/TrRoad_act!M8*1000)</f>
        <v>123.85854544867281</v>
      </c>
      <c r="N86" s="87">
        <f>IF(TrRoad_act!N8=0,0,N22/TrRoad_act!N8*1000)</f>
        <v>119.89103219848204</v>
      </c>
      <c r="O86" s="87">
        <f>IF(TrRoad_act!O8=0,0,O22/TrRoad_act!O8*1000)</f>
        <v>119.48269834073039</v>
      </c>
      <c r="P86" s="87">
        <f>IF(TrRoad_act!P8=0,0,P22/TrRoad_act!P8*1000)</f>
        <v>115.36777038754379</v>
      </c>
      <c r="Q86" s="87">
        <f>IF(TrRoad_act!Q8=0,0,Q22/TrRoad_act!Q8*1000)</f>
        <v>117.23504142236162</v>
      </c>
      <c r="R86" s="87">
        <f>IF(TrRoad_act!R8=0,0,R22/TrRoad_act!R8*1000)</f>
        <v>115.08627902672858</v>
      </c>
      <c r="S86" s="87">
        <f>IF(TrRoad_act!S8=0,0,S22/TrRoad_act!S8*1000)</f>
        <v>117.94970268158295</v>
      </c>
      <c r="T86" s="87">
        <f>IF(TrRoad_act!T8=0,0,T22/TrRoad_act!T8*1000)</f>
        <v>135.73658715268081</v>
      </c>
      <c r="U86" s="87">
        <f>IF(TrRoad_act!U8=0,0,U22/TrRoad_act!U8*1000)</f>
        <v>136.65105220784301</v>
      </c>
      <c r="V86" s="87">
        <f>IF(TrRoad_act!V8=0,0,V22/TrRoad_act!V8*1000)</f>
        <v>121.47722625562072</v>
      </c>
      <c r="W86" s="87">
        <f>IF(TrRoad_act!W8=0,0,W22/TrRoad_act!W8*1000)</f>
        <v>123.86305411325773</v>
      </c>
      <c r="X86" s="87">
        <f>IF(TrRoad_act!X8=0,0,X22/TrRoad_act!X8*1000)</f>
        <v>145.7245723102686</v>
      </c>
      <c r="Y86" s="87">
        <f>IF(TrRoad_act!Y8=0,0,Y22/TrRoad_act!Y8*1000)</f>
        <v>142.14594891512894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0</v>
      </c>
      <c r="I87" s="87">
        <f>IF(TrRoad_act!I9=0,0,I23/TrRoad_act!I9*1000)</f>
        <v>0</v>
      </c>
      <c r="J87" s="87">
        <f>IF(TrRoad_act!J9=0,0,J23/TrRoad_act!J9*1000)</f>
        <v>0</v>
      </c>
      <c r="K87" s="87">
        <f>IF(TrRoad_act!K9=0,0,K23/TrRoad_act!K9*1000)</f>
        <v>0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116.52112869370674</v>
      </c>
      <c r="S87" s="87">
        <f>IF(TrRoad_act!S9=0,0,S23/TrRoad_act!S9*1000)</f>
        <v>128.17714357367683</v>
      </c>
      <c r="T87" s="87">
        <f>IF(TrRoad_act!T9=0,0,T23/TrRoad_act!T9*1000)</f>
        <v>178.47636547513227</v>
      </c>
      <c r="U87" s="87">
        <f>IF(TrRoad_act!U9=0,0,U23/TrRoad_act!U9*1000)</f>
        <v>128.01178733262492</v>
      </c>
      <c r="V87" s="87">
        <f>IF(TrRoad_act!V9=0,0,V23/TrRoad_act!V9*1000)</f>
        <v>147.61601209798067</v>
      </c>
      <c r="W87" s="87">
        <f>IF(TrRoad_act!W9=0,0,W23/TrRoad_act!W9*1000)</f>
        <v>168.92888274081642</v>
      </c>
      <c r="X87" s="87">
        <f>IF(TrRoad_act!X9=0,0,X23/TrRoad_act!X9*1000)</f>
        <v>183.77837911138181</v>
      </c>
      <c r="Y87" s="87">
        <f>IF(TrRoad_act!Y9=0,0,Y23/TrRoad_act!Y9*1000)</f>
        <v>139.77382729066164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X88" s="87">
        <f>IF(TrRoad_act!X10=0,0,X24/TrRoad_act!X10*1000)</f>
        <v>0</v>
      </c>
      <c r="Y88" s="87">
        <f>IF(TrRoad_act!Y10=0,0,Y24/TrRoad_act!Y10*1000)</f>
        <v>0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83.035305132999625</v>
      </c>
      <c r="M89" s="87">
        <f>IF(TrRoad_act!M11=0,0,M25/TrRoad_act!M11*1000)</f>
        <v>85.208480949131499</v>
      </c>
      <c r="N89" s="87">
        <f>IF(TrRoad_act!N11=0,0,N25/TrRoad_act!N11*1000)</f>
        <v>80.596266156116911</v>
      </c>
      <c r="O89" s="87">
        <f>IF(TrRoad_act!O11=0,0,O25/TrRoad_act!O11*1000)</f>
        <v>89.151144676890922</v>
      </c>
      <c r="P89" s="87">
        <f>IF(TrRoad_act!P11=0,0,P25/TrRoad_act!P11*1000)</f>
        <v>88.315078712189674</v>
      </c>
      <c r="Q89" s="87">
        <f>IF(TrRoad_act!Q11=0,0,Q25/TrRoad_act!Q11*1000)</f>
        <v>84.664518030349626</v>
      </c>
      <c r="R89" s="87">
        <f>IF(TrRoad_act!R11=0,0,R25/TrRoad_act!R11*1000)</f>
        <v>83.249639495667736</v>
      </c>
      <c r="S89" s="87">
        <f>IF(TrRoad_act!S11=0,0,S25/TrRoad_act!S11*1000)</f>
        <v>82.28195474894747</v>
      </c>
      <c r="T89" s="87">
        <f>IF(TrRoad_act!T11=0,0,T25/TrRoad_act!T11*1000)</f>
        <v>88.095487040466196</v>
      </c>
      <c r="U89" s="87">
        <f>IF(TrRoad_act!U11=0,0,U25/TrRoad_act!U11*1000)</f>
        <v>91.035345127569897</v>
      </c>
      <c r="V89" s="87">
        <f>IF(TrRoad_act!V11=0,0,V25/TrRoad_act!V11*1000)</f>
        <v>81.289425984392182</v>
      </c>
      <c r="W89" s="87">
        <f>IF(TrRoad_act!W11=0,0,W25/TrRoad_act!W11*1000)</f>
        <v>68.262511962371633</v>
      </c>
      <c r="X89" s="87">
        <f>IF(TrRoad_act!X11=0,0,X25/TrRoad_act!X11*1000)</f>
        <v>59.446385126485325</v>
      </c>
      <c r="Y89" s="87">
        <f>IF(TrRoad_act!Y11=0,0,Y25/TrRoad_act!Y11*1000)</f>
        <v>53.738883343323096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76.442365594916737</v>
      </c>
      <c r="C91" s="116">
        <f>IF(TrRoad_act!C13=0,0,C27/TrRoad_act!C13*1000)</f>
        <v>72.416714513883363</v>
      </c>
      <c r="D91" s="116">
        <f>IF(TrRoad_act!D13=0,0,D27/TrRoad_act!D13*1000)</f>
        <v>28.439660027320635</v>
      </c>
      <c r="E91" s="116">
        <f>IF(TrRoad_act!E13=0,0,E27/TrRoad_act!E13*1000)</f>
        <v>56.17237440390133</v>
      </c>
      <c r="F91" s="116">
        <f>IF(TrRoad_act!F13=0,0,F27/TrRoad_act!F13*1000)</f>
        <v>78.256319043126126</v>
      </c>
      <c r="G91" s="116">
        <f>IF(TrRoad_act!G13=0,0,G27/TrRoad_act!G13*1000)</f>
        <v>111.37675418310816</v>
      </c>
      <c r="H91" s="116">
        <f>IF(TrRoad_act!H13=0,0,H27/TrRoad_act!H13*1000)</f>
        <v>117.54896640112614</v>
      </c>
      <c r="I91" s="116">
        <f>IF(TrRoad_act!I13=0,0,I27/TrRoad_act!I13*1000)</f>
        <v>110.20835735652719</v>
      </c>
      <c r="J91" s="116">
        <f>IF(TrRoad_act!J13=0,0,J27/TrRoad_act!J13*1000)</f>
        <v>108.45372573180622</v>
      </c>
      <c r="K91" s="116">
        <f>IF(TrRoad_act!K13=0,0,K27/TrRoad_act!K13*1000)</f>
        <v>98.321163865280468</v>
      </c>
      <c r="L91" s="116">
        <f>IF(TrRoad_act!L13=0,0,L27/TrRoad_act!L13*1000)</f>
        <v>104.64482303091664</v>
      </c>
      <c r="M91" s="116">
        <f>IF(TrRoad_act!M13=0,0,M27/TrRoad_act!M13*1000)</f>
        <v>110.71008440041031</v>
      </c>
      <c r="N91" s="116">
        <f>IF(TrRoad_act!N13=0,0,N27/TrRoad_act!N13*1000)</f>
        <v>125.83762319673374</v>
      </c>
      <c r="O91" s="116">
        <f>IF(TrRoad_act!O13=0,0,O27/TrRoad_act!O13*1000)</f>
        <v>129.52622309961188</v>
      </c>
      <c r="P91" s="116">
        <f>IF(TrRoad_act!P13=0,0,P27/TrRoad_act!P13*1000)</f>
        <v>147.31089583370226</v>
      </c>
      <c r="Q91" s="116">
        <f>IF(TrRoad_act!Q13=0,0,Q27/TrRoad_act!Q13*1000)</f>
        <v>153.21541387603102</v>
      </c>
      <c r="R91" s="116">
        <f>IF(TrRoad_act!R13=0,0,R27/TrRoad_act!R13*1000)</f>
        <v>149.66257405516959</v>
      </c>
      <c r="S91" s="116">
        <f>IF(TrRoad_act!S13=0,0,S27/TrRoad_act!S13*1000)</f>
        <v>157.60898085180779</v>
      </c>
      <c r="T91" s="116">
        <f>IF(TrRoad_act!T13=0,0,T27/TrRoad_act!T13*1000)</f>
        <v>180.55251857544658</v>
      </c>
      <c r="U91" s="116">
        <f>IF(TrRoad_act!U13=0,0,U27/TrRoad_act!U13*1000)</f>
        <v>171.85183412256831</v>
      </c>
      <c r="V91" s="116">
        <f>IF(TrRoad_act!V13=0,0,V27/TrRoad_act!V13*1000)</f>
        <v>181.58997407199712</v>
      </c>
      <c r="W91" s="116">
        <f>IF(TrRoad_act!W13=0,0,W27/TrRoad_act!W13*1000)</f>
        <v>159.01885869671796</v>
      </c>
      <c r="X91" s="116">
        <f>IF(TrRoad_act!X13=0,0,X27/TrRoad_act!X13*1000)</f>
        <v>179.30022915623303</v>
      </c>
      <c r="Y91" s="116">
        <f>IF(TrRoad_act!Y13=0,0,Y27/TrRoad_act!Y13*1000)</f>
        <v>173.27765541027725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59.791769126445075</v>
      </c>
      <c r="M92" s="101">
        <f>IF(TrRoad_act!M14=0,0,M28/TrRoad_act!M14*1000)</f>
        <v>60.567707841745928</v>
      </c>
      <c r="N92" s="101">
        <f>IF(TrRoad_act!N14=0,0,N28/TrRoad_act!N14*1000)</f>
        <v>61.165061404796539</v>
      </c>
      <c r="O92" s="101">
        <f>IF(TrRoad_act!O14=0,0,O28/TrRoad_act!O14*1000)</f>
        <v>61.29839354356875</v>
      </c>
      <c r="P92" s="101">
        <f>IF(TrRoad_act!P14=0,0,P28/TrRoad_act!P14*1000)</f>
        <v>61.790005166974709</v>
      </c>
      <c r="Q92" s="101">
        <f>IF(TrRoad_act!Q14=0,0,Q28/TrRoad_act!Q14*1000)</f>
        <v>61.880414092833178</v>
      </c>
      <c r="R92" s="101">
        <f>IF(TrRoad_act!R14=0,0,R28/TrRoad_act!R14*1000)</f>
        <v>61.863387149496916</v>
      </c>
      <c r="S92" s="101">
        <f>IF(TrRoad_act!S14=0,0,S28/TrRoad_act!S14*1000)</f>
        <v>61.87908232860881</v>
      </c>
      <c r="T92" s="101">
        <f>IF(TrRoad_act!T14=0,0,T28/TrRoad_act!T14*1000)</f>
        <v>60.846219118569643</v>
      </c>
      <c r="U92" s="101">
        <f>IF(TrRoad_act!U14=0,0,U28/TrRoad_act!U14*1000)</f>
        <v>58.936590293547582</v>
      </c>
      <c r="V92" s="101">
        <f>IF(TrRoad_act!V14=0,0,V28/TrRoad_act!V14*1000)</f>
        <v>58.993550312732651</v>
      </c>
      <c r="W92" s="101">
        <f>IF(TrRoad_act!W14=0,0,W28/TrRoad_act!W14*1000)</f>
        <v>57.676776738480399</v>
      </c>
      <c r="X92" s="101">
        <f>IF(TrRoad_act!X14=0,0,X28/TrRoad_act!X14*1000)</f>
        <v>57.478448066129857</v>
      </c>
      <c r="Y92" s="101">
        <f>IF(TrRoad_act!Y14=0,0,Y28/TrRoad_act!Y14*1000)</f>
        <v>56.444667140620183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76.442365594916737</v>
      </c>
      <c r="C93" s="101">
        <f>IF(TrRoad_act!C15=0,0,C29/TrRoad_act!C15*1000)</f>
        <v>72.416714513883363</v>
      </c>
      <c r="D93" s="101">
        <f>IF(TrRoad_act!D15=0,0,D29/TrRoad_act!D15*1000)</f>
        <v>28.439660027320635</v>
      </c>
      <c r="E93" s="101">
        <f>IF(TrRoad_act!E15=0,0,E29/TrRoad_act!E15*1000)</f>
        <v>56.17237440390133</v>
      </c>
      <c r="F93" s="101">
        <f>IF(TrRoad_act!F15=0,0,F29/TrRoad_act!F15*1000)</f>
        <v>78.256319043126126</v>
      </c>
      <c r="G93" s="101">
        <f>IF(TrRoad_act!G15=0,0,G29/TrRoad_act!G15*1000)</f>
        <v>111.37675418310816</v>
      </c>
      <c r="H93" s="101">
        <f>IF(TrRoad_act!H15=0,0,H29/TrRoad_act!H15*1000)</f>
        <v>117.54896640112614</v>
      </c>
      <c r="I93" s="101">
        <f>IF(TrRoad_act!I15=0,0,I29/TrRoad_act!I15*1000)</f>
        <v>110.20835735652719</v>
      </c>
      <c r="J93" s="101">
        <f>IF(TrRoad_act!J15=0,0,J29/TrRoad_act!J15*1000)</f>
        <v>108.45372573180622</v>
      </c>
      <c r="K93" s="101">
        <f>IF(TrRoad_act!K15=0,0,K29/TrRoad_act!K15*1000)</f>
        <v>98.321163865280468</v>
      </c>
      <c r="L93" s="101">
        <f>IF(TrRoad_act!L15=0,0,L29/TrRoad_act!L15*1000)</f>
        <v>104.84131038087607</v>
      </c>
      <c r="M93" s="101">
        <f>IF(TrRoad_act!M15=0,0,M29/TrRoad_act!M15*1000)</f>
        <v>110.90173634928136</v>
      </c>
      <c r="N93" s="101">
        <f>IF(TrRoad_act!N15=0,0,N29/TrRoad_act!N15*1000)</f>
        <v>126.06766278597789</v>
      </c>
      <c r="O93" s="101">
        <f>IF(TrRoad_act!O15=0,0,O29/TrRoad_act!O15*1000)</f>
        <v>129.75537291290306</v>
      </c>
      <c r="P93" s="101">
        <f>IF(TrRoad_act!P15=0,0,P29/TrRoad_act!P15*1000)</f>
        <v>147.56358545170573</v>
      </c>
      <c r="Q93" s="101">
        <f>IF(TrRoad_act!Q15=0,0,Q29/TrRoad_act!Q15*1000)</f>
        <v>153.42016653447922</v>
      </c>
      <c r="R93" s="101">
        <f>IF(TrRoad_act!R15=0,0,R29/TrRoad_act!R15*1000)</f>
        <v>149.84987015652698</v>
      </c>
      <c r="S93" s="101">
        <f>IF(TrRoad_act!S15=0,0,S29/TrRoad_act!S15*1000)</f>
        <v>157.80291525516722</v>
      </c>
      <c r="T93" s="101">
        <f>IF(TrRoad_act!T15=0,0,T29/TrRoad_act!T15*1000)</f>
        <v>181.50486421308062</v>
      </c>
      <c r="U93" s="101">
        <f>IF(TrRoad_act!U15=0,0,U29/TrRoad_act!U15*1000)</f>
        <v>172.92534307370352</v>
      </c>
      <c r="V93" s="101">
        <f>IF(TrRoad_act!V15=0,0,V29/TrRoad_act!V15*1000)</f>
        <v>182.90475823623183</v>
      </c>
      <c r="W93" s="101">
        <f>IF(TrRoad_act!W15=0,0,W29/TrRoad_act!W15*1000)</f>
        <v>160.46052727532518</v>
      </c>
      <c r="X93" s="101">
        <f>IF(TrRoad_act!X15=0,0,X29/TrRoad_act!X15*1000)</f>
        <v>180.75996193332449</v>
      </c>
      <c r="Y93" s="101">
        <f>IF(TrRoad_act!Y15=0,0,Y29/TrRoad_act!Y15*1000)</f>
        <v>177.43595573767291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155.5231989112923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X95" s="101">
        <f>IF(TrRoad_act!X17=0,0,X31/TrRoad_act!X17*1000)</f>
        <v>0</v>
      </c>
      <c r="Y95" s="101">
        <f>IF(TrRoad_act!Y17=0,0,Y31/TrRoad_act!Y17*1000)</f>
        <v>0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200.54945839360622</v>
      </c>
      <c r="C97" s="29">
        <f>IF(TrRoad_act!C19=0,0,C33/TrRoad_act!C19*1000)</f>
        <v>192.56921714297286</v>
      </c>
      <c r="D97" s="29">
        <f>IF(TrRoad_act!D19=0,0,D33/TrRoad_act!D19*1000)</f>
        <v>119.07359118817126</v>
      </c>
      <c r="E97" s="29">
        <f>IF(TrRoad_act!E19=0,0,E33/TrRoad_act!E19*1000)</f>
        <v>163.82095847936216</v>
      </c>
      <c r="F97" s="29">
        <f>IF(TrRoad_act!F19=0,0,F33/TrRoad_act!F19*1000)</f>
        <v>197.27048275492052</v>
      </c>
      <c r="G97" s="29">
        <f>IF(TrRoad_act!G19=0,0,G33/TrRoad_act!G19*1000)</f>
        <v>336.20465430726694</v>
      </c>
      <c r="H97" s="29">
        <f>IF(TrRoad_act!H19=0,0,H33/TrRoad_act!H19*1000)</f>
        <v>364.09759242966027</v>
      </c>
      <c r="I97" s="29">
        <f>IF(TrRoad_act!I19=0,0,I33/TrRoad_act!I19*1000)</f>
        <v>328.37034461940834</v>
      </c>
      <c r="J97" s="29">
        <f>IF(TrRoad_act!J19=0,0,J33/TrRoad_act!J19*1000)</f>
        <v>315.37625348601728</v>
      </c>
      <c r="K97" s="29">
        <f>IF(TrRoad_act!K19=0,0,K33/TrRoad_act!K19*1000)</f>
        <v>285.2577876476667</v>
      </c>
      <c r="L97" s="29">
        <f>IF(TrRoad_act!L19=0,0,L33/TrRoad_act!L19*1000)</f>
        <v>299.70018355548723</v>
      </c>
      <c r="M97" s="29">
        <f>IF(TrRoad_act!M19=0,0,M33/TrRoad_act!M19*1000)</f>
        <v>287.66436043001943</v>
      </c>
      <c r="N97" s="29">
        <f>IF(TrRoad_act!N19=0,0,N33/TrRoad_act!N19*1000)</f>
        <v>284.71392471972507</v>
      </c>
      <c r="O97" s="29">
        <f>IF(TrRoad_act!O19=0,0,O33/TrRoad_act!O19*1000)</f>
        <v>283.34552351981313</v>
      </c>
      <c r="P97" s="29">
        <f>IF(TrRoad_act!P19=0,0,P33/TrRoad_act!P19*1000)</f>
        <v>284.64275776170905</v>
      </c>
      <c r="Q97" s="29">
        <f>IF(TrRoad_act!Q19=0,0,Q33/TrRoad_act!Q19*1000)</f>
        <v>297.8408014145291</v>
      </c>
      <c r="R97" s="29">
        <f>IF(TrRoad_act!R19=0,0,R33/TrRoad_act!R19*1000)</f>
        <v>290.02678135254814</v>
      </c>
      <c r="S97" s="29">
        <f>IF(TrRoad_act!S19=0,0,S33/TrRoad_act!S19*1000)</f>
        <v>311.352637754873</v>
      </c>
      <c r="T97" s="29">
        <f>IF(TrRoad_act!T19=0,0,T33/TrRoad_act!T19*1000)</f>
        <v>364.85214769836614</v>
      </c>
      <c r="U97" s="29">
        <f>IF(TrRoad_act!U19=0,0,U33/TrRoad_act!U19*1000)</f>
        <v>379.49309308809842</v>
      </c>
      <c r="V97" s="29">
        <f>IF(TrRoad_act!V19=0,0,V33/TrRoad_act!V19*1000)</f>
        <v>329.57053383392901</v>
      </c>
      <c r="W97" s="29">
        <f>IF(TrRoad_act!W19=0,0,W33/TrRoad_act!W19*1000)</f>
        <v>339.03636984201921</v>
      </c>
      <c r="X97" s="29">
        <f>IF(TrRoad_act!X19=0,0,X33/TrRoad_act!X19*1000)</f>
        <v>413.57330639990931</v>
      </c>
      <c r="Y97" s="29">
        <f>IF(TrRoad_act!Y19=0,0,Y33/TrRoad_act!Y19*1000)</f>
        <v>413.90411761526366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1733.1165257633361</v>
      </c>
      <c r="C98" s="152">
        <f>IF(TrRoad_act!C20=0,0,C34/TrRoad_act!C20*1000)</f>
        <v>1627.455037110607</v>
      </c>
      <c r="D98" s="152">
        <f>IF(TrRoad_act!D20=0,0,D34/TrRoad_act!D20*1000)</f>
        <v>677.50327311961246</v>
      </c>
      <c r="E98" s="152">
        <f>IF(TrRoad_act!E20=0,0,E34/TrRoad_act!E20*1000)</f>
        <v>1233.9603722099564</v>
      </c>
      <c r="F98" s="152">
        <f>IF(TrRoad_act!F20=0,0,F34/TrRoad_act!F20*1000)</f>
        <v>1652.93149219369</v>
      </c>
      <c r="G98" s="152">
        <f>IF(TrRoad_act!G20=0,0,G34/TrRoad_act!G20*1000)</f>
        <v>2274.4937363661011</v>
      </c>
      <c r="H98" s="152">
        <f>IF(TrRoad_act!H20=0,0,H34/TrRoad_act!H20*1000)</f>
        <v>2331.1128606829525</v>
      </c>
      <c r="I98" s="152">
        <f>IF(TrRoad_act!I20=0,0,I34/TrRoad_act!I20*1000)</f>
        <v>2140.2625818464912</v>
      </c>
      <c r="J98" s="152">
        <f>IF(TrRoad_act!J20=0,0,J34/TrRoad_act!J20*1000)</f>
        <v>2036.7089788500375</v>
      </c>
      <c r="K98" s="152">
        <f>IF(TrRoad_act!K20=0,0,K34/TrRoad_act!K20*1000)</f>
        <v>1815.7198036166551</v>
      </c>
      <c r="L98" s="152">
        <f>IF(TrRoad_act!L20=0,0,L34/TrRoad_act!L20*1000)</f>
        <v>1747.1946641135219</v>
      </c>
      <c r="M98" s="152">
        <f>IF(TrRoad_act!M20=0,0,M34/TrRoad_act!M20*1000)</f>
        <v>1606.1841506393866</v>
      </c>
      <c r="N98" s="152">
        <f>IF(TrRoad_act!N20=0,0,N34/TrRoad_act!N20*1000)</f>
        <v>1519.5167388712994</v>
      </c>
      <c r="O98" s="152">
        <f>IF(TrRoad_act!O20=0,0,O34/TrRoad_act!O20*1000)</f>
        <v>1492.1349304106309</v>
      </c>
      <c r="P98" s="152">
        <f>IF(TrRoad_act!P20=0,0,P34/TrRoad_act!P20*1000)</f>
        <v>1462.169558321056</v>
      </c>
      <c r="Q98" s="152">
        <f>IF(TrRoad_act!Q20=0,0,Q34/TrRoad_act!Q20*1000)</f>
        <v>1464.275154523544</v>
      </c>
      <c r="R98" s="152">
        <f>IF(TrRoad_act!R20=0,0,R34/TrRoad_act!R20*1000)</f>
        <v>1423.1104756910433</v>
      </c>
      <c r="S98" s="152">
        <f>IF(TrRoad_act!S20=0,0,S34/TrRoad_act!S20*1000)</f>
        <v>1481.6691325630077</v>
      </c>
      <c r="T98" s="152">
        <f>IF(TrRoad_act!T20=0,0,T34/TrRoad_act!T20*1000)</f>
        <v>1672.8302144006768</v>
      </c>
      <c r="U98" s="152">
        <f>IF(TrRoad_act!U20=0,0,U34/TrRoad_act!U20*1000)</f>
        <v>1716.7939632048067</v>
      </c>
      <c r="V98" s="152">
        <f>IF(TrRoad_act!V20=0,0,V34/TrRoad_act!V20*1000)</f>
        <v>1490.6041628734588</v>
      </c>
      <c r="W98" s="152">
        <f>IF(TrRoad_act!W20=0,0,W34/TrRoad_act!W20*1000)</f>
        <v>1533.1496866720831</v>
      </c>
      <c r="X98" s="152">
        <f>IF(TrRoad_act!X20=0,0,X34/TrRoad_act!X20*1000)</f>
        <v>1855.9154199088573</v>
      </c>
      <c r="Y98" s="152">
        <f>IF(TrRoad_act!Y20=0,0,Y34/TrRoad_act!Y20*1000)</f>
        <v>1843.851114219688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2317.8730015779474</v>
      </c>
      <c r="C99" s="87">
        <f>IF(TrRoad_act!C21=0,0,C35/TrRoad_act!C21*1000)</f>
        <v>2326.7081762060793</v>
      </c>
      <c r="D99" s="87">
        <f>IF(TrRoad_act!D21=0,0,D35/TrRoad_act!D21*1000)</f>
        <v>2381.0377132167796</v>
      </c>
      <c r="E99" s="87">
        <f>IF(TrRoad_act!E21=0,0,E35/TrRoad_act!E21*1000)</f>
        <v>2291.42584985435</v>
      </c>
      <c r="F99" s="87">
        <f>IF(TrRoad_act!F21=0,0,F35/TrRoad_act!F21*1000)</f>
        <v>2191.361687700221</v>
      </c>
      <c r="G99" s="87">
        <f>IF(TrRoad_act!G21=0,0,G35/TrRoad_act!G21*1000)</f>
        <v>2178.3827504131114</v>
      </c>
      <c r="H99" s="87">
        <f>IF(TrRoad_act!H21=0,0,H35/TrRoad_act!H21*1000)</f>
        <v>2147.8011106907043</v>
      </c>
      <c r="I99" s="87">
        <f>IF(TrRoad_act!I21=0,0,I35/TrRoad_act!I21*1000)</f>
        <v>2175.2573169650768</v>
      </c>
      <c r="J99" s="87">
        <f>IF(TrRoad_act!J21=0,0,J35/TrRoad_act!J21*1000)</f>
        <v>2209.913671116482</v>
      </c>
      <c r="K99" s="87">
        <f>IF(TrRoad_act!K21=0,0,K35/TrRoad_act!K21*1000)</f>
        <v>2096.8071483651947</v>
      </c>
      <c r="L99" s="87">
        <f>IF(TrRoad_act!L21=0,0,L35/TrRoad_act!L21*1000)</f>
        <v>2226.5369872439969</v>
      </c>
      <c r="M99" s="87">
        <f>IF(TrRoad_act!M21=0,0,M35/TrRoad_act!M21*1000)</f>
        <v>2225.4372172637763</v>
      </c>
      <c r="N99" s="87">
        <f>IF(TrRoad_act!N21=0,0,N35/TrRoad_act!N21*1000)</f>
        <v>2243.6761839343153</v>
      </c>
      <c r="O99" s="87">
        <f>IF(TrRoad_act!O21=0,0,O35/TrRoad_act!O21*1000)</f>
        <v>2223.2228415910131</v>
      </c>
      <c r="P99" s="87">
        <f>IF(TrRoad_act!P21=0,0,P35/TrRoad_act!P21*1000)</f>
        <v>2428.4361264135391</v>
      </c>
      <c r="Q99" s="87">
        <f>IF(TrRoad_act!Q21=0,0,Q35/TrRoad_act!Q21*1000)</f>
        <v>2421.221177627921</v>
      </c>
      <c r="R99" s="87">
        <f>IF(TrRoad_act!R21=0,0,R35/TrRoad_act!R21*1000)</f>
        <v>2366.6654023767305</v>
      </c>
      <c r="S99" s="87">
        <f>IF(TrRoad_act!S21=0,0,S35/TrRoad_act!S21*1000)</f>
        <v>2345.0720109570302</v>
      </c>
      <c r="T99" s="87">
        <f>IF(TrRoad_act!T21=0,0,T35/TrRoad_act!T21*1000)</f>
        <v>2362.0118833107367</v>
      </c>
      <c r="U99" s="87">
        <f>IF(TrRoad_act!U21=0,0,U35/TrRoad_act!U21*1000)</f>
        <v>2383.9308218191036</v>
      </c>
      <c r="V99" s="87">
        <f>IF(TrRoad_act!V21=0,0,V35/TrRoad_act!V21*1000)</f>
        <v>2293.5358948883754</v>
      </c>
      <c r="W99" s="87">
        <f>IF(TrRoad_act!W21=0,0,W35/TrRoad_act!W21*1000)</f>
        <v>2318.2190213443737</v>
      </c>
      <c r="X99" s="87">
        <f>IF(TrRoad_act!X21=0,0,X35/TrRoad_act!X21*1000)</f>
        <v>2377.716906951146</v>
      </c>
      <c r="Y99" s="87">
        <f>IF(TrRoad_act!Y21=0,0,Y35/TrRoad_act!Y21*1000)</f>
        <v>2416.0936725479537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1716.0472380600359</v>
      </c>
      <c r="C100" s="87">
        <f>IF(TrRoad_act!C22=0,0,C36/TrRoad_act!C22*1000)</f>
        <v>1603.5055273604842</v>
      </c>
      <c r="D100" s="87">
        <f>IF(TrRoad_act!D22=0,0,D36/TrRoad_act!D22*1000)</f>
        <v>620.56725336746615</v>
      </c>
      <c r="E100" s="87">
        <f>IF(TrRoad_act!E22=0,0,E36/TrRoad_act!E22*1000)</f>
        <v>1199.9339911495049</v>
      </c>
      <c r="F100" s="87">
        <f>IF(TrRoad_act!F22=0,0,F36/TrRoad_act!F22*1000)</f>
        <v>1635.911999727145</v>
      </c>
      <c r="G100" s="87">
        <f>IF(TrRoad_act!G22=0,0,G36/TrRoad_act!G22*1000)</f>
        <v>2277.5296726505999</v>
      </c>
      <c r="H100" s="87">
        <f>IF(TrRoad_act!H22=0,0,H36/TrRoad_act!H22*1000)</f>
        <v>2336.6507414160365</v>
      </c>
      <c r="I100" s="87">
        <f>IF(TrRoad_act!I22=0,0,I36/TrRoad_act!I22*1000)</f>
        <v>2139.2960839663847</v>
      </c>
      <c r="J100" s="87">
        <f>IF(TrRoad_act!J22=0,0,J36/TrRoad_act!J22*1000)</f>
        <v>2032.5817960555464</v>
      </c>
      <c r="K100" s="87">
        <f>IF(TrRoad_act!K22=0,0,K36/TrRoad_act!K22*1000)</f>
        <v>1809.1515221688549</v>
      </c>
      <c r="L100" s="87">
        <f>IF(TrRoad_act!L22=0,0,L36/TrRoad_act!L22*1000)</f>
        <v>1734.9132744345457</v>
      </c>
      <c r="M100" s="87">
        <f>IF(TrRoad_act!M22=0,0,M36/TrRoad_act!M22*1000)</f>
        <v>1591.910477549332</v>
      </c>
      <c r="N100" s="87">
        <f>IF(TrRoad_act!N22=0,0,N36/TrRoad_act!N22*1000)</f>
        <v>1503.5623992826531</v>
      </c>
      <c r="O100" s="87">
        <f>IF(TrRoad_act!O22=0,0,O36/TrRoad_act!O22*1000)</f>
        <v>1476.7376996914616</v>
      </c>
      <c r="P100" s="87">
        <f>IF(TrRoad_act!P22=0,0,P36/TrRoad_act!P22*1000)</f>
        <v>1443.7120935873224</v>
      </c>
      <c r="Q100" s="87">
        <f>IF(TrRoad_act!Q22=0,0,Q36/TrRoad_act!Q22*1000)</f>
        <v>1447.2226356383655</v>
      </c>
      <c r="R100" s="87">
        <f>IF(TrRoad_act!R22=0,0,R36/TrRoad_act!R22*1000)</f>
        <v>1407.1909627565647</v>
      </c>
      <c r="S100" s="87">
        <f>IF(TrRoad_act!S22=0,0,S36/TrRoad_act!S22*1000)</f>
        <v>1468.4722926747024</v>
      </c>
      <c r="T100" s="87">
        <f>IF(TrRoad_act!T22=0,0,T36/TrRoad_act!T22*1000)</f>
        <v>1663.5369442660997</v>
      </c>
      <c r="U100" s="87">
        <f>IF(TrRoad_act!U22=0,0,U36/TrRoad_act!U22*1000)</f>
        <v>1711.1367190633589</v>
      </c>
      <c r="V100" s="87">
        <f>IF(TrRoad_act!V22=0,0,V36/TrRoad_act!V22*1000)</f>
        <v>1482.4781940896596</v>
      </c>
      <c r="W100" s="87">
        <f>IF(TrRoad_act!W22=0,0,W36/TrRoad_act!W22*1000)</f>
        <v>1524.986628878464</v>
      </c>
      <c r="X100" s="87">
        <f>IF(TrRoad_act!X22=0,0,X36/TrRoad_act!X22*1000)</f>
        <v>1852.6687563023133</v>
      </c>
      <c r="Y100" s="87">
        <f>IF(TrRoad_act!Y22=0,0,Y36/TrRoad_act!Y22*1000)</f>
        <v>1841.3595325903716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2306.6781291965608</v>
      </c>
      <c r="T101" s="87">
        <f>IF(TrRoad_act!T23=0,0,T37/TrRoad_act!T23*1000)</f>
        <v>2287.6038430457384</v>
      </c>
      <c r="U101" s="87">
        <f>IF(TrRoad_act!U23=0,0,U37/TrRoad_act!U23*1000)</f>
        <v>2152.3021368430909</v>
      </c>
      <c r="V101" s="87">
        <f>IF(TrRoad_act!V23=0,0,V37/TrRoad_act!V23*1000)</f>
        <v>2126.8656847871489</v>
      </c>
      <c r="W101" s="87">
        <f>IF(TrRoad_act!W23=0,0,W37/TrRoad_act!W23*1000)</f>
        <v>2106.5555337029318</v>
      </c>
      <c r="X101" s="87">
        <f>IF(TrRoad_act!X23=0,0,X37/TrRoad_act!X23*1000)</f>
        <v>2086.3988420548926</v>
      </c>
      <c r="Y101" s="87">
        <f>IF(TrRoad_act!Y23=0,0,Y37/TrRoad_act!Y23*1000)</f>
        <v>2168.7584267205452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X102" s="87">
        <f>IF(TrRoad_act!X24=0,0,X38/TrRoad_act!X24*1000)</f>
        <v>0</v>
      </c>
      <c r="Y102" s="87">
        <f>IF(TrRoad_act!Y24=0,0,Y38/TrRoad_act!Y24*1000)</f>
        <v>0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150.31924142935736</v>
      </c>
      <c r="C104" s="116">
        <f>IF(TrRoad_act!C26=0,0,C40/TrRoad_act!C26*1000)</f>
        <v>142.05275311905535</v>
      </c>
      <c r="D104" s="116">
        <f>IF(TrRoad_act!D26=0,0,D40/TrRoad_act!D26*1000)</f>
        <v>55.717621434199515</v>
      </c>
      <c r="E104" s="116">
        <f>IF(TrRoad_act!E26=0,0,E40/TrRoad_act!E26*1000)</f>
        <v>109.80137032908725</v>
      </c>
      <c r="F104" s="116">
        <f>IF(TrRoad_act!F26=0,0,F40/TrRoad_act!F26*1000)</f>
        <v>152.36921596900973</v>
      </c>
      <c r="G104" s="116">
        <f>IF(TrRoad_act!G26=0,0,G40/TrRoad_act!G26*1000)</f>
        <v>215.97147147143491</v>
      </c>
      <c r="H104" s="116">
        <f>IF(TrRoad_act!H26=0,0,H40/TrRoad_act!H26*1000)</f>
        <v>226.34519637178198</v>
      </c>
      <c r="I104" s="116">
        <f>IF(TrRoad_act!I26=0,0,I40/TrRoad_act!I26*1000)</f>
        <v>209.93287223028051</v>
      </c>
      <c r="J104" s="116">
        <f>IF(TrRoad_act!J26=0,0,J40/TrRoad_act!J26*1000)</f>
        <v>202.1974220309649</v>
      </c>
      <c r="K104" s="116">
        <f>IF(TrRoad_act!K26=0,0,K40/TrRoad_act!K26*1000)</f>
        <v>181.64029763614286</v>
      </c>
      <c r="L104" s="116">
        <f>IF(TrRoad_act!L26=0,0,L40/TrRoad_act!L26*1000)</f>
        <v>180.50588782873521</v>
      </c>
      <c r="M104" s="116">
        <f>IF(TrRoad_act!M26=0,0,M40/TrRoad_act!M26*1000)</f>
        <v>168.07017311586287</v>
      </c>
      <c r="N104" s="116">
        <f>IF(TrRoad_act!N26=0,0,N40/TrRoad_act!N26*1000)</f>
        <v>162.76908069561975</v>
      </c>
      <c r="O104" s="116">
        <f>IF(TrRoad_act!O26=0,0,O40/TrRoad_act!O26*1000)</f>
        <v>161.94774779905987</v>
      </c>
      <c r="P104" s="116">
        <f>IF(TrRoad_act!P26=0,0,P40/TrRoad_act!P26*1000)</f>
        <v>157.22785457844347</v>
      </c>
      <c r="Q104" s="116">
        <f>IF(TrRoad_act!Q26=0,0,Q40/TrRoad_act!Q26*1000)</f>
        <v>160.63889331813431</v>
      </c>
      <c r="R104" s="116">
        <f>IF(TrRoad_act!R26=0,0,R40/TrRoad_act!R26*1000)</f>
        <v>160.35586592772157</v>
      </c>
      <c r="S104" s="116">
        <f>IF(TrRoad_act!S26=0,0,S40/TrRoad_act!S26*1000)</f>
        <v>169.99823644819628</v>
      </c>
      <c r="T104" s="116">
        <f>IF(TrRoad_act!T26=0,0,T40/TrRoad_act!T26*1000)</f>
        <v>197.39897098286974</v>
      </c>
      <c r="U104" s="116">
        <f>IF(TrRoad_act!U26=0,0,U40/TrRoad_act!U26*1000)</f>
        <v>205.7506901702219</v>
      </c>
      <c r="V104" s="116">
        <f>IF(TrRoad_act!V26=0,0,V40/TrRoad_act!V26*1000)</f>
        <v>182.16181997269109</v>
      </c>
      <c r="W104" s="116">
        <f>IF(TrRoad_act!W26=0,0,W40/TrRoad_act!W26*1000)</f>
        <v>191.24208962882801</v>
      </c>
      <c r="X104" s="116">
        <f>IF(TrRoad_act!X26=0,0,X40/TrRoad_act!X26*1000)</f>
        <v>239.22494225482276</v>
      </c>
      <c r="Y104" s="116">
        <f>IF(TrRoad_act!Y26=0,0,Y40/TrRoad_act!Y26*1000)</f>
        <v>243.0767325162418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150.31924142935736</v>
      </c>
      <c r="C105" s="101">
        <f>IF(TrRoad_act!C27=0,0,C41/TrRoad_act!C27*1000)</f>
        <v>142.05275311905535</v>
      </c>
      <c r="D105" s="101">
        <f>IF(TrRoad_act!D27=0,0,D41/TrRoad_act!D27*1000)</f>
        <v>55.717621434199515</v>
      </c>
      <c r="E105" s="101">
        <f>IF(TrRoad_act!E27=0,0,E41/TrRoad_act!E27*1000)</f>
        <v>109.80137032908725</v>
      </c>
      <c r="F105" s="101">
        <f>IF(TrRoad_act!F27=0,0,F41/TrRoad_act!F27*1000)</f>
        <v>152.36921596900973</v>
      </c>
      <c r="G105" s="101">
        <f>IF(TrRoad_act!G27=0,0,G41/TrRoad_act!G27*1000)</f>
        <v>215.97147147143491</v>
      </c>
      <c r="H105" s="101">
        <f>IF(TrRoad_act!H27=0,0,H41/TrRoad_act!H27*1000)</f>
        <v>226.34519637178198</v>
      </c>
      <c r="I105" s="101">
        <f>IF(TrRoad_act!I27=0,0,I41/TrRoad_act!I27*1000)</f>
        <v>209.93287223028051</v>
      </c>
      <c r="J105" s="101">
        <f>IF(TrRoad_act!J27=0,0,J41/TrRoad_act!J27*1000)</f>
        <v>202.1974220309649</v>
      </c>
      <c r="K105" s="101">
        <f>IF(TrRoad_act!K27=0,0,K41/TrRoad_act!K27*1000)</f>
        <v>181.64029763614286</v>
      </c>
      <c r="L105" s="101">
        <f>IF(TrRoad_act!L27=0,0,L41/TrRoad_act!L27*1000)</f>
        <v>180.50588782873521</v>
      </c>
      <c r="M105" s="101">
        <f>IF(TrRoad_act!M27=0,0,M41/TrRoad_act!M27*1000)</f>
        <v>168.07017311586287</v>
      </c>
      <c r="N105" s="101">
        <f>IF(TrRoad_act!N27=0,0,N41/TrRoad_act!N27*1000)</f>
        <v>162.76908069561975</v>
      </c>
      <c r="O105" s="101">
        <f>IF(TrRoad_act!O27=0,0,O41/TrRoad_act!O27*1000)</f>
        <v>161.94774779905987</v>
      </c>
      <c r="P105" s="101">
        <f>IF(TrRoad_act!P27=0,0,P41/TrRoad_act!P27*1000)</f>
        <v>157.22785457844347</v>
      </c>
      <c r="Q105" s="101">
        <f>IF(TrRoad_act!Q27=0,0,Q41/TrRoad_act!Q27*1000)</f>
        <v>160.63889331813431</v>
      </c>
      <c r="R105" s="101">
        <f>IF(TrRoad_act!R27=0,0,R41/TrRoad_act!R27*1000)</f>
        <v>160.35586592772157</v>
      </c>
      <c r="S105" s="101">
        <f>IF(TrRoad_act!S27=0,0,S41/TrRoad_act!S27*1000)</f>
        <v>169.99823644819628</v>
      </c>
      <c r="T105" s="101">
        <f>IF(TrRoad_act!T27=0,0,T41/TrRoad_act!T27*1000)</f>
        <v>197.39897098286974</v>
      </c>
      <c r="U105" s="101">
        <f>IF(TrRoad_act!U27=0,0,U41/TrRoad_act!U27*1000)</f>
        <v>205.7506901702219</v>
      </c>
      <c r="V105" s="101">
        <f>IF(TrRoad_act!V27=0,0,V41/TrRoad_act!V27*1000)</f>
        <v>182.16181997269109</v>
      </c>
      <c r="W105" s="101">
        <f>IF(TrRoad_act!W27=0,0,W41/TrRoad_act!W27*1000)</f>
        <v>191.24208962882801</v>
      </c>
      <c r="X105" s="101">
        <f>IF(TrRoad_act!X27=0,0,X41/TrRoad_act!X27*1000)</f>
        <v>239.22494225482276</v>
      </c>
      <c r="Y105" s="101">
        <f>IF(TrRoad_act!Y27=0,0,Y41/TrRoad_act!Y27*1000)</f>
        <v>243.0767325162418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0</v>
      </c>
      <c r="C106" s="88">
        <f>IF(TrRoad_act!C28=0,0,C42/TrRoad_act!C28*1000)</f>
        <v>0</v>
      </c>
      <c r="D106" s="88">
        <f>IF(TrRoad_act!D28=0,0,D42/TrRoad_act!D28*1000)</f>
        <v>0</v>
      </c>
      <c r="E106" s="88">
        <f>IF(TrRoad_act!E28=0,0,E42/TrRoad_act!E28*1000)</f>
        <v>0</v>
      </c>
      <c r="F106" s="88">
        <f>IF(TrRoad_act!F28=0,0,F42/TrRoad_act!F28*1000)</f>
        <v>0</v>
      </c>
      <c r="G106" s="88">
        <f>IF(TrRoad_act!G28=0,0,G42/TrRoad_act!G28*1000)</f>
        <v>0</v>
      </c>
      <c r="H106" s="88">
        <f>IF(TrRoad_act!H28=0,0,H42/TrRoad_act!H28*1000)</f>
        <v>0</v>
      </c>
      <c r="I106" s="88">
        <f>IF(TrRoad_act!I28=0,0,I42/TrRoad_act!I28*1000)</f>
        <v>0</v>
      </c>
      <c r="J106" s="88">
        <f>IF(TrRoad_act!J28=0,0,J42/TrRoad_act!J28*1000)</f>
        <v>0</v>
      </c>
      <c r="K106" s="88">
        <f>IF(TrRoad_act!K28=0,0,K42/TrRoad_act!K28*1000)</f>
        <v>0</v>
      </c>
      <c r="L106" s="88">
        <f>IF(TrRoad_act!L28=0,0,L42/TrRoad_act!L28*1000)</f>
        <v>0</v>
      </c>
      <c r="M106" s="88">
        <f>IF(TrRoad_act!M28=0,0,M42/TrRoad_act!M28*1000)</f>
        <v>0</v>
      </c>
      <c r="N106" s="88">
        <f>IF(TrRoad_act!N28=0,0,N42/TrRoad_act!N28*1000)</f>
        <v>0</v>
      </c>
      <c r="O106" s="88">
        <f>IF(TrRoad_act!O28=0,0,O42/TrRoad_act!O28*1000)</f>
        <v>0</v>
      </c>
      <c r="P106" s="88">
        <f>IF(TrRoad_act!P28=0,0,P42/TrRoad_act!P28*1000)</f>
        <v>0</v>
      </c>
      <c r="Q106" s="88">
        <f>IF(TrRoad_act!Q28=0,0,Q42/TrRoad_act!Q28*1000)</f>
        <v>0</v>
      </c>
      <c r="R106" s="88">
        <f>IF(TrRoad_act!R28=0,0,R42/TrRoad_act!R28*1000)</f>
        <v>0</v>
      </c>
      <c r="S106" s="88">
        <f>IF(TrRoad_act!S28=0,0,S42/TrRoad_act!S28*1000)</f>
        <v>0</v>
      </c>
      <c r="T106" s="88">
        <f>IF(TrRoad_act!T28=0,0,T42/TrRoad_act!T28*1000)</f>
        <v>0</v>
      </c>
      <c r="U106" s="88">
        <f>IF(TrRoad_act!U28=0,0,U42/TrRoad_act!U28*1000)</f>
        <v>0</v>
      </c>
      <c r="V106" s="88">
        <f>IF(TrRoad_act!V28=0,0,V42/TrRoad_act!V28*1000)</f>
        <v>0</v>
      </c>
      <c r="W106" s="88">
        <f>IF(TrRoad_act!W28=0,0,W42/TrRoad_act!W28*1000)</f>
        <v>0</v>
      </c>
      <c r="X106" s="88">
        <f>IF(TrRoad_act!X28=0,0,X42/TrRoad_act!X28*1000)</f>
        <v>0</v>
      </c>
      <c r="Y106" s="88">
        <f>IF(TrRoad_act!Y28=0,0,Y42/TrRoad_act!Y28*1000)</f>
        <v>0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272.78788144536742</v>
      </c>
      <c r="C110" s="152">
        <f>IF(C19=0,0,1000000*C19/TrRoad_act!C59)</f>
        <v>271.32319465298622</v>
      </c>
      <c r="D110" s="152">
        <f>IF(D19=0,0,1000000*D19/TrRoad_act!D59)</f>
        <v>270.10949729428097</v>
      </c>
      <c r="E110" s="152">
        <f>IF(E19=0,0,1000000*E19/TrRoad_act!E59)</f>
        <v>269.36911767987385</v>
      </c>
      <c r="F110" s="152">
        <f>IF(F19=0,0,1000000*F19/TrRoad_act!F59)</f>
        <v>266.50746252190731</v>
      </c>
      <c r="G110" s="152">
        <f>IF(G19=0,0,1000000*G19/TrRoad_act!G59)</f>
        <v>264.25073465370053</v>
      </c>
      <c r="H110" s="152">
        <f>IF(H19=0,0,1000000*H19/TrRoad_act!H59)</f>
        <v>262.8261607283759</v>
      </c>
      <c r="I110" s="152">
        <f>IF(I19=0,0,1000000*I19/TrRoad_act!I59)</f>
        <v>261.04924480003143</v>
      </c>
      <c r="J110" s="152">
        <f>IF(J19=0,0,1000000*J19/TrRoad_act!J59)</f>
        <v>256.97151971729903</v>
      </c>
      <c r="K110" s="152">
        <f>IF(K19=0,0,1000000*K19/TrRoad_act!K59)</f>
        <v>251.12495234282923</v>
      </c>
      <c r="L110" s="152">
        <f>IF(L19=0,0,1000000*L19/TrRoad_act!L59)</f>
        <v>258.86870117825538</v>
      </c>
      <c r="M110" s="152">
        <f>IF(M19=0,0,1000000*M19/TrRoad_act!M59)</f>
        <v>256.50910727470267</v>
      </c>
      <c r="N110" s="152">
        <f>IF(N19=0,0,1000000*N19/TrRoad_act!N59)</f>
        <v>250.94912912366132</v>
      </c>
      <c r="O110" s="152">
        <f>IF(O19=0,0,1000000*O19/TrRoad_act!O59)</f>
        <v>245.89485828828012</v>
      </c>
      <c r="P110" s="152">
        <f>IF(P19=0,0,1000000*P19/TrRoad_act!P59)</f>
        <v>241.68490177894918</v>
      </c>
      <c r="Q110" s="152">
        <f>IF(Q19=0,0,1000000*Q19/TrRoad_act!Q59)</f>
        <v>224.43726111931343</v>
      </c>
      <c r="R110" s="152">
        <f>IF(R19=0,0,1000000*R19/TrRoad_act!R59)</f>
        <v>205.54424729054369</v>
      </c>
      <c r="S110" s="152">
        <f>IF(S19=0,0,1000000*S19/TrRoad_act!S59)</f>
        <v>174.3859795632801</v>
      </c>
      <c r="T110" s="152">
        <f>IF(T19=0,0,1000000*T19/TrRoad_act!T59)</f>
        <v>152.35680966315061</v>
      </c>
      <c r="U110" s="152">
        <f>IF(U19=0,0,1000000*U19/TrRoad_act!U59)</f>
        <v>150.31985027332513</v>
      </c>
      <c r="V110" s="152">
        <f>IF(V19=0,0,1000000*V19/TrRoad_act!V59)</f>
        <v>127.42634384105494</v>
      </c>
      <c r="W110" s="152">
        <f>IF(W19=0,0,1000000*W19/TrRoad_act!W59)</f>
        <v>119.82859014516158</v>
      </c>
      <c r="X110" s="152">
        <f>IF(X19=0,0,1000000*X19/TrRoad_act!X59)</f>
        <v>109.36782835358618</v>
      </c>
      <c r="Y110" s="152">
        <f>IF(Y19=0,0,1000000*Y19/TrRoad_act!Y59)</f>
        <v>110.4746701019547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1311.8833882257211</v>
      </c>
      <c r="C111" s="116">
        <f>IF(C20=0,0,1000000*C20/TrRoad_act!C60)</f>
        <v>1206.2895109673789</v>
      </c>
      <c r="D111" s="116">
        <f>IF(D20=0,0,1000000*D20/TrRoad_act!D60)</f>
        <v>1210.4014647634151</v>
      </c>
      <c r="E111" s="116">
        <f>IF(E20=0,0,1000000*E20/TrRoad_act!E60)</f>
        <v>1158.6782810342061</v>
      </c>
      <c r="F111" s="116">
        <f>IF(F20=0,0,1000000*F20/TrRoad_act!F60)</f>
        <v>1021.2577426369265</v>
      </c>
      <c r="G111" s="116">
        <f>IF(G20=0,0,1000000*G20/TrRoad_act!G60)</f>
        <v>1175.5473960259294</v>
      </c>
      <c r="H111" s="116">
        <f>IF(H20=0,0,1000000*H20/TrRoad_act!H60)</f>
        <v>1169.3511251535315</v>
      </c>
      <c r="I111" s="116">
        <f>IF(I20=0,0,1000000*I20/TrRoad_act!I60)</f>
        <v>1167.4284151847519</v>
      </c>
      <c r="J111" s="116">
        <f>IF(J20=0,0,1000000*J20/TrRoad_act!J60)</f>
        <v>1359.2000605889143</v>
      </c>
      <c r="K111" s="116">
        <f>IF(K20=0,0,1000000*K20/TrRoad_act!K60)</f>
        <v>1158.5916000788022</v>
      </c>
      <c r="L111" s="116">
        <f>IF(L20=0,0,1000000*L20/TrRoad_act!L60)</f>
        <v>1295.7786997274163</v>
      </c>
      <c r="M111" s="116">
        <f>IF(M20=0,0,1000000*M20/TrRoad_act!M60)</f>
        <v>1273.0107254170373</v>
      </c>
      <c r="N111" s="116">
        <f>IF(N20=0,0,1000000*N20/TrRoad_act!N60)</f>
        <v>1260.9284097166451</v>
      </c>
      <c r="O111" s="116">
        <f>IF(O20=0,0,1000000*O20/TrRoad_act!O60)</f>
        <v>1260.77283094483</v>
      </c>
      <c r="P111" s="116">
        <f>IF(P20=0,0,1000000*P20/TrRoad_act!P60)</f>
        <v>1219.7975473569902</v>
      </c>
      <c r="Q111" s="116">
        <f>IF(Q20=0,0,1000000*Q20/TrRoad_act!Q60)</f>
        <v>1254.1303989127575</v>
      </c>
      <c r="R111" s="116">
        <f>IF(R20=0,0,1000000*R20/TrRoad_act!R60)</f>
        <v>1236.0812302742709</v>
      </c>
      <c r="S111" s="116">
        <f>IF(S20=0,0,1000000*S20/TrRoad_act!S60)</f>
        <v>1208.7147025640284</v>
      </c>
      <c r="T111" s="116">
        <f>IF(T20=0,0,1000000*T20/TrRoad_act!T60)</f>
        <v>1284.3780140469219</v>
      </c>
      <c r="U111" s="116">
        <f>IF(U20=0,0,1000000*U20/TrRoad_act!U60)</f>
        <v>1307.8328690640394</v>
      </c>
      <c r="V111" s="116">
        <f>IF(V20=0,0,1000000*V20/TrRoad_act!V60)</f>
        <v>1048.8278698944368</v>
      </c>
      <c r="W111" s="116">
        <f>IF(W20=0,0,1000000*W20/TrRoad_act!W60)</f>
        <v>1123.6001730917772</v>
      </c>
      <c r="X111" s="116">
        <f>IF(X20=0,0,1000000*X20/TrRoad_act!X60)</f>
        <v>1277.5277893502084</v>
      </c>
      <c r="Y111" s="116">
        <f>IF(Y20=0,0,1000000*Y20/TrRoad_act!Y60)</f>
        <v>1289.699680254547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1364.4147527938505</v>
      </c>
      <c r="C112" s="87">
        <f>IF(C21=0,0,1000000*C21/TrRoad_act!C61)</f>
        <v>1254.092469560351</v>
      </c>
      <c r="D112" s="87">
        <f>IF(D21=0,0,1000000*D21/TrRoad_act!D61)</f>
        <v>1367.498268777372</v>
      </c>
      <c r="E112" s="87">
        <f>IF(E21=0,0,1000000*E21/TrRoad_act!E61)</f>
        <v>1233.5678715905087</v>
      </c>
      <c r="F112" s="87">
        <f>IF(F21=0,0,1000000*F21/TrRoad_act!F61)</f>
        <v>1007.2094920538228</v>
      </c>
      <c r="G112" s="87">
        <f>IF(G21=0,0,1000000*G21/TrRoad_act!G61)</f>
        <v>1094.4349473912662</v>
      </c>
      <c r="H112" s="87">
        <f>IF(H21=0,0,1000000*H21/TrRoad_act!H61)</f>
        <v>1064.6022797904341</v>
      </c>
      <c r="I112" s="87">
        <f>IF(I21=0,0,1000000*I21/TrRoad_act!I61)</f>
        <v>1080.3126817326749</v>
      </c>
      <c r="J112" s="87">
        <f>IF(J21=0,0,1000000*J21/TrRoad_act!J61)</f>
        <v>1315.0893210518034</v>
      </c>
      <c r="K112" s="87">
        <f>IF(K21=0,0,1000000*K21/TrRoad_act!K61)</f>
        <v>1096.4954320071365</v>
      </c>
      <c r="L112" s="87">
        <f>IF(L21=0,0,1000000*L21/TrRoad_act!L61)</f>
        <v>1203.9301224656303</v>
      </c>
      <c r="M112" s="87">
        <f>IF(M21=0,0,1000000*M21/TrRoad_act!M61)</f>
        <v>1186.4355820527292</v>
      </c>
      <c r="N112" s="87">
        <f>IF(N21=0,0,1000000*N21/TrRoad_act!N61)</f>
        <v>1173.7774622475984</v>
      </c>
      <c r="O112" s="87">
        <f>IF(O21=0,0,1000000*O21/TrRoad_act!O61)</f>
        <v>1169.9175733253032</v>
      </c>
      <c r="P112" s="87">
        <f>IF(P21=0,0,1000000*P21/TrRoad_act!P61)</f>
        <v>1133.3538013386617</v>
      </c>
      <c r="Q112" s="87">
        <f>IF(Q21=0,0,1000000*Q21/TrRoad_act!Q61)</f>
        <v>1162.2011113839146</v>
      </c>
      <c r="R112" s="87">
        <f>IF(R21=0,0,1000000*R21/TrRoad_act!R61)</f>
        <v>1140.1131789895769</v>
      </c>
      <c r="S112" s="87">
        <f>IF(S21=0,0,1000000*S21/TrRoad_act!S61)</f>
        <v>1124.6173954298777</v>
      </c>
      <c r="T112" s="87">
        <f>IF(T21=0,0,1000000*T21/TrRoad_act!T61)</f>
        <v>1103.8368183102741</v>
      </c>
      <c r="U112" s="87">
        <f>IF(U21=0,0,1000000*U21/TrRoad_act!U61)</f>
        <v>1147.0360524530513</v>
      </c>
      <c r="V112" s="87">
        <f>IF(V21=0,0,1000000*V21/TrRoad_act!V61)</f>
        <v>958.49933477576349</v>
      </c>
      <c r="W112" s="87">
        <f>IF(W21=0,0,1000000*W21/TrRoad_act!W61)</f>
        <v>1016.8017388380605</v>
      </c>
      <c r="X112" s="87">
        <f>IF(X21=0,0,1000000*X21/TrRoad_act!X61)</f>
        <v>1100.0958821839281</v>
      </c>
      <c r="Y112" s="87">
        <f>IF(Y21=0,0,1000000*Y21/TrRoad_act!Y61)</f>
        <v>1115.036927146879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998.98484429514133</v>
      </c>
      <c r="C113" s="87">
        <f>IF(C22=0,0,1000000*C22/TrRoad_act!C62)</f>
        <v>943.2314097389783</v>
      </c>
      <c r="D113" s="87">
        <f>IF(D22=0,0,1000000*D22/TrRoad_act!D62)</f>
        <v>376.5686336532778</v>
      </c>
      <c r="E113" s="87">
        <f>IF(E22=0,0,1000000*E22/TrRoad_act!E62)</f>
        <v>766.90830046402903</v>
      </c>
      <c r="F113" s="87">
        <f>IF(F22=0,0,1000000*F22/TrRoad_act!F62)</f>
        <v>1094.1063370261243</v>
      </c>
      <c r="G113" s="87">
        <f>IF(G22=0,0,1000000*G22/TrRoad_act!G62)</f>
        <v>1589.1029218962142</v>
      </c>
      <c r="H113" s="87">
        <f>IF(H22=0,0,1000000*H22/TrRoad_act!H62)</f>
        <v>1703.8128730171268</v>
      </c>
      <c r="I113" s="87">
        <f>IF(I22=0,0,1000000*I22/TrRoad_act!I62)</f>
        <v>1613.5612612847194</v>
      </c>
      <c r="J113" s="87">
        <f>IF(J22=0,0,1000000*J22/TrRoad_act!J62)</f>
        <v>1584.2390790792331</v>
      </c>
      <c r="K113" s="87">
        <f>IF(K22=0,0,1000000*K22/TrRoad_act!K62)</f>
        <v>1469.456961197415</v>
      </c>
      <c r="L113" s="87">
        <f>IF(L22=0,0,1000000*L22/TrRoad_act!L62)</f>
        <v>1532.3559615401159</v>
      </c>
      <c r="M113" s="87">
        <f>IF(M22=0,0,1000000*M22/TrRoad_act!M62)</f>
        <v>1486.9968888245437</v>
      </c>
      <c r="N113" s="87">
        <f>IF(N22=0,0,1000000*N22/TrRoad_act!N62)</f>
        <v>1467.9362905937915</v>
      </c>
      <c r="O113" s="87">
        <f>IF(O22=0,0,1000000*O22/TrRoad_act!O62)</f>
        <v>1471.5556030430537</v>
      </c>
      <c r="P113" s="87">
        <f>IF(P22=0,0,1000000*P22/TrRoad_act!P62)</f>
        <v>1417.1567786679748</v>
      </c>
      <c r="Q113" s="87">
        <f>IF(Q22=0,0,1000000*Q22/TrRoad_act!Q62)</f>
        <v>1464.7885960466208</v>
      </c>
      <c r="R113" s="87">
        <f>IF(R22=0,0,1000000*R22/TrRoad_act!R62)</f>
        <v>1447.9766396151838</v>
      </c>
      <c r="S113" s="87">
        <f>IF(S22=0,0,1000000*S22/TrRoad_act!S62)</f>
        <v>1391.4707277729726</v>
      </c>
      <c r="T113" s="87">
        <f>IF(T22=0,0,1000000*T22/TrRoad_act!T62)</f>
        <v>1669.3825027199182</v>
      </c>
      <c r="U113" s="87">
        <f>IF(U22=0,0,1000000*U22/TrRoad_act!U62)</f>
        <v>1662.9041304195146</v>
      </c>
      <c r="V113" s="87">
        <f>IF(V22=0,0,1000000*V22/TrRoad_act!V62)</f>
        <v>1251.2603400331793</v>
      </c>
      <c r="W113" s="87">
        <f>IF(W22=0,0,1000000*W22/TrRoad_act!W62)</f>
        <v>1374.359562461593</v>
      </c>
      <c r="X113" s="87">
        <f>IF(X22=0,0,1000000*X22/TrRoad_act!X62)</f>
        <v>1713.4370680002962</v>
      </c>
      <c r="Y113" s="87">
        <f>IF(Y22=0,0,1000000*Y22/TrRoad_act!Y62)</f>
        <v>1754.4190520559691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0</v>
      </c>
      <c r="I114" s="87">
        <f>IF(I23=0,0,1000000*I23/TrRoad_act!I63)</f>
        <v>0</v>
      </c>
      <c r="J114" s="87">
        <f>IF(J23=0,0,1000000*J23/TrRoad_act!J63)</f>
        <v>0</v>
      </c>
      <c r="K114" s="87">
        <f>IF(K23=0,0,1000000*K23/TrRoad_act!K63)</f>
        <v>0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1451.3252399999992</v>
      </c>
      <c r="S114" s="87">
        <f>IF(S23=0,0,1000000*S23/TrRoad_act!S63)</f>
        <v>1512.8346388017544</v>
      </c>
      <c r="T114" s="87">
        <f>IF(T23=0,0,1000000*T23/TrRoad_act!T63)</f>
        <v>2152.412267643178</v>
      </c>
      <c r="U114" s="87">
        <f>IF(U23=0,0,1000000*U23/TrRoad_act!U63)</f>
        <v>1488.8861156330345</v>
      </c>
      <c r="V114" s="87">
        <f>IF(V23=0,0,1000000*V23/TrRoad_act!V63)</f>
        <v>1454.2119080921991</v>
      </c>
      <c r="W114" s="87">
        <f>IF(W23=0,0,1000000*W23/TrRoad_act!W63)</f>
        <v>1810.2473447052703</v>
      </c>
      <c r="X114" s="87">
        <f>IF(X23=0,0,1000000*X23/TrRoad_act!X63)</f>
        <v>2107.0959152398805</v>
      </c>
      <c r="Y114" s="87">
        <f>IF(Y23=0,0,1000000*Y23/TrRoad_act!Y63)</f>
        <v>1698.3854802019466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X115" s="87">
        <f>IF(X24=0,0,1000000*X24/TrRoad_act!X64)</f>
        <v>0</v>
      </c>
      <c r="Y115" s="87">
        <f>IF(Y24=0,0,1000000*Y24/TrRoad_act!Y64)</f>
        <v>0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1287.478796704869</v>
      </c>
      <c r="M116" s="87">
        <f>IF(M25=0,0,1000000*M25/TrRoad_act!M65)</f>
        <v>1114.6806067627538</v>
      </c>
      <c r="N116" s="87">
        <f>IF(N25=0,0,1000000*N25/TrRoad_act!N65)</f>
        <v>1005.8491066912761</v>
      </c>
      <c r="O116" s="87">
        <f>IF(O25=0,0,1000000*O25/TrRoad_act!O65)</f>
        <v>913.03300809677796</v>
      </c>
      <c r="P116" s="87">
        <f>IF(P25=0,0,1000000*P25/TrRoad_act!P65)</f>
        <v>891.0648026703326</v>
      </c>
      <c r="Q116" s="87">
        <f>IF(Q25=0,0,1000000*Q25/TrRoad_act!Q65)</f>
        <v>881.5109223186779</v>
      </c>
      <c r="R116" s="87">
        <f>IF(R25=0,0,1000000*R25/TrRoad_act!R65)</f>
        <v>930.23004925949783</v>
      </c>
      <c r="S116" s="87">
        <f>IF(S25=0,0,1000000*S25/TrRoad_act!S65)</f>
        <v>943.08529602857084</v>
      </c>
      <c r="T116" s="87">
        <f>IF(T25=0,0,1000000*T25/TrRoad_act!T65)</f>
        <v>1051.7583848799115</v>
      </c>
      <c r="U116" s="87">
        <f>IF(U25=0,0,1000000*U25/TrRoad_act!U65)</f>
        <v>1134.6363772088409</v>
      </c>
      <c r="V116" s="87">
        <f>IF(V25=0,0,1000000*V25/TrRoad_act!V65)</f>
        <v>917.869261007163</v>
      </c>
      <c r="W116" s="87">
        <f>IF(W25=0,0,1000000*W25/TrRoad_act!W65)</f>
        <v>854.71414285690309</v>
      </c>
      <c r="X116" s="87">
        <f>IF(X25=0,0,1000000*X25/TrRoad_act!X65)</f>
        <v>811.84295945615702</v>
      </c>
      <c r="Y116" s="87">
        <f>IF(Y25=0,0,1000000*Y25/TrRoad_act!Y65)</f>
        <v>792.88063858257988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22354.410790630449</v>
      </c>
      <c r="C118" s="116">
        <f>IF(C27=0,0,1000000*C27/TrRoad_act!C67)</f>
        <v>21665.089638144607</v>
      </c>
      <c r="D118" s="116">
        <f>IF(D27=0,0,1000000*D27/TrRoad_act!D67)</f>
        <v>8656.3327920823758</v>
      </c>
      <c r="E118" s="116">
        <f>IF(E27=0,0,1000000*E27/TrRoad_act!E67)</f>
        <v>17409.527803865691</v>
      </c>
      <c r="F118" s="116">
        <f>IF(F27=0,0,1000000*F27/TrRoad_act!F67)</f>
        <v>24748.994004783719</v>
      </c>
      <c r="G118" s="116">
        <f>IF(G27=0,0,1000000*G27/TrRoad_act!G67)</f>
        <v>34606.600855880155</v>
      </c>
      <c r="H118" s="116">
        <f>IF(H27=0,0,1000000*H27/TrRoad_act!H67)</f>
        <v>37246.187072600165</v>
      </c>
      <c r="I118" s="116">
        <f>IF(I27=0,0,1000000*I27/TrRoad_act!I67)</f>
        <v>35180.291065136676</v>
      </c>
      <c r="J118" s="116">
        <f>IF(J27=0,0,1000000*J27/TrRoad_act!J67)</f>
        <v>34962.958358546879</v>
      </c>
      <c r="K118" s="116">
        <f>IF(K27=0,0,1000000*K27/TrRoad_act!K67)</f>
        <v>27478.275946686139</v>
      </c>
      <c r="L118" s="116">
        <f>IF(L27=0,0,1000000*L27/TrRoad_act!L67)</f>
        <v>28267.10508668737</v>
      </c>
      <c r="M118" s="116">
        <f>IF(M27=0,0,1000000*M27/TrRoad_act!M67)</f>
        <v>29989.959273252371</v>
      </c>
      <c r="N118" s="116">
        <f>IF(N27=0,0,1000000*N27/TrRoad_act!N67)</f>
        <v>34338.816772806633</v>
      </c>
      <c r="O118" s="116">
        <f>IF(O27=0,0,1000000*O27/TrRoad_act!O67)</f>
        <v>35443.733061066152</v>
      </c>
      <c r="P118" s="116">
        <f>IF(P27=0,0,1000000*P27/TrRoad_act!P67)</f>
        <v>40340.556993831429</v>
      </c>
      <c r="Q118" s="116">
        <f>IF(Q27=0,0,1000000*Q27/TrRoad_act!Q67)</f>
        <v>42378.069654917999</v>
      </c>
      <c r="R118" s="116">
        <f>IF(R27=0,0,1000000*R27/TrRoad_act!R67)</f>
        <v>40944.514031853985</v>
      </c>
      <c r="S118" s="116">
        <f>IF(S27=0,0,1000000*S27/TrRoad_act!S67)</f>
        <v>42342.159798252433</v>
      </c>
      <c r="T118" s="116">
        <f>IF(T27=0,0,1000000*T27/TrRoad_act!T67)</f>
        <v>48562.586421456159</v>
      </c>
      <c r="U118" s="116">
        <f>IF(U27=0,0,1000000*U27/TrRoad_act!U67)</f>
        <v>45587.235142655794</v>
      </c>
      <c r="V118" s="116">
        <f>IF(V27=0,0,1000000*V27/TrRoad_act!V67)</f>
        <v>31463.985692047529</v>
      </c>
      <c r="W118" s="116">
        <f>IF(W27=0,0,1000000*W27/TrRoad_act!W67)</f>
        <v>28449.574168119016</v>
      </c>
      <c r="X118" s="116">
        <f>IF(X27=0,0,1000000*X27/TrRoad_act!X67)</f>
        <v>41216.458993243781</v>
      </c>
      <c r="Y118" s="116">
        <f>IF(Y27=0,0,1000000*Y27/TrRoad_act!Y67)</f>
        <v>42481.83561804919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7244.078122971674</v>
      </c>
      <c r="M119" s="101">
        <f>IF(M28=0,0,1000000*M28/TrRoad_act!M68)</f>
        <v>7313.320965220566</v>
      </c>
      <c r="N119" s="101">
        <f>IF(N28=0,0,1000000*N28/TrRoad_act!N68)</f>
        <v>7377.9365941314163</v>
      </c>
      <c r="O119" s="101">
        <f>IF(O28=0,0,1000000*O28/TrRoad_act!O68)</f>
        <v>7394.2313007127586</v>
      </c>
      <c r="P119" s="101">
        <f>IF(P28=0,0,1000000*P28/TrRoad_act!P68)</f>
        <v>7456.6252757373632</v>
      </c>
      <c r="Q119" s="101">
        <f>IF(Q28=0,0,1000000*Q28/TrRoad_act!Q68)</f>
        <v>7472.9409752822776</v>
      </c>
      <c r="R119" s="101">
        <f>IF(R28=0,0,1000000*R28/TrRoad_act!R68)</f>
        <v>7191.003849997438</v>
      </c>
      <c r="S119" s="101">
        <f>IF(S28=0,0,1000000*S28/TrRoad_act!S68)</f>
        <v>6957.2016358730325</v>
      </c>
      <c r="T119" s="101">
        <f>IF(T28=0,0,1000000*T28/TrRoad_act!T68)</f>
        <v>6729.9744115629155</v>
      </c>
      <c r="U119" s="101">
        <f>IF(U28=0,0,1000000*U28/TrRoad_act!U68)</f>
        <v>5888.7433814124479</v>
      </c>
      <c r="V119" s="101">
        <f>IF(V28=0,0,1000000*V28/TrRoad_act!V68)</f>
        <v>4579.9620232571051</v>
      </c>
      <c r="W119" s="101">
        <f>IF(W28=0,0,1000000*W28/TrRoad_act!W68)</f>
        <v>3876.2296279373854</v>
      </c>
      <c r="X119" s="101">
        <f>IF(X28=0,0,1000000*X28/TrRoad_act!X68)</f>
        <v>4557.1773248956615</v>
      </c>
      <c r="Y119" s="101">
        <f>IF(Y28=0,0,1000000*Y28/TrRoad_act!Y68)</f>
        <v>4645.2140781654953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22354.410790630449</v>
      </c>
      <c r="C120" s="101">
        <f>IF(C29=0,0,1000000*C29/TrRoad_act!C69)</f>
        <v>21665.089638144607</v>
      </c>
      <c r="D120" s="101">
        <f>IF(D29=0,0,1000000*D29/TrRoad_act!D69)</f>
        <v>8656.3327920823758</v>
      </c>
      <c r="E120" s="101">
        <f>IF(E29=0,0,1000000*E29/TrRoad_act!E69)</f>
        <v>17409.527803865691</v>
      </c>
      <c r="F120" s="101">
        <f>IF(F29=0,0,1000000*F29/TrRoad_act!F69)</f>
        <v>24748.994004783719</v>
      </c>
      <c r="G120" s="101">
        <f>IF(G29=0,0,1000000*G29/TrRoad_act!G69)</f>
        <v>34606.600855880155</v>
      </c>
      <c r="H120" s="101">
        <f>IF(H29=0,0,1000000*H29/TrRoad_act!H69)</f>
        <v>37246.187072600165</v>
      </c>
      <c r="I120" s="101">
        <f>IF(I29=0,0,1000000*I29/TrRoad_act!I69)</f>
        <v>35180.291065136676</v>
      </c>
      <c r="J120" s="101">
        <f>IF(J29=0,0,1000000*J29/TrRoad_act!J69)</f>
        <v>34962.958358546879</v>
      </c>
      <c r="K120" s="101">
        <f>IF(K29=0,0,1000000*K29/TrRoad_act!K69)</f>
        <v>27478.275946686139</v>
      </c>
      <c r="L120" s="101">
        <f>IF(L29=0,0,1000000*L29/TrRoad_act!L69)</f>
        <v>28473.550523319602</v>
      </c>
      <c r="M120" s="101">
        <f>IF(M29=0,0,1000000*M29/TrRoad_act!M69)</f>
        <v>30185.335249484688</v>
      </c>
      <c r="N120" s="101">
        <f>IF(N29=0,0,1000000*N29/TrRoad_act!N69)</f>
        <v>34556.745365474912</v>
      </c>
      <c r="O120" s="101">
        <f>IF(O29=0,0,1000000*O29/TrRoad_act!O69)</f>
        <v>35658.355499491459</v>
      </c>
      <c r="P120" s="101">
        <f>IF(P29=0,0,1000000*P29/TrRoad_act!P69)</f>
        <v>40561.873415938629</v>
      </c>
      <c r="Q120" s="101">
        <f>IF(Q29=0,0,1000000*Q29/TrRoad_act!Q69)</f>
        <v>42557.807701672049</v>
      </c>
      <c r="R120" s="101">
        <f>IF(R29=0,0,1000000*R29/TrRoad_act!R69)</f>
        <v>41114.471283524967</v>
      </c>
      <c r="S120" s="101">
        <f>IF(S29=0,0,1000000*S29/TrRoad_act!S69)</f>
        <v>42513.931439817381</v>
      </c>
      <c r="T120" s="101">
        <f>IF(T29=0,0,1000000*T29/TrRoad_act!T69)</f>
        <v>48968.061540175928</v>
      </c>
      <c r="U120" s="101">
        <f>IF(U29=0,0,1000000*U29/TrRoad_act!U69)</f>
        <v>46018.830499815085</v>
      </c>
      <c r="V120" s="101">
        <f>IF(V29=0,0,1000000*V29/TrRoad_act!V69)</f>
        <v>31755.725738851721</v>
      </c>
      <c r="W120" s="101">
        <f>IF(W29=0,0,1000000*W29/TrRoad_act!W69)</f>
        <v>28726.095256558656</v>
      </c>
      <c r="X120" s="101">
        <f>IF(X29=0,0,1000000*X29/TrRoad_act!X69)</f>
        <v>41627.63697340912</v>
      </c>
      <c r="Y120" s="101">
        <f>IF(Y29=0,0,1000000*Y29/TrRoad_act!Y69)</f>
        <v>43510.893506951892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36180.387160973289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X122" s="101">
        <f>IF(X31=0,0,1000000*X31/TrRoad_act!X71)</f>
        <v>0</v>
      </c>
      <c r="Y122" s="101">
        <f>IF(Y31=0,0,1000000*Y31/TrRoad_act!Y71)</f>
        <v>0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1774.1424581301308</v>
      </c>
      <c r="C125" s="152">
        <f>IF(C34=0,0,1000000*C34/TrRoad_act!C74)</f>
        <v>1669.8333437186914</v>
      </c>
      <c r="D125" s="152">
        <f>IF(D34=0,0,1000000*D34/TrRoad_act!D74)</f>
        <v>702.26803185013023</v>
      </c>
      <c r="E125" s="152">
        <f>IF(E34=0,0,1000000*E34/TrRoad_act!E74)</f>
        <v>1288.8650664865504</v>
      </c>
      <c r="F125" s="152">
        <f>IF(F34=0,0,1000000*F34/TrRoad_act!F74)</f>
        <v>1718.0894014630856</v>
      </c>
      <c r="G125" s="152">
        <f>IF(G34=0,0,1000000*G34/TrRoad_act!G74)</f>
        <v>2354.8781863164131</v>
      </c>
      <c r="H125" s="152">
        <f>IF(H34=0,0,1000000*H34/TrRoad_act!H74)</f>
        <v>2450.0199242140634</v>
      </c>
      <c r="I125" s="152">
        <f>IF(I34=0,0,1000000*I34/TrRoad_act!I74)</f>
        <v>2354.65594903186</v>
      </c>
      <c r="J125" s="152">
        <f>IF(J34=0,0,1000000*J34/TrRoad_act!J74)</f>
        <v>2305.7642182466047</v>
      </c>
      <c r="K125" s="152">
        <f>IF(K34=0,0,1000000*K34/TrRoad_act!K74)</f>
        <v>2124.6362997111337</v>
      </c>
      <c r="L125" s="152">
        <f>IF(L34=0,0,1000000*L34/TrRoad_act!L74)</f>
        <v>1940.6529551911076</v>
      </c>
      <c r="M125" s="152">
        <f>IF(M34=0,0,1000000*M34/TrRoad_act!M74)</f>
        <v>1840.5410915031448</v>
      </c>
      <c r="N125" s="152">
        <f>IF(N34=0,0,1000000*N34/TrRoad_act!N74)</f>
        <v>1735.2077508299888</v>
      </c>
      <c r="O125" s="152">
        <f>IF(O34=0,0,1000000*O34/TrRoad_act!O74)</f>
        <v>1706.526283683995</v>
      </c>
      <c r="P125" s="152">
        <f>IF(P34=0,0,1000000*P34/TrRoad_act!P74)</f>
        <v>1693.3118660155412</v>
      </c>
      <c r="Q125" s="152">
        <f>IF(Q34=0,0,1000000*Q34/TrRoad_act!Q74)</f>
        <v>1716.0350976000104</v>
      </c>
      <c r="R125" s="152">
        <f>IF(R34=0,0,1000000*R34/TrRoad_act!R74)</f>
        <v>1625.4000686616473</v>
      </c>
      <c r="S125" s="152">
        <f>IF(S34=0,0,1000000*S34/TrRoad_act!S74)</f>
        <v>1704.0443974663076</v>
      </c>
      <c r="T125" s="152">
        <f>IF(T34=0,0,1000000*T34/TrRoad_act!T74)</f>
        <v>1865.2228382124526</v>
      </c>
      <c r="U125" s="152">
        <f>IF(U34=0,0,1000000*U34/TrRoad_act!U74)</f>
        <v>1931.7453327731325</v>
      </c>
      <c r="V125" s="152">
        <f>IF(V34=0,0,1000000*V34/TrRoad_act!V74)</f>
        <v>1597.8876361686023</v>
      </c>
      <c r="W125" s="152">
        <f>IF(W34=0,0,1000000*W34/TrRoad_act!W74)</f>
        <v>1581.0687112909889</v>
      </c>
      <c r="X125" s="152">
        <f>IF(X34=0,0,1000000*X34/TrRoad_act!X74)</f>
        <v>1837.0945667175222</v>
      </c>
      <c r="Y125" s="152">
        <f>IF(Y34=0,0,1000000*Y34/TrRoad_act!Y74)</f>
        <v>1760.1207062254432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1144.5332977528512</v>
      </c>
      <c r="C126" s="87">
        <f>IF(C35=0,0,1000000*C35/TrRoad_act!C75)</f>
        <v>1310.3466300217738</v>
      </c>
      <c r="D126" s="87">
        <f>IF(D35=0,0,1000000*D35/TrRoad_act!D75)</f>
        <v>1359.0644368805151</v>
      </c>
      <c r="E126" s="87">
        <f>IF(E35=0,0,1000000*E35/TrRoad_act!E75)</f>
        <v>1305.4570154704554</v>
      </c>
      <c r="F126" s="87">
        <f>IF(F35=0,0,1000000*F35/TrRoad_act!F75)</f>
        <v>1254.6475505730036</v>
      </c>
      <c r="G126" s="87">
        <f>IF(G35=0,0,1000000*G35/TrRoad_act!G75)</f>
        <v>1274.8001244524824</v>
      </c>
      <c r="H126" s="87">
        <f>IF(H35=0,0,1000000*H35/TrRoad_act!H75)</f>
        <v>1255.1813021730907</v>
      </c>
      <c r="I126" s="87">
        <f>IF(I35=0,0,1000000*I35/TrRoad_act!I75)</f>
        <v>1252.9772958536003</v>
      </c>
      <c r="J126" s="87">
        <f>IF(J35=0,0,1000000*J35/TrRoad_act!J75)</f>
        <v>1219.3321536718342</v>
      </c>
      <c r="K126" s="87">
        <f>IF(K35=0,0,1000000*K35/TrRoad_act!K75)</f>
        <v>1182.0105389368173</v>
      </c>
      <c r="L126" s="87">
        <f>IF(L35=0,0,1000000*L35/TrRoad_act!L75)</f>
        <v>1329.3087167048545</v>
      </c>
      <c r="M126" s="87">
        <f>IF(M35=0,0,1000000*M35/TrRoad_act!M75)</f>
        <v>1309.828979984964</v>
      </c>
      <c r="N126" s="87">
        <f>IF(N35=0,0,1000000*N35/TrRoad_act!N75)</f>
        <v>1371.7882655052767</v>
      </c>
      <c r="O126" s="87">
        <f>IF(O35=0,0,1000000*O35/TrRoad_act!O75)</f>
        <v>1371.4977185040395</v>
      </c>
      <c r="P126" s="87">
        <f>IF(P35=0,0,1000000*P35/TrRoad_act!P75)</f>
        <v>1405.1406005294759</v>
      </c>
      <c r="Q126" s="87">
        <f>IF(Q35=0,0,1000000*Q35/TrRoad_act!Q75)</f>
        <v>1396.4034212586841</v>
      </c>
      <c r="R126" s="87">
        <f>IF(R35=0,0,1000000*R35/TrRoad_act!R75)</f>
        <v>1318.8817551350849</v>
      </c>
      <c r="S126" s="87">
        <f>IF(S35=0,0,1000000*S35/TrRoad_act!S75)</f>
        <v>1304.2376930845151</v>
      </c>
      <c r="T126" s="87">
        <f>IF(T35=0,0,1000000*T35/TrRoad_act!T75)</f>
        <v>1262.7312174737731</v>
      </c>
      <c r="U126" s="87">
        <f>IF(U35=0,0,1000000*U35/TrRoad_act!U75)</f>
        <v>1276.563628573776</v>
      </c>
      <c r="V126" s="87">
        <f>IF(V35=0,0,1000000*V35/TrRoad_act!V75)</f>
        <v>1178.9849157753115</v>
      </c>
      <c r="W126" s="87">
        <f>IF(W35=0,0,1000000*W35/TrRoad_act!W75)</f>
        <v>1142.9841330337961</v>
      </c>
      <c r="X126" s="87">
        <f>IF(X35=0,0,1000000*X35/TrRoad_act!X75)</f>
        <v>1124.7433540821849</v>
      </c>
      <c r="Y126" s="87">
        <f>IF(Y35=0,0,1000000*Y35/TrRoad_act!Y75)</f>
        <v>1097.065642322126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1813.4752705036326</v>
      </c>
      <c r="C127" s="87">
        <f>IF(C36=0,0,1000000*C36/TrRoad_act!C76)</f>
        <v>1692.9149185908868</v>
      </c>
      <c r="D127" s="87">
        <f>IF(D36=0,0,1000000*D36/TrRoad_act!D76)</f>
        <v>661.28598527856275</v>
      </c>
      <c r="E127" s="87">
        <f>IF(E36=0,0,1000000*E36/TrRoad_act!E76)</f>
        <v>1287.8592905105745</v>
      </c>
      <c r="F127" s="87">
        <f>IF(F36=0,0,1000000*F36/TrRoad_act!F76)</f>
        <v>1745.3877742661857</v>
      </c>
      <c r="G127" s="87">
        <f>IF(G36=0,0,1000000*G36/TrRoad_act!G76)</f>
        <v>2416.7414757637348</v>
      </c>
      <c r="H127" s="87">
        <f>IF(H36=0,0,1000000*H36/TrRoad_act!H76)</f>
        <v>2516.5411717473216</v>
      </c>
      <c r="I127" s="87">
        <f>IF(I36=0,0,1000000*I36/TrRoad_act!I76)</f>
        <v>2414.2681525443386</v>
      </c>
      <c r="J127" s="87">
        <f>IF(J36=0,0,1000000*J36/TrRoad_act!J76)</f>
        <v>2363.2023796244584</v>
      </c>
      <c r="K127" s="87">
        <f>IF(K36=0,0,1000000*K36/TrRoad_act!K76)</f>
        <v>2173.1091975254235</v>
      </c>
      <c r="L127" s="87">
        <f>IF(L36=0,0,1000000*L36/TrRoad_act!L76)</f>
        <v>1971.361715856309</v>
      </c>
      <c r="M127" s="87">
        <f>IF(M36=0,0,1000000*M36/TrRoad_act!M76)</f>
        <v>1865.7068232123968</v>
      </c>
      <c r="N127" s="87">
        <f>IF(N36=0,0,1000000*N36/TrRoad_act!N76)</f>
        <v>1751.0369900962964</v>
      </c>
      <c r="O127" s="87">
        <f>IF(O36=0,0,1000000*O36/TrRoad_act!O76)</f>
        <v>1721.4730387179688</v>
      </c>
      <c r="P127" s="87">
        <f>IF(P36=0,0,1000000*P36/TrRoad_act!P76)</f>
        <v>1705.9415882114388</v>
      </c>
      <c r="Q127" s="87">
        <f>IF(Q36=0,0,1000000*Q36/TrRoad_act!Q76)</f>
        <v>1729.4191737594952</v>
      </c>
      <c r="R127" s="87">
        <f>IF(R36=0,0,1000000*R36/TrRoad_act!R76)</f>
        <v>1637.8254584803199</v>
      </c>
      <c r="S127" s="87">
        <f>IF(S36=0,0,1000000*S36/TrRoad_act!S76)</f>
        <v>1719.3686407664209</v>
      </c>
      <c r="T127" s="87">
        <f>IF(T36=0,0,1000000*T36/TrRoad_act!T76)</f>
        <v>1887.2136501277419</v>
      </c>
      <c r="U127" s="87">
        <f>IF(U36=0,0,1000000*U36/TrRoad_act!U76)</f>
        <v>1959.9744389045361</v>
      </c>
      <c r="V127" s="87">
        <f>IF(V36=0,0,1000000*V36/TrRoad_act!V76)</f>
        <v>1617.0224732464997</v>
      </c>
      <c r="W127" s="87">
        <f>IF(W36=0,0,1000000*W36/TrRoad_act!W76)</f>
        <v>1601.8341434166502</v>
      </c>
      <c r="X127" s="87">
        <f>IF(X36=0,0,1000000*X36/TrRoad_act!X76)</f>
        <v>1873.7263876724458</v>
      </c>
      <c r="Y127" s="87">
        <f>IF(Y36=0,0,1000000*Y36/TrRoad_act!Y76)</f>
        <v>1801.8956849995213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2302.1767189475245</v>
      </c>
      <c r="T128" s="87">
        <f>IF(T37=0,0,1000000*T37/TrRoad_act!T77)</f>
        <v>2209.3528694906195</v>
      </c>
      <c r="U128" s="87">
        <f>IF(U37=0,0,1000000*U37/TrRoad_act!U77)</f>
        <v>2096.1295284378152</v>
      </c>
      <c r="V128" s="87">
        <f>IF(V37=0,0,1000000*V37/TrRoad_act!V77)</f>
        <v>1975.1598700352827</v>
      </c>
      <c r="W128" s="87">
        <f>IF(W37=0,0,1000000*W37/TrRoad_act!W77)</f>
        <v>1882.6365884189211</v>
      </c>
      <c r="X128" s="87">
        <f>IF(X37=0,0,1000000*X37/TrRoad_act!X77)</f>
        <v>1794.2733090328959</v>
      </c>
      <c r="Y128" s="87">
        <f>IF(Y37=0,0,1000000*Y37/TrRoad_act!Y77)</f>
        <v>1802.2298835228735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X129" s="87">
        <f>IF(X38=0,0,1000000*X38/TrRoad_act!X78)</f>
        <v>0</v>
      </c>
      <c r="Y129" s="87">
        <f>IF(Y38=0,0,1000000*Y38/TrRoad_act!Y78)</f>
        <v>0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12135.352306727926</v>
      </c>
      <c r="C131" s="116">
        <f>IF(C40=0,0,1000000*C40/TrRoad_act!C80)</f>
        <v>10668.568578950721</v>
      </c>
      <c r="D131" s="116">
        <f>IF(D40=0,0,1000000*D40/TrRoad_act!D80)</f>
        <v>1316.8879358123713</v>
      </c>
      <c r="E131" s="116">
        <f>IF(E40=0,0,1000000*E40/TrRoad_act!E80)</f>
        <v>5974.3851316991841</v>
      </c>
      <c r="F131" s="116">
        <f>IF(F40=0,0,1000000*F40/TrRoad_act!F80)</f>
        <v>13479.090008534462</v>
      </c>
      <c r="G131" s="116">
        <f>IF(G40=0,0,1000000*G40/TrRoad_act!G80)</f>
        <v>9424.2740110477607</v>
      </c>
      <c r="H131" s="116">
        <f>IF(H40=0,0,1000000*H40/TrRoad_act!H80)</f>
        <v>9364.5259720181475</v>
      </c>
      <c r="I131" s="116">
        <f>IF(I40=0,0,1000000*I40/TrRoad_act!I80)</f>
        <v>10330.328617893234</v>
      </c>
      <c r="J131" s="116">
        <f>IF(J40=0,0,1000000*J40/TrRoad_act!J80)</f>
        <v>10345.176622202733</v>
      </c>
      <c r="K131" s="116">
        <f>IF(K40=0,0,1000000*K40/TrRoad_act!K80)</f>
        <v>9323.7027260443228</v>
      </c>
      <c r="L131" s="116">
        <f>IF(L40=0,0,1000000*L40/TrRoad_act!L80)</f>
        <v>7468.0271628027285</v>
      </c>
      <c r="M131" s="116">
        <f>IF(M40=0,0,1000000*M40/TrRoad_act!M80)</f>
        <v>6505.6360368022342</v>
      </c>
      <c r="N131" s="116">
        <f>IF(N40=0,0,1000000*N40/TrRoad_act!N80)</f>
        <v>5837.1175965998991</v>
      </c>
      <c r="O131" s="116">
        <f>IF(O40=0,0,1000000*O40/TrRoad_act!O80)</f>
        <v>5875.7967287659776</v>
      </c>
      <c r="P131" s="116">
        <f>IF(P40=0,0,1000000*P40/TrRoad_act!P80)</f>
        <v>5437.8770901939361</v>
      </c>
      <c r="Q131" s="116">
        <f>IF(Q40=0,0,1000000*Q40/TrRoad_act!Q80)</f>
        <v>5194.5835860000134</v>
      </c>
      <c r="R131" s="116">
        <f>IF(R40=0,0,1000000*R40/TrRoad_act!R80)</f>
        <v>5158.9377378433801</v>
      </c>
      <c r="S131" s="116">
        <f>IF(S40=0,0,1000000*S40/TrRoad_act!S80)</f>
        <v>5240.6480460525336</v>
      </c>
      <c r="T131" s="116">
        <f>IF(T40=0,0,1000000*T40/TrRoad_act!T80)</f>
        <v>5673.4797018837298</v>
      </c>
      <c r="U131" s="116">
        <f>IF(U40=0,0,1000000*U40/TrRoad_act!U80)</f>
        <v>5857.9879167773861</v>
      </c>
      <c r="V131" s="116">
        <f>IF(V40=0,0,1000000*V40/TrRoad_act!V80)</f>
        <v>5003.4915850787229</v>
      </c>
      <c r="W131" s="116">
        <f>IF(W40=0,0,1000000*W40/TrRoad_act!W80)</f>
        <v>5162.312399090556</v>
      </c>
      <c r="X131" s="116">
        <f>IF(X40=0,0,1000000*X40/TrRoad_act!X80)</f>
        <v>6321.0203159725697</v>
      </c>
      <c r="Y131" s="116">
        <f>IF(Y40=0,0,1000000*Y40/TrRoad_act!Y80)</f>
        <v>6220.7708099282554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12135.352306727926</v>
      </c>
      <c r="C132" s="101">
        <f>IF(C41=0,0,1000000*C41/TrRoad_act!C81)</f>
        <v>10668.568578950721</v>
      </c>
      <c r="D132" s="101">
        <f>IF(D41=0,0,1000000*D41/TrRoad_act!D81)</f>
        <v>1316.8879358123713</v>
      </c>
      <c r="E132" s="101">
        <f>IF(E41=0,0,1000000*E41/TrRoad_act!E81)</f>
        <v>5974.3851316991841</v>
      </c>
      <c r="F132" s="101">
        <f>IF(F41=0,0,1000000*F41/TrRoad_act!F81)</f>
        <v>13479.090008534462</v>
      </c>
      <c r="G132" s="101">
        <f>IF(G41=0,0,1000000*G41/TrRoad_act!G81)</f>
        <v>9424.2740110477607</v>
      </c>
      <c r="H132" s="101">
        <f>IF(H41=0,0,1000000*H41/TrRoad_act!H81)</f>
        <v>9364.5259720181475</v>
      </c>
      <c r="I132" s="101">
        <f>IF(I41=0,0,1000000*I41/TrRoad_act!I81)</f>
        <v>10330.328617893234</v>
      </c>
      <c r="J132" s="101">
        <f>IF(J41=0,0,1000000*J41/TrRoad_act!J81)</f>
        <v>10345.176622202733</v>
      </c>
      <c r="K132" s="101">
        <f>IF(K41=0,0,1000000*K41/TrRoad_act!K81)</f>
        <v>9323.7027260443228</v>
      </c>
      <c r="L132" s="101">
        <f>IF(L41=0,0,1000000*L41/TrRoad_act!L81)</f>
        <v>7468.0271628027285</v>
      </c>
      <c r="M132" s="101">
        <f>IF(M41=0,0,1000000*M41/TrRoad_act!M81)</f>
        <v>6505.6360368022342</v>
      </c>
      <c r="N132" s="101">
        <f>IF(N41=0,0,1000000*N41/TrRoad_act!N81)</f>
        <v>5837.1175965998991</v>
      </c>
      <c r="O132" s="101">
        <f>IF(O41=0,0,1000000*O41/TrRoad_act!O81)</f>
        <v>5875.7967287659776</v>
      </c>
      <c r="P132" s="101">
        <f>IF(P41=0,0,1000000*P41/TrRoad_act!P81)</f>
        <v>5437.8770901939361</v>
      </c>
      <c r="Q132" s="101">
        <f>IF(Q41=0,0,1000000*Q41/TrRoad_act!Q81)</f>
        <v>5194.5835860000134</v>
      </c>
      <c r="R132" s="101">
        <f>IF(R41=0,0,1000000*R41/TrRoad_act!R81)</f>
        <v>5158.9377378433801</v>
      </c>
      <c r="S132" s="101">
        <f>IF(S41=0,0,1000000*S41/TrRoad_act!S81)</f>
        <v>5240.6480460525336</v>
      </c>
      <c r="T132" s="101">
        <f>IF(T41=0,0,1000000*T41/TrRoad_act!T81)</f>
        <v>5673.4797018837298</v>
      </c>
      <c r="U132" s="101">
        <f>IF(U41=0,0,1000000*U41/TrRoad_act!U81)</f>
        <v>5857.9879167773861</v>
      </c>
      <c r="V132" s="101">
        <f>IF(V41=0,0,1000000*V41/TrRoad_act!V81)</f>
        <v>5003.4915850787229</v>
      </c>
      <c r="W132" s="101">
        <f>IF(W41=0,0,1000000*W41/TrRoad_act!W81)</f>
        <v>5162.312399090556</v>
      </c>
      <c r="X132" s="101">
        <f>IF(X41=0,0,1000000*X41/TrRoad_act!X81)</f>
        <v>6321.0203159725697</v>
      </c>
      <c r="Y132" s="101">
        <f>IF(Y41=0,0,1000000*Y41/TrRoad_act!Y81)</f>
        <v>6220.7708099282554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0</v>
      </c>
      <c r="C133" s="88">
        <f>IF(C42=0,0,1000000*C42/TrRoad_act!C82)</f>
        <v>0</v>
      </c>
      <c r="D133" s="88">
        <f>IF(D42=0,0,1000000*D42/TrRoad_act!D82)</f>
        <v>0</v>
      </c>
      <c r="E133" s="88">
        <f>IF(E42=0,0,1000000*E42/TrRoad_act!E82)</f>
        <v>0</v>
      </c>
      <c r="F133" s="88">
        <f>IF(F42=0,0,1000000*F42/TrRoad_act!F82)</f>
        <v>0</v>
      </c>
      <c r="G133" s="88">
        <f>IF(G42=0,0,1000000*G42/TrRoad_act!G82)</f>
        <v>0</v>
      </c>
      <c r="H133" s="88">
        <f>IF(H42=0,0,1000000*H42/TrRoad_act!H82)</f>
        <v>0</v>
      </c>
      <c r="I133" s="88">
        <f>IF(I42=0,0,1000000*I42/TrRoad_act!I82)</f>
        <v>0</v>
      </c>
      <c r="J133" s="88">
        <f>IF(J42=0,0,1000000*J42/TrRoad_act!J82)</f>
        <v>0</v>
      </c>
      <c r="K133" s="88">
        <f>IF(K42=0,0,1000000*K42/TrRoad_act!K82)</f>
        <v>0</v>
      </c>
      <c r="L133" s="88">
        <f>IF(L42=0,0,1000000*L42/TrRoad_act!L82)</f>
        <v>0</v>
      </c>
      <c r="M133" s="88">
        <f>IF(M42=0,0,1000000*M42/TrRoad_act!M82)</f>
        <v>0</v>
      </c>
      <c r="N133" s="88">
        <f>IF(N42=0,0,1000000*N42/TrRoad_act!N82)</f>
        <v>0</v>
      </c>
      <c r="O133" s="88">
        <f>IF(O42=0,0,1000000*O42/TrRoad_act!O82)</f>
        <v>0</v>
      </c>
      <c r="P133" s="88">
        <f>IF(P42=0,0,1000000*P42/TrRoad_act!P82)</f>
        <v>0</v>
      </c>
      <c r="Q133" s="88">
        <f>IF(Q42=0,0,1000000*Q42/TrRoad_act!Q82)</f>
        <v>0</v>
      </c>
      <c r="R133" s="88">
        <f>IF(R42=0,0,1000000*R42/TrRoad_act!R82)</f>
        <v>0</v>
      </c>
      <c r="S133" s="88">
        <f>IF(S42=0,0,1000000*S42/TrRoad_act!S82)</f>
        <v>0</v>
      </c>
      <c r="T133" s="88">
        <f>IF(T42=0,0,1000000*T42/TrRoad_act!T82)</f>
        <v>0</v>
      </c>
      <c r="U133" s="88">
        <f>IF(U42=0,0,1000000*U42/TrRoad_act!U82)</f>
        <v>0</v>
      </c>
      <c r="V133" s="88">
        <f>IF(V42=0,0,1000000*V42/TrRoad_act!V82)</f>
        <v>0</v>
      </c>
      <c r="W133" s="88">
        <f>IF(W42=0,0,1000000*W42/TrRoad_act!W82)</f>
        <v>0</v>
      </c>
      <c r="X133" s="88">
        <f>IF(X42=0,0,1000000*X42/TrRoad_act!X82)</f>
        <v>0</v>
      </c>
      <c r="Y133" s="88">
        <f>IF(Y42=0,0,1000000*Y42/TrRoad_act!Y82)</f>
        <v>0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0.60283877440851996</v>
      </c>
      <c r="C136" s="46">
        <f t="shared" si="40"/>
        <v>0.61772041790366294</v>
      </c>
      <c r="D136" s="46">
        <f t="shared" si="40"/>
        <v>0.8806714589450636</v>
      </c>
      <c r="E136" s="46">
        <f t="shared" si="40"/>
        <v>0.72070239546988069</v>
      </c>
      <c r="F136" s="46">
        <f t="shared" si="40"/>
        <v>0.56037624043906942</v>
      </c>
      <c r="G136" s="46">
        <f t="shared" si="40"/>
        <v>0.63719720811958658</v>
      </c>
      <c r="H136" s="46">
        <f t="shared" si="40"/>
        <v>0.64033145732050145</v>
      </c>
      <c r="I136" s="46">
        <f t="shared" si="40"/>
        <v>0.63329306946071673</v>
      </c>
      <c r="J136" s="46">
        <f t="shared" si="40"/>
        <v>0.66571661208444155</v>
      </c>
      <c r="K136" s="46">
        <f t="shared" si="40"/>
        <v>0.66099608973748614</v>
      </c>
      <c r="L136" s="46">
        <f t="shared" si="41"/>
        <v>0.72975853796317713</v>
      </c>
      <c r="M136" s="46">
        <f t="shared" si="40"/>
        <v>0.75072200448734616</v>
      </c>
      <c r="N136" s="46">
        <f t="shared" si="40"/>
        <v>0.76998168256420774</v>
      </c>
      <c r="O136" s="46">
        <f t="shared" si="40"/>
        <v>0.77386565685587771</v>
      </c>
      <c r="P136" s="46">
        <f t="shared" si="40"/>
        <v>0.78593597606923438</v>
      </c>
      <c r="Q136" s="46">
        <f t="shared" si="40"/>
        <v>0.79749512188900384</v>
      </c>
      <c r="R136" s="46">
        <f t="shared" si="40"/>
        <v>0.80030157203705043</v>
      </c>
      <c r="S136" s="46">
        <f t="shared" si="40"/>
        <v>0.79274549907596659</v>
      </c>
      <c r="T136" s="46">
        <f t="shared" si="40"/>
        <v>0.78969248892613153</v>
      </c>
      <c r="U136" s="46">
        <f t="shared" si="40"/>
        <v>0.78345608601574479</v>
      </c>
      <c r="V136" s="46">
        <f t="shared" si="40"/>
        <v>0.76537256234582229</v>
      </c>
      <c r="W136" s="46">
        <f t="shared" si="42"/>
        <v>0.77129017226551999</v>
      </c>
      <c r="X136" s="46">
        <f t="shared" si="42"/>
        <v>0.76945665320670031</v>
      </c>
      <c r="Y136" s="46">
        <f t="shared" si="42"/>
        <v>0.77638323229027539</v>
      </c>
      <c r="DA136" s="211"/>
    </row>
    <row r="137" spans="1:105" ht="11.45" customHeight="1" x14ac:dyDescent="0.25">
      <c r="A137" s="153" t="s">
        <v>173</v>
      </c>
      <c r="B137" s="154">
        <f t="shared" si="40"/>
        <v>7.2132317019561699E-3</v>
      </c>
      <c r="C137" s="154">
        <f t="shared" si="40"/>
        <v>7.977111270139248E-3</v>
      </c>
      <c r="D137" s="154">
        <f t="shared" si="40"/>
        <v>1.2300384099949204E-2</v>
      </c>
      <c r="E137" s="154">
        <f t="shared" si="40"/>
        <v>9.8274180461374854E-3</v>
      </c>
      <c r="F137" s="154">
        <f t="shared" si="40"/>
        <v>7.5037333681567397E-3</v>
      </c>
      <c r="G137" s="154">
        <f t="shared" si="40"/>
        <v>6.6805978506494189E-3</v>
      </c>
      <c r="H137" s="154">
        <f t="shared" si="40"/>
        <v>6.6254488884370496E-3</v>
      </c>
      <c r="I137" s="154">
        <f t="shared" si="40"/>
        <v>6.6845545685400793E-3</v>
      </c>
      <c r="J137" s="154">
        <f t="shared" si="40"/>
        <v>6.7665004866999199E-3</v>
      </c>
      <c r="K137" s="154">
        <f t="shared" si="40"/>
        <v>7.5502772452994953E-3</v>
      </c>
      <c r="L137" s="154">
        <f t="shared" si="41"/>
        <v>7.2077017502782869E-3</v>
      </c>
      <c r="M137" s="154">
        <f t="shared" si="40"/>
        <v>7.6484150872236176E-3</v>
      </c>
      <c r="N137" s="154">
        <f t="shared" si="40"/>
        <v>7.662107310987782E-3</v>
      </c>
      <c r="O137" s="154">
        <f t="shared" si="40"/>
        <v>7.8979505859491008E-3</v>
      </c>
      <c r="P137" s="154">
        <f t="shared" si="40"/>
        <v>8.3048660850376897E-3</v>
      </c>
      <c r="Q137" s="154">
        <f t="shared" si="40"/>
        <v>7.9542600710208779E-3</v>
      </c>
      <c r="R137" s="154">
        <f t="shared" si="40"/>
        <v>8.4078578884255444E-3</v>
      </c>
      <c r="S137" s="154">
        <f t="shared" si="40"/>
        <v>7.6502725712484761E-3</v>
      </c>
      <c r="T137" s="154">
        <f t="shared" si="40"/>
        <v>6.6800883447641233E-3</v>
      </c>
      <c r="U137" s="154">
        <f t="shared" si="40"/>
        <v>7.0013446442631572E-3</v>
      </c>
      <c r="V137" s="154">
        <f t="shared" si="40"/>
        <v>7.8738427807843528E-3</v>
      </c>
      <c r="W137" s="154">
        <f t="shared" si="42"/>
        <v>7.8608449012428864E-3</v>
      </c>
      <c r="X137" s="154">
        <f t="shared" si="42"/>
        <v>6.7321475152199821E-3</v>
      </c>
      <c r="Y137" s="154">
        <f t="shared" si="42"/>
        <v>7.1511590367394576E-3</v>
      </c>
      <c r="DA137" s="212"/>
    </row>
    <row r="138" spans="1:105" ht="11.45" customHeight="1" x14ac:dyDescent="0.25">
      <c r="A138" s="155" t="s">
        <v>20</v>
      </c>
      <c r="B138" s="156">
        <f t="shared" si="40"/>
        <v>0.51920444849127667</v>
      </c>
      <c r="C138" s="156">
        <f t="shared" si="40"/>
        <v>0.53035572848895829</v>
      </c>
      <c r="D138" s="156">
        <f t="shared" si="40"/>
        <v>0.82090616843367392</v>
      </c>
      <c r="E138" s="156">
        <f t="shared" si="40"/>
        <v>0.6360480395389948</v>
      </c>
      <c r="F138" s="156">
        <f t="shared" si="40"/>
        <v>0.46570698693794371</v>
      </c>
      <c r="G138" s="156">
        <f t="shared" si="40"/>
        <v>0.51462276741118262</v>
      </c>
      <c r="H138" s="156">
        <f t="shared" si="40"/>
        <v>0.51218242088891153</v>
      </c>
      <c r="I138" s="156">
        <f t="shared" si="40"/>
        <v>0.51434898116757088</v>
      </c>
      <c r="J138" s="156">
        <f t="shared" si="40"/>
        <v>0.55717205761537369</v>
      </c>
      <c r="K138" s="156">
        <f t="shared" si="40"/>
        <v>0.55391920863028421</v>
      </c>
      <c r="L138" s="156">
        <f t="shared" si="41"/>
        <v>0.61884064557033081</v>
      </c>
      <c r="M138" s="156">
        <f t="shared" si="40"/>
        <v>0.63667361049827909</v>
      </c>
      <c r="N138" s="156">
        <f t="shared" si="40"/>
        <v>0.64045057260877059</v>
      </c>
      <c r="O138" s="156">
        <f t="shared" si="40"/>
        <v>0.64492786104429567</v>
      </c>
      <c r="P138" s="156">
        <f t="shared" si="40"/>
        <v>0.63589235202200767</v>
      </c>
      <c r="Q138" s="156">
        <f t="shared" si="40"/>
        <v>0.63689364667962778</v>
      </c>
      <c r="R138" s="156">
        <f t="shared" si="40"/>
        <v>0.64188925556614906</v>
      </c>
      <c r="S138" s="156">
        <f t="shared" si="40"/>
        <v>0.62882808199619677</v>
      </c>
      <c r="T138" s="156">
        <f t="shared" si="40"/>
        <v>0.61846451034373573</v>
      </c>
      <c r="U138" s="156">
        <f t="shared" si="40"/>
        <v>0.61711728579951231</v>
      </c>
      <c r="V138" s="156">
        <f t="shared" si="40"/>
        <v>0.62313645533334061</v>
      </c>
      <c r="W138" s="156">
        <f t="shared" si="42"/>
        <v>0.64263151009715658</v>
      </c>
      <c r="X138" s="156">
        <f t="shared" si="42"/>
        <v>0.61318351761771361</v>
      </c>
      <c r="Y138" s="156">
        <f t="shared" si="42"/>
        <v>0.61323721240636753</v>
      </c>
      <c r="DA138" s="213"/>
    </row>
    <row r="139" spans="1:105" ht="11.45" customHeight="1" x14ac:dyDescent="0.25">
      <c r="A139" s="157" t="s">
        <v>110</v>
      </c>
      <c r="B139" s="103">
        <f t="shared" si="40"/>
        <v>0.46236934375631117</v>
      </c>
      <c r="C139" s="103">
        <f t="shared" si="40"/>
        <v>0.46658484699260916</v>
      </c>
      <c r="D139" s="103">
        <f t="shared" si="40"/>
        <v>0.78041756900168546</v>
      </c>
      <c r="E139" s="103">
        <f t="shared" si="40"/>
        <v>0.56853730921945134</v>
      </c>
      <c r="F139" s="103">
        <f t="shared" si="40"/>
        <v>0.38468029419445271</v>
      </c>
      <c r="G139" s="103">
        <f t="shared" si="40"/>
        <v>0.40043994631438434</v>
      </c>
      <c r="H139" s="103">
        <f t="shared" si="40"/>
        <v>0.38978818243736663</v>
      </c>
      <c r="I139" s="103">
        <f t="shared" si="40"/>
        <v>0.3980314483822972</v>
      </c>
      <c r="J139" s="103">
        <f t="shared" si="40"/>
        <v>0.45031157475880723</v>
      </c>
      <c r="K139" s="103">
        <f t="shared" si="40"/>
        <v>0.43665180428448147</v>
      </c>
      <c r="L139" s="103">
        <f t="shared" si="41"/>
        <v>0.4134406909945067</v>
      </c>
      <c r="M139" s="103">
        <f t="shared" si="40"/>
        <v>0.42143813530671709</v>
      </c>
      <c r="N139" s="103">
        <f t="shared" si="40"/>
        <v>0.41804279285618479</v>
      </c>
      <c r="O139" s="103">
        <f t="shared" si="40"/>
        <v>0.415578541961033</v>
      </c>
      <c r="P139" s="103">
        <f t="shared" si="40"/>
        <v>0.40664679894819267</v>
      </c>
      <c r="Q139" s="103">
        <f t="shared" si="40"/>
        <v>0.40482596502617629</v>
      </c>
      <c r="R139" s="103">
        <f t="shared" si="40"/>
        <v>0.40242011135395211</v>
      </c>
      <c r="S139" s="103">
        <f t="shared" si="40"/>
        <v>0.39634180519836537</v>
      </c>
      <c r="T139" s="103">
        <f t="shared" si="40"/>
        <v>0.35944926702141011</v>
      </c>
      <c r="U139" s="103">
        <f t="shared" si="40"/>
        <v>0.3640056350095438</v>
      </c>
      <c r="V139" s="103">
        <f t="shared" si="40"/>
        <v>0.38239068776286467</v>
      </c>
      <c r="W139" s="103">
        <f t="shared" si="42"/>
        <v>0.39246686980891204</v>
      </c>
      <c r="X139" s="103">
        <f t="shared" si="42"/>
        <v>0.35669344310981771</v>
      </c>
      <c r="Y139" s="103">
        <f t="shared" si="42"/>
        <v>0.35905977404361522</v>
      </c>
      <c r="DA139" s="191"/>
    </row>
    <row r="140" spans="1:105" ht="11.45" customHeight="1" x14ac:dyDescent="0.25">
      <c r="A140" s="157" t="s">
        <v>111</v>
      </c>
      <c r="B140" s="103">
        <f t="shared" si="40"/>
        <v>5.6835104734965461E-2</v>
      </c>
      <c r="C140" s="103">
        <f t="shared" si="40"/>
        <v>6.3770881496349061E-2</v>
      </c>
      <c r="D140" s="103">
        <f t="shared" si="40"/>
        <v>4.0488599431988473E-2</v>
      </c>
      <c r="E140" s="103">
        <f t="shared" si="40"/>
        <v>6.7510730319543494E-2</v>
      </c>
      <c r="F140" s="103">
        <f t="shared" si="40"/>
        <v>8.1026692743490988E-2</v>
      </c>
      <c r="G140" s="103">
        <f t="shared" si="40"/>
        <v>0.11418282109679827</v>
      </c>
      <c r="H140" s="103">
        <f t="shared" si="40"/>
        <v>0.12239423845154491</v>
      </c>
      <c r="I140" s="103">
        <f t="shared" si="40"/>
        <v>0.11631753278527368</v>
      </c>
      <c r="J140" s="103">
        <f t="shared" si="40"/>
        <v>0.1068604828565665</v>
      </c>
      <c r="K140" s="103">
        <f t="shared" si="40"/>
        <v>0.1172674043458027</v>
      </c>
      <c r="L140" s="103">
        <f t="shared" si="41"/>
        <v>0.2049201862030296</v>
      </c>
      <c r="M140" s="103">
        <f t="shared" si="40"/>
        <v>0.21473325234800611</v>
      </c>
      <c r="N140" s="103">
        <f t="shared" si="40"/>
        <v>0.22183121825907387</v>
      </c>
      <c r="O140" s="103">
        <f t="shared" si="40"/>
        <v>0.22852975270339193</v>
      </c>
      <c r="P140" s="103">
        <f t="shared" si="40"/>
        <v>0.22786416166613202</v>
      </c>
      <c r="Q140" s="103">
        <f t="shared" si="40"/>
        <v>0.23023444084769157</v>
      </c>
      <c r="R140" s="103">
        <f t="shared" si="40"/>
        <v>0.23232472259877771</v>
      </c>
      <c r="S140" s="103">
        <f t="shared" si="40"/>
        <v>0.22746059005000896</v>
      </c>
      <c r="T140" s="103">
        <f t="shared" si="40"/>
        <v>0.25382121337566815</v>
      </c>
      <c r="U140" s="103">
        <f t="shared" si="40"/>
        <v>0.24786615483037422</v>
      </c>
      <c r="V140" s="103">
        <f t="shared" si="40"/>
        <v>0.23471174319798438</v>
      </c>
      <c r="W140" s="103">
        <f t="shared" si="42"/>
        <v>0.24309124691699679</v>
      </c>
      <c r="X140" s="103">
        <f t="shared" si="42"/>
        <v>0.24913857345482551</v>
      </c>
      <c r="Y140" s="103">
        <f t="shared" si="42"/>
        <v>0.24703778310305224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0</v>
      </c>
      <c r="I141" s="103">
        <f t="shared" si="40"/>
        <v>0</v>
      </c>
      <c r="J141" s="103">
        <f t="shared" si="40"/>
        <v>0</v>
      </c>
      <c r="K141" s="103">
        <f t="shared" si="40"/>
        <v>0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5.3277354754641456E-3</v>
      </c>
      <c r="S141" s="103">
        <f t="shared" si="40"/>
        <v>3.2366596215835232E-3</v>
      </c>
      <c r="T141" s="103">
        <f t="shared" si="40"/>
        <v>3.2805424311905091E-3</v>
      </c>
      <c r="U141" s="103">
        <f t="shared" si="40"/>
        <v>3.2024528129288407E-3</v>
      </c>
      <c r="V141" s="103">
        <f t="shared" si="40"/>
        <v>3.6332105971633747E-3</v>
      </c>
      <c r="W141" s="103">
        <f t="shared" si="42"/>
        <v>3.9671582480641596E-3</v>
      </c>
      <c r="X141" s="103">
        <f t="shared" si="42"/>
        <v>3.5068515317495034E-3</v>
      </c>
      <c r="Y141" s="103">
        <f t="shared" si="42"/>
        <v>2.4936161011567112E-3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X142" s="103">
        <f t="shared" si="42"/>
        <v>0</v>
      </c>
      <c r="Y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4.7976837279440959E-4</v>
      </c>
      <c r="M143" s="103">
        <f t="shared" si="40"/>
        <v>5.0222284355579583E-4</v>
      </c>
      <c r="N143" s="103">
        <f t="shared" si="40"/>
        <v>5.7656149351203664E-4</v>
      </c>
      <c r="O143" s="103">
        <f t="shared" si="40"/>
        <v>8.1956637987079311E-4</v>
      </c>
      <c r="P143" s="103">
        <f t="shared" si="40"/>
        <v>1.3813914076829339E-3</v>
      </c>
      <c r="Q143" s="103">
        <f t="shared" si="40"/>
        <v>1.8332408057599324E-3</v>
      </c>
      <c r="R143" s="103">
        <f t="shared" si="40"/>
        <v>1.8166861379550849E-3</v>
      </c>
      <c r="S143" s="103">
        <f t="shared" si="40"/>
        <v>1.7890271262388819E-3</v>
      </c>
      <c r="T143" s="103">
        <f t="shared" si="40"/>
        <v>1.9134875154669378E-3</v>
      </c>
      <c r="U143" s="103">
        <f t="shared" si="40"/>
        <v>2.0430431466653557E-3</v>
      </c>
      <c r="V143" s="103">
        <f t="shared" si="40"/>
        <v>2.4008137753281965E-3</v>
      </c>
      <c r="W143" s="103">
        <f t="shared" si="42"/>
        <v>3.1062351231835785E-3</v>
      </c>
      <c r="X143" s="103">
        <f t="shared" si="42"/>
        <v>3.8446495213209533E-3</v>
      </c>
      <c r="Y143" s="103">
        <f t="shared" si="42"/>
        <v>4.6460391585433887E-3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7.6421094215287227E-2</v>
      </c>
      <c r="C145" s="156">
        <f t="shared" si="40"/>
        <v>7.9387578144565457E-2</v>
      </c>
      <c r="D145" s="156">
        <f t="shared" si="40"/>
        <v>4.7464906411440529E-2</v>
      </c>
      <c r="E145" s="156">
        <f t="shared" si="40"/>
        <v>7.4826937884748396E-2</v>
      </c>
      <c r="F145" s="156">
        <f t="shared" si="40"/>
        <v>8.7165520132968896E-2</v>
      </c>
      <c r="G145" s="156">
        <f t="shared" si="40"/>
        <v>0.11589384285775454</v>
      </c>
      <c r="H145" s="156">
        <f t="shared" si="40"/>
        <v>0.1215235875431529</v>
      </c>
      <c r="I145" s="156">
        <f t="shared" si="40"/>
        <v>0.1122595337246057</v>
      </c>
      <c r="J145" s="156">
        <f t="shared" si="40"/>
        <v>0.10177805398236792</v>
      </c>
      <c r="K145" s="156">
        <f t="shared" si="40"/>
        <v>9.9526603861902471E-2</v>
      </c>
      <c r="L145" s="156">
        <f t="shared" si="41"/>
        <v>0.1037101906425681</v>
      </c>
      <c r="M145" s="156">
        <f t="shared" si="40"/>
        <v>0.10639997890184354</v>
      </c>
      <c r="N145" s="156">
        <f t="shared" si="40"/>
        <v>0.12186900264444939</v>
      </c>
      <c r="O145" s="156">
        <f t="shared" si="40"/>
        <v>0.12103984522563292</v>
      </c>
      <c r="P145" s="156">
        <f t="shared" si="40"/>
        <v>0.14173875796218899</v>
      </c>
      <c r="Q145" s="156">
        <f t="shared" si="40"/>
        <v>0.15264721513835511</v>
      </c>
      <c r="R145" s="156">
        <f t="shared" si="40"/>
        <v>0.1500044585824758</v>
      </c>
      <c r="S145" s="156">
        <f t="shared" si="40"/>
        <v>0.15626714450852131</v>
      </c>
      <c r="T145" s="156">
        <f t="shared" si="40"/>
        <v>0.16454789023763172</v>
      </c>
      <c r="U145" s="156">
        <f t="shared" si="40"/>
        <v>0.15933745557196932</v>
      </c>
      <c r="V145" s="156">
        <f t="shared" si="40"/>
        <v>0.13436226423169725</v>
      </c>
      <c r="W145" s="156">
        <f t="shared" si="42"/>
        <v>0.12079781726712055</v>
      </c>
      <c r="X145" s="156">
        <f t="shared" si="42"/>
        <v>0.14954098807376676</v>
      </c>
      <c r="Y145" s="156">
        <f t="shared" si="42"/>
        <v>0.15599486084716857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2.584576021107048E-4</v>
      </c>
      <c r="M146" s="103">
        <f t="shared" si="40"/>
        <v>2.21639441636808E-4</v>
      </c>
      <c r="N146" s="103">
        <f t="shared" si="40"/>
        <v>2.099552048704843E-4</v>
      </c>
      <c r="O146" s="103">
        <f t="shared" si="40"/>
        <v>1.9174388665531636E-4</v>
      </c>
      <c r="P146" s="103">
        <f t="shared" si="40"/>
        <v>1.7514826686458495E-4</v>
      </c>
      <c r="Q146" s="103">
        <f t="shared" si="40"/>
        <v>1.3789847193639666E-4</v>
      </c>
      <c r="R146" s="103">
        <f t="shared" si="40"/>
        <v>1.3198890662106385E-4</v>
      </c>
      <c r="S146" s="103">
        <f t="shared" si="40"/>
        <v>1.2403918796152877E-4</v>
      </c>
      <c r="T146" s="103">
        <f t="shared" si="40"/>
        <v>1.187688888946056E-4</v>
      </c>
      <c r="U146" s="103">
        <f t="shared" si="40"/>
        <v>1.1761405000755489E-4</v>
      </c>
      <c r="V146" s="103">
        <f t="shared" si="40"/>
        <v>9.6822008017900867E-5</v>
      </c>
      <c r="W146" s="103">
        <f t="shared" si="42"/>
        <v>8.4947597823247325E-5</v>
      </c>
      <c r="X146" s="103">
        <f t="shared" si="42"/>
        <v>8.2740389919485626E-5</v>
      </c>
      <c r="Y146" s="103">
        <f t="shared" si="42"/>
        <v>8.8662997769109412E-5</v>
      </c>
      <c r="DA146" s="191"/>
    </row>
    <row r="147" spans="1:105" ht="11.45" customHeight="1" x14ac:dyDescent="0.25">
      <c r="A147" s="157" t="s">
        <v>111</v>
      </c>
      <c r="B147" s="103">
        <f t="shared" si="40"/>
        <v>7.6421094215287227E-2</v>
      </c>
      <c r="C147" s="103">
        <f t="shared" si="40"/>
        <v>7.9387578144565457E-2</v>
      </c>
      <c r="D147" s="103">
        <f t="shared" si="40"/>
        <v>4.7464906411440529E-2</v>
      </c>
      <c r="E147" s="103">
        <f t="shared" si="40"/>
        <v>7.4826937884748396E-2</v>
      </c>
      <c r="F147" s="103">
        <f t="shared" si="40"/>
        <v>8.7165520132968896E-2</v>
      </c>
      <c r="G147" s="103">
        <f t="shared" si="40"/>
        <v>0.11589384285775454</v>
      </c>
      <c r="H147" s="103">
        <f t="shared" si="40"/>
        <v>0.1215235875431529</v>
      </c>
      <c r="I147" s="103">
        <f t="shared" si="40"/>
        <v>0.1122595337246057</v>
      </c>
      <c r="J147" s="103">
        <f t="shared" si="40"/>
        <v>0.10177805398236792</v>
      </c>
      <c r="K147" s="103">
        <f t="shared" si="40"/>
        <v>9.9526603861902471E-2</v>
      </c>
      <c r="L147" s="103">
        <f t="shared" si="41"/>
        <v>0.10345173304045739</v>
      </c>
      <c r="M147" s="103">
        <f t="shared" si="40"/>
        <v>0.10617833946020673</v>
      </c>
      <c r="N147" s="103">
        <f t="shared" si="40"/>
        <v>0.12165904743957889</v>
      </c>
      <c r="O147" s="103">
        <f t="shared" si="40"/>
        <v>0.1208481013389776</v>
      </c>
      <c r="P147" s="103">
        <f t="shared" si="40"/>
        <v>0.14156360969532442</v>
      </c>
      <c r="Q147" s="103">
        <f t="shared" si="40"/>
        <v>0.15250931666641873</v>
      </c>
      <c r="R147" s="103">
        <f t="shared" ref="R147:V147" si="43">IF(R29=0,0,R29/R$17)</f>
        <v>0.14987246967585474</v>
      </c>
      <c r="S147" s="103">
        <f t="shared" si="43"/>
        <v>0.15614310532055975</v>
      </c>
      <c r="T147" s="103">
        <f t="shared" si="43"/>
        <v>0.16442912134873713</v>
      </c>
      <c r="U147" s="103">
        <f t="shared" si="43"/>
        <v>0.15921984152196178</v>
      </c>
      <c r="V147" s="103">
        <f t="shared" si="43"/>
        <v>0.13426544222367937</v>
      </c>
      <c r="W147" s="103">
        <f t="shared" ref="W147:Y147" si="44">IF(W29=0,0,W29/W$17)</f>
        <v>0.12071286966929733</v>
      </c>
      <c r="X147" s="103">
        <f t="shared" si="44"/>
        <v>0.14945824768384727</v>
      </c>
      <c r="Y147" s="103">
        <f t="shared" si="44"/>
        <v>0.15479065609667605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1.1155417527233791E-3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:Y149" si="51">IF(W31=0,0,W31/W$17)</f>
        <v>0</v>
      </c>
      <c r="X149" s="103">
        <f t="shared" si="51"/>
        <v>0</v>
      </c>
      <c r="Y149" s="103">
        <f t="shared" si="51"/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0.39716122559148004</v>
      </c>
      <c r="C151" s="46">
        <f t="shared" si="55"/>
        <v>0.382279582096337</v>
      </c>
      <c r="D151" s="46">
        <f t="shared" si="55"/>
        <v>0.1193285410549364</v>
      </c>
      <c r="E151" s="46">
        <f t="shared" si="55"/>
        <v>0.27929760453011931</v>
      </c>
      <c r="F151" s="46">
        <f t="shared" si="55"/>
        <v>0.43962375956093064</v>
      </c>
      <c r="G151" s="46">
        <f t="shared" si="55"/>
        <v>0.36280279188041342</v>
      </c>
      <c r="H151" s="46">
        <f t="shared" si="55"/>
        <v>0.35966854267949849</v>
      </c>
      <c r="I151" s="46">
        <f t="shared" si="55"/>
        <v>0.36670693053928327</v>
      </c>
      <c r="J151" s="46">
        <f t="shared" si="55"/>
        <v>0.33428338791555856</v>
      </c>
      <c r="K151" s="46">
        <f t="shared" si="55"/>
        <v>0.33900391026251386</v>
      </c>
      <c r="L151" s="46">
        <f t="shared" ref="L151" si="56">IF(L33=0,0,L33/L$17)</f>
        <v>0.27024146203682287</v>
      </c>
      <c r="M151" s="46">
        <f t="shared" ref="M151:V151" si="57">IF(M33=0,0,M33/M$17)</f>
        <v>0.24927799551265381</v>
      </c>
      <c r="N151" s="46">
        <f t="shared" si="57"/>
        <v>0.23001831743579224</v>
      </c>
      <c r="O151" s="46">
        <f t="shared" si="57"/>
        <v>0.22613434314412226</v>
      </c>
      <c r="P151" s="46">
        <f t="shared" si="57"/>
        <v>0.21406402393076562</v>
      </c>
      <c r="Q151" s="46">
        <f t="shared" si="57"/>
        <v>0.20250487811099629</v>
      </c>
      <c r="R151" s="46">
        <f t="shared" si="57"/>
        <v>0.19969842796294959</v>
      </c>
      <c r="S151" s="46">
        <f t="shared" si="57"/>
        <v>0.20725450092403344</v>
      </c>
      <c r="T151" s="46">
        <f t="shared" si="57"/>
        <v>0.21030751107386833</v>
      </c>
      <c r="U151" s="46">
        <f t="shared" si="57"/>
        <v>0.21654391398425513</v>
      </c>
      <c r="V151" s="46">
        <f t="shared" si="57"/>
        <v>0.23462743765417776</v>
      </c>
      <c r="W151" s="46">
        <f t="shared" ref="W151:Y151" si="58">IF(W33=0,0,W33/W$17)</f>
        <v>0.22870982773448006</v>
      </c>
      <c r="X151" s="46">
        <f t="shared" si="58"/>
        <v>0.23054334679329971</v>
      </c>
      <c r="Y151" s="46">
        <f t="shared" si="58"/>
        <v>0.22361676770972466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0.10892131345438581</v>
      </c>
      <c r="C152" s="154">
        <f t="shared" si="59"/>
        <v>0.109873280890398</v>
      </c>
      <c r="D152" s="154">
        <f t="shared" si="59"/>
        <v>6.9181045881469144E-2</v>
      </c>
      <c r="E152" s="154">
        <f t="shared" si="59"/>
        <v>0.10109332651839509</v>
      </c>
      <c r="F152" s="154">
        <f t="shared" si="59"/>
        <v>0.11022458496405571</v>
      </c>
      <c r="G152" s="154">
        <f t="shared" si="59"/>
        <v>0.14335750026314159</v>
      </c>
      <c r="H152" s="154">
        <f t="shared" si="59"/>
        <v>0.15071030441184899</v>
      </c>
      <c r="I152" s="154">
        <f t="shared" si="59"/>
        <v>0.14664926256907942</v>
      </c>
      <c r="J152" s="154">
        <f t="shared" si="59"/>
        <v>0.13318629474570978</v>
      </c>
      <c r="K152" s="154">
        <f t="shared" si="59"/>
        <v>0.13682829425882728</v>
      </c>
      <c r="L152" s="154">
        <f t="shared" ref="L152" si="60">IF(L34=0,0,L34/L$17)</f>
        <v>0.11986130652238182</v>
      </c>
      <c r="M152" s="154">
        <f t="shared" ref="M152:V152" si="61">IF(M34=0,0,M34/M$17)</f>
        <v>0.11574706442398275</v>
      </c>
      <c r="N152" s="154">
        <f t="shared" si="61"/>
        <v>0.11033760801863716</v>
      </c>
      <c r="O152" s="154">
        <f t="shared" si="61"/>
        <v>0.10868165322650113</v>
      </c>
      <c r="P152" s="154">
        <f t="shared" si="61"/>
        <v>0.10736689711844692</v>
      </c>
      <c r="Q152" s="154">
        <f t="shared" si="61"/>
        <v>0.10477983498828088</v>
      </c>
      <c r="R152" s="154">
        <f t="shared" si="61"/>
        <v>0.10062335022236717</v>
      </c>
      <c r="S152" s="154">
        <f t="shared" si="61"/>
        <v>0.10628870311225862</v>
      </c>
      <c r="T152" s="154">
        <f t="shared" si="61"/>
        <v>0.10943699408826528</v>
      </c>
      <c r="U152" s="154">
        <f t="shared" si="61"/>
        <v>0.11263910880532624</v>
      </c>
      <c r="V152" s="154">
        <f t="shared" si="61"/>
        <v>0.11955323136960529</v>
      </c>
      <c r="W152" s="154">
        <f t="shared" ref="W152:Y152" si="62">IF(W34=0,0,W34/W$17)</f>
        <v>0.11390901888609996</v>
      </c>
      <c r="X152" s="154">
        <f t="shared" si="62"/>
        <v>0.11157047196633627</v>
      </c>
      <c r="Y152" s="154">
        <f t="shared" si="62"/>
        <v>0.1063060145319716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4.1316104408200436E-3</v>
      </c>
      <c r="C153" s="103">
        <f t="shared" si="63"/>
        <v>5.201895575884111E-3</v>
      </c>
      <c r="D153" s="103">
        <f t="shared" si="63"/>
        <v>7.8632188161823265E-3</v>
      </c>
      <c r="E153" s="103">
        <f t="shared" si="63"/>
        <v>5.8522428986926885E-3</v>
      </c>
      <c r="F153" s="103">
        <f t="shared" si="63"/>
        <v>4.4775408882421625E-3</v>
      </c>
      <c r="G153" s="103">
        <f t="shared" si="63"/>
        <v>4.2041991424469939E-3</v>
      </c>
      <c r="H153" s="103">
        <f t="shared" si="63"/>
        <v>4.0719381023598972E-3</v>
      </c>
      <c r="I153" s="103">
        <f t="shared" si="63"/>
        <v>4.0058049116000784E-3</v>
      </c>
      <c r="J153" s="103">
        <f t="shared" si="63"/>
        <v>3.5180951026437817E-3</v>
      </c>
      <c r="K153" s="103">
        <f t="shared" si="63"/>
        <v>3.7013728332840347E-3</v>
      </c>
      <c r="L153" s="103">
        <f t="shared" ref="L153" si="64">IF(L35=0,0,L35/L$17)</f>
        <v>3.8864362946563927E-3</v>
      </c>
      <c r="M153" s="103">
        <f t="shared" ref="M153:V153" si="65">IF(M35=0,0,M35/M$17)</f>
        <v>3.6758518123778915E-3</v>
      </c>
      <c r="N153" s="103">
        <f t="shared" si="65"/>
        <v>3.5635399218886311E-3</v>
      </c>
      <c r="O153" s="103">
        <f t="shared" si="65"/>
        <v>3.488111961850799E-3</v>
      </c>
      <c r="P153" s="103">
        <f t="shared" si="65"/>
        <v>3.4600526174490328E-3</v>
      </c>
      <c r="Q153" s="103">
        <f t="shared" si="65"/>
        <v>3.1591429361856257E-3</v>
      </c>
      <c r="R153" s="103">
        <f t="shared" si="65"/>
        <v>2.907346388754842E-3</v>
      </c>
      <c r="S153" s="103">
        <f t="shared" si="65"/>
        <v>2.7206140285497499E-3</v>
      </c>
      <c r="T153" s="103">
        <f t="shared" si="65"/>
        <v>2.3722715900274466E-3</v>
      </c>
      <c r="U153" s="103">
        <f t="shared" si="65"/>
        <v>2.3731274367479508E-3</v>
      </c>
      <c r="V153" s="103">
        <f t="shared" si="65"/>
        <v>2.7733787894378649E-3</v>
      </c>
      <c r="W153" s="103">
        <f t="shared" ref="W153:Y153" si="66">IF(W35=0,0,W35/W$17)</f>
        <v>2.7407239004827309E-3</v>
      </c>
      <c r="X153" s="103">
        <f t="shared" si="66"/>
        <v>2.6547181764912551E-3</v>
      </c>
      <c r="Y153" s="103">
        <f t="shared" si="66"/>
        <v>2.9347716285219828E-3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0.10478970301356576</v>
      </c>
      <c r="C154" s="103">
        <f t="shared" si="67"/>
        <v>0.10467138531451388</v>
      </c>
      <c r="D154" s="103">
        <f t="shared" si="67"/>
        <v>6.1317827065286816E-2</v>
      </c>
      <c r="E154" s="103">
        <f t="shared" si="67"/>
        <v>9.5241083619702391E-2</v>
      </c>
      <c r="F154" s="103">
        <f t="shared" si="67"/>
        <v>0.10574704407581355</v>
      </c>
      <c r="G154" s="103">
        <f t="shared" si="67"/>
        <v>0.1391533011206946</v>
      </c>
      <c r="H154" s="103">
        <f t="shared" si="67"/>
        <v>0.14663836630948909</v>
      </c>
      <c r="I154" s="103">
        <f t="shared" si="67"/>
        <v>0.14264345765747935</v>
      </c>
      <c r="J154" s="103">
        <f t="shared" si="67"/>
        <v>0.129668199643066</v>
      </c>
      <c r="K154" s="103">
        <f t="shared" si="67"/>
        <v>0.13312692142554328</v>
      </c>
      <c r="L154" s="103">
        <f t="shared" ref="L154" si="68">IF(L36=0,0,L36/L$17)</f>
        <v>0.11597487022772543</v>
      </c>
      <c r="M154" s="103">
        <f t="shared" ref="M154:V154" si="69">IF(M36=0,0,M36/M$17)</f>
        <v>0.11207121261160487</v>
      </c>
      <c r="N154" s="103">
        <f t="shared" si="69"/>
        <v>0.10677406809674854</v>
      </c>
      <c r="O154" s="103">
        <f t="shared" si="69"/>
        <v>0.10519354126465033</v>
      </c>
      <c r="P154" s="103">
        <f t="shared" si="69"/>
        <v>0.10390684450099788</v>
      </c>
      <c r="Q154" s="103">
        <f t="shared" si="69"/>
        <v>0.10162069205209524</v>
      </c>
      <c r="R154" s="103">
        <f t="shared" si="69"/>
        <v>9.7716003833612314E-2</v>
      </c>
      <c r="S154" s="103">
        <f t="shared" si="69"/>
        <v>0.10355988003226238</v>
      </c>
      <c r="T154" s="103">
        <f t="shared" si="69"/>
        <v>0.10705763338887186</v>
      </c>
      <c r="U154" s="103">
        <f t="shared" si="69"/>
        <v>0.11025309972344559</v>
      </c>
      <c r="V154" s="103">
        <f t="shared" si="69"/>
        <v>0.11676466873494996</v>
      </c>
      <c r="W154" s="103">
        <f t="shared" ref="W154:Y154" si="70">IF(W36=0,0,W36/W$17)</f>
        <v>0.11115454232120611</v>
      </c>
      <c r="X154" s="103">
        <f t="shared" si="70"/>
        <v>0.10890489481123994</v>
      </c>
      <c r="Y154" s="103">
        <f t="shared" si="70"/>
        <v>0.10335801248695134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8.2090514464830148E-6</v>
      </c>
      <c r="T155" s="103">
        <f t="shared" si="73"/>
        <v>7.0891093659670114E-6</v>
      </c>
      <c r="U155" s="103">
        <f t="shared" si="73"/>
        <v>1.2881645132705323E-5</v>
      </c>
      <c r="V155" s="103">
        <f t="shared" si="73"/>
        <v>1.5183845217459597E-5</v>
      </c>
      <c r="W155" s="103">
        <f t="shared" ref="W155:Y155" si="74">IF(W37=0,0,W37/W$17)</f>
        <v>1.3752664411115763E-5</v>
      </c>
      <c r="X155" s="103">
        <f t="shared" si="74"/>
        <v>1.0858978605059113E-5</v>
      </c>
      <c r="Y155" s="103">
        <f t="shared" si="74"/>
        <v>1.3230416498273567E-5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:Y156" si="78">IF(W38=0,0,W38/W$17)</f>
        <v>0</v>
      </c>
      <c r="X156" s="103">
        <f t="shared" si="78"/>
        <v>0</v>
      </c>
      <c r="Y156" s="103">
        <f t="shared" si="78"/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0.28823991213709421</v>
      </c>
      <c r="C158" s="156">
        <f t="shared" si="83"/>
        <v>0.27240630120593906</v>
      </c>
      <c r="D158" s="156">
        <f t="shared" si="83"/>
        <v>5.0147495173467248E-2</v>
      </c>
      <c r="E158" s="156">
        <f t="shared" si="83"/>
        <v>0.17820427801172423</v>
      </c>
      <c r="F158" s="156">
        <f t="shared" si="83"/>
        <v>0.3293991745968749</v>
      </c>
      <c r="G158" s="156">
        <f t="shared" si="83"/>
        <v>0.21944529161727183</v>
      </c>
      <c r="H158" s="156">
        <f t="shared" si="83"/>
        <v>0.2089582382676495</v>
      </c>
      <c r="I158" s="156">
        <f t="shared" si="83"/>
        <v>0.22005766797020382</v>
      </c>
      <c r="J158" s="156">
        <f t="shared" si="83"/>
        <v>0.20109709316984875</v>
      </c>
      <c r="K158" s="156">
        <f t="shared" si="83"/>
        <v>0.20217561600368658</v>
      </c>
      <c r="L158" s="156">
        <f t="shared" ref="L158" si="84">IF(L40=0,0,L40/L$17)</f>
        <v>0.15038015551444106</v>
      </c>
      <c r="M158" s="156">
        <f t="shared" ref="M158:V158" si="85">IF(M40=0,0,M40/M$17)</f>
        <v>0.13353093108867106</v>
      </c>
      <c r="N158" s="156">
        <f t="shared" si="85"/>
        <v>0.1196807094171551</v>
      </c>
      <c r="O158" s="156">
        <f t="shared" si="85"/>
        <v>0.11745268991762114</v>
      </c>
      <c r="P158" s="156">
        <f t="shared" si="85"/>
        <v>0.1066971268123187</v>
      </c>
      <c r="Q158" s="156">
        <f t="shared" si="85"/>
        <v>9.7725043122715433E-2</v>
      </c>
      <c r="R158" s="156">
        <f t="shared" si="85"/>
        <v>9.9075077740582426E-2</v>
      </c>
      <c r="S158" s="156">
        <f t="shared" si="85"/>
        <v>0.10096579781177485</v>
      </c>
      <c r="T158" s="156">
        <f t="shared" si="85"/>
        <v>0.10087051698560304</v>
      </c>
      <c r="U158" s="156">
        <f t="shared" si="85"/>
        <v>0.1039048051789289</v>
      </c>
      <c r="V158" s="156">
        <f t="shared" si="85"/>
        <v>0.11507420628457248</v>
      </c>
      <c r="W158" s="156">
        <f t="shared" ref="W158:Y158" si="86">IF(W40=0,0,W40/W$17)</f>
        <v>0.11480080884838011</v>
      </c>
      <c r="X158" s="156">
        <f t="shared" si="86"/>
        <v>0.11897287482696348</v>
      </c>
      <c r="Y158" s="156">
        <f t="shared" si="86"/>
        <v>0.11731075317775305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0.28823991213709421</v>
      </c>
      <c r="C159" s="103">
        <f t="shared" si="87"/>
        <v>0.27240630120593906</v>
      </c>
      <c r="D159" s="103">
        <f t="shared" si="87"/>
        <v>5.0147495173467248E-2</v>
      </c>
      <c r="E159" s="103">
        <f t="shared" si="87"/>
        <v>0.17820427801172423</v>
      </c>
      <c r="F159" s="103">
        <f t="shared" si="87"/>
        <v>0.3293991745968749</v>
      </c>
      <c r="G159" s="103">
        <f t="shared" si="87"/>
        <v>0.21944529161727183</v>
      </c>
      <c r="H159" s="103">
        <f t="shared" si="87"/>
        <v>0.2089582382676495</v>
      </c>
      <c r="I159" s="103">
        <f t="shared" si="87"/>
        <v>0.22005766797020382</v>
      </c>
      <c r="J159" s="103">
        <f t="shared" si="87"/>
        <v>0.20109709316984875</v>
      </c>
      <c r="K159" s="103">
        <f t="shared" si="87"/>
        <v>0.20217561600368658</v>
      </c>
      <c r="L159" s="103">
        <f t="shared" ref="L159" si="88">IF(L41=0,0,L41/L$17)</f>
        <v>0.15038015551444106</v>
      </c>
      <c r="M159" s="103">
        <f t="shared" ref="M159:V159" si="89">IF(M41=0,0,M41/M$17)</f>
        <v>0.13353093108867106</v>
      </c>
      <c r="N159" s="103">
        <f t="shared" si="89"/>
        <v>0.1196807094171551</v>
      </c>
      <c r="O159" s="103">
        <f t="shared" si="89"/>
        <v>0.11745268991762114</v>
      </c>
      <c r="P159" s="103">
        <f t="shared" si="89"/>
        <v>0.1066971268123187</v>
      </c>
      <c r="Q159" s="103">
        <f t="shared" si="89"/>
        <v>9.7725043122715433E-2</v>
      </c>
      <c r="R159" s="103">
        <f t="shared" si="89"/>
        <v>9.9075077740582426E-2</v>
      </c>
      <c r="S159" s="103">
        <f t="shared" si="89"/>
        <v>0.10096579781177485</v>
      </c>
      <c r="T159" s="103">
        <f t="shared" si="89"/>
        <v>0.10087051698560304</v>
      </c>
      <c r="U159" s="103">
        <f t="shared" si="89"/>
        <v>0.1039048051789289</v>
      </c>
      <c r="V159" s="103">
        <f t="shared" si="89"/>
        <v>0.11507420628457248</v>
      </c>
      <c r="W159" s="103">
        <f t="shared" ref="W159:Y159" si="90">IF(W41=0,0,W41/W$17)</f>
        <v>0.11480080884838011</v>
      </c>
      <c r="X159" s="103">
        <f t="shared" si="90"/>
        <v>0.11897287482696348</v>
      </c>
      <c r="Y159" s="103">
        <f t="shared" si="90"/>
        <v>0.11731075317775305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</v>
      </c>
      <c r="C160" s="105">
        <f t="shared" si="91"/>
        <v>0</v>
      </c>
      <c r="D160" s="105">
        <f t="shared" si="91"/>
        <v>0</v>
      </c>
      <c r="E160" s="105">
        <f t="shared" si="91"/>
        <v>0</v>
      </c>
      <c r="F160" s="105">
        <f t="shared" si="91"/>
        <v>0</v>
      </c>
      <c r="G160" s="105">
        <f t="shared" si="91"/>
        <v>0</v>
      </c>
      <c r="H160" s="105">
        <f t="shared" si="91"/>
        <v>0</v>
      </c>
      <c r="I160" s="105">
        <f t="shared" si="91"/>
        <v>0</v>
      </c>
      <c r="J160" s="105">
        <f t="shared" si="91"/>
        <v>0</v>
      </c>
      <c r="K160" s="105">
        <f t="shared" si="91"/>
        <v>0</v>
      </c>
      <c r="L160" s="105">
        <f t="shared" ref="L160" si="92">IF(L42=0,0,L42/L$17)</f>
        <v>0</v>
      </c>
      <c r="M160" s="105">
        <f t="shared" ref="M160:V160" si="93">IF(M42=0,0,M42/M$17)</f>
        <v>0</v>
      </c>
      <c r="N160" s="105">
        <f t="shared" si="93"/>
        <v>0</v>
      </c>
      <c r="O160" s="105">
        <f t="shared" si="93"/>
        <v>0</v>
      </c>
      <c r="P160" s="105">
        <f t="shared" si="93"/>
        <v>0</v>
      </c>
      <c r="Q160" s="105">
        <f t="shared" si="93"/>
        <v>0</v>
      </c>
      <c r="R160" s="105">
        <f t="shared" si="93"/>
        <v>0</v>
      </c>
      <c r="S160" s="105">
        <f t="shared" si="93"/>
        <v>0</v>
      </c>
      <c r="T160" s="105">
        <f t="shared" si="93"/>
        <v>0</v>
      </c>
      <c r="U160" s="105">
        <f t="shared" si="93"/>
        <v>0</v>
      </c>
      <c r="V160" s="105">
        <f t="shared" si="93"/>
        <v>0</v>
      </c>
      <c r="W160" s="105">
        <f t="shared" ref="W160:Y160" si="94">IF(W42=0,0,W42/W$17)</f>
        <v>0</v>
      </c>
      <c r="X160" s="105">
        <f t="shared" si="94"/>
        <v>0</v>
      </c>
      <c r="Y160" s="105">
        <f t="shared" si="94"/>
        <v>0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235023</v>
      </c>
      <c r="C3" s="54">
        <f>TrRoad_act!C57</f>
        <v>241828</v>
      </c>
      <c r="D3" s="54">
        <f>TrRoad_act!D57</f>
        <v>249013</v>
      </c>
      <c r="E3" s="54">
        <f>TrRoad_act!E57</f>
        <v>256749</v>
      </c>
      <c r="F3" s="54">
        <f>TrRoad_act!F57</f>
        <v>258691</v>
      </c>
      <c r="G3" s="54">
        <f>TrRoad_act!G57</f>
        <v>259262</v>
      </c>
      <c r="H3" s="54">
        <f>TrRoad_act!H57</f>
        <v>266153</v>
      </c>
      <c r="I3" s="54">
        <f>TrRoad_act!I57</f>
        <v>274144</v>
      </c>
      <c r="J3" s="54">
        <f>TrRoad_act!J57</f>
        <v>280622</v>
      </c>
      <c r="K3" s="54">
        <f>TrRoad_act!K57</f>
        <v>286389</v>
      </c>
      <c r="L3" s="54">
        <f>TrRoad_act!L57</f>
        <v>298160</v>
      </c>
      <c r="M3" s="54">
        <f>TrRoad_act!M57</f>
        <v>305338</v>
      </c>
      <c r="N3" s="54">
        <f>TrRoad_act!N57</f>
        <v>308017</v>
      </c>
      <c r="O3" s="54">
        <f>TrRoad_act!O57</f>
        <v>316204</v>
      </c>
      <c r="P3" s="54">
        <f>TrRoad_act!P57</f>
        <v>328093</v>
      </c>
      <c r="Q3" s="54">
        <f>TrRoad_act!Q57</f>
        <v>339647</v>
      </c>
      <c r="R3" s="54">
        <f>TrRoad_act!R57</f>
        <v>351394</v>
      </c>
      <c r="S3" s="54">
        <f>TrRoad_act!S57</f>
        <v>364266</v>
      </c>
      <c r="T3" s="54">
        <f>TrRoad_act!T57</f>
        <v>377235</v>
      </c>
      <c r="U3" s="54">
        <f>TrRoad_act!U57</f>
        <v>389219</v>
      </c>
      <c r="V3" s="54">
        <f>TrRoad_act!V57</f>
        <v>394415</v>
      </c>
      <c r="W3" s="54">
        <f>TrRoad_act!W57</f>
        <v>403050</v>
      </c>
      <c r="X3" s="54">
        <f>TrRoad_act!X57</f>
        <v>412896</v>
      </c>
      <c r="Y3" s="54">
        <f>TrRoad_act!Y57</f>
        <v>424421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195845</v>
      </c>
      <c r="C4" s="28">
        <f>TrRoad_act!C58</f>
        <v>202671</v>
      </c>
      <c r="D4" s="28">
        <f>TrRoad_act!D58</f>
        <v>209729</v>
      </c>
      <c r="E4" s="28">
        <f>TrRoad_act!E58</f>
        <v>216925</v>
      </c>
      <c r="F4" s="28">
        <f>TrRoad_act!F58</f>
        <v>218922</v>
      </c>
      <c r="G4" s="28">
        <f>TrRoad_act!G58</f>
        <v>219630</v>
      </c>
      <c r="H4" s="28">
        <f>TrRoad_act!H58</f>
        <v>225610</v>
      </c>
      <c r="I4" s="28">
        <f>TrRoad_act!I58</f>
        <v>232706</v>
      </c>
      <c r="J4" s="28">
        <f>TrRoad_act!J58</f>
        <v>238667</v>
      </c>
      <c r="K4" s="28">
        <f>TrRoad_act!K58</f>
        <v>245153</v>
      </c>
      <c r="L4" s="28">
        <f>TrRoad_act!L58</f>
        <v>256841</v>
      </c>
      <c r="M4" s="28">
        <f>TrRoad_act!M58</f>
        <v>264053</v>
      </c>
      <c r="N4" s="28">
        <f>TrRoad_act!N58</f>
        <v>266647</v>
      </c>
      <c r="O4" s="28">
        <f>TrRoad_act!O58</f>
        <v>274256</v>
      </c>
      <c r="P4" s="28">
        <f>TrRoad_act!P58</f>
        <v>285676</v>
      </c>
      <c r="Q4" s="28">
        <f>TrRoad_act!Q58</f>
        <v>296363</v>
      </c>
      <c r="R4" s="28">
        <f>TrRoad_act!R58</f>
        <v>307203</v>
      </c>
      <c r="S4" s="28">
        <f>TrRoad_act!S58</f>
        <v>318475</v>
      </c>
      <c r="T4" s="28">
        <f>TrRoad_act!T58</f>
        <v>329582</v>
      </c>
      <c r="U4" s="28">
        <f>TrRoad_act!U58</f>
        <v>339721</v>
      </c>
      <c r="V4" s="28">
        <f>TrRoad_act!V58</f>
        <v>343517</v>
      </c>
      <c r="W4" s="28">
        <f>TrRoad_act!W58</f>
        <v>351423</v>
      </c>
      <c r="X4" s="28">
        <f>TrRoad_act!X58</f>
        <v>360316</v>
      </c>
      <c r="Y4" s="28">
        <f>TrRoad_act!Y58</f>
        <v>370441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12167</v>
      </c>
      <c r="C5" s="137">
        <f>TrRoad_act!C59</f>
        <v>12605</v>
      </c>
      <c r="D5" s="137">
        <f>TrRoad_act!D59</f>
        <v>13097</v>
      </c>
      <c r="E5" s="137">
        <f>TrRoad_act!E59</f>
        <v>13420</v>
      </c>
      <c r="F5" s="137">
        <f>TrRoad_act!F59</f>
        <v>12639</v>
      </c>
      <c r="G5" s="137">
        <f>TrRoad_act!G59</f>
        <v>11905</v>
      </c>
      <c r="H5" s="137">
        <f>TrRoad_act!H59</f>
        <v>12192</v>
      </c>
      <c r="I5" s="137">
        <f>TrRoad_act!I59</f>
        <v>12695</v>
      </c>
      <c r="J5" s="137">
        <f>TrRoad_act!J59</f>
        <v>14310</v>
      </c>
      <c r="K5" s="137">
        <f>TrRoad_act!K59</f>
        <v>14402</v>
      </c>
      <c r="L5" s="137">
        <f>TrRoad_act!L59</f>
        <v>14047</v>
      </c>
      <c r="M5" s="137">
        <f>TrRoad_act!M59</f>
        <v>14758</v>
      </c>
      <c r="N5" s="137">
        <f>TrRoad_act!N59</f>
        <v>15021</v>
      </c>
      <c r="O5" s="137">
        <f>TrRoad_act!O59</f>
        <v>16102</v>
      </c>
      <c r="P5" s="137">
        <f>TrRoad_act!P59</f>
        <v>17555</v>
      </c>
      <c r="Q5" s="137">
        <f>TrRoad_act!Q59</f>
        <v>19206</v>
      </c>
      <c r="R5" s="137">
        <f>TrRoad_act!R59</f>
        <v>22286</v>
      </c>
      <c r="S5" s="137">
        <f>TrRoad_act!S59</f>
        <v>24606</v>
      </c>
      <c r="T5" s="137">
        <f>TrRoad_act!T59</f>
        <v>27329</v>
      </c>
      <c r="U5" s="137">
        <f>TrRoad_act!U59</f>
        <v>30316</v>
      </c>
      <c r="V5" s="137">
        <f>TrRoad_act!V59</f>
        <v>32152</v>
      </c>
      <c r="W5" s="137">
        <f>TrRoad_act!W59</f>
        <v>35921</v>
      </c>
      <c r="X5" s="137">
        <f>TrRoad_act!X59</f>
        <v>40684</v>
      </c>
      <c r="Y5" s="137">
        <f>TrRoad_act!Y59</f>
        <v>44088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182105</v>
      </c>
      <c r="C6" s="110">
        <f>TrRoad_act!C60</f>
        <v>188495</v>
      </c>
      <c r="D6" s="110">
        <f>TrRoad_act!D60</f>
        <v>195055</v>
      </c>
      <c r="E6" s="110">
        <f>TrRoad_act!E60</f>
        <v>201924</v>
      </c>
      <c r="F6" s="110">
        <f>TrRoad_act!F60</f>
        <v>204702</v>
      </c>
      <c r="G6" s="110">
        <f>TrRoad_act!G60</f>
        <v>206148</v>
      </c>
      <c r="H6" s="110">
        <f>TrRoad_act!H60</f>
        <v>211840</v>
      </c>
      <c r="I6" s="110">
        <f>TrRoad_act!I60</f>
        <v>218429</v>
      </c>
      <c r="J6" s="110">
        <f>TrRoad_act!J60</f>
        <v>222775</v>
      </c>
      <c r="K6" s="110">
        <f>TrRoad_act!K60</f>
        <v>229016</v>
      </c>
      <c r="L6" s="110">
        <f>TrRoad_act!L60</f>
        <v>240943</v>
      </c>
      <c r="M6" s="110">
        <f>TrRoad_act!M60</f>
        <v>247539</v>
      </c>
      <c r="N6" s="110">
        <f>TrRoad_act!N60</f>
        <v>249880</v>
      </c>
      <c r="O6" s="110">
        <f>TrRoad_act!O60</f>
        <v>256442</v>
      </c>
      <c r="P6" s="110">
        <f>TrRoad_act!P60</f>
        <v>266326</v>
      </c>
      <c r="Q6" s="110">
        <f>TrRoad_act!Q60</f>
        <v>275205</v>
      </c>
      <c r="R6" s="110">
        <f>TrRoad_act!R60</f>
        <v>282921</v>
      </c>
      <c r="S6" s="110">
        <f>TrRoad_act!S60</f>
        <v>291799</v>
      </c>
      <c r="T6" s="110">
        <f>TrRoad_act!T60</f>
        <v>300141</v>
      </c>
      <c r="U6" s="110">
        <f>TrRoad_act!U60</f>
        <v>307130</v>
      </c>
      <c r="V6" s="110">
        <f>TrRoad_act!V60</f>
        <v>309143</v>
      </c>
      <c r="W6" s="110">
        <f>TrRoad_act!W60</f>
        <v>313177</v>
      </c>
      <c r="X6" s="110">
        <f>TrRoad_act!X60</f>
        <v>317234</v>
      </c>
      <c r="Y6" s="110">
        <f>TrRoad_act!Y60</f>
        <v>323852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155927</v>
      </c>
      <c r="C7" s="84">
        <f>TrRoad_act!C61</f>
        <v>159509</v>
      </c>
      <c r="D7" s="84">
        <f>TrRoad_act!D61</f>
        <v>164132</v>
      </c>
      <c r="E7" s="84">
        <f>TrRoad_act!E61</f>
        <v>169534</v>
      </c>
      <c r="F7" s="84">
        <f>TrRoad_act!F61</f>
        <v>171445</v>
      </c>
      <c r="G7" s="84">
        <f>TrRoad_act!G61</f>
        <v>172297</v>
      </c>
      <c r="H7" s="84">
        <f>TrRoad_act!H61</f>
        <v>177080</v>
      </c>
      <c r="I7" s="84">
        <f>TrRoad_act!I61</f>
        <v>182663</v>
      </c>
      <c r="J7" s="84">
        <f>TrRoad_act!J61</f>
        <v>186088</v>
      </c>
      <c r="K7" s="84">
        <f>TrRoad_act!K61</f>
        <v>190756</v>
      </c>
      <c r="L7" s="84">
        <f>TrRoad_act!L61</f>
        <v>173252</v>
      </c>
      <c r="M7" s="84">
        <f>TrRoad_act!M61</f>
        <v>175812</v>
      </c>
      <c r="N7" s="84">
        <f>TrRoad_act!N61</f>
        <v>175215</v>
      </c>
      <c r="O7" s="84">
        <f>TrRoad_act!O61</f>
        <v>178079</v>
      </c>
      <c r="P7" s="84">
        <f>TrRoad_act!P61</f>
        <v>183303</v>
      </c>
      <c r="Q7" s="84">
        <f>TrRoad_act!Q61</f>
        <v>188764</v>
      </c>
      <c r="R7" s="84">
        <f>TrRoad_act!R61</f>
        <v>192302</v>
      </c>
      <c r="S7" s="84">
        <f>TrRoad_act!S61</f>
        <v>197670</v>
      </c>
      <c r="T7" s="84">
        <f>TrRoad_act!T61</f>
        <v>202972</v>
      </c>
      <c r="U7" s="84">
        <f>TrRoad_act!U61</f>
        <v>206556</v>
      </c>
      <c r="V7" s="84">
        <f>TrRoad_act!V61</f>
        <v>207585</v>
      </c>
      <c r="W7" s="84">
        <f>TrRoad_act!W61</f>
        <v>211352</v>
      </c>
      <c r="X7" s="84">
        <f>TrRoad_act!X61</f>
        <v>214301</v>
      </c>
      <c r="Y7" s="84">
        <f>TrRoad_act!Y61</f>
        <v>219323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26178</v>
      </c>
      <c r="C8" s="84">
        <f>TrRoad_act!C62</f>
        <v>28986</v>
      </c>
      <c r="D8" s="84">
        <f>TrRoad_act!D62</f>
        <v>30923</v>
      </c>
      <c r="E8" s="84">
        <f>TrRoad_act!E62</f>
        <v>32381</v>
      </c>
      <c r="F8" s="84">
        <f>TrRoad_act!F62</f>
        <v>33244</v>
      </c>
      <c r="G8" s="84">
        <f>TrRoad_act!G62</f>
        <v>33836</v>
      </c>
      <c r="H8" s="84">
        <f>TrRoad_act!H62</f>
        <v>34743</v>
      </c>
      <c r="I8" s="84">
        <f>TrRoad_act!I62</f>
        <v>35739</v>
      </c>
      <c r="J8" s="84">
        <f>TrRoad_act!J62</f>
        <v>36657</v>
      </c>
      <c r="K8" s="84">
        <f>TrRoad_act!K62</f>
        <v>38227</v>
      </c>
      <c r="L8" s="84">
        <f>TrRoad_act!L62</f>
        <v>67467</v>
      </c>
      <c r="M8" s="84">
        <f>TrRoad_act!M62</f>
        <v>71474</v>
      </c>
      <c r="N8" s="84">
        <f>TrRoad_act!N62</f>
        <v>74345</v>
      </c>
      <c r="O8" s="84">
        <f>TrRoad_act!O62</f>
        <v>77854</v>
      </c>
      <c r="P8" s="84">
        <f>TrRoad_act!P62</f>
        <v>82144</v>
      </c>
      <c r="Q8" s="84">
        <f>TrRoad_act!Q62</f>
        <v>85178</v>
      </c>
      <c r="R8" s="84">
        <f>TrRoad_act!R62</f>
        <v>87415</v>
      </c>
      <c r="S8" s="84">
        <f>TrRoad_act!S62</f>
        <v>91687</v>
      </c>
      <c r="T8" s="84">
        <f>TrRoad_act!T62</f>
        <v>94771</v>
      </c>
      <c r="U8" s="84">
        <f>TrRoad_act!U62</f>
        <v>97019</v>
      </c>
      <c r="V8" s="84">
        <f>TrRoad_act!V62</f>
        <v>97604</v>
      </c>
      <c r="W8" s="84">
        <f>TrRoad_act!W62</f>
        <v>96852</v>
      </c>
      <c r="X8" s="84">
        <f>TrRoad_act!X62</f>
        <v>96102</v>
      </c>
      <c r="Y8" s="84">
        <f>TrRoad_act!Y62</f>
        <v>95904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0</v>
      </c>
      <c r="I9" s="84">
        <f>TrRoad_act!I63</f>
        <v>0</v>
      </c>
      <c r="J9" s="84">
        <f>TrRoad_act!J63</f>
        <v>0</v>
      </c>
      <c r="K9" s="84">
        <f>TrRoad_act!K63</f>
        <v>0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2000</v>
      </c>
      <c r="S9" s="84">
        <f>TrRoad_act!S63</f>
        <v>1200</v>
      </c>
      <c r="T9" s="84">
        <f>TrRoad_act!T63</f>
        <v>950</v>
      </c>
      <c r="U9" s="84">
        <f>TrRoad_act!U63</f>
        <v>1400</v>
      </c>
      <c r="V9" s="84">
        <f>TrRoad_act!V63</f>
        <v>1300</v>
      </c>
      <c r="W9" s="84">
        <f>TrRoad_act!W63</f>
        <v>1200</v>
      </c>
      <c r="X9" s="84">
        <f>TrRoad_act!X63</f>
        <v>1100</v>
      </c>
      <c r="Y9" s="84">
        <f>TrRoad_act!Y63</f>
        <v>1000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X10" s="84">
        <f>TrRoad_act!X64</f>
        <v>0</v>
      </c>
      <c r="Y10" s="84">
        <f>TrRoad_act!Y64</f>
        <v>0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188</v>
      </c>
      <c r="M11" s="84">
        <f>TrRoad_act!M65</f>
        <v>223</v>
      </c>
      <c r="N11" s="84">
        <f>TrRoad_act!N65</f>
        <v>282</v>
      </c>
      <c r="O11" s="84">
        <f>TrRoad_act!O65</f>
        <v>450</v>
      </c>
      <c r="P11" s="84">
        <f>TrRoad_act!P65</f>
        <v>792</v>
      </c>
      <c r="Q11" s="84">
        <f>TrRoad_act!Q65</f>
        <v>1127</v>
      </c>
      <c r="R11" s="84">
        <f>TrRoad_act!R65</f>
        <v>1064</v>
      </c>
      <c r="S11" s="84">
        <f>TrRoad_act!S65</f>
        <v>1064</v>
      </c>
      <c r="T11" s="84">
        <f>TrRoad_act!T65</f>
        <v>1134</v>
      </c>
      <c r="U11" s="84">
        <f>TrRoad_act!U65</f>
        <v>1172</v>
      </c>
      <c r="V11" s="84">
        <f>TrRoad_act!V65</f>
        <v>1361</v>
      </c>
      <c r="W11" s="84">
        <f>TrRoad_act!W65</f>
        <v>1990</v>
      </c>
      <c r="X11" s="84">
        <f>TrRoad_act!X65</f>
        <v>3130</v>
      </c>
      <c r="Y11" s="84">
        <f>TrRoad_act!Y65</f>
        <v>3991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9</v>
      </c>
      <c r="F12" s="84">
        <f>TrRoad_act!F66</f>
        <v>13</v>
      </c>
      <c r="G12" s="84">
        <f>TrRoad_act!G66</f>
        <v>15</v>
      </c>
      <c r="H12" s="84">
        <f>TrRoad_act!H66</f>
        <v>17</v>
      </c>
      <c r="I12" s="84">
        <f>TrRoad_act!I66</f>
        <v>27</v>
      </c>
      <c r="J12" s="84">
        <f>TrRoad_act!J66</f>
        <v>30</v>
      </c>
      <c r="K12" s="84">
        <f>TrRoad_act!K66</f>
        <v>33</v>
      </c>
      <c r="L12" s="84">
        <f>TrRoad_act!L66</f>
        <v>36</v>
      </c>
      <c r="M12" s="84">
        <f>TrRoad_act!M66</f>
        <v>30</v>
      </c>
      <c r="N12" s="84">
        <f>TrRoad_act!N66</f>
        <v>38</v>
      </c>
      <c r="O12" s="84">
        <f>TrRoad_act!O66</f>
        <v>59</v>
      </c>
      <c r="P12" s="84">
        <f>TrRoad_act!P66</f>
        <v>87</v>
      </c>
      <c r="Q12" s="84">
        <f>TrRoad_act!Q66</f>
        <v>136</v>
      </c>
      <c r="R12" s="84">
        <f>TrRoad_act!R66</f>
        <v>140</v>
      </c>
      <c r="S12" s="84">
        <f>TrRoad_act!S66</f>
        <v>178</v>
      </c>
      <c r="T12" s="84">
        <f>TrRoad_act!T66</f>
        <v>314</v>
      </c>
      <c r="U12" s="84">
        <f>TrRoad_act!U66</f>
        <v>983</v>
      </c>
      <c r="V12" s="84">
        <f>TrRoad_act!V66</f>
        <v>1293</v>
      </c>
      <c r="W12" s="84">
        <f>TrRoad_act!W66</f>
        <v>1783</v>
      </c>
      <c r="X12" s="84">
        <f>TrRoad_act!X66</f>
        <v>2601</v>
      </c>
      <c r="Y12" s="84">
        <f>TrRoad_act!Y66</f>
        <v>3634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1573</v>
      </c>
      <c r="C13" s="110">
        <f>TrRoad_act!C67</f>
        <v>1571</v>
      </c>
      <c r="D13" s="110">
        <f>TrRoad_act!D67</f>
        <v>1577</v>
      </c>
      <c r="E13" s="110">
        <f>TrRoad_act!E67</f>
        <v>1581</v>
      </c>
      <c r="F13" s="110">
        <f>TrRoad_act!F67</f>
        <v>1581</v>
      </c>
      <c r="G13" s="110">
        <f>TrRoad_act!G67</f>
        <v>1577</v>
      </c>
      <c r="H13" s="110">
        <f>TrRoad_act!H67</f>
        <v>1578</v>
      </c>
      <c r="I13" s="110">
        <f>TrRoad_act!I67</f>
        <v>1582</v>
      </c>
      <c r="J13" s="110">
        <f>TrRoad_act!J67</f>
        <v>1582</v>
      </c>
      <c r="K13" s="110">
        <f>TrRoad_act!K67</f>
        <v>1735</v>
      </c>
      <c r="L13" s="110">
        <f>TrRoad_act!L67</f>
        <v>1851</v>
      </c>
      <c r="M13" s="110">
        <f>TrRoad_act!M67</f>
        <v>1756</v>
      </c>
      <c r="N13" s="110">
        <f>TrRoad_act!N67</f>
        <v>1746</v>
      </c>
      <c r="O13" s="110">
        <f>TrRoad_act!O67</f>
        <v>1712</v>
      </c>
      <c r="P13" s="110">
        <f>TrRoad_act!P67</f>
        <v>1795</v>
      </c>
      <c r="Q13" s="110">
        <f>TrRoad_act!Q67</f>
        <v>1952</v>
      </c>
      <c r="R13" s="110">
        <f>TrRoad_act!R67</f>
        <v>1996</v>
      </c>
      <c r="S13" s="110">
        <f>TrRoad_act!S67</f>
        <v>2070</v>
      </c>
      <c r="T13" s="110">
        <f>TrRoad_act!T67</f>
        <v>2112</v>
      </c>
      <c r="U13" s="110">
        <f>TrRoad_act!U67</f>
        <v>2275</v>
      </c>
      <c r="V13" s="110">
        <f>TrRoad_act!V67</f>
        <v>2222</v>
      </c>
      <c r="W13" s="110">
        <f>TrRoad_act!W67</f>
        <v>2325</v>
      </c>
      <c r="X13" s="110">
        <f>TrRoad_act!X67</f>
        <v>2398</v>
      </c>
      <c r="Y13" s="110">
        <f>TrRoad_act!Y67</f>
        <v>2501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18</v>
      </c>
      <c r="M14" s="102">
        <f>TrRoad_act!M68</f>
        <v>15</v>
      </c>
      <c r="N14" s="102">
        <f>TrRoad_act!N68</f>
        <v>14</v>
      </c>
      <c r="O14" s="102">
        <f>TrRoad_act!O68</f>
        <v>13</v>
      </c>
      <c r="P14" s="102">
        <f>TrRoad_act!P68</f>
        <v>12</v>
      </c>
      <c r="Q14" s="102">
        <f>TrRoad_act!Q68</f>
        <v>10</v>
      </c>
      <c r="R14" s="102">
        <f>TrRoad_act!R68</f>
        <v>10</v>
      </c>
      <c r="S14" s="102">
        <f>TrRoad_act!S68</f>
        <v>10</v>
      </c>
      <c r="T14" s="102">
        <f>TrRoad_act!T68</f>
        <v>11</v>
      </c>
      <c r="U14" s="102">
        <f>TrRoad_act!U68</f>
        <v>13</v>
      </c>
      <c r="V14" s="102">
        <f>TrRoad_act!V68</f>
        <v>11</v>
      </c>
      <c r="W14" s="102">
        <f>TrRoad_act!W68</f>
        <v>12</v>
      </c>
      <c r="X14" s="102">
        <f>TrRoad_act!X68</f>
        <v>12</v>
      </c>
      <c r="Y14" s="102">
        <f>TrRoad_act!Y68</f>
        <v>13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1573</v>
      </c>
      <c r="C15" s="102">
        <f>TrRoad_act!C69</f>
        <v>1571</v>
      </c>
      <c r="D15" s="102">
        <f>TrRoad_act!D69</f>
        <v>1577</v>
      </c>
      <c r="E15" s="102">
        <f>TrRoad_act!E69</f>
        <v>1581</v>
      </c>
      <c r="F15" s="102">
        <f>TrRoad_act!F69</f>
        <v>1581</v>
      </c>
      <c r="G15" s="102">
        <f>TrRoad_act!G69</f>
        <v>1577</v>
      </c>
      <c r="H15" s="102">
        <f>TrRoad_act!H69</f>
        <v>1578</v>
      </c>
      <c r="I15" s="102">
        <f>TrRoad_act!I69</f>
        <v>1582</v>
      </c>
      <c r="J15" s="102">
        <f>TrRoad_act!J69</f>
        <v>1582</v>
      </c>
      <c r="K15" s="102">
        <f>TrRoad_act!K69</f>
        <v>1735</v>
      </c>
      <c r="L15" s="102">
        <f>TrRoad_act!L69</f>
        <v>1833</v>
      </c>
      <c r="M15" s="102">
        <f>TrRoad_act!M69</f>
        <v>1741</v>
      </c>
      <c r="N15" s="102">
        <f>TrRoad_act!N69</f>
        <v>1732</v>
      </c>
      <c r="O15" s="102">
        <f>TrRoad_act!O69</f>
        <v>1699</v>
      </c>
      <c r="P15" s="102">
        <f>TrRoad_act!P69</f>
        <v>1783</v>
      </c>
      <c r="Q15" s="102">
        <f>TrRoad_act!Q69</f>
        <v>1942</v>
      </c>
      <c r="R15" s="102">
        <f>TrRoad_act!R69</f>
        <v>1986</v>
      </c>
      <c r="S15" s="102">
        <f>TrRoad_act!S69</f>
        <v>2060</v>
      </c>
      <c r="T15" s="102">
        <f>TrRoad_act!T69</f>
        <v>2093</v>
      </c>
      <c r="U15" s="102">
        <f>TrRoad_act!U69</f>
        <v>2252</v>
      </c>
      <c r="V15" s="102">
        <f>TrRoad_act!V69</f>
        <v>2200</v>
      </c>
      <c r="W15" s="102">
        <f>TrRoad_act!W69</f>
        <v>2301</v>
      </c>
      <c r="X15" s="102">
        <f>TrRoad_act!X69</f>
        <v>2373</v>
      </c>
      <c r="Y15" s="102">
        <f>TrRoad_act!Y69</f>
        <v>2423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21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X17" s="102">
        <f>TrRoad_act!X71</f>
        <v>0</v>
      </c>
      <c r="Y17" s="102">
        <f>TrRoad_act!Y71</f>
        <v>0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0</v>
      </c>
      <c r="Q18" s="102">
        <f>TrRoad_act!Q72</f>
        <v>0</v>
      </c>
      <c r="R18" s="102">
        <f>TrRoad_act!R72</f>
        <v>0</v>
      </c>
      <c r="S18" s="102">
        <f>TrRoad_act!S72</f>
        <v>0</v>
      </c>
      <c r="T18" s="102">
        <f>TrRoad_act!T72</f>
        <v>8</v>
      </c>
      <c r="U18" s="102">
        <f>TrRoad_act!U72</f>
        <v>10</v>
      </c>
      <c r="V18" s="102">
        <f>TrRoad_act!V72</f>
        <v>11</v>
      </c>
      <c r="W18" s="102">
        <f>TrRoad_act!W72</f>
        <v>12</v>
      </c>
      <c r="X18" s="102">
        <f>TrRoad_act!X72</f>
        <v>13</v>
      </c>
      <c r="Y18" s="102">
        <f>TrRoad_act!Y72</f>
        <v>44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39178</v>
      </c>
      <c r="C19" s="28">
        <f>TrRoad_act!C73</f>
        <v>39157</v>
      </c>
      <c r="D19" s="28">
        <f>TrRoad_act!D73</f>
        <v>39284</v>
      </c>
      <c r="E19" s="28">
        <f>TrRoad_act!E73</f>
        <v>39824</v>
      </c>
      <c r="F19" s="28">
        <f>TrRoad_act!F73</f>
        <v>39769</v>
      </c>
      <c r="G19" s="28">
        <f>TrRoad_act!G73</f>
        <v>39632</v>
      </c>
      <c r="H19" s="28">
        <f>TrRoad_act!H73</f>
        <v>40543</v>
      </c>
      <c r="I19" s="28">
        <f>TrRoad_act!I73</f>
        <v>41438</v>
      </c>
      <c r="J19" s="28">
        <f>TrRoad_act!J73</f>
        <v>41955</v>
      </c>
      <c r="K19" s="28">
        <f>TrRoad_act!K73</f>
        <v>41236</v>
      </c>
      <c r="L19" s="28">
        <f>TrRoad_act!L73</f>
        <v>41319</v>
      </c>
      <c r="M19" s="28">
        <f>TrRoad_act!M73</f>
        <v>41285</v>
      </c>
      <c r="N19" s="28">
        <f>TrRoad_act!N73</f>
        <v>41370</v>
      </c>
      <c r="O19" s="28">
        <f>TrRoad_act!O73</f>
        <v>41948</v>
      </c>
      <c r="P19" s="28">
        <f>TrRoad_act!P73</f>
        <v>42417</v>
      </c>
      <c r="Q19" s="28">
        <f>TrRoad_act!Q73</f>
        <v>43284</v>
      </c>
      <c r="R19" s="28">
        <f>TrRoad_act!R73</f>
        <v>44191</v>
      </c>
      <c r="S19" s="28">
        <f>TrRoad_act!S73</f>
        <v>45791</v>
      </c>
      <c r="T19" s="28">
        <f>TrRoad_act!T73</f>
        <v>47653</v>
      </c>
      <c r="U19" s="28">
        <f>TrRoad_act!U73</f>
        <v>49498</v>
      </c>
      <c r="V19" s="28">
        <f>TrRoad_act!V73</f>
        <v>50898</v>
      </c>
      <c r="W19" s="28">
        <f>TrRoad_act!W73</f>
        <v>51627</v>
      </c>
      <c r="X19" s="28">
        <f>TrRoad_act!X73</f>
        <v>52580</v>
      </c>
      <c r="Y19" s="28">
        <f>TrRoad_act!Y73</f>
        <v>53980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28249</v>
      </c>
      <c r="C20" s="137">
        <f>TrRoad_act!C74</f>
        <v>28210</v>
      </c>
      <c r="D20" s="137">
        <f>TrRoad_act!D74</f>
        <v>28332</v>
      </c>
      <c r="E20" s="137">
        <f>TrRoad_act!E74</f>
        <v>28852</v>
      </c>
      <c r="F20" s="137">
        <f>TrRoad_act!F74</f>
        <v>28799</v>
      </c>
      <c r="G20" s="137">
        <f>TrRoad_act!G74</f>
        <v>28667</v>
      </c>
      <c r="H20" s="137">
        <f>TrRoad_act!H74</f>
        <v>29751</v>
      </c>
      <c r="I20" s="137">
        <f>TrRoad_act!I74</f>
        <v>30877</v>
      </c>
      <c r="J20" s="137">
        <f>TrRoad_act!J74</f>
        <v>31391</v>
      </c>
      <c r="K20" s="137">
        <f>TrRoad_act!K74</f>
        <v>30849</v>
      </c>
      <c r="L20" s="137">
        <f>TrRoad_act!L74</f>
        <v>31160</v>
      </c>
      <c r="M20" s="137">
        <f>TrRoad_act!M74</f>
        <v>31126</v>
      </c>
      <c r="N20" s="137">
        <f>TrRoad_act!N74</f>
        <v>31283</v>
      </c>
      <c r="O20" s="137">
        <f>TrRoad_act!O74</f>
        <v>31927</v>
      </c>
      <c r="P20" s="137">
        <f>TrRoad_act!P74</f>
        <v>32393</v>
      </c>
      <c r="Q20" s="137">
        <f>TrRoad_act!Q74</f>
        <v>33089</v>
      </c>
      <c r="R20" s="137">
        <f>TrRoad_act!R74</f>
        <v>33728</v>
      </c>
      <c r="S20" s="137">
        <f>TrRoad_act!S74</f>
        <v>34985</v>
      </c>
      <c r="T20" s="137">
        <f>TrRoad_act!T74</f>
        <v>36571</v>
      </c>
      <c r="U20" s="137">
        <f>TrRoad_act!U74</f>
        <v>37953</v>
      </c>
      <c r="V20" s="137">
        <f>TrRoad_act!V74</f>
        <v>38931</v>
      </c>
      <c r="W20" s="137">
        <f>TrRoad_act!W74</f>
        <v>39450</v>
      </c>
      <c r="X20" s="137">
        <f>TrRoad_act!X74</f>
        <v>40140</v>
      </c>
      <c r="Y20" s="137">
        <f>TrRoad_act!Y74</f>
        <v>41136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1661</v>
      </c>
      <c r="C21" s="84">
        <f>TrRoad_act!C75</f>
        <v>1702</v>
      </c>
      <c r="D21" s="84">
        <f>TrRoad_act!D75</f>
        <v>1664</v>
      </c>
      <c r="E21" s="84">
        <f>TrRoad_act!E75</f>
        <v>1649</v>
      </c>
      <c r="F21" s="84">
        <f>TrRoad_act!F75</f>
        <v>1602</v>
      </c>
      <c r="G21" s="84">
        <f>TrRoad_act!G75</f>
        <v>1553</v>
      </c>
      <c r="H21" s="84">
        <f>TrRoad_act!H75</f>
        <v>1569</v>
      </c>
      <c r="I21" s="84">
        <f>TrRoad_act!I75</f>
        <v>1585</v>
      </c>
      <c r="J21" s="84">
        <f>TrRoad_act!J75</f>
        <v>1568</v>
      </c>
      <c r="K21" s="84">
        <f>TrRoad_act!K75</f>
        <v>1500</v>
      </c>
      <c r="L21" s="84">
        <f>TrRoad_act!L75</f>
        <v>1475</v>
      </c>
      <c r="M21" s="84">
        <f>TrRoad_act!M75</f>
        <v>1389</v>
      </c>
      <c r="N21" s="84">
        <f>TrRoad_act!N75</f>
        <v>1278</v>
      </c>
      <c r="O21" s="84">
        <f>TrRoad_act!O75</f>
        <v>1275</v>
      </c>
      <c r="P21" s="84">
        <f>TrRoad_act!P75</f>
        <v>1258</v>
      </c>
      <c r="Q21" s="84">
        <f>TrRoad_act!Q75</f>
        <v>1226</v>
      </c>
      <c r="R21" s="84">
        <f>TrRoad_act!R75</f>
        <v>1201</v>
      </c>
      <c r="S21" s="84">
        <f>TrRoad_act!S75</f>
        <v>1170</v>
      </c>
      <c r="T21" s="84">
        <f>TrRoad_act!T75</f>
        <v>1171</v>
      </c>
      <c r="U21" s="84">
        <f>TrRoad_act!U75</f>
        <v>1210</v>
      </c>
      <c r="V21" s="84">
        <f>TrRoad_act!V75</f>
        <v>1224</v>
      </c>
      <c r="W21" s="84">
        <f>TrRoad_act!W75</f>
        <v>1313</v>
      </c>
      <c r="X21" s="84">
        <f>TrRoad_act!X75</f>
        <v>1560</v>
      </c>
      <c r="Y21" s="84">
        <f>TrRoad_act!Y75</f>
        <v>1822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26588</v>
      </c>
      <c r="C22" s="84">
        <f>TrRoad_act!C76</f>
        <v>26508</v>
      </c>
      <c r="D22" s="84">
        <f>TrRoad_act!D76</f>
        <v>26668</v>
      </c>
      <c r="E22" s="84">
        <f>TrRoad_act!E76</f>
        <v>27203</v>
      </c>
      <c r="F22" s="84">
        <f>TrRoad_act!F76</f>
        <v>27197</v>
      </c>
      <c r="G22" s="84">
        <f>TrRoad_act!G76</f>
        <v>27114</v>
      </c>
      <c r="H22" s="84">
        <f>TrRoad_act!H76</f>
        <v>28182</v>
      </c>
      <c r="I22" s="84">
        <f>TrRoad_act!I76</f>
        <v>29292</v>
      </c>
      <c r="J22" s="84">
        <f>TrRoad_act!J76</f>
        <v>29819</v>
      </c>
      <c r="K22" s="84">
        <f>TrRoad_act!K76</f>
        <v>29345</v>
      </c>
      <c r="L22" s="84">
        <f>TrRoad_act!L76</f>
        <v>29680</v>
      </c>
      <c r="M22" s="84">
        <f>TrRoad_act!M76</f>
        <v>29731</v>
      </c>
      <c r="N22" s="84">
        <f>TrRoad_act!N76</f>
        <v>29999</v>
      </c>
      <c r="O22" s="84">
        <f>TrRoad_act!O76</f>
        <v>30634</v>
      </c>
      <c r="P22" s="84">
        <f>TrRoad_act!P76</f>
        <v>31117</v>
      </c>
      <c r="Q22" s="84">
        <f>TrRoad_act!Q76</f>
        <v>31843</v>
      </c>
      <c r="R22" s="84">
        <f>TrRoad_act!R76</f>
        <v>32505</v>
      </c>
      <c r="S22" s="84">
        <f>TrRoad_act!S76</f>
        <v>33783</v>
      </c>
      <c r="T22" s="84">
        <f>TrRoad_act!T76</f>
        <v>35359</v>
      </c>
      <c r="U22" s="84">
        <f>TrRoad_act!U76</f>
        <v>36614</v>
      </c>
      <c r="V22" s="84">
        <f>TrRoad_act!V76</f>
        <v>37573</v>
      </c>
      <c r="W22" s="84">
        <f>TrRoad_act!W76</f>
        <v>37997</v>
      </c>
      <c r="X22" s="84">
        <f>TrRoad_act!X76</f>
        <v>38415</v>
      </c>
      <c r="Y22" s="84">
        <f>TrRoad_act!Y76</f>
        <v>39068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2</v>
      </c>
      <c r="T23" s="84">
        <f>TrRoad_act!T77</f>
        <v>2</v>
      </c>
      <c r="U23" s="84">
        <f>TrRoad_act!U77</f>
        <v>4</v>
      </c>
      <c r="V23" s="84">
        <f>TrRoad_act!V77</f>
        <v>4</v>
      </c>
      <c r="W23" s="84">
        <f>TrRoad_act!W77</f>
        <v>4</v>
      </c>
      <c r="X23" s="84">
        <f>TrRoad_act!X77</f>
        <v>4</v>
      </c>
      <c r="Y23" s="84">
        <f>TrRoad_act!Y77</f>
        <v>5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X24" s="84">
        <f>TrRoad_act!X78</f>
        <v>0</v>
      </c>
      <c r="Y24" s="84">
        <f>TrRoad_act!Y78</f>
        <v>0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4</v>
      </c>
      <c r="K25" s="84">
        <f>TrRoad_act!K79</f>
        <v>4</v>
      </c>
      <c r="L25" s="84">
        <f>TrRoad_act!L79</f>
        <v>5</v>
      </c>
      <c r="M25" s="84">
        <f>TrRoad_act!M79</f>
        <v>6</v>
      </c>
      <c r="N25" s="84">
        <f>TrRoad_act!N79</f>
        <v>6</v>
      </c>
      <c r="O25" s="84">
        <f>TrRoad_act!O79</f>
        <v>18</v>
      </c>
      <c r="P25" s="84">
        <f>TrRoad_act!P79</f>
        <v>18</v>
      </c>
      <c r="Q25" s="84">
        <f>TrRoad_act!Q79</f>
        <v>20</v>
      </c>
      <c r="R25" s="84">
        <f>TrRoad_act!R79</f>
        <v>22</v>
      </c>
      <c r="S25" s="84">
        <f>TrRoad_act!S79</f>
        <v>30</v>
      </c>
      <c r="T25" s="84">
        <f>TrRoad_act!T79</f>
        <v>39</v>
      </c>
      <c r="U25" s="84">
        <f>TrRoad_act!U79</f>
        <v>125</v>
      </c>
      <c r="V25" s="84">
        <f>TrRoad_act!V79</f>
        <v>130</v>
      </c>
      <c r="W25" s="84">
        <f>TrRoad_act!W79</f>
        <v>136</v>
      </c>
      <c r="X25" s="84">
        <f>TrRoad_act!X79</f>
        <v>161</v>
      </c>
      <c r="Y25" s="84">
        <f>TrRoad_act!Y79</f>
        <v>241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10929</v>
      </c>
      <c r="C26" s="110">
        <f>TrRoad_act!C80</f>
        <v>10947</v>
      </c>
      <c r="D26" s="110">
        <f>TrRoad_act!D80</f>
        <v>10952</v>
      </c>
      <c r="E26" s="110">
        <f>TrRoad_act!E80</f>
        <v>10972</v>
      </c>
      <c r="F26" s="110">
        <f>TrRoad_act!F80</f>
        <v>10970</v>
      </c>
      <c r="G26" s="110">
        <f>TrRoad_act!G80</f>
        <v>10965</v>
      </c>
      <c r="H26" s="110">
        <f>TrRoad_act!H80</f>
        <v>10792</v>
      </c>
      <c r="I26" s="110">
        <f>TrRoad_act!I80</f>
        <v>10561</v>
      </c>
      <c r="J26" s="110">
        <f>TrRoad_act!J80</f>
        <v>10564</v>
      </c>
      <c r="K26" s="110">
        <f>TrRoad_act!K80</f>
        <v>10387</v>
      </c>
      <c r="L26" s="110">
        <f>TrRoad_act!L80</f>
        <v>10159</v>
      </c>
      <c r="M26" s="110">
        <f>TrRoad_act!M80</f>
        <v>10159</v>
      </c>
      <c r="N26" s="110">
        <f>TrRoad_act!N80</f>
        <v>10087</v>
      </c>
      <c r="O26" s="110">
        <f>TrRoad_act!O80</f>
        <v>10021</v>
      </c>
      <c r="P26" s="110">
        <f>TrRoad_act!P80</f>
        <v>10024</v>
      </c>
      <c r="Q26" s="110">
        <f>TrRoad_act!Q80</f>
        <v>10195</v>
      </c>
      <c r="R26" s="110">
        <f>TrRoad_act!R80</f>
        <v>10463</v>
      </c>
      <c r="S26" s="110">
        <f>TrRoad_act!S80</f>
        <v>10806</v>
      </c>
      <c r="T26" s="110">
        <f>TrRoad_act!T80</f>
        <v>11082</v>
      </c>
      <c r="U26" s="110">
        <f>TrRoad_act!U80</f>
        <v>11545</v>
      </c>
      <c r="V26" s="110">
        <f>TrRoad_act!V80</f>
        <v>11967</v>
      </c>
      <c r="W26" s="110">
        <f>TrRoad_act!W80</f>
        <v>12177</v>
      </c>
      <c r="X26" s="110">
        <f>TrRoad_act!X80</f>
        <v>12440</v>
      </c>
      <c r="Y26" s="110">
        <f>TrRoad_act!Y80</f>
        <v>12844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10929</v>
      </c>
      <c r="C27" s="102">
        <f>TrRoad_act!C81</f>
        <v>10947</v>
      </c>
      <c r="D27" s="102">
        <f>TrRoad_act!D81</f>
        <v>10952</v>
      </c>
      <c r="E27" s="102">
        <f>TrRoad_act!E81</f>
        <v>10972</v>
      </c>
      <c r="F27" s="102">
        <f>TrRoad_act!F81</f>
        <v>10970</v>
      </c>
      <c r="G27" s="102">
        <f>TrRoad_act!G81</f>
        <v>10965</v>
      </c>
      <c r="H27" s="102">
        <f>TrRoad_act!H81</f>
        <v>10792</v>
      </c>
      <c r="I27" s="102">
        <f>TrRoad_act!I81</f>
        <v>10561</v>
      </c>
      <c r="J27" s="102">
        <f>TrRoad_act!J81</f>
        <v>10564</v>
      </c>
      <c r="K27" s="102">
        <f>TrRoad_act!K81</f>
        <v>10387</v>
      </c>
      <c r="L27" s="102">
        <f>TrRoad_act!L81</f>
        <v>10159</v>
      </c>
      <c r="M27" s="102">
        <f>TrRoad_act!M81</f>
        <v>10159</v>
      </c>
      <c r="N27" s="102">
        <f>TrRoad_act!N81</f>
        <v>10087</v>
      </c>
      <c r="O27" s="102">
        <f>TrRoad_act!O81</f>
        <v>10021</v>
      </c>
      <c r="P27" s="102">
        <f>TrRoad_act!P81</f>
        <v>10024</v>
      </c>
      <c r="Q27" s="102">
        <f>TrRoad_act!Q81</f>
        <v>10195</v>
      </c>
      <c r="R27" s="102">
        <f>TrRoad_act!R81</f>
        <v>10463</v>
      </c>
      <c r="S27" s="102">
        <f>TrRoad_act!S81</f>
        <v>10806</v>
      </c>
      <c r="T27" s="102">
        <f>TrRoad_act!T81</f>
        <v>11082</v>
      </c>
      <c r="U27" s="102">
        <f>TrRoad_act!U81</f>
        <v>11545</v>
      </c>
      <c r="V27" s="102">
        <f>TrRoad_act!V81</f>
        <v>11967</v>
      </c>
      <c r="W27" s="102">
        <f>TrRoad_act!W81</f>
        <v>12177</v>
      </c>
      <c r="X27" s="102">
        <f>TrRoad_act!X81</f>
        <v>12440</v>
      </c>
      <c r="Y27" s="102">
        <f>TrRoad_act!Y81</f>
        <v>12844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0</v>
      </c>
      <c r="C28" s="86">
        <f>TrRoad_act!C82</f>
        <v>0</v>
      </c>
      <c r="D28" s="86">
        <f>TrRoad_act!D82</f>
        <v>0</v>
      </c>
      <c r="E28" s="86">
        <f>TrRoad_act!E82</f>
        <v>0</v>
      </c>
      <c r="F28" s="86">
        <f>TrRoad_act!F82</f>
        <v>0</v>
      </c>
      <c r="G28" s="86">
        <f>TrRoad_act!G82</f>
        <v>0</v>
      </c>
      <c r="H28" s="86">
        <f>TrRoad_act!H82</f>
        <v>0</v>
      </c>
      <c r="I28" s="86">
        <f>TrRoad_act!I82</f>
        <v>0</v>
      </c>
      <c r="J28" s="86">
        <f>TrRoad_act!J82</f>
        <v>0</v>
      </c>
      <c r="K28" s="86">
        <f>TrRoad_act!K82</f>
        <v>0</v>
      </c>
      <c r="L28" s="86">
        <f>TrRoad_act!L82</f>
        <v>0</v>
      </c>
      <c r="M28" s="86">
        <f>TrRoad_act!M82</f>
        <v>0</v>
      </c>
      <c r="N28" s="86">
        <f>TrRoad_act!N82</f>
        <v>0</v>
      </c>
      <c r="O28" s="86">
        <f>TrRoad_act!O82</f>
        <v>0</v>
      </c>
      <c r="P28" s="86">
        <f>TrRoad_act!P82</f>
        <v>0</v>
      </c>
      <c r="Q28" s="86">
        <f>TrRoad_act!Q82</f>
        <v>0</v>
      </c>
      <c r="R28" s="86">
        <f>TrRoad_act!R82</f>
        <v>0</v>
      </c>
      <c r="S28" s="86">
        <f>TrRoad_act!S82</f>
        <v>0</v>
      </c>
      <c r="T28" s="86">
        <f>TrRoad_act!T82</f>
        <v>0</v>
      </c>
      <c r="U28" s="86">
        <f>TrRoad_act!U82</f>
        <v>0</v>
      </c>
      <c r="V28" s="86">
        <f>TrRoad_act!V82</f>
        <v>0</v>
      </c>
      <c r="W28" s="86">
        <f>TrRoad_act!W82</f>
        <v>0</v>
      </c>
      <c r="X28" s="86">
        <f>TrRoad_act!X82</f>
        <v>0</v>
      </c>
      <c r="Y28" s="86">
        <f>TrRoad_act!Y82</f>
        <v>0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14060</v>
      </c>
      <c r="C30" s="54">
        <f>TrRoad_act!C111</f>
        <v>15734</v>
      </c>
      <c r="D30" s="54">
        <f>TrRoad_act!D111</f>
        <v>16776</v>
      </c>
      <c r="E30" s="54">
        <f>TrRoad_act!E111</f>
        <v>13450</v>
      </c>
      <c r="F30" s="54">
        <f>TrRoad_act!F111</f>
        <v>9150</v>
      </c>
      <c r="G30" s="54">
        <f>TrRoad_act!G111</f>
        <v>13043</v>
      </c>
      <c r="H30" s="54">
        <f>TrRoad_act!H111</f>
        <v>19157</v>
      </c>
      <c r="I30" s="54">
        <f>TrRoad_act!I111</f>
        <v>18843</v>
      </c>
      <c r="J30" s="54">
        <f>TrRoad_act!J111</f>
        <v>17839</v>
      </c>
      <c r="K30" s="54">
        <f>TrRoad_act!K111</f>
        <v>19433</v>
      </c>
      <c r="L30" s="54">
        <f>TrRoad_act!L111</f>
        <v>43259</v>
      </c>
      <c r="M30" s="54">
        <f>TrRoad_act!M111</f>
        <v>20070</v>
      </c>
      <c r="N30" s="54">
        <f>TrRoad_act!N111</f>
        <v>17275</v>
      </c>
      <c r="O30" s="54">
        <f>TrRoad_act!O111</f>
        <v>18475</v>
      </c>
      <c r="P30" s="54">
        <f>TrRoad_act!P111</f>
        <v>20959</v>
      </c>
      <c r="Q30" s="54">
        <f>TrRoad_act!Q111</f>
        <v>18715</v>
      </c>
      <c r="R30" s="54">
        <f>TrRoad_act!R111</f>
        <v>21796</v>
      </c>
      <c r="S30" s="54">
        <f>TrRoad_act!S111</f>
        <v>22862</v>
      </c>
      <c r="T30" s="54">
        <f>TrRoad_act!T111</f>
        <v>23671</v>
      </c>
      <c r="U30" s="54">
        <f>TrRoad_act!U111</f>
        <v>23366</v>
      </c>
      <c r="V30" s="54">
        <f>TrRoad_act!V111</f>
        <v>17599</v>
      </c>
      <c r="W30" s="54">
        <f>TrRoad_act!W111</f>
        <v>26783</v>
      </c>
      <c r="X30" s="54">
        <f>TrRoad_act!X111</f>
        <v>30657</v>
      </c>
      <c r="Y30" s="54">
        <f>TrRoad_act!Y111</f>
        <v>32578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13776</v>
      </c>
      <c r="C31" s="28">
        <f>TrRoad_act!C112</f>
        <v>14003</v>
      </c>
      <c r="D31" s="28">
        <f>TrRoad_act!D112</f>
        <v>14627</v>
      </c>
      <c r="E31" s="28">
        <f>TrRoad_act!E112</f>
        <v>10630</v>
      </c>
      <c r="F31" s="28">
        <f>TrRoad_act!F112</f>
        <v>6691</v>
      </c>
      <c r="G31" s="28">
        <f>TrRoad_act!G112</f>
        <v>10453</v>
      </c>
      <c r="H31" s="28">
        <f>TrRoad_act!H112</f>
        <v>15345</v>
      </c>
      <c r="I31" s="28">
        <f>TrRoad_act!I112</f>
        <v>14902</v>
      </c>
      <c r="J31" s="28">
        <f>TrRoad_act!J112</f>
        <v>14155</v>
      </c>
      <c r="K31" s="28">
        <f>TrRoad_act!K112</f>
        <v>16923</v>
      </c>
      <c r="L31" s="28">
        <f>TrRoad_act!L112</f>
        <v>40151</v>
      </c>
      <c r="M31" s="28">
        <f>TrRoad_act!M112</f>
        <v>17259</v>
      </c>
      <c r="N31" s="28">
        <f>TrRoad_act!N112</f>
        <v>14234</v>
      </c>
      <c r="O31" s="28">
        <f>TrRoad_act!O112</f>
        <v>14956</v>
      </c>
      <c r="P31" s="28">
        <f>TrRoad_act!P112</f>
        <v>17582</v>
      </c>
      <c r="Q31" s="28">
        <f>TrRoad_act!Q112</f>
        <v>14997</v>
      </c>
      <c r="R31" s="28">
        <f>TrRoad_act!R112</f>
        <v>18065</v>
      </c>
      <c r="S31" s="28">
        <f>TrRoad_act!S112</f>
        <v>18316</v>
      </c>
      <c r="T31" s="28">
        <f>TrRoad_act!T112</f>
        <v>18888</v>
      </c>
      <c r="U31" s="28">
        <f>TrRoad_act!U112</f>
        <v>18595</v>
      </c>
      <c r="V31" s="28">
        <f>TrRoad_act!V112</f>
        <v>13630</v>
      </c>
      <c r="W31" s="28">
        <f>TrRoad_act!W112</f>
        <v>23293</v>
      </c>
      <c r="X31" s="28">
        <f>TrRoad_act!X112</f>
        <v>26413</v>
      </c>
      <c r="Y31" s="28">
        <f>TrRoad_act!Y112</f>
        <v>27851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721</v>
      </c>
      <c r="C32" s="137">
        <f>TrRoad_act!C113</f>
        <v>738</v>
      </c>
      <c r="D32" s="137">
        <f>TrRoad_act!D113</f>
        <v>786</v>
      </c>
      <c r="E32" s="137">
        <f>TrRoad_act!E113</f>
        <v>706</v>
      </c>
      <c r="F32" s="137">
        <f>TrRoad_act!F113</f>
        <v>473</v>
      </c>
      <c r="G32" s="137">
        <f>TrRoad_act!G113</f>
        <v>425</v>
      </c>
      <c r="H32" s="137">
        <f>TrRoad_act!H113</f>
        <v>576</v>
      </c>
      <c r="I32" s="137">
        <f>TrRoad_act!I113</f>
        <v>721</v>
      </c>
      <c r="J32" s="137">
        <f>TrRoad_act!J113</f>
        <v>1615</v>
      </c>
      <c r="K32" s="137">
        <f>TrRoad_act!K113</f>
        <v>988</v>
      </c>
      <c r="L32" s="137">
        <f>TrRoad_act!L113</f>
        <v>949</v>
      </c>
      <c r="M32" s="137">
        <f>TrRoad_act!M113</f>
        <v>1099</v>
      </c>
      <c r="N32" s="137">
        <f>TrRoad_act!N113</f>
        <v>1163</v>
      </c>
      <c r="O32" s="137">
        <f>TrRoad_act!O113</f>
        <v>1400</v>
      </c>
      <c r="P32" s="137">
        <f>TrRoad_act!P113</f>
        <v>1740</v>
      </c>
      <c r="Q32" s="137">
        <f>TrRoad_act!Q113</f>
        <v>2174</v>
      </c>
      <c r="R32" s="137">
        <f>TrRoad_act!R113</f>
        <v>3428</v>
      </c>
      <c r="S32" s="137">
        <f>TrRoad_act!S113</f>
        <v>2930</v>
      </c>
      <c r="T32" s="137">
        <f>TrRoad_act!T113</f>
        <v>3092</v>
      </c>
      <c r="U32" s="137">
        <f>TrRoad_act!U113</f>
        <v>3351</v>
      </c>
      <c r="V32" s="137">
        <f>TrRoad_act!V113</f>
        <v>2290</v>
      </c>
      <c r="W32" s="137">
        <f>TrRoad_act!W113</f>
        <v>4251</v>
      </c>
      <c r="X32" s="137">
        <f>TrRoad_act!X113</f>
        <v>5347</v>
      </c>
      <c r="Y32" s="137">
        <f>TrRoad_act!Y113</f>
        <v>4014.0000000000005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13055</v>
      </c>
      <c r="C33" s="110">
        <f>TrRoad_act!C114</f>
        <v>13265</v>
      </c>
      <c r="D33" s="110">
        <f>TrRoad_act!D114</f>
        <v>13835</v>
      </c>
      <c r="E33" s="110">
        <f>TrRoad_act!E114</f>
        <v>9920</v>
      </c>
      <c r="F33" s="110">
        <f>TrRoad_act!F114</f>
        <v>6218</v>
      </c>
      <c r="G33" s="110">
        <f>TrRoad_act!G114</f>
        <v>10024</v>
      </c>
      <c r="H33" s="110">
        <f>TrRoad_act!H114</f>
        <v>14767</v>
      </c>
      <c r="I33" s="110">
        <f>TrRoad_act!I114</f>
        <v>14173</v>
      </c>
      <c r="J33" s="110">
        <f>TrRoad_act!J114</f>
        <v>12531</v>
      </c>
      <c r="K33" s="110">
        <f>TrRoad_act!K114</f>
        <v>15782</v>
      </c>
      <c r="L33" s="110">
        <f>TrRoad_act!L114</f>
        <v>39086</v>
      </c>
      <c r="M33" s="110">
        <f>TrRoad_act!M114</f>
        <v>15854</v>
      </c>
      <c r="N33" s="110">
        <f>TrRoad_act!N114</f>
        <v>13026</v>
      </c>
      <c r="O33" s="110">
        <f>TrRoad_act!O114</f>
        <v>13533</v>
      </c>
      <c r="P33" s="110">
        <f>TrRoad_act!P114</f>
        <v>15758</v>
      </c>
      <c r="Q33" s="110">
        <f>TrRoad_act!Q114</f>
        <v>12630</v>
      </c>
      <c r="R33" s="110">
        <f>TrRoad_act!R114</f>
        <v>14509</v>
      </c>
      <c r="S33" s="110">
        <f>TrRoad_act!S114</f>
        <v>15312</v>
      </c>
      <c r="T33" s="110">
        <f>TrRoad_act!T114</f>
        <v>15754</v>
      </c>
      <c r="U33" s="110">
        <f>TrRoad_act!U114</f>
        <v>15081</v>
      </c>
      <c r="V33" s="110">
        <f>TrRoad_act!V114</f>
        <v>11192</v>
      </c>
      <c r="W33" s="110">
        <f>TrRoad_act!W114</f>
        <v>18933</v>
      </c>
      <c r="X33" s="110">
        <f>TrRoad_act!X114</f>
        <v>20971</v>
      </c>
      <c r="Y33" s="110">
        <f>TrRoad_act!Y114</f>
        <v>23723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6853</v>
      </c>
      <c r="C34" s="84">
        <f>TrRoad_act!C115</f>
        <v>7838</v>
      </c>
      <c r="D34" s="84">
        <f>TrRoad_act!D115</f>
        <v>8426</v>
      </c>
      <c r="E34" s="84">
        <f>TrRoad_act!E115</f>
        <v>7110</v>
      </c>
      <c r="F34" s="84">
        <f>TrRoad_act!F115</f>
        <v>4795</v>
      </c>
      <c r="G34" s="84">
        <f>TrRoad_act!G115</f>
        <v>8276</v>
      </c>
      <c r="H34" s="84">
        <f>TrRoad_act!H115</f>
        <v>13134</v>
      </c>
      <c r="I34" s="84">
        <f>TrRoad_act!I115</f>
        <v>12514</v>
      </c>
      <c r="J34" s="84">
        <f>TrRoad_act!J115</f>
        <v>11087</v>
      </c>
      <c r="K34" s="84">
        <f>TrRoad_act!K115</f>
        <v>12354</v>
      </c>
      <c r="L34" s="84">
        <f>TrRoad_act!L115</f>
        <v>9655</v>
      </c>
      <c r="M34" s="84">
        <f>TrRoad_act!M115</f>
        <v>9791</v>
      </c>
      <c r="N34" s="84">
        <f>TrRoad_act!N115</f>
        <v>7671</v>
      </c>
      <c r="O34" s="84">
        <f>TrRoad_act!O115</f>
        <v>8075</v>
      </c>
      <c r="P34" s="84">
        <f>TrRoad_act!P115</f>
        <v>9614</v>
      </c>
      <c r="Q34" s="84">
        <f>TrRoad_act!Q115</f>
        <v>9207</v>
      </c>
      <c r="R34" s="84">
        <f>TrRoad_act!R115</f>
        <v>7560</v>
      </c>
      <c r="S34" s="84">
        <f>TrRoad_act!S115</f>
        <v>9051</v>
      </c>
      <c r="T34" s="84">
        <f>TrRoad_act!T115</f>
        <v>9681</v>
      </c>
      <c r="U34" s="84">
        <f>TrRoad_act!U115</f>
        <v>8758</v>
      </c>
      <c r="V34" s="84">
        <f>TrRoad_act!V115</f>
        <v>6776</v>
      </c>
      <c r="W34" s="84">
        <f>TrRoad_act!W115</f>
        <v>14294</v>
      </c>
      <c r="X34" s="84">
        <f>TrRoad_act!X115</f>
        <v>15217</v>
      </c>
      <c r="Y34" s="84">
        <f>TrRoad_act!Y115</f>
        <v>17080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6202</v>
      </c>
      <c r="C35" s="84">
        <f>TrRoad_act!C116</f>
        <v>5427</v>
      </c>
      <c r="D35" s="84">
        <f>TrRoad_act!D116</f>
        <v>5409</v>
      </c>
      <c r="E35" s="84">
        <f>TrRoad_act!E116</f>
        <v>2801</v>
      </c>
      <c r="F35" s="84">
        <f>TrRoad_act!F116</f>
        <v>1419</v>
      </c>
      <c r="G35" s="84">
        <f>TrRoad_act!G116</f>
        <v>1746</v>
      </c>
      <c r="H35" s="84">
        <f>TrRoad_act!H116</f>
        <v>1631</v>
      </c>
      <c r="I35" s="84">
        <f>TrRoad_act!I116</f>
        <v>1649</v>
      </c>
      <c r="J35" s="84">
        <f>TrRoad_act!J116</f>
        <v>1440</v>
      </c>
      <c r="K35" s="84">
        <f>TrRoad_act!K116</f>
        <v>3425</v>
      </c>
      <c r="L35" s="84">
        <f>TrRoad_act!L116</f>
        <v>29240</v>
      </c>
      <c r="M35" s="84">
        <f>TrRoad_act!M116</f>
        <v>6028</v>
      </c>
      <c r="N35" s="84">
        <f>TrRoad_act!N116</f>
        <v>5287</v>
      </c>
      <c r="O35" s="84">
        <f>TrRoad_act!O116</f>
        <v>5267</v>
      </c>
      <c r="P35" s="84">
        <f>TrRoad_act!P116</f>
        <v>5769</v>
      </c>
      <c r="Q35" s="84">
        <f>TrRoad_act!Q116</f>
        <v>3034</v>
      </c>
      <c r="R35" s="84">
        <f>TrRoad_act!R116</f>
        <v>4927</v>
      </c>
      <c r="S35" s="84">
        <f>TrRoad_act!S116</f>
        <v>6202</v>
      </c>
      <c r="T35" s="84">
        <f>TrRoad_act!T116</f>
        <v>5702</v>
      </c>
      <c r="U35" s="84">
        <f>TrRoad_act!U116</f>
        <v>5143</v>
      </c>
      <c r="V35" s="84">
        <f>TrRoad_act!V116</f>
        <v>3889</v>
      </c>
      <c r="W35" s="84">
        <f>TrRoad_act!W116</f>
        <v>3474</v>
      </c>
      <c r="X35" s="84">
        <f>TrRoad_act!X116</f>
        <v>3556</v>
      </c>
      <c r="Y35" s="84">
        <f>TrRoad_act!Y116</f>
        <v>4164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2000</v>
      </c>
      <c r="S36" s="84">
        <f>TrRoad_act!S117</f>
        <v>0</v>
      </c>
      <c r="T36" s="84">
        <f>TrRoad_act!T117</f>
        <v>0</v>
      </c>
      <c r="U36" s="84">
        <f>TrRoad_act!U117</f>
        <v>450</v>
      </c>
      <c r="V36" s="84">
        <f>TrRoad_act!V117</f>
        <v>0</v>
      </c>
      <c r="W36" s="84">
        <f>TrRoad_act!W117</f>
        <v>4</v>
      </c>
      <c r="X36" s="84">
        <f>TrRoad_act!X117</f>
        <v>2</v>
      </c>
      <c r="Y36" s="84">
        <f>TrRoad_act!Y117</f>
        <v>1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X37" s="84">
        <f>TrRoad_act!X118</f>
        <v>0</v>
      </c>
      <c r="Y37" s="84">
        <f>TrRoad_act!Y118</f>
        <v>0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188</v>
      </c>
      <c r="M38" s="84">
        <f>TrRoad_act!M119</f>
        <v>35</v>
      </c>
      <c r="N38" s="84">
        <f>TrRoad_act!N119</f>
        <v>60</v>
      </c>
      <c r="O38" s="84">
        <f>TrRoad_act!O119</f>
        <v>170</v>
      </c>
      <c r="P38" s="84">
        <f>TrRoad_act!P119</f>
        <v>345</v>
      </c>
      <c r="Q38" s="84">
        <f>TrRoad_act!Q119</f>
        <v>340</v>
      </c>
      <c r="R38" s="84">
        <f>TrRoad_act!R119</f>
        <v>1</v>
      </c>
      <c r="S38" s="84">
        <f>TrRoad_act!S119</f>
        <v>11</v>
      </c>
      <c r="T38" s="84">
        <f>TrRoad_act!T119</f>
        <v>86</v>
      </c>
      <c r="U38" s="84">
        <f>TrRoad_act!U119</f>
        <v>60</v>
      </c>
      <c r="V38" s="84">
        <f>TrRoad_act!V119</f>
        <v>215</v>
      </c>
      <c r="W38" s="84">
        <f>TrRoad_act!W119</f>
        <v>668</v>
      </c>
      <c r="X38" s="84">
        <f>TrRoad_act!X119</f>
        <v>1206</v>
      </c>
      <c r="Y38" s="84">
        <f>TrRoad_act!Y119</f>
        <v>962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9</v>
      </c>
      <c r="F39" s="84">
        <f>TrRoad_act!F120</f>
        <v>4</v>
      </c>
      <c r="G39" s="84">
        <f>TrRoad_act!G120</f>
        <v>2</v>
      </c>
      <c r="H39" s="84">
        <f>TrRoad_act!H120</f>
        <v>2</v>
      </c>
      <c r="I39" s="84">
        <f>TrRoad_act!I120</f>
        <v>10</v>
      </c>
      <c r="J39" s="84">
        <f>TrRoad_act!J120</f>
        <v>4</v>
      </c>
      <c r="K39" s="84">
        <f>TrRoad_act!K120</f>
        <v>3</v>
      </c>
      <c r="L39" s="84">
        <f>TrRoad_act!L120</f>
        <v>3</v>
      </c>
      <c r="M39" s="84">
        <f>TrRoad_act!M120</f>
        <v>0</v>
      </c>
      <c r="N39" s="84">
        <f>TrRoad_act!N120</f>
        <v>8</v>
      </c>
      <c r="O39" s="84">
        <f>TrRoad_act!O120</f>
        <v>21</v>
      </c>
      <c r="P39" s="84">
        <f>TrRoad_act!P120</f>
        <v>30</v>
      </c>
      <c r="Q39" s="84">
        <f>TrRoad_act!Q120</f>
        <v>49</v>
      </c>
      <c r="R39" s="84">
        <f>TrRoad_act!R120</f>
        <v>21</v>
      </c>
      <c r="S39" s="84">
        <f>TrRoad_act!S120</f>
        <v>48</v>
      </c>
      <c r="T39" s="84">
        <f>TrRoad_act!T120</f>
        <v>285</v>
      </c>
      <c r="U39" s="84">
        <f>TrRoad_act!U120</f>
        <v>670</v>
      </c>
      <c r="V39" s="84">
        <f>TrRoad_act!V120</f>
        <v>312</v>
      </c>
      <c r="W39" s="84">
        <f>TrRoad_act!W120</f>
        <v>493</v>
      </c>
      <c r="X39" s="84">
        <f>TrRoad_act!X120</f>
        <v>990</v>
      </c>
      <c r="Y39" s="84">
        <f>TrRoad_act!Y120</f>
        <v>1516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0</v>
      </c>
      <c r="C40" s="110">
        <f>TrRoad_act!C121</f>
        <v>0</v>
      </c>
      <c r="D40" s="110">
        <f>TrRoad_act!D121</f>
        <v>6</v>
      </c>
      <c r="E40" s="110">
        <f>TrRoad_act!E121</f>
        <v>4</v>
      </c>
      <c r="F40" s="110">
        <f>TrRoad_act!F121</f>
        <v>0</v>
      </c>
      <c r="G40" s="110">
        <f>TrRoad_act!G121</f>
        <v>4</v>
      </c>
      <c r="H40" s="110">
        <f>TrRoad_act!H121</f>
        <v>2</v>
      </c>
      <c r="I40" s="110">
        <f>TrRoad_act!I121</f>
        <v>8</v>
      </c>
      <c r="J40" s="110">
        <f>TrRoad_act!J121</f>
        <v>9</v>
      </c>
      <c r="K40" s="110">
        <f>TrRoad_act!K121</f>
        <v>153</v>
      </c>
      <c r="L40" s="110">
        <f>TrRoad_act!L121</f>
        <v>116</v>
      </c>
      <c r="M40" s="110">
        <f>TrRoad_act!M121</f>
        <v>306</v>
      </c>
      <c r="N40" s="110">
        <f>TrRoad_act!N121</f>
        <v>45</v>
      </c>
      <c r="O40" s="110">
        <f>TrRoad_act!O121</f>
        <v>23</v>
      </c>
      <c r="P40" s="110">
        <f>TrRoad_act!P121</f>
        <v>84</v>
      </c>
      <c r="Q40" s="110">
        <f>TrRoad_act!Q121</f>
        <v>193</v>
      </c>
      <c r="R40" s="110">
        <f>TrRoad_act!R121</f>
        <v>128</v>
      </c>
      <c r="S40" s="110">
        <f>TrRoad_act!S121</f>
        <v>74</v>
      </c>
      <c r="T40" s="110">
        <f>TrRoad_act!T121</f>
        <v>42</v>
      </c>
      <c r="U40" s="110">
        <f>TrRoad_act!U121</f>
        <v>163</v>
      </c>
      <c r="V40" s="110">
        <f>TrRoad_act!V121</f>
        <v>148</v>
      </c>
      <c r="W40" s="110">
        <f>TrRoad_act!W121</f>
        <v>109</v>
      </c>
      <c r="X40" s="110">
        <f>TrRoad_act!X121</f>
        <v>95</v>
      </c>
      <c r="Y40" s="110">
        <f>TrRoad_act!Y121</f>
        <v>114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18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1</v>
      </c>
      <c r="U41" s="102">
        <f>TrRoad_act!U122</f>
        <v>2</v>
      </c>
      <c r="V41" s="102">
        <f>TrRoad_act!V122</f>
        <v>0</v>
      </c>
      <c r="W41" s="102">
        <f>TrRoad_act!W122</f>
        <v>1</v>
      </c>
      <c r="X41" s="102">
        <f>TrRoad_act!X122</f>
        <v>0</v>
      </c>
      <c r="Y41" s="102">
        <f>TrRoad_act!Y122</f>
        <v>1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0</v>
      </c>
      <c r="C42" s="102">
        <f>TrRoad_act!C123</f>
        <v>0</v>
      </c>
      <c r="D42" s="102">
        <f>TrRoad_act!D123</f>
        <v>6</v>
      </c>
      <c r="E42" s="102">
        <f>TrRoad_act!E123</f>
        <v>4</v>
      </c>
      <c r="F42" s="102">
        <f>TrRoad_act!F123</f>
        <v>0</v>
      </c>
      <c r="G42" s="102">
        <f>TrRoad_act!G123</f>
        <v>4</v>
      </c>
      <c r="H42" s="102">
        <f>TrRoad_act!H123</f>
        <v>2</v>
      </c>
      <c r="I42" s="102">
        <f>TrRoad_act!I123</f>
        <v>8</v>
      </c>
      <c r="J42" s="102">
        <f>TrRoad_act!J123</f>
        <v>9</v>
      </c>
      <c r="K42" s="102">
        <f>TrRoad_act!K123</f>
        <v>153</v>
      </c>
      <c r="L42" s="102">
        <f>TrRoad_act!L123</f>
        <v>98</v>
      </c>
      <c r="M42" s="102">
        <f>TrRoad_act!M123</f>
        <v>306</v>
      </c>
      <c r="N42" s="102">
        <f>TrRoad_act!N123</f>
        <v>45</v>
      </c>
      <c r="O42" s="102">
        <f>TrRoad_act!O123</f>
        <v>23</v>
      </c>
      <c r="P42" s="102">
        <f>TrRoad_act!P123</f>
        <v>84</v>
      </c>
      <c r="Q42" s="102">
        <f>TrRoad_act!Q123</f>
        <v>193</v>
      </c>
      <c r="R42" s="102">
        <f>TrRoad_act!R123</f>
        <v>128</v>
      </c>
      <c r="S42" s="102">
        <f>TrRoad_act!S123</f>
        <v>74</v>
      </c>
      <c r="T42" s="102">
        <f>TrRoad_act!T123</f>
        <v>33</v>
      </c>
      <c r="U42" s="102">
        <f>TrRoad_act!U123</f>
        <v>159</v>
      </c>
      <c r="V42" s="102">
        <f>TrRoad_act!V123</f>
        <v>147</v>
      </c>
      <c r="W42" s="102">
        <f>TrRoad_act!W123</f>
        <v>102</v>
      </c>
      <c r="X42" s="102">
        <f>TrRoad_act!X123</f>
        <v>93</v>
      </c>
      <c r="Y42" s="102">
        <f>TrRoad_act!Y123</f>
        <v>61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21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X44" s="102">
        <f>TrRoad_act!X125</f>
        <v>0</v>
      </c>
      <c r="Y44" s="102">
        <f>TrRoad_act!Y125</f>
        <v>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8</v>
      </c>
      <c r="U45" s="102">
        <f>TrRoad_act!U126</f>
        <v>2</v>
      </c>
      <c r="V45" s="102">
        <f>TrRoad_act!V126</f>
        <v>1</v>
      </c>
      <c r="W45" s="102">
        <f>TrRoad_act!W126</f>
        <v>6</v>
      </c>
      <c r="X45" s="102">
        <f>TrRoad_act!X126</f>
        <v>2</v>
      </c>
      <c r="Y45" s="102">
        <f>TrRoad_act!Y126</f>
        <v>31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284</v>
      </c>
      <c r="C46" s="28">
        <f>TrRoad_act!C127</f>
        <v>1731</v>
      </c>
      <c r="D46" s="28">
        <f>TrRoad_act!D127</f>
        <v>2149</v>
      </c>
      <c r="E46" s="28">
        <f>TrRoad_act!E127</f>
        <v>2820</v>
      </c>
      <c r="F46" s="28">
        <f>TrRoad_act!F127</f>
        <v>2459</v>
      </c>
      <c r="G46" s="28">
        <f>TrRoad_act!G127</f>
        <v>2590</v>
      </c>
      <c r="H46" s="28">
        <f>TrRoad_act!H127</f>
        <v>3812</v>
      </c>
      <c r="I46" s="28">
        <f>TrRoad_act!I127</f>
        <v>3941</v>
      </c>
      <c r="J46" s="28">
        <f>TrRoad_act!J127</f>
        <v>3684</v>
      </c>
      <c r="K46" s="28">
        <f>TrRoad_act!K127</f>
        <v>2510</v>
      </c>
      <c r="L46" s="28">
        <f>TrRoad_act!L127</f>
        <v>3108</v>
      </c>
      <c r="M46" s="28">
        <f>TrRoad_act!M127</f>
        <v>2811</v>
      </c>
      <c r="N46" s="28">
        <f>TrRoad_act!N127</f>
        <v>3041</v>
      </c>
      <c r="O46" s="28">
        <f>TrRoad_act!O127</f>
        <v>3519</v>
      </c>
      <c r="P46" s="28">
        <f>TrRoad_act!P127</f>
        <v>3377</v>
      </c>
      <c r="Q46" s="28">
        <f>TrRoad_act!Q127</f>
        <v>3718</v>
      </c>
      <c r="R46" s="28">
        <f>TrRoad_act!R127</f>
        <v>3731</v>
      </c>
      <c r="S46" s="28">
        <f>TrRoad_act!S127</f>
        <v>4546</v>
      </c>
      <c r="T46" s="28">
        <f>TrRoad_act!T127</f>
        <v>4783</v>
      </c>
      <c r="U46" s="28">
        <f>TrRoad_act!U127</f>
        <v>4771</v>
      </c>
      <c r="V46" s="28">
        <f>TrRoad_act!V127</f>
        <v>3969</v>
      </c>
      <c r="W46" s="28">
        <f>TrRoad_act!W127</f>
        <v>3490</v>
      </c>
      <c r="X46" s="28">
        <f>TrRoad_act!X127</f>
        <v>4244</v>
      </c>
      <c r="Y46" s="28">
        <f>TrRoad_act!Y127</f>
        <v>4727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1199</v>
      </c>
      <c r="D47" s="137">
        <f>TrRoad_act!D128</f>
        <v>1540</v>
      </c>
      <c r="E47" s="137">
        <f>TrRoad_act!E128</f>
        <v>2109</v>
      </c>
      <c r="F47" s="137">
        <f>TrRoad_act!F128</f>
        <v>1694</v>
      </c>
      <c r="G47" s="137">
        <f>TrRoad_act!G128</f>
        <v>1758</v>
      </c>
      <c r="H47" s="137">
        <f>TrRoad_act!H128</f>
        <v>3094</v>
      </c>
      <c r="I47" s="137">
        <f>TrRoad_act!I128</f>
        <v>3238</v>
      </c>
      <c r="J47" s="137">
        <f>TrRoad_act!J128</f>
        <v>2708</v>
      </c>
      <c r="K47" s="137">
        <f>TrRoad_act!K128</f>
        <v>1714</v>
      </c>
      <c r="L47" s="137">
        <f>TrRoad_act!L128</f>
        <v>2606</v>
      </c>
      <c r="M47" s="137">
        <f>TrRoad_act!M128</f>
        <v>2276</v>
      </c>
      <c r="N47" s="137">
        <f>TrRoad_act!N128</f>
        <v>2468</v>
      </c>
      <c r="O47" s="137">
        <f>TrRoad_act!O128</f>
        <v>2931</v>
      </c>
      <c r="P47" s="137">
        <f>TrRoad_act!P128</f>
        <v>2732</v>
      </c>
      <c r="Q47" s="137">
        <f>TrRoad_act!Q128</f>
        <v>2935</v>
      </c>
      <c r="R47" s="137">
        <f>TrRoad_act!R128</f>
        <v>2857</v>
      </c>
      <c r="S47" s="137">
        <f>TrRoad_act!S128</f>
        <v>3457</v>
      </c>
      <c r="T47" s="137">
        <f>TrRoad_act!T128</f>
        <v>3783</v>
      </c>
      <c r="U47" s="137">
        <f>TrRoad_act!U128</f>
        <v>3595</v>
      </c>
      <c r="V47" s="137">
        <f>TrRoad_act!V128</f>
        <v>2896</v>
      </c>
      <c r="W47" s="137">
        <f>TrRoad_act!W128</f>
        <v>2600</v>
      </c>
      <c r="X47" s="137">
        <f>TrRoad_act!X128</f>
        <v>3217</v>
      </c>
      <c r="Y47" s="137">
        <f>TrRoad_act!Y128</f>
        <v>3559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114</v>
      </c>
      <c r="D48" s="84">
        <f>TrRoad_act!D129</f>
        <v>45</v>
      </c>
      <c r="E48" s="84">
        <f>TrRoad_act!E129</f>
        <v>79</v>
      </c>
      <c r="F48" s="84">
        <f>TrRoad_act!F129</f>
        <v>56</v>
      </c>
      <c r="G48" s="84">
        <f>TrRoad_act!G129</f>
        <v>62</v>
      </c>
      <c r="H48" s="84">
        <f>TrRoad_act!H129</f>
        <v>133</v>
      </c>
      <c r="I48" s="84">
        <f>TrRoad_act!I129</f>
        <v>138</v>
      </c>
      <c r="J48" s="84">
        <f>TrRoad_act!J129</f>
        <v>109</v>
      </c>
      <c r="K48" s="84">
        <f>TrRoad_act!K129</f>
        <v>60</v>
      </c>
      <c r="L48" s="84">
        <f>TrRoad_act!L129</f>
        <v>104</v>
      </c>
      <c r="M48" s="84">
        <f>TrRoad_act!M129</f>
        <v>41</v>
      </c>
      <c r="N48" s="84">
        <f>TrRoad_act!N129</f>
        <v>17</v>
      </c>
      <c r="O48" s="84">
        <f>TrRoad_act!O129</f>
        <v>114</v>
      </c>
      <c r="P48" s="84">
        <f>TrRoad_act!P129</f>
        <v>98</v>
      </c>
      <c r="Q48" s="84">
        <f>TrRoad_act!Q129</f>
        <v>79</v>
      </c>
      <c r="R48" s="84">
        <f>TrRoad_act!R129</f>
        <v>80</v>
      </c>
      <c r="S48" s="84">
        <f>TrRoad_act!S129</f>
        <v>68</v>
      </c>
      <c r="T48" s="84">
        <f>TrRoad_act!T129</f>
        <v>96</v>
      </c>
      <c r="U48" s="84">
        <f>TrRoad_act!U129</f>
        <v>130</v>
      </c>
      <c r="V48" s="84">
        <f>TrRoad_act!V129</f>
        <v>83</v>
      </c>
      <c r="W48" s="84">
        <f>TrRoad_act!W129</f>
        <v>159</v>
      </c>
      <c r="X48" s="84">
        <f>TrRoad_act!X129</f>
        <v>342</v>
      </c>
      <c r="Y48" s="84">
        <f>TrRoad_act!Y129</f>
        <v>355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1085</v>
      </c>
      <c r="D49" s="84">
        <f>TrRoad_act!D130</f>
        <v>1495</v>
      </c>
      <c r="E49" s="84">
        <f>TrRoad_act!E130</f>
        <v>2030</v>
      </c>
      <c r="F49" s="84">
        <f>TrRoad_act!F130</f>
        <v>1638</v>
      </c>
      <c r="G49" s="84">
        <f>TrRoad_act!G130</f>
        <v>1696</v>
      </c>
      <c r="H49" s="84">
        <f>TrRoad_act!H130</f>
        <v>2961</v>
      </c>
      <c r="I49" s="84">
        <f>TrRoad_act!I130</f>
        <v>3100</v>
      </c>
      <c r="J49" s="84">
        <f>TrRoad_act!J130</f>
        <v>2595</v>
      </c>
      <c r="K49" s="84">
        <f>TrRoad_act!K130</f>
        <v>1654</v>
      </c>
      <c r="L49" s="84">
        <f>TrRoad_act!L130</f>
        <v>2501</v>
      </c>
      <c r="M49" s="84">
        <f>TrRoad_act!M130</f>
        <v>2234</v>
      </c>
      <c r="N49" s="84">
        <f>TrRoad_act!N130</f>
        <v>2451</v>
      </c>
      <c r="O49" s="84">
        <f>TrRoad_act!O130</f>
        <v>2805</v>
      </c>
      <c r="P49" s="84">
        <f>TrRoad_act!P130</f>
        <v>2633</v>
      </c>
      <c r="Q49" s="84">
        <f>TrRoad_act!Q130</f>
        <v>2854</v>
      </c>
      <c r="R49" s="84">
        <f>TrRoad_act!R130</f>
        <v>2773</v>
      </c>
      <c r="S49" s="84">
        <f>TrRoad_act!S130</f>
        <v>3379</v>
      </c>
      <c r="T49" s="84">
        <f>TrRoad_act!T130</f>
        <v>3678</v>
      </c>
      <c r="U49" s="84">
        <f>TrRoad_act!U130</f>
        <v>3377</v>
      </c>
      <c r="V49" s="84">
        <f>TrRoad_act!V130</f>
        <v>2794</v>
      </c>
      <c r="W49" s="84">
        <f>TrRoad_act!W130</f>
        <v>2401</v>
      </c>
      <c r="X49" s="84">
        <f>TrRoad_act!X130</f>
        <v>2848</v>
      </c>
      <c r="Y49" s="84">
        <f>TrRoad_act!Y130</f>
        <v>3111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2</v>
      </c>
      <c r="T50" s="84">
        <f>TrRoad_act!T131</f>
        <v>0</v>
      </c>
      <c r="U50" s="84">
        <f>TrRoad_act!U131</f>
        <v>2</v>
      </c>
      <c r="V50" s="84">
        <f>TrRoad_act!V131</f>
        <v>0</v>
      </c>
      <c r="W50" s="84">
        <f>TrRoad_act!W131</f>
        <v>0</v>
      </c>
      <c r="X50" s="84">
        <f>TrRoad_act!X131</f>
        <v>0</v>
      </c>
      <c r="Y50" s="84">
        <f>TrRoad_act!Y131</f>
        <v>1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X51" s="84">
        <f>TrRoad_act!X132</f>
        <v>0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4</v>
      </c>
      <c r="K52" s="84">
        <f>TrRoad_act!K133</f>
        <v>0</v>
      </c>
      <c r="L52" s="84">
        <f>TrRoad_act!L133</f>
        <v>1</v>
      </c>
      <c r="M52" s="84">
        <f>TrRoad_act!M133</f>
        <v>1</v>
      </c>
      <c r="N52" s="84">
        <f>TrRoad_act!N133</f>
        <v>0</v>
      </c>
      <c r="O52" s="84">
        <f>TrRoad_act!O133</f>
        <v>12</v>
      </c>
      <c r="P52" s="84">
        <f>TrRoad_act!P133</f>
        <v>1</v>
      </c>
      <c r="Q52" s="84">
        <f>TrRoad_act!Q133</f>
        <v>2</v>
      </c>
      <c r="R52" s="84">
        <f>TrRoad_act!R133</f>
        <v>4</v>
      </c>
      <c r="S52" s="84">
        <f>TrRoad_act!S133</f>
        <v>8</v>
      </c>
      <c r="T52" s="84">
        <f>TrRoad_act!T133</f>
        <v>9</v>
      </c>
      <c r="U52" s="84">
        <f>TrRoad_act!U133</f>
        <v>86</v>
      </c>
      <c r="V52" s="84">
        <f>TrRoad_act!V133</f>
        <v>19</v>
      </c>
      <c r="W52" s="84">
        <f>TrRoad_act!W133</f>
        <v>40</v>
      </c>
      <c r="X52" s="84">
        <f>TrRoad_act!X133</f>
        <v>27</v>
      </c>
      <c r="Y52" s="84">
        <f>TrRoad_act!Y133</f>
        <v>92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284</v>
      </c>
      <c r="C53" s="110">
        <f>TrRoad_act!C134</f>
        <v>532</v>
      </c>
      <c r="D53" s="110">
        <f>TrRoad_act!D134</f>
        <v>609</v>
      </c>
      <c r="E53" s="110">
        <f>TrRoad_act!E134</f>
        <v>711</v>
      </c>
      <c r="F53" s="110">
        <f>TrRoad_act!F134</f>
        <v>765</v>
      </c>
      <c r="G53" s="110">
        <f>TrRoad_act!G134</f>
        <v>832</v>
      </c>
      <c r="H53" s="110">
        <f>TrRoad_act!H134</f>
        <v>718</v>
      </c>
      <c r="I53" s="110">
        <f>TrRoad_act!I134</f>
        <v>703</v>
      </c>
      <c r="J53" s="110">
        <f>TrRoad_act!J134</f>
        <v>976</v>
      </c>
      <c r="K53" s="110">
        <f>TrRoad_act!K134</f>
        <v>796</v>
      </c>
      <c r="L53" s="110">
        <f>TrRoad_act!L134</f>
        <v>502</v>
      </c>
      <c r="M53" s="110">
        <f>TrRoad_act!M134</f>
        <v>535</v>
      </c>
      <c r="N53" s="110">
        <f>TrRoad_act!N134</f>
        <v>573</v>
      </c>
      <c r="O53" s="110">
        <f>TrRoad_act!O134</f>
        <v>588</v>
      </c>
      <c r="P53" s="110">
        <f>TrRoad_act!P134</f>
        <v>645</v>
      </c>
      <c r="Q53" s="110">
        <f>TrRoad_act!Q134</f>
        <v>783</v>
      </c>
      <c r="R53" s="110">
        <f>TrRoad_act!R134</f>
        <v>874</v>
      </c>
      <c r="S53" s="110">
        <f>TrRoad_act!S134</f>
        <v>1089</v>
      </c>
      <c r="T53" s="110">
        <f>TrRoad_act!T134</f>
        <v>1000</v>
      </c>
      <c r="U53" s="110">
        <f>TrRoad_act!U134</f>
        <v>1176</v>
      </c>
      <c r="V53" s="110">
        <f>TrRoad_act!V134</f>
        <v>1073</v>
      </c>
      <c r="W53" s="110">
        <f>TrRoad_act!W134</f>
        <v>890</v>
      </c>
      <c r="X53" s="110">
        <f>TrRoad_act!X134</f>
        <v>1027</v>
      </c>
      <c r="Y53" s="110">
        <f>TrRoad_act!Y134</f>
        <v>1168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284</v>
      </c>
      <c r="C54" s="102">
        <f>TrRoad_act!C135</f>
        <v>532</v>
      </c>
      <c r="D54" s="102">
        <f>TrRoad_act!D135</f>
        <v>609</v>
      </c>
      <c r="E54" s="102">
        <f>TrRoad_act!E135</f>
        <v>711</v>
      </c>
      <c r="F54" s="102">
        <f>TrRoad_act!F135</f>
        <v>765</v>
      </c>
      <c r="G54" s="102">
        <f>TrRoad_act!G135</f>
        <v>832</v>
      </c>
      <c r="H54" s="102">
        <f>TrRoad_act!H135</f>
        <v>718</v>
      </c>
      <c r="I54" s="102">
        <f>TrRoad_act!I135</f>
        <v>703</v>
      </c>
      <c r="J54" s="102">
        <f>TrRoad_act!J135</f>
        <v>976</v>
      </c>
      <c r="K54" s="102">
        <f>TrRoad_act!K135</f>
        <v>796</v>
      </c>
      <c r="L54" s="102">
        <f>TrRoad_act!L135</f>
        <v>502</v>
      </c>
      <c r="M54" s="102">
        <f>TrRoad_act!M135</f>
        <v>535</v>
      </c>
      <c r="N54" s="102">
        <f>TrRoad_act!N135</f>
        <v>573</v>
      </c>
      <c r="O54" s="102">
        <f>TrRoad_act!O135</f>
        <v>588</v>
      </c>
      <c r="P54" s="102">
        <f>TrRoad_act!P135</f>
        <v>645</v>
      </c>
      <c r="Q54" s="102">
        <f>TrRoad_act!Q135</f>
        <v>783</v>
      </c>
      <c r="R54" s="102">
        <f>TrRoad_act!R135</f>
        <v>874</v>
      </c>
      <c r="S54" s="102">
        <f>TrRoad_act!S135</f>
        <v>1089</v>
      </c>
      <c r="T54" s="102">
        <f>TrRoad_act!T135</f>
        <v>1000</v>
      </c>
      <c r="U54" s="102">
        <f>TrRoad_act!U135</f>
        <v>1176</v>
      </c>
      <c r="V54" s="102">
        <f>TrRoad_act!V135</f>
        <v>1073</v>
      </c>
      <c r="W54" s="102">
        <f>TrRoad_act!W135</f>
        <v>890</v>
      </c>
      <c r="X54" s="102">
        <f>TrRoad_act!X135</f>
        <v>1027</v>
      </c>
      <c r="Y54" s="102">
        <f>TrRoad_act!Y135</f>
        <v>1168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0</v>
      </c>
      <c r="C55" s="86">
        <f>TrRoad_act!C136</f>
        <v>0</v>
      </c>
      <c r="D55" s="86">
        <f>TrRoad_act!D136</f>
        <v>0</v>
      </c>
      <c r="E55" s="86">
        <f>TrRoad_act!E136</f>
        <v>0</v>
      </c>
      <c r="F55" s="86">
        <f>TrRoad_act!F136</f>
        <v>0</v>
      </c>
      <c r="G55" s="86">
        <f>TrRoad_act!G136</f>
        <v>0</v>
      </c>
      <c r="H55" s="86">
        <f>TrRoad_act!H136</f>
        <v>0</v>
      </c>
      <c r="I55" s="86">
        <f>TrRoad_act!I136</f>
        <v>0</v>
      </c>
      <c r="J55" s="86">
        <f>TrRoad_act!J136</f>
        <v>0</v>
      </c>
      <c r="K55" s="86">
        <f>TrRoad_act!K136</f>
        <v>0</v>
      </c>
      <c r="L55" s="86">
        <f>TrRoad_act!L136</f>
        <v>0</v>
      </c>
      <c r="M55" s="86">
        <f>TrRoad_act!M136</f>
        <v>0</v>
      </c>
      <c r="N55" s="86">
        <f>TrRoad_act!N136</f>
        <v>0</v>
      </c>
      <c r="O55" s="86">
        <f>TrRoad_act!O136</f>
        <v>0</v>
      </c>
      <c r="P55" s="86">
        <f>TrRoad_act!P136</f>
        <v>0</v>
      </c>
      <c r="Q55" s="86">
        <f>TrRoad_act!Q136</f>
        <v>0</v>
      </c>
      <c r="R55" s="86">
        <f>TrRoad_act!R136</f>
        <v>0</v>
      </c>
      <c r="S55" s="86">
        <f>TrRoad_act!S136</f>
        <v>0</v>
      </c>
      <c r="T55" s="86">
        <f>TrRoad_act!T136</f>
        <v>0</v>
      </c>
      <c r="U55" s="86">
        <f>TrRoad_act!U136</f>
        <v>0</v>
      </c>
      <c r="V55" s="86">
        <f>TrRoad_act!V136</f>
        <v>0</v>
      </c>
      <c r="W55" s="86">
        <f>TrRoad_act!W136</f>
        <v>0</v>
      </c>
      <c r="X55" s="86">
        <f>TrRoad_act!X136</f>
        <v>0</v>
      </c>
      <c r="Y55" s="86">
        <f>TrRoad_act!Y136</f>
        <v>0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35040</v>
      </c>
      <c r="C59" s="54">
        <f t="shared" si="0"/>
        <v>6277</v>
      </c>
      <c r="D59" s="54">
        <f t="shared" si="0"/>
        <v>7200</v>
      </c>
      <c r="E59" s="54">
        <f t="shared" si="0"/>
        <v>5850</v>
      </c>
      <c r="F59" s="54">
        <f t="shared" si="0"/>
        <v>4065</v>
      </c>
      <c r="G59" s="54">
        <f t="shared" si="0"/>
        <v>6751</v>
      </c>
      <c r="H59" s="54">
        <f t="shared" si="0"/>
        <v>11126</v>
      </c>
      <c r="I59" s="54">
        <f t="shared" si="0"/>
        <v>11948</v>
      </c>
      <c r="J59" s="54">
        <f t="shared" si="0"/>
        <v>12262</v>
      </c>
      <c r="K59" s="54">
        <f t="shared" si="0"/>
        <v>14422</v>
      </c>
      <c r="L59" s="54">
        <f t="shared" ref="L59" si="1">L60+L75</f>
        <v>32695</v>
      </c>
      <c r="M59" s="54">
        <f t="shared" ref="M59:V59" si="2">M60+M75</f>
        <v>16203</v>
      </c>
      <c r="N59" s="54">
        <f t="shared" si="2"/>
        <v>14416</v>
      </c>
      <c r="O59" s="54">
        <f t="shared" si="2"/>
        <v>15970</v>
      </c>
      <c r="P59" s="54">
        <f t="shared" si="2"/>
        <v>18785</v>
      </c>
      <c r="Q59" s="54">
        <f t="shared" si="2"/>
        <v>17278</v>
      </c>
      <c r="R59" s="54">
        <f t="shared" si="2"/>
        <v>19265</v>
      </c>
      <c r="S59" s="54">
        <f t="shared" si="2"/>
        <v>21943</v>
      </c>
      <c r="T59" s="54">
        <f t="shared" si="2"/>
        <v>22810</v>
      </c>
      <c r="U59" s="54">
        <f t="shared" si="2"/>
        <v>22728</v>
      </c>
      <c r="V59" s="54">
        <f t="shared" si="2"/>
        <v>17460</v>
      </c>
      <c r="W59" s="54">
        <f t="shared" ref="W59:Y59" si="3">W60+W75</f>
        <v>26710</v>
      </c>
      <c r="X59" s="54">
        <f t="shared" si="3"/>
        <v>30639</v>
      </c>
      <c r="Y59" s="54">
        <f t="shared" si="3"/>
        <v>32578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35040</v>
      </c>
      <c r="C60" s="28">
        <f t="shared" si="4"/>
        <v>6277</v>
      </c>
      <c r="D60" s="28">
        <f t="shared" si="4"/>
        <v>7176</v>
      </c>
      <c r="E60" s="28">
        <f t="shared" si="4"/>
        <v>5777</v>
      </c>
      <c r="F60" s="28">
        <f t="shared" si="4"/>
        <v>3941</v>
      </c>
      <c r="G60" s="28">
        <f t="shared" si="4"/>
        <v>6562</v>
      </c>
      <c r="H60" s="28">
        <f t="shared" si="4"/>
        <v>10300</v>
      </c>
      <c r="I60" s="28">
        <f t="shared" si="4"/>
        <v>10573</v>
      </c>
      <c r="J60" s="28">
        <f t="shared" si="4"/>
        <v>10670</v>
      </c>
      <c r="K60" s="28">
        <f t="shared" si="4"/>
        <v>13130</v>
      </c>
      <c r="L60" s="28">
        <f t="shared" ref="L60" si="5">L61+L62+L69</f>
        <v>30870</v>
      </c>
      <c r="M60" s="28">
        <f t="shared" ref="M60:V60" si="6">M61+M62+M69</f>
        <v>14339</v>
      </c>
      <c r="N60" s="28">
        <f t="shared" si="6"/>
        <v>12191</v>
      </c>
      <c r="O60" s="28">
        <f t="shared" si="6"/>
        <v>13189</v>
      </c>
      <c r="P60" s="28">
        <f t="shared" si="6"/>
        <v>15924</v>
      </c>
      <c r="Q60" s="28">
        <f t="shared" si="6"/>
        <v>13958</v>
      </c>
      <c r="R60" s="28">
        <f t="shared" si="6"/>
        <v>15799</v>
      </c>
      <c r="S60" s="28">
        <f t="shared" si="6"/>
        <v>17594</v>
      </c>
      <c r="T60" s="28">
        <f t="shared" si="6"/>
        <v>18143</v>
      </c>
      <c r="U60" s="28">
        <f t="shared" si="6"/>
        <v>18022</v>
      </c>
      <c r="V60" s="28">
        <f t="shared" si="6"/>
        <v>13500</v>
      </c>
      <c r="W60" s="28">
        <f t="shared" ref="W60:Y60" si="7">W61+W62+W69</f>
        <v>23220</v>
      </c>
      <c r="X60" s="28">
        <f t="shared" si="7"/>
        <v>26395</v>
      </c>
      <c r="Y60" s="28">
        <f t="shared" si="7"/>
        <v>27851</v>
      </c>
      <c r="DA60" s="173" t="s">
        <v>839</v>
      </c>
    </row>
    <row r="61" spans="1:105" ht="11.45" customHeight="1" x14ac:dyDescent="0.25">
      <c r="A61" s="136" t="s">
        <v>173</v>
      </c>
      <c r="B61" s="137">
        <v>1929</v>
      </c>
      <c r="C61" s="137">
        <v>520</v>
      </c>
      <c r="D61" s="137">
        <v>574</v>
      </c>
      <c r="E61" s="137">
        <v>533</v>
      </c>
      <c r="F61" s="137">
        <v>368</v>
      </c>
      <c r="G61" s="137">
        <v>341</v>
      </c>
      <c r="H61" s="137">
        <v>474</v>
      </c>
      <c r="I61" s="137">
        <v>609</v>
      </c>
      <c r="J61" s="137">
        <v>1395</v>
      </c>
      <c r="K61" s="137">
        <v>871</v>
      </c>
      <c r="L61" s="137">
        <v>853</v>
      </c>
      <c r="M61" s="137">
        <v>1005</v>
      </c>
      <c r="N61" s="137">
        <v>1080</v>
      </c>
      <c r="O61" s="137">
        <v>1319</v>
      </c>
      <c r="P61" s="137">
        <v>1659</v>
      </c>
      <c r="Q61" s="137">
        <v>2095</v>
      </c>
      <c r="R61" s="137">
        <v>3335</v>
      </c>
      <c r="S61" s="137">
        <v>2873</v>
      </c>
      <c r="T61" s="137">
        <v>3051</v>
      </c>
      <c r="U61" s="137">
        <v>3323</v>
      </c>
      <c r="V61" s="137">
        <v>2280</v>
      </c>
      <c r="W61" s="137">
        <v>4243</v>
      </c>
      <c r="X61" s="137">
        <v>5344</v>
      </c>
      <c r="Y61" s="137">
        <v>4014.0000000000005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32406</v>
      </c>
      <c r="C62" s="110">
        <f t="shared" si="8"/>
        <v>5757</v>
      </c>
      <c r="D62" s="110">
        <f t="shared" si="8"/>
        <v>6597</v>
      </c>
      <c r="E62" s="110">
        <f t="shared" si="8"/>
        <v>5240</v>
      </c>
      <c r="F62" s="110">
        <f t="shared" si="8"/>
        <v>3573</v>
      </c>
      <c r="G62" s="110">
        <f t="shared" si="8"/>
        <v>6217</v>
      </c>
      <c r="H62" s="110">
        <f t="shared" si="8"/>
        <v>9824</v>
      </c>
      <c r="I62" s="110">
        <f t="shared" si="8"/>
        <v>9956</v>
      </c>
      <c r="J62" s="110">
        <f t="shared" si="8"/>
        <v>9266</v>
      </c>
      <c r="K62" s="110">
        <f t="shared" si="8"/>
        <v>12111</v>
      </c>
      <c r="L62" s="110">
        <f t="shared" ref="L62" si="9">SUM(L63:L68)</f>
        <v>29913</v>
      </c>
      <c r="M62" s="110">
        <f t="shared" ref="M62:V62" si="10">SUM(M63:M68)</f>
        <v>13034</v>
      </c>
      <c r="N62" s="110">
        <f t="shared" si="10"/>
        <v>11066</v>
      </c>
      <c r="O62" s="110">
        <f t="shared" si="10"/>
        <v>11847</v>
      </c>
      <c r="P62" s="110">
        <f t="shared" si="10"/>
        <v>14181</v>
      </c>
      <c r="Q62" s="110">
        <f t="shared" si="10"/>
        <v>11670</v>
      </c>
      <c r="R62" s="110">
        <f t="shared" si="10"/>
        <v>12336</v>
      </c>
      <c r="S62" s="110">
        <f t="shared" si="10"/>
        <v>14647</v>
      </c>
      <c r="T62" s="110">
        <f t="shared" si="10"/>
        <v>15056</v>
      </c>
      <c r="U62" s="110">
        <f t="shared" si="10"/>
        <v>14536</v>
      </c>
      <c r="V62" s="110">
        <f t="shared" si="10"/>
        <v>11072</v>
      </c>
      <c r="W62" s="110">
        <f t="shared" ref="W62:Y62" si="11">SUM(W63:W68)</f>
        <v>18868</v>
      </c>
      <c r="X62" s="110">
        <f t="shared" si="11"/>
        <v>20956</v>
      </c>
      <c r="Y62" s="110">
        <f t="shared" si="11"/>
        <v>23723</v>
      </c>
      <c r="DA62" s="176" t="s">
        <v>841</v>
      </c>
    </row>
    <row r="63" spans="1:105" ht="11.45" customHeight="1" x14ac:dyDescent="0.25">
      <c r="A63" s="111" t="s">
        <v>110</v>
      </c>
      <c r="B63" s="84">
        <v>28632</v>
      </c>
      <c r="C63" s="84">
        <v>3712</v>
      </c>
      <c r="D63" s="84">
        <v>4334</v>
      </c>
      <c r="E63" s="84">
        <v>3948</v>
      </c>
      <c r="F63" s="84">
        <v>2857</v>
      </c>
      <c r="G63" s="84">
        <v>5261</v>
      </c>
      <c r="H63" s="84">
        <v>8860</v>
      </c>
      <c r="I63" s="84">
        <v>8912</v>
      </c>
      <c r="J63" s="84">
        <v>8295</v>
      </c>
      <c r="K63" s="84">
        <v>9664</v>
      </c>
      <c r="L63" s="84">
        <v>7862</v>
      </c>
      <c r="M63" s="84">
        <v>8264</v>
      </c>
      <c r="N63" s="84">
        <v>6683</v>
      </c>
      <c r="O63" s="84">
        <v>7234</v>
      </c>
      <c r="P63" s="84">
        <v>8824</v>
      </c>
      <c r="Q63" s="84">
        <v>8627</v>
      </c>
      <c r="R63" s="84">
        <v>7208</v>
      </c>
      <c r="S63" s="84">
        <v>8754</v>
      </c>
      <c r="T63" s="84">
        <v>9472</v>
      </c>
      <c r="U63" s="84">
        <v>8645</v>
      </c>
      <c r="V63" s="84">
        <v>6731</v>
      </c>
      <c r="W63" s="84">
        <v>14256</v>
      </c>
      <c r="X63" s="84">
        <v>15208</v>
      </c>
      <c r="Y63" s="84">
        <v>17080</v>
      </c>
      <c r="DA63" s="171" t="s">
        <v>842</v>
      </c>
    </row>
    <row r="64" spans="1:105" ht="11.45" customHeight="1" x14ac:dyDescent="0.25">
      <c r="A64" s="111" t="s">
        <v>111</v>
      </c>
      <c r="B64" s="84">
        <v>3774</v>
      </c>
      <c r="C64" s="84">
        <v>2045</v>
      </c>
      <c r="D64" s="84">
        <v>2263</v>
      </c>
      <c r="E64" s="84">
        <v>1292</v>
      </c>
      <c r="F64" s="84">
        <v>716</v>
      </c>
      <c r="G64" s="84">
        <v>956</v>
      </c>
      <c r="H64" s="84">
        <v>964</v>
      </c>
      <c r="I64" s="84">
        <v>1044</v>
      </c>
      <c r="J64" s="84">
        <v>971</v>
      </c>
      <c r="K64" s="84">
        <v>2447</v>
      </c>
      <c r="L64" s="84">
        <v>22003</v>
      </c>
      <c r="M64" s="84">
        <v>4753</v>
      </c>
      <c r="N64" s="84">
        <v>4347</v>
      </c>
      <c r="O64" s="84">
        <v>4494</v>
      </c>
      <c r="P64" s="84">
        <v>5085</v>
      </c>
      <c r="Q64" s="84">
        <v>2751</v>
      </c>
      <c r="R64" s="84">
        <v>4578</v>
      </c>
      <c r="S64" s="84">
        <v>5882</v>
      </c>
      <c r="T64" s="84">
        <v>5500</v>
      </c>
      <c r="U64" s="84">
        <v>5028</v>
      </c>
      <c r="V64" s="84">
        <v>3841</v>
      </c>
      <c r="W64" s="84">
        <v>3455</v>
      </c>
      <c r="X64" s="84">
        <v>3551</v>
      </c>
      <c r="Y64" s="84">
        <v>4164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549</v>
      </c>
      <c r="S65" s="84">
        <v>0</v>
      </c>
      <c r="T65" s="84">
        <v>0</v>
      </c>
      <c r="U65" s="84">
        <v>444</v>
      </c>
      <c r="V65" s="84">
        <v>0</v>
      </c>
      <c r="W65" s="84">
        <v>4</v>
      </c>
      <c r="X65" s="84">
        <v>2</v>
      </c>
      <c r="Y65" s="84">
        <v>1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84">
        <v>0</v>
      </c>
      <c r="Y66" s="84">
        <v>0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48</v>
      </c>
      <c r="M67" s="84">
        <v>17</v>
      </c>
      <c r="N67" s="84">
        <v>36</v>
      </c>
      <c r="O67" s="84">
        <v>119</v>
      </c>
      <c r="P67" s="84">
        <v>272</v>
      </c>
      <c r="Q67" s="84">
        <v>292</v>
      </c>
      <c r="R67" s="84">
        <v>1</v>
      </c>
      <c r="S67" s="84">
        <v>11</v>
      </c>
      <c r="T67" s="84">
        <v>84</v>
      </c>
      <c r="U67" s="84">
        <v>60</v>
      </c>
      <c r="V67" s="84">
        <v>215</v>
      </c>
      <c r="W67" s="84">
        <v>668</v>
      </c>
      <c r="X67" s="84">
        <v>1206</v>
      </c>
      <c r="Y67" s="84">
        <v>962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359</v>
      </c>
      <c r="V68" s="84">
        <v>285</v>
      </c>
      <c r="W68" s="84">
        <v>485</v>
      </c>
      <c r="X68" s="84">
        <v>989</v>
      </c>
      <c r="Y68" s="84">
        <v>1516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705</v>
      </c>
      <c r="C69" s="110">
        <f t="shared" si="12"/>
        <v>0</v>
      </c>
      <c r="D69" s="110">
        <f t="shared" si="12"/>
        <v>5</v>
      </c>
      <c r="E69" s="110">
        <f t="shared" si="12"/>
        <v>4</v>
      </c>
      <c r="F69" s="110">
        <f t="shared" si="12"/>
        <v>0</v>
      </c>
      <c r="G69" s="110">
        <f t="shared" si="12"/>
        <v>4</v>
      </c>
      <c r="H69" s="110">
        <f t="shared" si="12"/>
        <v>2</v>
      </c>
      <c r="I69" s="110">
        <f t="shared" si="12"/>
        <v>8</v>
      </c>
      <c r="J69" s="110">
        <f t="shared" si="12"/>
        <v>9</v>
      </c>
      <c r="K69" s="110">
        <f t="shared" si="12"/>
        <v>148</v>
      </c>
      <c r="L69" s="110">
        <f t="shared" ref="L69" si="13">SUM(L70:L74)</f>
        <v>104</v>
      </c>
      <c r="M69" s="110">
        <f t="shared" ref="M69:V69" si="14">SUM(M70:M74)</f>
        <v>300</v>
      </c>
      <c r="N69" s="110">
        <f t="shared" si="14"/>
        <v>45</v>
      </c>
      <c r="O69" s="110">
        <f t="shared" si="14"/>
        <v>23</v>
      </c>
      <c r="P69" s="110">
        <f t="shared" si="14"/>
        <v>84</v>
      </c>
      <c r="Q69" s="110">
        <f t="shared" si="14"/>
        <v>193</v>
      </c>
      <c r="R69" s="110">
        <f t="shared" si="14"/>
        <v>128</v>
      </c>
      <c r="S69" s="110">
        <f t="shared" si="14"/>
        <v>74</v>
      </c>
      <c r="T69" s="110">
        <f t="shared" si="14"/>
        <v>36</v>
      </c>
      <c r="U69" s="110">
        <f t="shared" si="14"/>
        <v>163</v>
      </c>
      <c r="V69" s="110">
        <f t="shared" si="14"/>
        <v>148</v>
      </c>
      <c r="W69" s="110">
        <f t="shared" ref="W69:Y69" si="15">SUM(W70:W74)</f>
        <v>109</v>
      </c>
      <c r="X69" s="110">
        <f t="shared" si="15"/>
        <v>95</v>
      </c>
      <c r="Y69" s="110">
        <f t="shared" si="15"/>
        <v>114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8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1</v>
      </c>
      <c r="U70" s="102">
        <v>2</v>
      </c>
      <c r="V70" s="102">
        <v>0</v>
      </c>
      <c r="W70" s="102">
        <v>1</v>
      </c>
      <c r="X70" s="102">
        <v>0</v>
      </c>
      <c r="Y70" s="102">
        <v>1</v>
      </c>
      <c r="DA70" s="175" t="s">
        <v>849</v>
      </c>
    </row>
    <row r="71" spans="1:105" ht="11.45" customHeight="1" x14ac:dyDescent="0.25">
      <c r="A71" s="111" t="s">
        <v>111</v>
      </c>
      <c r="B71" s="102">
        <v>705</v>
      </c>
      <c r="C71" s="102">
        <v>0</v>
      </c>
      <c r="D71" s="102">
        <v>5</v>
      </c>
      <c r="E71" s="102">
        <v>4</v>
      </c>
      <c r="F71" s="102">
        <v>0</v>
      </c>
      <c r="G71" s="102">
        <v>4</v>
      </c>
      <c r="H71" s="102">
        <v>2</v>
      </c>
      <c r="I71" s="102">
        <v>8</v>
      </c>
      <c r="J71" s="102">
        <v>9</v>
      </c>
      <c r="K71" s="102">
        <v>148</v>
      </c>
      <c r="L71" s="102">
        <v>96</v>
      </c>
      <c r="M71" s="102">
        <v>300</v>
      </c>
      <c r="N71" s="102">
        <v>45</v>
      </c>
      <c r="O71" s="102">
        <v>23</v>
      </c>
      <c r="P71" s="102">
        <v>84</v>
      </c>
      <c r="Q71" s="102">
        <v>193</v>
      </c>
      <c r="R71" s="102">
        <v>128</v>
      </c>
      <c r="S71" s="102">
        <v>74</v>
      </c>
      <c r="T71" s="102">
        <v>33</v>
      </c>
      <c r="U71" s="102">
        <v>159</v>
      </c>
      <c r="V71" s="102">
        <v>147</v>
      </c>
      <c r="W71" s="102">
        <v>102</v>
      </c>
      <c r="X71" s="102">
        <v>93</v>
      </c>
      <c r="Y71" s="102">
        <v>61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21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2</v>
      </c>
      <c r="U74" s="102">
        <v>2</v>
      </c>
      <c r="V74" s="102">
        <v>1</v>
      </c>
      <c r="W74" s="102">
        <v>6</v>
      </c>
      <c r="X74" s="102">
        <v>2</v>
      </c>
      <c r="Y74" s="102">
        <v>31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24</v>
      </c>
      <c r="E75" s="28">
        <f t="shared" si="16"/>
        <v>73</v>
      </c>
      <c r="F75" s="28">
        <f t="shared" si="16"/>
        <v>124</v>
      </c>
      <c r="G75" s="28">
        <f t="shared" si="16"/>
        <v>189</v>
      </c>
      <c r="H75" s="28">
        <f t="shared" si="16"/>
        <v>826</v>
      </c>
      <c r="I75" s="28">
        <f t="shared" si="16"/>
        <v>1375</v>
      </c>
      <c r="J75" s="28">
        <f t="shared" si="16"/>
        <v>1592</v>
      </c>
      <c r="K75" s="28">
        <f t="shared" si="16"/>
        <v>1292</v>
      </c>
      <c r="L75" s="28">
        <f t="shared" ref="L75" si="17">L76+L82</f>
        <v>1825</v>
      </c>
      <c r="M75" s="28">
        <f t="shared" ref="M75:V75" si="18">M76+M82</f>
        <v>1864</v>
      </c>
      <c r="N75" s="28">
        <f t="shared" si="18"/>
        <v>2225</v>
      </c>
      <c r="O75" s="28">
        <f t="shared" si="18"/>
        <v>2781</v>
      </c>
      <c r="P75" s="28">
        <f t="shared" si="18"/>
        <v>2861</v>
      </c>
      <c r="Q75" s="28">
        <f t="shared" si="18"/>
        <v>3320</v>
      </c>
      <c r="R75" s="28">
        <f t="shared" si="18"/>
        <v>3466</v>
      </c>
      <c r="S75" s="28">
        <f t="shared" si="18"/>
        <v>4349</v>
      </c>
      <c r="T75" s="28">
        <f t="shared" si="18"/>
        <v>4667</v>
      </c>
      <c r="U75" s="28">
        <f t="shared" si="18"/>
        <v>4706</v>
      </c>
      <c r="V75" s="28">
        <f t="shared" si="18"/>
        <v>3960</v>
      </c>
      <c r="W75" s="28">
        <f t="shared" ref="W75:Y75" si="19">W76+W82</f>
        <v>3490</v>
      </c>
      <c r="X75" s="28">
        <f t="shared" si="19"/>
        <v>4244</v>
      </c>
      <c r="Y75" s="28">
        <f t="shared" si="19"/>
        <v>4727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610</v>
      </c>
      <c r="I76" s="137">
        <f t="shared" si="20"/>
        <v>1108</v>
      </c>
      <c r="J76" s="137">
        <f t="shared" si="20"/>
        <v>1143</v>
      </c>
      <c r="K76" s="137">
        <f t="shared" si="20"/>
        <v>862</v>
      </c>
      <c r="L76" s="137">
        <f t="shared" ref="L76" si="21">SUM(L77:L81)</f>
        <v>1515</v>
      </c>
      <c r="M76" s="137">
        <f t="shared" ref="M76:V76" si="22">SUM(M77:M81)</f>
        <v>1493</v>
      </c>
      <c r="N76" s="137">
        <f t="shared" si="22"/>
        <v>1789</v>
      </c>
      <c r="O76" s="137">
        <f t="shared" si="22"/>
        <v>2300</v>
      </c>
      <c r="P76" s="137">
        <f t="shared" si="22"/>
        <v>2300</v>
      </c>
      <c r="Q76" s="137">
        <f t="shared" si="22"/>
        <v>2605</v>
      </c>
      <c r="R76" s="137">
        <f t="shared" si="22"/>
        <v>2640</v>
      </c>
      <c r="S76" s="137">
        <f t="shared" si="22"/>
        <v>3292</v>
      </c>
      <c r="T76" s="137">
        <f t="shared" si="22"/>
        <v>3680</v>
      </c>
      <c r="U76" s="137">
        <f t="shared" si="22"/>
        <v>3535</v>
      </c>
      <c r="V76" s="137">
        <f t="shared" si="22"/>
        <v>2888</v>
      </c>
      <c r="W76" s="137">
        <f t="shared" ref="W76:Y76" si="23">SUM(W77:W81)</f>
        <v>2600</v>
      </c>
      <c r="X76" s="137">
        <f t="shared" si="23"/>
        <v>3217</v>
      </c>
      <c r="Y76" s="137">
        <f t="shared" si="23"/>
        <v>3559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36</v>
      </c>
      <c r="I77" s="84">
        <v>48</v>
      </c>
      <c r="J77" s="84">
        <v>48</v>
      </c>
      <c r="K77" s="84">
        <v>32</v>
      </c>
      <c r="L77" s="84">
        <v>63</v>
      </c>
      <c r="M77" s="84">
        <v>28</v>
      </c>
      <c r="N77" s="84">
        <v>12</v>
      </c>
      <c r="O77" s="84">
        <v>92</v>
      </c>
      <c r="P77" s="84">
        <v>85</v>
      </c>
      <c r="Q77" s="84">
        <v>72</v>
      </c>
      <c r="R77" s="84">
        <v>75</v>
      </c>
      <c r="S77" s="84">
        <v>67</v>
      </c>
      <c r="T77" s="84">
        <v>95</v>
      </c>
      <c r="U77" s="84">
        <v>130</v>
      </c>
      <c r="V77" s="84">
        <v>83</v>
      </c>
      <c r="W77" s="84">
        <v>159</v>
      </c>
      <c r="X77" s="84">
        <v>342</v>
      </c>
      <c r="Y77" s="84">
        <v>355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574</v>
      </c>
      <c r="I78" s="84">
        <v>1060</v>
      </c>
      <c r="J78" s="84">
        <v>1095</v>
      </c>
      <c r="K78" s="84">
        <v>830</v>
      </c>
      <c r="L78" s="84">
        <v>1452</v>
      </c>
      <c r="M78" s="84">
        <v>1465</v>
      </c>
      <c r="N78" s="84">
        <v>1777</v>
      </c>
      <c r="O78" s="84">
        <v>2208</v>
      </c>
      <c r="P78" s="84">
        <v>2215</v>
      </c>
      <c r="Q78" s="84">
        <v>2533</v>
      </c>
      <c r="R78" s="84">
        <v>2565</v>
      </c>
      <c r="S78" s="84">
        <v>3223</v>
      </c>
      <c r="T78" s="84">
        <v>3585</v>
      </c>
      <c r="U78" s="84">
        <v>3340</v>
      </c>
      <c r="V78" s="84">
        <v>2786</v>
      </c>
      <c r="W78" s="84">
        <v>2401</v>
      </c>
      <c r="X78" s="84">
        <v>2848</v>
      </c>
      <c r="Y78" s="84">
        <v>3111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2</v>
      </c>
      <c r="T79" s="84">
        <v>0</v>
      </c>
      <c r="U79" s="84">
        <v>2</v>
      </c>
      <c r="V79" s="84">
        <v>0</v>
      </c>
      <c r="W79" s="84">
        <v>0</v>
      </c>
      <c r="X79" s="84">
        <v>0</v>
      </c>
      <c r="Y79" s="84">
        <v>1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63</v>
      </c>
      <c r="V81" s="84">
        <v>19</v>
      </c>
      <c r="W81" s="84">
        <v>40</v>
      </c>
      <c r="X81" s="84">
        <v>27</v>
      </c>
      <c r="Y81" s="84">
        <v>92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24</v>
      </c>
      <c r="E82" s="110">
        <f t="shared" si="24"/>
        <v>73</v>
      </c>
      <c r="F82" s="110">
        <f t="shared" si="24"/>
        <v>124</v>
      </c>
      <c r="G82" s="110">
        <f t="shared" si="24"/>
        <v>189</v>
      </c>
      <c r="H82" s="110">
        <f t="shared" si="24"/>
        <v>216</v>
      </c>
      <c r="I82" s="110">
        <f t="shared" si="24"/>
        <v>267</v>
      </c>
      <c r="J82" s="110">
        <f t="shared" si="24"/>
        <v>449</v>
      </c>
      <c r="K82" s="110">
        <f t="shared" si="24"/>
        <v>430</v>
      </c>
      <c r="L82" s="110">
        <f t="shared" ref="L82" si="25">SUM(L83:L84)</f>
        <v>310</v>
      </c>
      <c r="M82" s="110">
        <f t="shared" ref="M82:V82" si="26">SUM(M83:M84)</f>
        <v>371</v>
      </c>
      <c r="N82" s="110">
        <f t="shared" si="26"/>
        <v>436</v>
      </c>
      <c r="O82" s="110">
        <f t="shared" si="26"/>
        <v>481</v>
      </c>
      <c r="P82" s="110">
        <f t="shared" si="26"/>
        <v>561</v>
      </c>
      <c r="Q82" s="110">
        <f t="shared" si="26"/>
        <v>715</v>
      </c>
      <c r="R82" s="110">
        <f t="shared" si="26"/>
        <v>826</v>
      </c>
      <c r="S82" s="110">
        <f t="shared" si="26"/>
        <v>1057</v>
      </c>
      <c r="T82" s="110">
        <f t="shared" si="26"/>
        <v>987</v>
      </c>
      <c r="U82" s="110">
        <f t="shared" si="26"/>
        <v>1171</v>
      </c>
      <c r="V82" s="110">
        <f t="shared" si="26"/>
        <v>1072</v>
      </c>
      <c r="W82" s="110">
        <f t="shared" ref="W82:Y82" si="27">SUM(W83:W84)</f>
        <v>890</v>
      </c>
      <c r="X82" s="110">
        <f t="shared" si="27"/>
        <v>1027</v>
      </c>
      <c r="Y82" s="110">
        <f t="shared" si="27"/>
        <v>1168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24</v>
      </c>
      <c r="E83" s="102">
        <v>73</v>
      </c>
      <c r="F83" s="102">
        <v>124</v>
      </c>
      <c r="G83" s="102">
        <v>189</v>
      </c>
      <c r="H83" s="102">
        <v>216</v>
      </c>
      <c r="I83" s="102">
        <v>267</v>
      </c>
      <c r="J83" s="102">
        <v>449</v>
      </c>
      <c r="K83" s="102">
        <v>430</v>
      </c>
      <c r="L83" s="102">
        <v>310</v>
      </c>
      <c r="M83" s="102">
        <v>371</v>
      </c>
      <c r="N83" s="102">
        <v>436</v>
      </c>
      <c r="O83" s="102">
        <v>481</v>
      </c>
      <c r="P83" s="102">
        <v>561</v>
      </c>
      <c r="Q83" s="102">
        <v>715</v>
      </c>
      <c r="R83" s="102">
        <v>826</v>
      </c>
      <c r="S83" s="102">
        <v>1057</v>
      </c>
      <c r="T83" s="102">
        <v>987</v>
      </c>
      <c r="U83" s="102">
        <v>1171</v>
      </c>
      <c r="V83" s="102">
        <v>1072</v>
      </c>
      <c r="W83" s="102">
        <v>890</v>
      </c>
      <c r="X83" s="102">
        <v>1027</v>
      </c>
      <c r="Y83" s="102">
        <v>1168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6">
        <v>0</v>
      </c>
      <c r="R84" s="86">
        <v>0</v>
      </c>
      <c r="S84" s="86">
        <v>0</v>
      </c>
      <c r="T84" s="86">
        <v>0</v>
      </c>
      <c r="U84" s="86">
        <v>0</v>
      </c>
      <c r="V84" s="86">
        <v>0</v>
      </c>
      <c r="W84" s="86">
        <v>0</v>
      </c>
      <c r="X84" s="86">
        <v>0</v>
      </c>
      <c r="Y84" s="86">
        <v>0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3.7277281343803734</v>
      </c>
      <c r="C90" s="141">
        <v>3.7123085268765728</v>
      </c>
      <c r="D90" s="141">
        <v>3.6958519562080134</v>
      </c>
      <c r="E90" s="141">
        <v>3.6792811485353605</v>
      </c>
      <c r="F90" s="141">
        <v>3.6626127928148864</v>
      </c>
      <c r="G90" s="141">
        <v>3.6416414968551232</v>
      </c>
      <c r="H90" s="141">
        <v>3.615165101919509</v>
      </c>
      <c r="I90" s="141">
        <v>3.5829167921729819</v>
      </c>
      <c r="J90" s="141">
        <v>3.5098802147889696</v>
      </c>
      <c r="K90" s="141">
        <v>3.4451312202204711</v>
      </c>
      <c r="L90" s="141">
        <v>3.3658693542473372</v>
      </c>
      <c r="M90" s="141">
        <v>3.2955139383258434</v>
      </c>
      <c r="N90" s="141">
        <v>3.2053998362339895</v>
      </c>
      <c r="O90" s="141">
        <v>3.1264639626890713</v>
      </c>
      <c r="P90" s="141">
        <v>3.0497491998732804</v>
      </c>
      <c r="Q90" s="141">
        <v>2.9501486739629441</v>
      </c>
      <c r="R90" s="141">
        <v>2.8361437340349043</v>
      </c>
      <c r="S90" s="141">
        <v>2.7447341801260672</v>
      </c>
      <c r="T90" s="141">
        <v>2.6812693812844834</v>
      </c>
      <c r="U90" s="141">
        <v>2.6240425324728771</v>
      </c>
      <c r="V90" s="141">
        <v>2.5767905634342498</v>
      </c>
      <c r="W90" s="141">
        <v>2.5241243227760708</v>
      </c>
      <c r="X90" s="141">
        <v>2.4581682399422742</v>
      </c>
      <c r="Y90" s="141">
        <v>2.425249312199055</v>
      </c>
      <c r="DA90" s="174" t="s">
        <v>864</v>
      </c>
    </row>
    <row r="91" spans="1:105" ht="11.45" customHeight="1" x14ac:dyDescent="0.25">
      <c r="A91" s="109" t="s">
        <v>20</v>
      </c>
      <c r="B91" s="130">
        <v>5.7883446908296037</v>
      </c>
      <c r="C91" s="130">
        <v>5.762141064951896</v>
      </c>
      <c r="D91" s="130">
        <v>5.7470897037964805</v>
      </c>
      <c r="E91" s="130">
        <v>5.7344873485496457</v>
      </c>
      <c r="F91" s="130">
        <v>5.7259222567551484</v>
      </c>
      <c r="G91" s="130">
        <v>5.7092789373242852</v>
      </c>
      <c r="H91" s="130">
        <v>5.6832868064465432</v>
      </c>
      <c r="I91" s="130">
        <v>5.6586767518925489</v>
      </c>
      <c r="J91" s="130">
        <v>5.6366510571960973</v>
      </c>
      <c r="K91" s="130">
        <v>5.6120397930016805</v>
      </c>
      <c r="L91" s="130">
        <v>5.6180459491082848</v>
      </c>
      <c r="M91" s="130">
        <v>5.5925554619035465</v>
      </c>
      <c r="N91" s="130">
        <v>5.5654945697036071</v>
      </c>
      <c r="O91" s="130">
        <v>5.5450495546061598</v>
      </c>
      <c r="P91" s="130">
        <v>5.5172071144266166</v>
      </c>
      <c r="Q91" s="130">
        <v>5.4848423848871075</v>
      </c>
      <c r="R91" s="130">
        <v>5.4537792351993826</v>
      </c>
      <c r="S91" s="130">
        <v>5.4104297455329542</v>
      </c>
      <c r="T91" s="130">
        <v>5.3644615276794498</v>
      </c>
      <c r="U91" s="130">
        <v>5.3151677402241173</v>
      </c>
      <c r="V91" s="130">
        <v>5.276614933502759</v>
      </c>
      <c r="W91" s="130">
        <v>5.204496834003705</v>
      </c>
      <c r="X91" s="130">
        <v>5.120464877067386</v>
      </c>
      <c r="Y91" s="130">
        <v>5.0359143887816922</v>
      </c>
      <c r="DA91" s="176" t="s">
        <v>865</v>
      </c>
    </row>
    <row r="92" spans="1:105" ht="11.45" customHeight="1" x14ac:dyDescent="0.25">
      <c r="A92" s="111" t="s">
        <v>110</v>
      </c>
      <c r="B92" s="96">
        <v>5.7320249981651106</v>
      </c>
      <c r="C92" s="96">
        <v>5.6923788685301657</v>
      </c>
      <c r="D92" s="96">
        <v>5.6695903980804143</v>
      </c>
      <c r="E92" s="96">
        <v>5.6508246300730107</v>
      </c>
      <c r="F92" s="96">
        <v>5.6371946229622889</v>
      </c>
      <c r="G92" s="96">
        <v>5.6117816008744565</v>
      </c>
      <c r="H92" s="96">
        <v>5.5734377799032035</v>
      </c>
      <c r="I92" s="96">
        <v>5.5389006514987598</v>
      </c>
      <c r="J92" s="96">
        <v>5.5080433177706389</v>
      </c>
      <c r="K92" s="96">
        <v>5.4750629345246802</v>
      </c>
      <c r="L92" s="96">
        <v>5.4287473007063944</v>
      </c>
      <c r="M92" s="96">
        <v>5.3921524904225375</v>
      </c>
      <c r="N92" s="96">
        <v>5.3550607859067609</v>
      </c>
      <c r="O92" s="96">
        <v>5.3244682172784694</v>
      </c>
      <c r="P92" s="96">
        <v>5.2908397581650712</v>
      </c>
      <c r="Q92" s="96">
        <v>5.2547398278854009</v>
      </c>
      <c r="R92" s="96">
        <v>5.2130086568117422</v>
      </c>
      <c r="S92" s="96">
        <v>5.1626642105777192</v>
      </c>
      <c r="T92" s="96">
        <v>5.108229615426553</v>
      </c>
      <c r="U92" s="96">
        <v>5.0658730884736736</v>
      </c>
      <c r="V92" s="96">
        <v>5.031407151256821</v>
      </c>
      <c r="W92" s="96">
        <v>4.9549245774434576</v>
      </c>
      <c r="X92" s="96">
        <v>4.8732743097135547</v>
      </c>
      <c r="Y92" s="96">
        <v>4.7929795362297956</v>
      </c>
      <c r="DA92" s="171" t="s">
        <v>866</v>
      </c>
    </row>
    <row r="93" spans="1:105" ht="11.45" customHeight="1" x14ac:dyDescent="0.25">
      <c r="A93" s="111" t="s">
        <v>111</v>
      </c>
      <c r="B93" s="96">
        <v>6.1238080844462441</v>
      </c>
      <c r="C93" s="96">
        <v>6.0862172147562896</v>
      </c>
      <c r="D93" s="96">
        <v>6.071453867736059</v>
      </c>
      <c r="E93" s="96">
        <v>6.0642841079297645</v>
      </c>
      <c r="F93" s="96">
        <v>6.0603821805783964</v>
      </c>
      <c r="G93" s="96">
        <v>6.0543135413350155</v>
      </c>
      <c r="H93" s="96">
        <v>6.0488128190505233</v>
      </c>
      <c r="I93" s="96">
        <v>6.0425379964036514</v>
      </c>
      <c r="J93" s="96">
        <v>6.0364754697913181</v>
      </c>
      <c r="K93" s="96">
        <v>6.0206882678567952</v>
      </c>
      <c r="L93" s="96">
        <v>5.9657467364541512</v>
      </c>
      <c r="M93" s="96">
        <v>5.9447848864791739</v>
      </c>
      <c r="N93" s="96">
        <v>5.9232562495072907</v>
      </c>
      <c r="O93" s="96">
        <v>5.8995276677698119</v>
      </c>
      <c r="P93" s="96">
        <v>5.8603735805420705</v>
      </c>
      <c r="Q93" s="96">
        <v>5.8192918920003445</v>
      </c>
      <c r="R93" s="96">
        <v>5.7607036059346832</v>
      </c>
      <c r="S93" s="96">
        <v>5.7009070091734486</v>
      </c>
      <c r="T93" s="96">
        <v>5.6467894882112244</v>
      </c>
      <c r="U93" s="96">
        <v>5.5867983154220164</v>
      </c>
      <c r="V93" s="96">
        <v>5.5380037248657707</v>
      </c>
      <c r="W93" s="96">
        <v>5.4875139057519933</v>
      </c>
      <c r="X93" s="96">
        <v>5.4396150533711882</v>
      </c>
      <c r="Y93" s="96">
        <v>5.3964041044986324</v>
      </c>
      <c r="DA93" s="171" t="s">
        <v>867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6.2761623388580929</v>
      </c>
      <c r="S94" s="96">
        <v>6.276162338858092</v>
      </c>
      <c r="T94" s="96">
        <v>6.276162338858092</v>
      </c>
      <c r="U94" s="96">
        <v>5.7715689409404893</v>
      </c>
      <c r="V94" s="96">
        <v>5.7342606966980361</v>
      </c>
      <c r="W94" s="96">
        <v>5.683605763128134</v>
      </c>
      <c r="X94" s="96">
        <v>5.6307875011394088</v>
      </c>
      <c r="Y94" s="96">
        <v>5.5717633698173614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X95" s="96">
        <v>0</v>
      </c>
      <c r="Y95" s="96">
        <v>0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4.2203706952036955</v>
      </c>
      <c r="M96" s="96">
        <v>4.2001575990565643</v>
      </c>
      <c r="N96" s="96">
        <v>4.0349389134922937</v>
      </c>
      <c r="O96" s="96">
        <v>4.3553400387616863</v>
      </c>
      <c r="P96" s="96">
        <v>4.5580869380426066</v>
      </c>
      <c r="Q96" s="96">
        <v>4.4007270875862012</v>
      </c>
      <c r="R96" s="96">
        <v>4.4113632905066558</v>
      </c>
      <c r="S96" s="96">
        <v>4.4115720782848005</v>
      </c>
      <c r="T96" s="96">
        <v>4.4787492308390444</v>
      </c>
      <c r="U96" s="96">
        <v>4.3875709964349241</v>
      </c>
      <c r="V96" s="96">
        <v>4.1985672976121871</v>
      </c>
      <c r="W96" s="96">
        <v>3.6354012028602565</v>
      </c>
      <c r="X96" s="96">
        <v>3.2119050816743511</v>
      </c>
      <c r="Y96" s="96">
        <v>2.9868960649195961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1.2578869614751085</v>
      </c>
      <c r="F97" s="96">
        <v>1.2539172920746768</v>
      </c>
      <c r="G97" s="96">
        <v>1.2509543714980187</v>
      </c>
      <c r="H97" s="96">
        <v>1.2470791450520298</v>
      </c>
      <c r="I97" s="96">
        <v>1.2316602713960658</v>
      </c>
      <c r="J97" s="96">
        <v>1.2256920771191369</v>
      </c>
      <c r="K97" s="96">
        <v>1.2214669863098624</v>
      </c>
      <c r="L97" s="96">
        <v>1.2167740520847565</v>
      </c>
      <c r="M97" s="96">
        <v>1.2099601258109296</v>
      </c>
      <c r="N97" s="96">
        <v>1.1786729039166792</v>
      </c>
      <c r="O97" s="96">
        <v>1.1578033418494502</v>
      </c>
      <c r="P97" s="96">
        <v>1.1639528372226386</v>
      </c>
      <c r="Q97" s="96">
        <v>1.2216945750873163</v>
      </c>
      <c r="R97" s="96">
        <v>1.2300294138632473</v>
      </c>
      <c r="S97" s="96">
        <v>1.1735161352316894</v>
      </c>
      <c r="T97" s="96">
        <v>1.1332905757870901</v>
      </c>
      <c r="U97" s="96">
        <v>1.2833925462129308</v>
      </c>
      <c r="V97" s="96">
        <v>1.3626874499702442</v>
      </c>
      <c r="W97" s="96">
        <v>1.3957138228228372</v>
      </c>
      <c r="X97" s="96">
        <v>1.427758614749876</v>
      </c>
      <c r="Y97" s="96">
        <v>1.4857825974461161</v>
      </c>
      <c r="DA97" s="171" t="s">
        <v>871</v>
      </c>
    </row>
    <row r="98" spans="1:105" ht="11.45" customHeight="1" x14ac:dyDescent="0.25">
      <c r="A98" s="109" t="s">
        <v>21</v>
      </c>
      <c r="B98" s="130">
        <v>50.273770327423996</v>
      </c>
      <c r="C98" s="130">
        <v>50.273770327424003</v>
      </c>
      <c r="D98" s="130">
        <v>50.225908065264612</v>
      </c>
      <c r="E98" s="130">
        <v>50.193900462810873</v>
      </c>
      <c r="F98" s="130">
        <v>50.193900462810873</v>
      </c>
      <c r="G98" s="130">
        <v>50.161130515448477</v>
      </c>
      <c r="H98" s="130">
        <v>50.144685653395243</v>
      </c>
      <c r="I98" s="130">
        <v>50.07841580312094</v>
      </c>
      <c r="J98" s="130">
        <v>50.000836032767516</v>
      </c>
      <c r="K98" s="130">
        <v>48.775978448691852</v>
      </c>
      <c r="L98" s="130">
        <v>47.721570349780698</v>
      </c>
      <c r="M98" s="130">
        <v>45.050439699978909</v>
      </c>
      <c r="N98" s="130">
        <v>44.650989557332068</v>
      </c>
      <c r="O98" s="130">
        <v>44.355303230506067</v>
      </c>
      <c r="P98" s="130">
        <v>43.923370859193895</v>
      </c>
      <c r="Q98" s="130">
        <v>42.920566205803979</v>
      </c>
      <c r="R98" s="130">
        <v>42.047552769656022</v>
      </c>
      <c r="S98" s="130">
        <v>41.741357259606005</v>
      </c>
      <c r="T98" s="130">
        <v>41.521211689158825</v>
      </c>
      <c r="U98" s="130">
        <v>40.787908945402364</v>
      </c>
      <c r="V98" s="130">
        <v>39.357681785193812</v>
      </c>
      <c r="W98" s="130">
        <v>38.891377742409688</v>
      </c>
      <c r="X98" s="130">
        <v>38.377156328158513</v>
      </c>
      <c r="Y98" s="130">
        <v>37.797750710495777</v>
      </c>
      <c r="DA98" s="176" t="s">
        <v>872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11.138633688547673</v>
      </c>
      <c r="M99" s="97">
        <v>11.138633688547671</v>
      </c>
      <c r="N99" s="97">
        <v>11.138633688547673</v>
      </c>
      <c r="O99" s="97">
        <v>11.138633688547673</v>
      </c>
      <c r="P99" s="97">
        <v>11.138633688547674</v>
      </c>
      <c r="Q99" s="97">
        <v>11.138633688547673</v>
      </c>
      <c r="R99" s="97">
        <v>11.138633688547673</v>
      </c>
      <c r="S99" s="97">
        <v>11.138633688547673</v>
      </c>
      <c r="T99" s="97">
        <v>10.833145175270815</v>
      </c>
      <c r="U99" s="97">
        <v>10.341419325039753</v>
      </c>
      <c r="V99" s="97">
        <v>10.209941072736305</v>
      </c>
      <c r="W99" s="97">
        <v>9.9619316903982558</v>
      </c>
      <c r="X99" s="97">
        <v>9.961931690398254</v>
      </c>
      <c r="Y99" s="97">
        <v>9.7149095604992972</v>
      </c>
      <c r="DA99" s="175" t="s">
        <v>873</v>
      </c>
    </row>
    <row r="100" spans="1:105" ht="11.45" customHeight="1" x14ac:dyDescent="0.25">
      <c r="A100" s="111" t="s">
        <v>111</v>
      </c>
      <c r="B100" s="97">
        <v>50.273770327423996</v>
      </c>
      <c r="C100" s="97">
        <v>50.273770327423989</v>
      </c>
      <c r="D100" s="97">
        <v>50.193701347484229</v>
      </c>
      <c r="E100" s="97">
        <v>50.138393883575453</v>
      </c>
      <c r="F100" s="97">
        <v>50.138393883575453</v>
      </c>
      <c r="G100" s="97">
        <v>50.077860855972261</v>
      </c>
      <c r="H100" s="97">
        <v>50.046405534799902</v>
      </c>
      <c r="I100" s="97">
        <v>49.915764348054736</v>
      </c>
      <c r="J100" s="97">
        <v>49.759076657771544</v>
      </c>
      <c r="K100" s="97">
        <v>47.431180306173914</v>
      </c>
      <c r="L100" s="97">
        <v>46.24436149975314</v>
      </c>
      <c r="M100" s="97">
        <v>42.550992067754748</v>
      </c>
      <c r="N100" s="97">
        <v>42.081659583898578</v>
      </c>
      <c r="O100" s="97">
        <v>41.753516521756005</v>
      </c>
      <c r="P100" s="97">
        <v>41.202900727714407</v>
      </c>
      <c r="Q100" s="97">
        <v>40.058631557953454</v>
      </c>
      <c r="R100" s="97">
        <v>39.246155136325577</v>
      </c>
      <c r="S100" s="97">
        <v>38.917907976788563</v>
      </c>
      <c r="T100" s="97">
        <v>38.75685954739955</v>
      </c>
      <c r="U100" s="97">
        <v>37.948948507537992</v>
      </c>
      <c r="V100" s="97">
        <v>36.57313136565854</v>
      </c>
      <c r="W100" s="97">
        <v>36.066199124818191</v>
      </c>
      <c r="X100" s="97">
        <v>35.505697436342032</v>
      </c>
      <c r="Y100" s="97">
        <v>35.113982365290887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32.997341415878061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X102" s="97">
        <v>0</v>
      </c>
      <c r="Y102" s="97">
        <v>0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0</v>
      </c>
      <c r="Q103" s="97">
        <v>0</v>
      </c>
      <c r="R103" s="97">
        <v>0</v>
      </c>
      <c r="S103" s="97">
        <v>0</v>
      </c>
      <c r="T103" s="97">
        <v>25.295470813875767</v>
      </c>
      <c r="U103" s="97">
        <v>25.252109932030148</v>
      </c>
      <c r="V103" s="97">
        <v>25.205813172782751</v>
      </c>
      <c r="W103" s="97">
        <v>24.736269203514038</v>
      </c>
      <c r="X103" s="97">
        <v>24.559584477595056</v>
      </c>
      <c r="Y103" s="97">
        <v>23.690731329331541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8.2612700765693337</v>
      </c>
      <c r="C105" s="141">
        <v>8.1785726479507304</v>
      </c>
      <c r="D105" s="141">
        <v>8.0745985382106884</v>
      </c>
      <c r="E105" s="141">
        <v>7.9381632651422365</v>
      </c>
      <c r="F105" s="141">
        <v>7.8266239701017462</v>
      </c>
      <c r="G105" s="141">
        <v>7.7112551744128597</v>
      </c>
      <c r="H105" s="141">
        <v>7.5401136588041817</v>
      </c>
      <c r="I105" s="141">
        <v>7.363900776458391</v>
      </c>
      <c r="J105" s="141">
        <v>7.2069138294296238</v>
      </c>
      <c r="K105" s="141">
        <v>7.0653075100499327</v>
      </c>
      <c r="L105" s="141">
        <v>6.8883463926407407</v>
      </c>
      <c r="M105" s="141">
        <v>6.7172839163606284</v>
      </c>
      <c r="N105" s="141">
        <v>6.5307634614668553</v>
      </c>
      <c r="O105" s="141">
        <v>6.4319334257153429</v>
      </c>
      <c r="P105" s="141">
        <v>6.2437630573577296</v>
      </c>
      <c r="Q105" s="141">
        <v>6.0587230777437631</v>
      </c>
      <c r="R105" s="141">
        <v>5.9033901962012374</v>
      </c>
      <c r="S105" s="141">
        <v>5.8096829330082542</v>
      </c>
      <c r="T105" s="141">
        <v>5.6826276478058784</v>
      </c>
      <c r="U105" s="141">
        <v>5.5890134583046569</v>
      </c>
      <c r="V105" s="141">
        <v>5.5471218445255452</v>
      </c>
      <c r="W105" s="141">
        <v>5.5226797818276969</v>
      </c>
      <c r="X105" s="141">
        <v>5.4348340079340938</v>
      </c>
      <c r="Y105" s="141">
        <v>5.3654165252722503</v>
      </c>
      <c r="DA105" s="174" t="s">
        <v>878</v>
      </c>
    </row>
    <row r="106" spans="1:105" ht="11.45" customHeight="1" x14ac:dyDescent="0.25">
      <c r="A106" s="111" t="s">
        <v>110</v>
      </c>
      <c r="B106" s="96">
        <v>6.9716253151760945</v>
      </c>
      <c r="C106" s="96">
        <v>6.8841624753136177</v>
      </c>
      <c r="D106" s="96">
        <v>6.8500537620800017</v>
      </c>
      <c r="E106" s="96">
        <v>6.7977386737599286</v>
      </c>
      <c r="F106" s="96">
        <v>6.7609189200397841</v>
      </c>
      <c r="G106" s="96">
        <v>6.7261739746867057</v>
      </c>
      <c r="H106" s="96">
        <v>6.6788360909566444</v>
      </c>
      <c r="I106" s="96">
        <v>6.6198527421075877</v>
      </c>
      <c r="J106" s="96">
        <v>6.5614219880500571</v>
      </c>
      <c r="K106" s="96">
        <v>6.5101706372782413</v>
      </c>
      <c r="L106" s="96">
        <v>6.4340570447958445</v>
      </c>
      <c r="M106" s="96">
        <v>6.3798015265553021</v>
      </c>
      <c r="N106" s="96">
        <v>6.3205136715935826</v>
      </c>
      <c r="O106" s="96">
        <v>6.1924542208227225</v>
      </c>
      <c r="P106" s="96">
        <v>6.1028764133918925</v>
      </c>
      <c r="Q106" s="96">
        <v>5.9921890217458147</v>
      </c>
      <c r="R106" s="96">
        <v>5.8830960890259476</v>
      </c>
      <c r="S106" s="96">
        <v>5.7838621823007497</v>
      </c>
      <c r="T106" s="96">
        <v>5.7636148997975827</v>
      </c>
      <c r="U106" s="96">
        <v>5.6286818161695642</v>
      </c>
      <c r="V106" s="96">
        <v>5.5448532574893008</v>
      </c>
      <c r="W106" s="96">
        <v>5.4880972932109913</v>
      </c>
      <c r="X106" s="96">
        <v>5.34676898120368</v>
      </c>
      <c r="Y106" s="96">
        <v>5.3190813462286624</v>
      </c>
      <c r="DA106" s="171" t="s">
        <v>879</v>
      </c>
    </row>
    <row r="107" spans="1:105" ht="11.45" customHeight="1" x14ac:dyDescent="0.25">
      <c r="A107" s="111" t="s">
        <v>111</v>
      </c>
      <c r="B107" s="96">
        <v>8.3418364955806972</v>
      </c>
      <c r="C107" s="96">
        <v>8.2313618376602555</v>
      </c>
      <c r="D107" s="96">
        <v>8.0826265942765438</v>
      </c>
      <c r="E107" s="96">
        <v>7.894834957389528</v>
      </c>
      <c r="F107" s="96">
        <v>7.747380814856311</v>
      </c>
      <c r="G107" s="96">
        <v>7.6008453524450887</v>
      </c>
      <c r="H107" s="96">
        <v>7.3937648792314166</v>
      </c>
      <c r="I107" s="96">
        <v>7.1933359558680294</v>
      </c>
      <c r="J107" s="96">
        <v>7.0255912842812922</v>
      </c>
      <c r="K107" s="96">
        <v>6.8891015301439227</v>
      </c>
      <c r="L107" s="96">
        <v>6.7228107835120401</v>
      </c>
      <c r="M107" s="96">
        <v>6.5653118608397909</v>
      </c>
      <c r="N107" s="96">
        <v>6.3925042903590059</v>
      </c>
      <c r="O107" s="96">
        <v>6.2845714782093536</v>
      </c>
      <c r="P107" s="96">
        <v>6.1199183642572521</v>
      </c>
      <c r="Q107" s="96">
        <v>5.9642643776981181</v>
      </c>
      <c r="R107" s="96">
        <v>5.8287379675499622</v>
      </c>
      <c r="S107" s="96">
        <v>5.7243200874851938</v>
      </c>
      <c r="T107" s="96">
        <v>5.6124931288912538</v>
      </c>
      <c r="U107" s="96">
        <v>5.5304965611166352</v>
      </c>
      <c r="V107" s="96">
        <v>5.4996171163484098</v>
      </c>
      <c r="W107" s="96">
        <v>5.4746816116391432</v>
      </c>
      <c r="X107" s="96">
        <v>5.3939587647732452</v>
      </c>
      <c r="Y107" s="96">
        <v>5.3396881902938702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7.1303029275817638</v>
      </c>
      <c r="T108" s="96">
        <v>7.1303029275817629</v>
      </c>
      <c r="U108" s="96">
        <v>6.5896787884645436</v>
      </c>
      <c r="V108" s="96">
        <v>6.5896787884645427</v>
      </c>
      <c r="W108" s="96">
        <v>6.5896787884645436</v>
      </c>
      <c r="X108" s="96">
        <v>6.5896787884645445</v>
      </c>
      <c r="Y108" s="96">
        <v>6.763708813814568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X109" s="96">
        <v>0</v>
      </c>
      <c r="Y109" s="96">
        <v>0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1.2967304180438881</v>
      </c>
      <c r="K110" s="96">
        <v>1.2967304180438881</v>
      </c>
      <c r="L110" s="96">
        <v>1.2922647611374467</v>
      </c>
      <c r="M110" s="96">
        <v>1.2869722045795691</v>
      </c>
      <c r="N110" s="96">
        <v>1.2869722045795688</v>
      </c>
      <c r="O110" s="96">
        <v>1.2542731649841341</v>
      </c>
      <c r="P110" s="96">
        <v>1.2520324285601185</v>
      </c>
      <c r="Q110" s="96">
        <v>1.2595188146284202</v>
      </c>
      <c r="R110" s="96">
        <v>1.2714050471432821</v>
      </c>
      <c r="S110" s="96">
        <v>1.3116158905252928</v>
      </c>
      <c r="T110" s="96">
        <v>1.3120745366104583</v>
      </c>
      <c r="U110" s="96">
        <v>1.6658719443951693</v>
      </c>
      <c r="V110" s="96">
        <v>1.6720838898403942</v>
      </c>
      <c r="W110" s="96">
        <v>1.8319808983486323</v>
      </c>
      <c r="X110" s="96">
        <v>1.8758461621902842</v>
      </c>
      <c r="Y110" s="96">
        <v>1.9148205239397516</v>
      </c>
      <c r="DA110" s="171" t="s">
        <v>883</v>
      </c>
    </row>
    <row r="111" spans="1:105" ht="11.45" customHeight="1" x14ac:dyDescent="0.25">
      <c r="A111" s="109" t="s">
        <v>154</v>
      </c>
      <c r="B111" s="130">
        <v>19.017650117029365</v>
      </c>
      <c r="C111" s="130">
        <v>18.97114648724596</v>
      </c>
      <c r="D111" s="130">
        <v>18.916455561287865</v>
      </c>
      <c r="E111" s="130">
        <v>18.850628095382</v>
      </c>
      <c r="F111" s="130">
        <v>18.776871546275085</v>
      </c>
      <c r="G111" s="130">
        <v>18.69337111016975</v>
      </c>
      <c r="H111" s="130">
        <v>18.612599064639987</v>
      </c>
      <c r="I111" s="130">
        <v>18.525811131870849</v>
      </c>
      <c r="J111" s="130">
        <v>18.41251991751939</v>
      </c>
      <c r="K111" s="130">
        <v>18.295393014242769</v>
      </c>
      <c r="L111" s="130">
        <v>18.20676937942677</v>
      </c>
      <c r="M111" s="130">
        <v>18.154535061147726</v>
      </c>
      <c r="N111" s="130">
        <v>18.07674817974733</v>
      </c>
      <c r="O111" s="130">
        <v>17.991233938776887</v>
      </c>
      <c r="P111" s="130">
        <v>17.898449286934738</v>
      </c>
      <c r="Q111" s="130">
        <v>17.794454563976863</v>
      </c>
      <c r="R111" s="130">
        <v>17.700781291351227</v>
      </c>
      <c r="S111" s="130">
        <v>17.604584701794312</v>
      </c>
      <c r="T111" s="130">
        <v>17.532046839337724</v>
      </c>
      <c r="U111" s="130">
        <v>17.476782961768887</v>
      </c>
      <c r="V111" s="130">
        <v>17.471982762270684</v>
      </c>
      <c r="W111" s="130">
        <v>17.448243440274599</v>
      </c>
      <c r="X111" s="130">
        <v>17.44577868228393</v>
      </c>
      <c r="Y111" s="130">
        <v>17.432051136311653</v>
      </c>
      <c r="DA111" s="176" t="s">
        <v>884</v>
      </c>
    </row>
    <row r="112" spans="1:105" ht="11.45" customHeight="1" x14ac:dyDescent="0.25">
      <c r="A112" s="128" t="s">
        <v>27</v>
      </c>
      <c r="B112" s="97">
        <v>19.017650117029365</v>
      </c>
      <c r="C112" s="97">
        <v>18.97114648724596</v>
      </c>
      <c r="D112" s="97">
        <v>18.916455561287865</v>
      </c>
      <c r="E112" s="97">
        <v>18.850628095382</v>
      </c>
      <c r="F112" s="97">
        <v>18.776871546275085</v>
      </c>
      <c r="G112" s="97">
        <v>18.69337111016975</v>
      </c>
      <c r="H112" s="97">
        <v>18.612599064639987</v>
      </c>
      <c r="I112" s="97">
        <v>18.525811131870849</v>
      </c>
      <c r="J112" s="97">
        <v>18.41251991751939</v>
      </c>
      <c r="K112" s="97">
        <v>18.295393014242769</v>
      </c>
      <c r="L112" s="97">
        <v>18.20676937942677</v>
      </c>
      <c r="M112" s="97">
        <v>18.154535061147726</v>
      </c>
      <c r="N112" s="97">
        <v>18.07674817974733</v>
      </c>
      <c r="O112" s="97">
        <v>17.991233938776887</v>
      </c>
      <c r="P112" s="97">
        <v>17.898449286934738</v>
      </c>
      <c r="Q112" s="97">
        <v>17.794454563976863</v>
      </c>
      <c r="R112" s="97">
        <v>17.700781291351227</v>
      </c>
      <c r="S112" s="97">
        <v>17.604584701794312</v>
      </c>
      <c r="T112" s="97">
        <v>17.532046839337724</v>
      </c>
      <c r="U112" s="97">
        <v>17.476782961768887</v>
      </c>
      <c r="V112" s="97">
        <v>17.471982762270684</v>
      </c>
      <c r="W112" s="97">
        <v>17.448243440274599</v>
      </c>
      <c r="X112" s="97">
        <v>17.44577868228393</v>
      </c>
      <c r="Y112" s="97">
        <v>17.432051136311653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1.0725000000065619</v>
      </c>
      <c r="C117" s="150">
        <f>IF(TrRoad_act!C59=0,0,TrRoad_ene!C62/TrRoad_tech!C90)</f>
        <v>1.0727134624631671</v>
      </c>
      <c r="D117" s="150">
        <f>IF(TrRoad_act!D59=0,0,TrRoad_ene!D62/TrRoad_tech!D90)</f>
        <v>1.0732160772857271</v>
      </c>
      <c r="E117" s="150">
        <f>IF(TrRoad_act!E59=0,0,TrRoad_ene!E62/TrRoad_tech!E90)</f>
        <v>1.0739617854015204</v>
      </c>
      <c r="F117" s="150">
        <f>IF(TrRoad_act!F59=0,0,TrRoad_ene!F62/TrRoad_tech!F90)</f>
        <v>1.0748724836941277</v>
      </c>
      <c r="G117" s="150">
        <f>IF(TrRoad_act!G59=0,0,TrRoad_ene!G62/TrRoad_tech!G90)</f>
        <v>1.0760817315757849</v>
      </c>
      <c r="H117" s="150">
        <f>IF(TrRoad_act!H59=0,0,TrRoad_ene!H62/TrRoad_tech!H90)</f>
        <v>1.0777786503237659</v>
      </c>
      <c r="I117" s="150">
        <f>IF(TrRoad_act!I59=0,0,TrRoad_ene!I62/TrRoad_tech!I90)</f>
        <v>1.080285640393414</v>
      </c>
      <c r="J117" s="150">
        <f>IF(TrRoad_act!J59=0,0,TrRoad_ene!J62/TrRoad_tech!J90)</f>
        <v>1.0859319806200625</v>
      </c>
      <c r="K117" s="150">
        <f>IF(TrRoad_act!K59=0,0,TrRoad_ene!K62/TrRoad_tech!K90)</f>
        <v>1.0906180923880995</v>
      </c>
      <c r="L117" s="150">
        <f>IF(TrRoad_act!L59=0,0,TrRoad_ene!L62/TrRoad_tech!L90)</f>
        <v>1.0967326467450984</v>
      </c>
      <c r="M117" s="150">
        <f>IF(TrRoad_act!M59=0,0,TrRoad_ene!M62/TrRoad_tech!M90)</f>
        <v>1.1026520856477697</v>
      </c>
      <c r="N117" s="150">
        <f>IF(TrRoad_act!N59=0,0,TrRoad_ene!N62/TrRoad_tech!N90)</f>
        <v>1.1108561165397708</v>
      </c>
      <c r="O117" s="150">
        <f>IF(TrRoad_act!O59=0,0,TrRoad_ene!O62/TrRoad_tech!O90)</f>
        <v>1.1194072604164238</v>
      </c>
      <c r="P117" s="150">
        <f>IF(TrRoad_act!P59=0,0,TrRoad_ene!P62/TrRoad_tech!P90)</f>
        <v>1.129517811254324</v>
      </c>
      <c r="Q117" s="150">
        <f>IF(TrRoad_act!Q59=0,0,TrRoad_ene!Q62/TrRoad_tech!Q90)</f>
        <v>1.1438059597896899</v>
      </c>
      <c r="R117" s="150">
        <f>IF(TrRoad_act!R59=0,0,TrRoad_ene!R62/TrRoad_tech!R90)</f>
        <v>1.1620397550822819</v>
      </c>
      <c r="S117" s="150">
        <f>IF(TrRoad_act!S59=0,0,TrRoad_ene!S62/TrRoad_tech!S90)</f>
        <v>1.1782128992462604</v>
      </c>
      <c r="T117" s="150">
        <f>IF(TrRoad_act!T59=0,0,TrRoad_ene!T62/TrRoad_tech!T90)</f>
        <v>1.2149473989964812</v>
      </c>
      <c r="U117" s="150">
        <f>IF(TrRoad_act!U59=0,0,TrRoad_ene!U62/TrRoad_tech!U90)</f>
        <v>1.2690895741900481</v>
      </c>
      <c r="V117" s="150">
        <f>IF(TrRoad_act!V59=0,0,TrRoad_ene!V62/TrRoad_tech!V90)</f>
        <v>1.2823373070865778</v>
      </c>
      <c r="W117" s="150">
        <f>IF(TrRoad_act!W59=0,0,TrRoad_ene!W62/TrRoad_tech!W90)</f>
        <v>1.3009536736290328</v>
      </c>
      <c r="X117" s="150">
        <f>IF(TrRoad_act!X59=0,0,TrRoad_ene!X62/TrRoad_tech!X90)</f>
        <v>1.3232993335930658</v>
      </c>
      <c r="Y117" s="150">
        <f>IF(TrRoad_act!Y59=0,0,TrRoad_ene!Y62/TrRoad_tech!Y90)</f>
        <v>1.3361928837507868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1.0094386384541909</v>
      </c>
      <c r="C118" s="151">
        <f>IF(TrRoad_act!C60=0,0,TrRoad_ene!C63/TrRoad_tech!C91)</f>
        <v>0.94870961782130314</v>
      </c>
      <c r="D118" s="151">
        <f>IF(TrRoad_act!D60=0,0,TrRoad_ene!D63/TrRoad_tech!D91)</f>
        <v>0.95017407848785385</v>
      </c>
      <c r="E118" s="151">
        <f>IF(TrRoad_act!E60=0,0,TrRoad_ene!E63/TrRoad_tech!E91)</f>
        <v>0.90151236683666747</v>
      </c>
      <c r="F118" s="151">
        <f>IF(TrRoad_act!F60=0,0,TrRoad_ene!F63/TrRoad_tech!F91)</f>
        <v>0.82217335940404879</v>
      </c>
      <c r="G118" s="151">
        <f>IF(TrRoad_act!G60=0,0,TrRoad_ene!G63/TrRoad_tech!G91)</f>
        <v>0.85926765556626883</v>
      </c>
      <c r="H118" s="151">
        <f>IF(TrRoad_act!H60=0,0,TrRoad_ene!H63/TrRoad_tech!H91)</f>
        <v>0.84882845295350107</v>
      </c>
      <c r="I118" s="151">
        <f>IF(TrRoad_act!I60=0,0,TrRoad_ene!I63/TrRoad_tech!I91)</f>
        <v>0.90200299183347665</v>
      </c>
      <c r="J118" s="151">
        <f>IF(TrRoad_act!J60=0,0,TrRoad_ene!J63/TrRoad_tech!J91)</f>
        <v>0.98738752253771533</v>
      </c>
      <c r="K118" s="151">
        <f>IF(TrRoad_act!K60=0,0,TrRoad_ene!K63/TrRoad_tech!K91)</f>
        <v>0.82992065177039009</v>
      </c>
      <c r="L118" s="151">
        <f>IF(TrRoad_act!L60=0,0,TrRoad_ene!L63/TrRoad_tech!L91)</f>
        <v>0.96021428987455837</v>
      </c>
      <c r="M118" s="151">
        <f>IF(TrRoad_act!M60=0,0,TrRoad_ene!M63/TrRoad_tech!M91)</f>
        <v>0.95965742793281172</v>
      </c>
      <c r="N118" s="151">
        <f>IF(TrRoad_act!N60=0,0,TrRoad_ene!N63/TrRoad_tech!N91)</f>
        <v>0.96128201255697199</v>
      </c>
      <c r="O118" s="151">
        <f>IF(TrRoad_act!O60=0,0,TrRoad_ene!O63/TrRoad_tech!O91)</f>
        <v>0.97050771094127453</v>
      </c>
      <c r="P118" s="151">
        <f>IF(TrRoad_act!P60=0,0,TrRoad_ene!P63/TrRoad_tech!P91)</f>
        <v>0.9346866187934092</v>
      </c>
      <c r="Q118" s="151">
        <f>IF(TrRoad_act!Q60=0,0,TrRoad_ene!Q63/TrRoad_tech!Q91)</f>
        <v>0.95570699765376854</v>
      </c>
      <c r="R118" s="151">
        <f>IF(TrRoad_act!R60=0,0,TrRoad_ene!R63/TrRoad_tech!R91)</f>
        <v>0.94291154182982329</v>
      </c>
      <c r="S118" s="151">
        <f>IF(TrRoad_act!S60=0,0,TrRoad_ene!S63/TrRoad_tech!S91)</f>
        <v>0.96526584980440056</v>
      </c>
      <c r="T118" s="151">
        <f>IF(TrRoad_act!T60=0,0,TrRoad_ene!T63/TrRoad_tech!T91)</f>
        <v>1.0404233767679867</v>
      </c>
      <c r="U118" s="151">
        <f>IF(TrRoad_act!U60=0,0,TrRoad_ene!U63/TrRoad_tech!U91)</f>
        <v>1.0900478450555877</v>
      </c>
      <c r="V118" s="151">
        <f>IF(TrRoad_act!V60=0,0,TrRoad_ene!V63/TrRoad_tech!V91)</f>
        <v>1.0083397429705105</v>
      </c>
      <c r="W118" s="151">
        <f>IF(TrRoad_act!W60=0,0,TrRoad_ene!W63/TrRoad_tech!W91)</f>
        <v>1.0354535702452141</v>
      </c>
      <c r="X118" s="151">
        <f>IF(TrRoad_act!X60=0,0,TrRoad_ene!X63/TrRoad_tech!X91)</f>
        <v>1.1958774885801402</v>
      </c>
      <c r="Y118" s="151">
        <f>IF(TrRoad_act!Y60=0,0,TrRoad_ene!Y63/TrRoad_tech!Y91)</f>
        <v>1.2199570879897184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1.0642470073711645</v>
      </c>
      <c r="C119" s="91">
        <f>IF(TrRoad_act!C61=0,0,TrRoad_ene!C64/TrRoad_tech!C92)</f>
        <v>1.0064533897243015</v>
      </c>
      <c r="D119" s="91">
        <f>IF(TrRoad_act!D61=0,0,TrRoad_ene!D64/TrRoad_tech!D92)</f>
        <v>1.0936684191288564</v>
      </c>
      <c r="E119" s="91">
        <f>IF(TrRoad_act!E61=0,0,TrRoad_ene!E64/TrRoad_tech!E92)</f>
        <v>0.98719583101805763</v>
      </c>
      <c r="F119" s="91">
        <f>IF(TrRoad_act!F61=0,0,TrRoad_ene!F64/TrRoad_tech!F92)</f>
        <v>0.84972016339214329</v>
      </c>
      <c r="G119" s="91">
        <f>IF(TrRoad_act!G61=0,0,TrRoad_ene!G64/TrRoad_tech!G92)</f>
        <v>0.82957563271725976</v>
      </c>
      <c r="H119" s="91">
        <f>IF(TrRoad_act!H61=0,0,TrRoad_ene!H64/TrRoad_tech!H92)</f>
        <v>0.80598965856136306</v>
      </c>
      <c r="I119" s="91">
        <f>IF(TrRoad_act!I61=0,0,TrRoad_ene!I64/TrRoad_tech!I92)</f>
        <v>0.88600999170056627</v>
      </c>
      <c r="J119" s="91">
        <f>IF(TrRoad_act!J61=0,0,TrRoad_ene!J64/TrRoad_tech!J92)</f>
        <v>1.0029235037228617</v>
      </c>
      <c r="K119" s="91">
        <f>IF(TrRoad_act!K61=0,0,TrRoad_ene!K64/TrRoad_tech!K92)</f>
        <v>0.83006004256312749</v>
      </c>
      <c r="L119" s="91">
        <f>IF(TrRoad_act!L61=0,0,TrRoad_ene!L64/TrRoad_tech!L92)</f>
        <v>1.0175831916929772</v>
      </c>
      <c r="M119" s="91">
        <f>IF(TrRoad_act!M61=0,0,TrRoad_ene!M64/TrRoad_tech!M92)</f>
        <v>1.0537696881570005</v>
      </c>
      <c r="N119" s="91">
        <f>IF(TrRoad_act!N61=0,0,TrRoad_ene!N64/TrRoad_tech!N92)</f>
        <v>1.0752908931277352</v>
      </c>
      <c r="O119" s="91">
        <f>IF(TrRoad_act!O61=0,0,TrRoad_ene!O64/TrRoad_tech!O92)</f>
        <v>1.087293756330501</v>
      </c>
      <c r="P119" s="91">
        <f>IF(TrRoad_act!P61=0,0,TrRoad_ene!P64/TrRoad_tech!P92)</f>
        <v>1.0345510832665998</v>
      </c>
      <c r="Q119" s="91">
        <f>IF(TrRoad_act!Q61=0,0,TrRoad_ene!Q64/TrRoad_tech!Q92)</f>
        <v>1.0702065122901103</v>
      </c>
      <c r="R119" s="91">
        <f>IF(TrRoad_act!R61=0,0,TrRoad_ene!R64/TrRoad_tech!R92)</f>
        <v>1.0588413095372931</v>
      </c>
      <c r="S119" s="91">
        <f>IF(TrRoad_act!S61=0,0,TrRoad_ene!S64/TrRoad_tech!S92)</f>
        <v>1.0633698343746363</v>
      </c>
      <c r="T119" s="91">
        <f>IF(TrRoad_act!T61=0,0,TrRoad_ene!T64/TrRoad_tech!T92)</f>
        <v>1.0961332182826398</v>
      </c>
      <c r="U119" s="91">
        <f>IF(TrRoad_act!U61=0,0,TrRoad_ene!U64/TrRoad_tech!U92)</f>
        <v>1.1679441847643646</v>
      </c>
      <c r="V119" s="91">
        <f>IF(TrRoad_act!V61=0,0,TrRoad_ene!V64/TrRoad_tech!V92)</f>
        <v>1.0841931845145751</v>
      </c>
      <c r="W119" s="91">
        <f>IF(TrRoad_act!W61=0,0,TrRoad_ene!W64/TrRoad_tech!W92)</f>
        <v>1.1335527675484289</v>
      </c>
      <c r="X119" s="91">
        <f>IF(TrRoad_act!X61=0,0,TrRoad_ene!X64/TrRoad_tech!X92)</f>
        <v>1.2668989644392936</v>
      </c>
      <c r="Y119" s="91">
        <f>IF(TrRoad_act!Y61=0,0,TrRoad_ene!Y64/TrRoad_tech!Y92)</f>
        <v>1.3141490298131271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0.69802504164794599</v>
      </c>
      <c r="C120" s="91">
        <f>IF(TrRoad_act!C62=0,0,TrRoad_ene!C65/TrRoad_tech!C93)</f>
        <v>0.66117690914274962</v>
      </c>
      <c r="D120" s="91">
        <f>IF(TrRoad_act!D62=0,0,TrRoad_ene!D65/TrRoad_tech!D93)</f>
        <v>0.25999260397071849</v>
      </c>
      <c r="E120" s="91">
        <f>IF(TrRoad_act!E62=0,0,TrRoad_ene!E65/TrRoad_tech!E93)</f>
        <v>0.51372758781293515</v>
      </c>
      <c r="F120" s="91">
        <f>IF(TrRoad_act!F62=0,0,TrRoad_ene!F65/TrRoad_tech!F93)</f>
        <v>0.71469113534892159</v>
      </c>
      <c r="G120" s="91">
        <f>IF(TrRoad_act!G62=0,0,TrRoad_ene!G65/TrRoad_tech!G93)</f>
        <v>1.0154151011396992</v>
      </c>
      <c r="H120" s="91">
        <f>IF(TrRoad_act!H62=0,0,TrRoad_ene!H65/TrRoad_tech!H93)</f>
        <v>1.0662022798445456</v>
      </c>
      <c r="I120" s="91">
        <f>IF(TrRoad_act!I62=0,0,TrRoad_ene!I65/TrRoad_tech!I93)</f>
        <v>0.99045415710487206</v>
      </c>
      <c r="J120" s="91">
        <f>IF(TrRoad_act!J62=0,0,TrRoad_ene!J65/TrRoad_tech!J93)</f>
        <v>0.95491308480069237</v>
      </c>
      <c r="K120" s="91">
        <f>IF(TrRoad_act!K62=0,0,TrRoad_ene!K65/TrRoad_tech!K93)</f>
        <v>0.85912126634147368</v>
      </c>
      <c r="L120" s="91">
        <f>IF(TrRoad_act!L62=0,0,TrRoad_ene!L65/TrRoad_tech!L93)</f>
        <v>0.86194104073610389</v>
      </c>
      <c r="M120" s="91">
        <f>IF(TrRoad_act!M62=0,0,TrRoad_ene!M65/TrRoad_tech!M93)</f>
        <v>0.81083803381859687</v>
      </c>
      <c r="N120" s="91">
        <f>IF(TrRoad_act!N62=0,0,TrRoad_ene!N65/TrRoad_tech!N93)</f>
        <v>0.79403918676174901</v>
      </c>
      <c r="O120" s="91">
        <f>IF(TrRoad_act!O62=0,0,TrRoad_ene!O65/TrRoad_tech!O93)</f>
        <v>0.80824345406458453</v>
      </c>
      <c r="P120" s="91">
        <f>IF(TrRoad_act!P62=0,0,TrRoad_ene!P65/TrRoad_tech!P93)</f>
        <v>0.79902494213731545</v>
      </c>
      <c r="Q120" s="91">
        <f>IF(TrRoad_act!Q62=0,0,TrRoad_ene!Q65/TrRoad_tech!Q93)</f>
        <v>0.80619444901996862</v>
      </c>
      <c r="R120" s="91">
        <f>IF(TrRoad_act!R62=0,0,TrRoad_ene!R65/TrRoad_tech!R93)</f>
        <v>0.8005030410834485</v>
      </c>
      <c r="S120" s="91">
        <f>IF(TrRoad_act!S62=0,0,TrRoad_ene!S65/TrRoad_tech!S93)</f>
        <v>0.84615098520758558</v>
      </c>
      <c r="T120" s="91">
        <f>IF(TrRoad_act!T62=0,0,TrRoad_ene!T65/TrRoad_tech!T93)</f>
        <v>0.9843005093956424</v>
      </c>
      <c r="U120" s="91">
        <f>IF(TrRoad_act!U62=0,0,TrRoad_ene!U65/TrRoad_tech!U93)</f>
        <v>1.0169014043271998</v>
      </c>
      <c r="V120" s="91">
        <f>IF(TrRoad_act!V62=0,0,TrRoad_ene!V65/TrRoad_tech!V93)</f>
        <v>0.93550131430214523</v>
      </c>
      <c r="W120" s="91">
        <f>IF(TrRoad_act!W62=0,0,TrRoad_ene!W65/TrRoad_tech!W93)</f>
        <v>0.93827785307423484</v>
      </c>
      <c r="X120" s="91">
        <f>IF(TrRoad_act!X62=0,0,TrRoad_ene!X65/TrRoad_tech!X93)</f>
        <v>1.148376935779577</v>
      </c>
      <c r="Y120" s="91">
        <f>IF(TrRoad_act!Y62=0,0,TrRoad_ene!Y65/TrRoad_tech!Y93)</f>
        <v>1.1535911939809467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</v>
      </c>
      <c r="I121" s="91">
        <f>IF(TrRoad_act!I63=0,0,TrRoad_ene!I66/TrRoad_tech!I94)</f>
        <v>0</v>
      </c>
      <c r="J121" s="91">
        <f>IF(TrRoad_act!J63=0,0,TrRoad_ene!J66/TrRoad_tech!J94)</f>
        <v>0</v>
      </c>
      <c r="K121" s="91">
        <f>IF(TrRoad_act!K63=0,0,TrRoad_ene!K66/TrRoad_tech!K94)</f>
        <v>0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0.77259117911863284</v>
      </c>
      <c r="S121" s="91">
        <f>IF(TrRoad_act!S63=0,0,TrRoad_ene!S66/TrRoad_tech!S94)</f>
        <v>0.86276563663542538</v>
      </c>
      <c r="T121" s="91">
        <f>IF(TrRoad_act!T63=0,0,TrRoad_ene!T66/TrRoad_tech!T94)</f>
        <v>1.1938101857160963</v>
      </c>
      <c r="U121" s="91">
        <f>IF(TrRoad_act!U63=0,0,TrRoad_ene!U66/TrRoad_tech!U94)</f>
        <v>0.94326797624079095</v>
      </c>
      <c r="V121" s="91">
        <f>IF(TrRoad_act!V63=0,0,TrRoad_ene!V66/TrRoad_tech!V94)</f>
        <v>1.065572733992427</v>
      </c>
      <c r="W121" s="91">
        <f>IF(TrRoad_act!W63=0,0,TrRoad_ene!W66/TrRoad_tech!W94)</f>
        <v>1.2393315930616275</v>
      </c>
      <c r="X121" s="91">
        <f>IF(TrRoad_act!X63=0,0,TrRoad_ene!X66/TrRoad_tech!X94)</f>
        <v>1.4130221571641162</v>
      </c>
      <c r="Y121" s="91">
        <f>IF(TrRoad_act!Y63=0,0,TrRoad_ene!Y66/TrRoad_tech!Y94)</f>
        <v>1.1065964420808989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X122" s="91">
        <f>IF(TrRoad_act!X64=0,0,TrRoad_ene!X67/TrRoad_tech!X95)</f>
        <v>0</v>
      </c>
      <c r="Y122" s="91">
        <f>IF(TrRoad_act!Y64=0,0,TrRoad_ene!Y67/TrRoad_tech!Y95)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1.0448234514510177</v>
      </c>
      <c r="M123" s="91">
        <f>IF(TrRoad_act!M65=0,0,TrRoad_ene!M68/TrRoad_tech!M96)</f>
        <v>1.0702489217895652</v>
      </c>
      <c r="N123" s="91">
        <f>IF(TrRoad_act!N65=0,0,TrRoad_ene!N68/TrRoad_tech!N96)</f>
        <v>1.0852163664918741</v>
      </c>
      <c r="O123" s="91">
        <f>IF(TrRoad_act!O65=0,0,TrRoad_ene!O68/TrRoad_tech!O96)</f>
        <v>1.0984393778407784</v>
      </c>
      <c r="P123" s="91">
        <f>IF(TrRoad_act!P65=0,0,TrRoad_ene!P68/TrRoad_tech!P96)</f>
        <v>1.0675461818444991</v>
      </c>
      <c r="Q123" s="91">
        <f>IF(TrRoad_act!Q65=0,0,TrRoad_ene!Q68/TrRoad_tech!Q96)</f>
        <v>1.0934362762709722</v>
      </c>
      <c r="R123" s="91">
        <f>IF(TrRoad_act!R65=0,0,TrRoad_ene!R68/TrRoad_tech!R96)</f>
        <v>1.0855307003116108</v>
      </c>
      <c r="S123" s="91">
        <f>IF(TrRoad_act!S65=0,0,TrRoad_ene!S68/TrRoad_tech!S96)</f>
        <v>1.0872352532262888</v>
      </c>
      <c r="T123" s="91">
        <f>IF(TrRoad_act!T65=0,0,TrRoad_ene!T68/TrRoad_tech!T96)</f>
        <v>1.1090966772519548</v>
      </c>
      <c r="U123" s="91">
        <f>IF(TrRoad_act!U65=0,0,TrRoad_ene!U68/TrRoad_tech!U96)</f>
        <v>1.1554073646646912</v>
      </c>
      <c r="V123" s="91">
        <f>IF(TrRoad_act!V65=0,0,TrRoad_ene!V68/TrRoad_tech!V96)</f>
        <v>1.1016051122841046</v>
      </c>
      <c r="W123" s="91">
        <f>IF(TrRoad_act!W65=0,0,TrRoad_ene!W68/TrRoad_tech!W96)</f>
        <v>1.1328561576077214</v>
      </c>
      <c r="X123" s="91">
        <f>IF(TrRoad_act!X65=0,0,TrRoad_ene!X68/TrRoad_tech!X96)</f>
        <v>1.2049423596031974</v>
      </c>
      <c r="Y123" s="91">
        <f>IF(TrRoad_act!Y65=0,0,TrRoad_ene!Y68/TrRoad_tech!Y96)</f>
        <v>1.224787332122212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1.0322222222259601</v>
      </c>
      <c r="F124" s="91">
        <f>IF(TrRoad_act!F66=0,0,TrRoad_ene!F69/TrRoad_tech!F97)</f>
        <v>1.0329187013906738</v>
      </c>
      <c r="G124" s="91">
        <f>IF(TrRoad_act!G66=0,0,TrRoad_ene!G69/TrRoad_tech!G97)</f>
        <v>1.0334896629629724</v>
      </c>
      <c r="H124" s="91">
        <f>IF(TrRoad_act!H66=0,0,TrRoad_ene!H69/TrRoad_tech!H97)</f>
        <v>1.0343011500400918</v>
      </c>
      <c r="I124" s="91">
        <f>IF(TrRoad_act!I66=0,0,TrRoad_ene!I69/TrRoad_tech!I97)</f>
        <v>1.0378262875941122</v>
      </c>
      <c r="J124" s="91">
        <f>IF(TrRoad_act!J66=0,0,TrRoad_ene!J69/TrRoad_tech!J97)</f>
        <v>1.0393134174914647</v>
      </c>
      <c r="K124" s="91">
        <f>IF(TrRoad_act!K66=0,0,TrRoad_ene!K69/TrRoad_tech!K97)</f>
        <v>1.0404803106733609</v>
      </c>
      <c r="L124" s="91">
        <f>IF(TrRoad_act!L66=0,0,TrRoad_ene!L69/TrRoad_tech!L97)</f>
        <v>1.0418705460529878</v>
      </c>
      <c r="M124" s="91">
        <f>IF(TrRoad_act!M66=0,0,TrRoad_ene!M69/TrRoad_tech!M97)</f>
        <v>1.0435534548195153</v>
      </c>
      <c r="N124" s="91">
        <f>IF(TrRoad_act!N66=0,0,TrRoad_ene!N69/TrRoad_tech!N97)</f>
        <v>1.0484805170944329</v>
      </c>
      <c r="O124" s="91">
        <f>IF(TrRoad_act!O66=0,0,TrRoad_ene!O69/TrRoad_tech!O97)</f>
        <v>1.0572700659627072</v>
      </c>
      <c r="P124" s="91">
        <f>IF(TrRoad_act!P66=0,0,TrRoad_ene!P69/TrRoad_tech!P97)</f>
        <v>1.0652082066172754</v>
      </c>
      <c r="Q124" s="91">
        <f>IF(TrRoad_act!Q66=0,0,TrRoad_ene!Q69/TrRoad_tech!Q97)</f>
        <v>1.0728125101117156</v>
      </c>
      <c r="R124" s="91">
        <f>IF(TrRoad_act!R66=0,0,TrRoad_ene!R69/TrRoad_tech!R97)</f>
        <v>1.0783593426585278</v>
      </c>
      <c r="S124" s="91">
        <f>IF(TrRoad_act!S66=0,0,TrRoad_ene!S69/TrRoad_tech!S97)</f>
        <v>1.0830704369442585</v>
      </c>
      <c r="T124" s="91">
        <f>IF(TrRoad_act!T66=0,0,TrRoad_ene!T69/TrRoad_tech!T97)</f>
        <v>1.0942537468479621</v>
      </c>
      <c r="U124" s="91">
        <f>IF(TrRoad_act!U66=0,0,TrRoad_ene!U69/TrRoad_tech!U97)</f>
        <v>1.0958354646651782</v>
      </c>
      <c r="V124" s="91">
        <f>IF(TrRoad_act!V66=0,0,TrRoad_ene!V69/TrRoad_tech!V97)</f>
        <v>1.0964439585947487</v>
      </c>
      <c r="W124" s="91">
        <f>IF(TrRoad_act!W66=0,0,TrRoad_ene!W69/TrRoad_tech!W97)</f>
        <v>1.0972374227406334</v>
      </c>
      <c r="X124" s="91">
        <f>IF(TrRoad_act!X66=0,0,TrRoad_ene!X69/TrRoad_tech!X97)</f>
        <v>1.0984228056372543</v>
      </c>
      <c r="Y124" s="91">
        <f>IF(TrRoad_act!Y66=0,0,TrRoad_ene!Y69/TrRoad_tech!Y97)</f>
        <v>1.0995854896032315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0.74707544998176378</v>
      </c>
      <c r="C125" s="151">
        <f>IF(TrRoad_act!C67=0,0,TrRoad_ene!C70/TrRoad_tech!C98)</f>
        <v>0.70760300238272755</v>
      </c>
      <c r="D125" s="151">
        <f>IF(TrRoad_act!D67=0,0,TrRoad_ene!D70/TrRoad_tech!D98)</f>
        <v>0.27805449177723324</v>
      </c>
      <c r="E125" s="151">
        <f>IF(TrRoad_act!E67=0,0,TrRoad_ene!E70/TrRoad_tech!E98)</f>
        <v>0.5491451601496139</v>
      </c>
      <c r="F125" s="151">
        <f>IF(TrRoad_act!F67=0,0,TrRoad_ene!F70/TrRoad_tech!F98)</f>
        <v>0.76391988934957966</v>
      </c>
      <c r="G125" s="151">
        <f>IF(TrRoad_act!G67=0,0,TrRoad_ene!G70/TrRoad_tech!G98)</f>
        <v>1.0847624258126369</v>
      </c>
      <c r="H125" s="151">
        <f>IF(TrRoad_act!H67=0,0,TrRoad_ene!H70/TrRoad_tech!H98)</f>
        <v>1.138563836752668</v>
      </c>
      <c r="I125" s="151">
        <f>IF(TrRoad_act!I67=0,0,TrRoad_ene!I70/TrRoad_tech!I98)</f>
        <v>1.0564272979235287</v>
      </c>
      <c r="J125" s="151">
        <f>IF(TrRoad_act!J67=0,0,TrRoad_ene!J70/TrRoad_tech!J98)</f>
        <v>1.0171084067533585</v>
      </c>
      <c r="K125" s="151">
        <f>IF(TrRoad_act!K67=0,0,TrRoad_ene!K70/TrRoad_tech!K98)</f>
        <v>0.90196521259037343</v>
      </c>
      <c r="L125" s="151">
        <f>IF(TrRoad_act!L67=0,0,TrRoad_ene!L70/TrRoad_tech!L98)</f>
        <v>0.89867634439189137</v>
      </c>
      <c r="M125" s="151">
        <f>IF(TrRoad_act!M67=0,0,TrRoad_ene!M70/TrRoad_tech!M98)</f>
        <v>0.84413294946353834</v>
      </c>
      <c r="N125" s="151">
        <f>IF(TrRoad_act!N67=0,0,TrRoad_ene!N70/TrRoad_tech!N98)</f>
        <v>0.82757144896092083</v>
      </c>
      <c r="O125" s="151">
        <f>IF(TrRoad_act!O67=0,0,TrRoad_ene!O70/TrRoad_tech!O98)</f>
        <v>0.84273515400237831</v>
      </c>
      <c r="P125" s="151">
        <f>IF(TrRoad_act!P67=0,0,TrRoad_ene!P70/TrRoad_tech!P98)</f>
        <v>0.8351900389718343</v>
      </c>
      <c r="Q125" s="151">
        <f>IF(TrRoad_act!Q67=0,0,TrRoad_ene!Q70/TrRoad_tech!Q98)</f>
        <v>0.85191733183940321</v>
      </c>
      <c r="R125" s="151">
        <f>IF(TrRoad_act!R67=0,0,TrRoad_ene!R70/TrRoad_tech!R98)</f>
        <v>0.85424837737201165</v>
      </c>
      <c r="S125" s="151">
        <f>IF(TrRoad_act!S67=0,0,TrRoad_ene!S70/TrRoad_tech!S98)</f>
        <v>0.90466037600371041</v>
      </c>
      <c r="T125" s="151">
        <f>IF(TrRoad_act!T67=0,0,TrRoad_ene!T70/TrRoad_tech!T98)</f>
        <v>1.0523381182804741</v>
      </c>
      <c r="U125" s="151">
        <f>IF(TrRoad_act!U67=0,0,TrRoad_ene!U70/TrRoad_tech!U98)</f>
        <v>1.0927420662153515</v>
      </c>
      <c r="V125" s="151">
        <f>IF(TrRoad_act!V67=0,0,TrRoad_ene!V70/TrRoad_tech!V98)</f>
        <v>1.0191398044101645</v>
      </c>
      <c r="W125" s="151">
        <f>IF(TrRoad_act!W67=0,0,TrRoad_ene!W70/TrRoad_tech!W98)</f>
        <v>1.0232685236115477</v>
      </c>
      <c r="X125" s="151">
        <f>IF(TrRoad_act!X67=0,0,TrRoad_ene!X70/TrRoad_tech!X98)</f>
        <v>1.2522673944460874</v>
      </c>
      <c r="Y125" s="151">
        <f>IF(TrRoad_act!Y67=0,0,TrRoad_ene!Y70/TrRoad_tech!Y98)</f>
        <v>1.2571598081314663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1.2000000000070943</v>
      </c>
      <c r="M126" s="93">
        <f>IF(TrRoad_act!M68=0,0,TrRoad_ene!M71/TrRoad_tech!M99)</f>
        <v>1.2000000000070941</v>
      </c>
      <c r="N126" s="93">
        <f>IF(TrRoad_act!N68=0,0,TrRoad_ene!N71/TrRoad_tech!N99)</f>
        <v>1.2000000000070938</v>
      </c>
      <c r="O126" s="93">
        <f>IF(TrRoad_act!O68=0,0,TrRoad_ene!O71/TrRoad_tech!O99)</f>
        <v>1.2000000000070943</v>
      </c>
      <c r="P126" s="93">
        <f>IF(TrRoad_act!P68=0,0,TrRoad_ene!P71/TrRoad_tech!P99)</f>
        <v>1.2000000000070936</v>
      </c>
      <c r="Q126" s="93">
        <f>IF(TrRoad_act!Q68=0,0,TrRoad_ene!Q71/TrRoad_tech!Q99)</f>
        <v>1.2000000000070943</v>
      </c>
      <c r="R126" s="93">
        <f>IF(TrRoad_act!R68=0,0,TrRoad_ene!R71/TrRoad_tech!R99)</f>
        <v>1.2000000000070943</v>
      </c>
      <c r="S126" s="93">
        <f>IF(TrRoad_act!S68=0,0,TrRoad_ene!S71/TrRoad_tech!S99)</f>
        <v>1.2000000000070938</v>
      </c>
      <c r="T126" s="93">
        <f>IF(TrRoad_act!T68=0,0,TrRoad_ene!T71/TrRoad_tech!T99)</f>
        <v>1.2131108359870266</v>
      </c>
      <c r="U126" s="93">
        <f>IF(TrRoad_act!U68=0,0,TrRoad_ene!U71/TrRoad_tech!U99)</f>
        <v>1.2345120920896908</v>
      </c>
      <c r="V126" s="93">
        <f>IF(TrRoad_act!V68=0,0,TrRoad_ene!V71/TrRoad_tech!V99)</f>
        <v>1.2407216228153928</v>
      </c>
      <c r="W126" s="93">
        <f>IF(TrRoad_act!W68=0,0,TrRoad_ene!W71/TrRoad_tech!W99)</f>
        <v>1.2509902470428078</v>
      </c>
      <c r="X126" s="93">
        <f>IF(TrRoad_act!X68=0,0,TrRoad_ene!X71/TrRoad_tech!X99)</f>
        <v>1.2509902470428078</v>
      </c>
      <c r="Y126" s="93">
        <f>IF(TrRoad_act!Y68=0,0,TrRoad_ene!Y71/TrRoad_tech!Y99)</f>
        <v>1.2603188894514108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0.74707544998176378</v>
      </c>
      <c r="C127" s="93">
        <f>IF(TrRoad_act!C69=0,0,TrRoad_ene!C72/TrRoad_tech!C100)</f>
        <v>0.70760300238272777</v>
      </c>
      <c r="D127" s="93">
        <f>IF(TrRoad_act!D69=0,0,TrRoad_ene!D72/TrRoad_tech!D100)</f>
        <v>0.27823290505029002</v>
      </c>
      <c r="E127" s="93">
        <f>IF(TrRoad_act!E69=0,0,TrRoad_ene!E72/TrRoad_tech!E100)</f>
        <v>0.549753100831048</v>
      </c>
      <c r="F127" s="93">
        <f>IF(TrRoad_act!F69=0,0,TrRoad_ene!F72/TrRoad_tech!F100)</f>
        <v>0.76476560012296735</v>
      </c>
      <c r="G127" s="93">
        <f>IF(TrRoad_act!G69=0,0,TrRoad_ene!G72/TrRoad_tech!G100)</f>
        <v>1.0865661729429268</v>
      </c>
      <c r="H127" s="93">
        <f>IF(TrRoad_act!H69=0,0,TrRoad_ene!H72/TrRoad_tech!H100)</f>
        <v>1.1407997253786077</v>
      </c>
      <c r="I127" s="93">
        <f>IF(TrRoad_act!I69=0,0,TrRoad_ene!I72/TrRoad_tech!I100)</f>
        <v>1.0598696861033587</v>
      </c>
      <c r="J127" s="93">
        <f>IF(TrRoad_act!J69=0,0,TrRoad_ene!J72/TrRoad_tech!J100)</f>
        <v>1.0220501281283558</v>
      </c>
      <c r="K127" s="93">
        <f>IF(TrRoad_act!K69=0,0,TrRoad_ene!K72/TrRoad_tech!K100)</f>
        <v>0.9275382878264844</v>
      </c>
      <c r="L127" s="93">
        <f>IF(TrRoad_act!L69=0,0,TrRoad_ene!L72/TrRoad_tech!L100)</f>
        <v>0.93285551253550048</v>
      </c>
      <c r="M127" s="93">
        <f>IF(TrRoad_act!M69=0,0,TrRoad_ene!M72/TrRoad_tech!M100)</f>
        <v>0.897351848698974</v>
      </c>
      <c r="N127" s="93">
        <f>IF(TrRoad_act!N69=0,0,TrRoad_ene!N72/TrRoad_tech!N100)</f>
        <v>0.88088718887694994</v>
      </c>
      <c r="O127" s="93">
        <f>IF(TrRoad_act!O69=0,0,TrRoad_ene!O72/TrRoad_tech!O100)</f>
        <v>0.89784511284905444</v>
      </c>
      <c r="P127" s="93">
        <f>IF(TrRoad_act!P69=0,0,TrRoad_ene!P72/TrRoad_tech!P100)</f>
        <v>0.8922498516881715</v>
      </c>
      <c r="Q127" s="93">
        <f>IF(TrRoad_act!Q69=0,0,TrRoad_ene!Q72/TrRoad_tech!Q100)</f>
        <v>0.91422099875818197</v>
      </c>
      <c r="R127" s="93">
        <f>IF(TrRoad_act!R69=0,0,TrRoad_ene!R72/TrRoad_tech!R100)</f>
        <v>0.91659250702007811</v>
      </c>
      <c r="S127" s="93">
        <f>IF(TrRoad_act!S69=0,0,TrRoad_ene!S72/TrRoad_tech!S100)</f>
        <v>0.9717012413250139</v>
      </c>
      <c r="T127" s="93">
        <f>IF(TrRoad_act!T69=0,0,TrRoad_ene!T72/TrRoad_tech!T100)</f>
        <v>1.1302480345551114</v>
      </c>
      <c r="U127" s="93">
        <f>IF(TrRoad_act!U69=0,0,TrRoad_ene!U72/TrRoad_tech!U100)</f>
        <v>1.1779907228752191</v>
      </c>
      <c r="V127" s="93">
        <f>IF(TrRoad_act!V69=0,0,TrRoad_ene!V72/TrRoad_tech!V100)</f>
        <v>1.0993269880599257</v>
      </c>
      <c r="W127" s="93">
        <f>IF(TrRoad_act!W69=0,0,TrRoad_ene!W72/TrRoad_tech!W100)</f>
        <v>1.1064610417942213</v>
      </c>
      <c r="X127" s="93">
        <f>IF(TrRoad_act!X69=0,0,TrRoad_ene!X72/TrRoad_tech!X100)</f>
        <v>1.3585433186377773</v>
      </c>
      <c r="Y127" s="93">
        <f>IF(TrRoad_act!Y69=0,0,TrRoad_ene!Y72/TrRoad_tech!Y100)</f>
        <v>1.3655859208533967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1.3632212662645304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X129" s="93">
        <f>IF(TrRoad_act!X71=0,0,TrRoad_ene!X74/TrRoad_tech!X102)</f>
        <v>0</v>
      </c>
      <c r="Y129" s="93">
        <f>IF(TrRoad_act!Y71=0,0,TrRoad_ene!Y74/TrRoad_tech!Y102)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0</v>
      </c>
      <c r="Q130" s="93">
        <f>IF(TrRoad_act!Q72=0,0,TrRoad_ene!Q75/TrRoad_tech!Q103)</f>
        <v>0</v>
      </c>
      <c r="R130" s="93">
        <f>IF(TrRoad_act!R72=0,0,TrRoad_ene!R75/TrRoad_tech!R103)</f>
        <v>0</v>
      </c>
      <c r="S130" s="93">
        <f>IF(TrRoad_act!S72=0,0,TrRoad_ene!S75/TrRoad_tech!S103)</f>
        <v>0</v>
      </c>
      <c r="T130" s="93">
        <f>IF(TrRoad_act!T72=0,0,TrRoad_ene!T75/TrRoad_tech!T103)</f>
        <v>1.3402704049142136</v>
      </c>
      <c r="U130" s="93">
        <f>IF(TrRoad_act!U72=0,0,TrRoad_ene!U75/TrRoad_tech!U103)</f>
        <v>1.3418007238109857</v>
      </c>
      <c r="V130" s="93">
        <f>IF(TrRoad_act!V72=0,0,TrRoad_ene!V75/TrRoad_tech!V103)</f>
        <v>1.34289990488075</v>
      </c>
      <c r="W130" s="93">
        <f>IF(TrRoad_act!W72=0,0,TrRoad_ene!W75/TrRoad_tech!W103)</f>
        <v>1.3515132668761054</v>
      </c>
      <c r="X130" s="93">
        <f>IF(TrRoad_act!X72=0,0,TrRoad_ene!X75/TrRoad_tech!X103)</f>
        <v>1.3538119414123631</v>
      </c>
      <c r="Y130" s="93">
        <f>IF(TrRoad_act!Y72=0,0,TrRoad_ene!Y75/TrRoad_tech!Y103)</f>
        <v>1.3605339217439572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0.76038178386470745</v>
      </c>
      <c r="C132" s="150">
        <f>IF(TrRoad_act!C74=0,0,TrRoad_ene!C77/TrRoad_tech!C105)</f>
        <v>0.72040413183054364</v>
      </c>
      <c r="D132" s="150">
        <f>IF(TrRoad_act!D74=0,0,TrRoad_ene!D77/TrRoad_tech!D105)</f>
        <v>0.30448072026057277</v>
      </c>
      <c r="E132" s="150">
        <f>IF(TrRoad_act!E74=0,0,TrRoad_ene!E77/TrRoad_tech!E105)</f>
        <v>0.56110395006876912</v>
      </c>
      <c r="F132" s="150">
        <f>IF(TrRoad_act!F74=0,0,TrRoad_ene!F77/TrRoad_tech!F105)</f>
        <v>0.76255687813747186</v>
      </c>
      <c r="G132" s="150">
        <f>IF(TrRoad_act!G74=0,0,TrRoad_ene!G77/TrRoad_tech!G105)</f>
        <v>1.0653612579744705</v>
      </c>
      <c r="H132" s="150">
        <f>IF(TrRoad_act!H74=0,0,TrRoad_ene!H77/TrRoad_tech!H105)</f>
        <v>1.1128129529262363</v>
      </c>
      <c r="I132" s="150">
        <f>IF(TrRoad_act!I74=0,0,TrRoad_ene!I77/TrRoad_tech!I105)</f>
        <v>1.0350442555196193</v>
      </c>
      <c r="J132" s="150">
        <f>IF(TrRoad_act!J74=0,0,TrRoad_ene!J77/TrRoad_tech!J105)</f>
        <v>0.99989944281861387</v>
      </c>
      <c r="K132" s="150">
        <f>IF(TrRoad_act!K74=0,0,TrRoad_ene!K77/TrRoad_tech!K105)</f>
        <v>0.9021428844247229</v>
      </c>
      <c r="L132" s="150">
        <f>IF(TrRoad_act!L74=0,0,TrRoad_ene!L77/TrRoad_tech!L105)</f>
        <v>0.90712809964575103</v>
      </c>
      <c r="M132" s="150">
        <f>IF(TrRoad_act!M74=0,0,TrRoad_ene!M77/TrRoad_tech!M105)</f>
        <v>0.85823765826191567</v>
      </c>
      <c r="N132" s="150">
        <f>IF(TrRoad_act!N74=0,0,TrRoad_ene!N77/TrRoad_tech!N105)</f>
        <v>0.84600493237464547</v>
      </c>
      <c r="O132" s="150">
        <f>IF(TrRoad_act!O74=0,0,TrRoad_ene!O77/TrRoad_tech!O105)</f>
        <v>0.86319879535025945</v>
      </c>
      <c r="P132" s="150">
        <f>IF(TrRoad_act!P74=0,0,TrRoad_ene!P77/TrRoad_tech!P105)</f>
        <v>0.86094639872052592</v>
      </c>
      <c r="Q132" s="150">
        <f>IF(TrRoad_act!Q74=0,0,TrRoad_ene!Q77/TrRoad_tech!Q105)</f>
        <v>0.87886962909913857</v>
      </c>
      <c r="R132" s="150">
        <f>IF(TrRoad_act!R74=0,0,TrRoad_ene!R77/TrRoad_tech!R105)</f>
        <v>0.88203314793483378</v>
      </c>
      <c r="S132" s="150">
        <f>IF(TrRoad_act!S74=0,0,TrRoad_ene!S77/TrRoad_tech!S105)</f>
        <v>0.93600075750443568</v>
      </c>
      <c r="T132" s="150">
        <f>IF(TrRoad_act!T74=0,0,TrRoad_ene!T77/TrRoad_tech!T105)</f>
        <v>1.0995940418522818</v>
      </c>
      <c r="U132" s="150">
        <f>IF(TrRoad_act!U74=0,0,TrRoad_ene!U77/TrRoad_tech!U105)</f>
        <v>1.1478304380639597</v>
      </c>
      <c r="V132" s="150">
        <f>IF(TrRoad_act!V74=0,0,TrRoad_ene!V77/TrRoad_tech!V105)</f>
        <v>1.0690448612499532</v>
      </c>
      <c r="W132" s="150">
        <f>IF(TrRoad_act!W74=0,0,TrRoad_ene!W77/TrRoad_tech!W105)</f>
        <v>1.0794166747116432</v>
      </c>
      <c r="X132" s="150">
        <f>IF(TrRoad_act!X74=0,0,TrRoad_ene!X77/TrRoad_tech!X105)</f>
        <v>1.3303292825184359</v>
      </c>
      <c r="Y132" s="150">
        <f>IF(TrRoad_act!Y74=0,0,TrRoad_ene!Y77/TrRoad_tech!Y105)</f>
        <v>1.3529372390741292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1.1114511906273987</v>
      </c>
      <c r="C133" s="91">
        <f>IF(TrRoad_act!C75=0,0,TrRoad_ene!C78/TrRoad_tech!C106)</f>
        <v>1.0933248766650223</v>
      </c>
      <c r="D133" s="91">
        <f>IF(TrRoad_act!D75=0,0,TrRoad_ene!D78/TrRoad_tech!D106)</f>
        <v>1.1206586464066763</v>
      </c>
      <c r="E133" s="91">
        <f>IF(TrRoad_act!E75=0,0,TrRoad_ene!E78/TrRoad_tech!E106)</f>
        <v>1.0872931366991572</v>
      </c>
      <c r="F133" s="91">
        <f>IF(TrRoad_act!F75=0,0,TrRoad_ene!F78/TrRoad_tech!F106)</f>
        <v>1.0441813033529272</v>
      </c>
      <c r="G133" s="91">
        <f>IF(TrRoad_act!G75=0,0,TrRoad_ene!G78/TrRoad_tech!G106)</f>
        <v>1.0376684484312311</v>
      </c>
      <c r="H133" s="91">
        <f>IF(TrRoad_act!H75=0,0,TrRoad_ene!H78/TrRoad_tech!H106)</f>
        <v>1.0307056891830562</v>
      </c>
      <c r="I133" s="91">
        <f>IF(TrRoad_act!I75=0,0,TrRoad_ene!I78/TrRoad_tech!I106)</f>
        <v>1.0569967797174136</v>
      </c>
      <c r="J133" s="91">
        <f>IF(TrRoad_act!J75=0,0,TrRoad_ene!J78/TrRoad_tech!J106)</f>
        <v>1.0951160778425757</v>
      </c>
      <c r="K133" s="91">
        <f>IF(TrRoad_act!K75=0,0,TrRoad_ene!K78/TrRoad_tech!K106)</f>
        <v>1.0416453922054798</v>
      </c>
      <c r="L133" s="91">
        <f>IF(TrRoad_act!L75=0,0,TrRoad_ene!L78/TrRoad_tech!L106)</f>
        <v>1.1032286151461075</v>
      </c>
      <c r="M133" s="91">
        <f>IF(TrRoad_act!M75=0,0,TrRoad_ene!M78/TrRoad_tech!M106)</f>
        <v>1.1160351215923734</v>
      </c>
      <c r="N133" s="91">
        <f>IF(TrRoad_act!N75=0,0,TrRoad_ene!N78/TrRoad_tech!N106)</f>
        <v>1.1249819960774923</v>
      </c>
      <c r="O133" s="91">
        <f>IF(TrRoad_act!O75=0,0,TrRoad_ene!O78/TrRoad_tech!O106)</f>
        <v>1.1352373291457258</v>
      </c>
      <c r="P133" s="91">
        <f>IF(TrRoad_act!P75=0,0,TrRoad_ene!P78/TrRoad_tech!P106)</f>
        <v>1.1252554975532569</v>
      </c>
      <c r="Q133" s="91">
        <f>IF(TrRoad_act!Q75=0,0,TrRoad_ene!Q78/TrRoad_tech!Q106)</f>
        <v>1.1435684297568842</v>
      </c>
      <c r="R133" s="91">
        <f>IF(TrRoad_act!R75=0,0,TrRoad_ene!R78/TrRoad_tech!R106)</f>
        <v>1.148341284826311</v>
      </c>
      <c r="S133" s="91">
        <f>IF(TrRoad_act!S75=0,0,TrRoad_ene!S78/TrRoad_tech!S106)</f>
        <v>1.1579649507423317</v>
      </c>
      <c r="T133" s="91">
        <f>IF(TrRoad_act!T75=0,0,TrRoad_ene!T78/TrRoad_tech!T106)</f>
        <v>1.182053739388385</v>
      </c>
      <c r="U133" s="91">
        <f>IF(TrRoad_act!U75=0,0,TrRoad_ene!U78/TrRoad_tech!U106)</f>
        <v>1.2211163697555243</v>
      </c>
      <c r="V133" s="91">
        <f>IF(TrRoad_act!V75=0,0,TrRoad_ene!V78/TrRoad_tech!V106)</f>
        <v>1.2048198540355497</v>
      </c>
      <c r="W133" s="91">
        <f>IF(TrRoad_act!W75=0,0,TrRoad_ene!W78/TrRoad_tech!W106)</f>
        <v>1.2432788250722107</v>
      </c>
      <c r="X133" s="91">
        <f>IF(TrRoad_act!X75=0,0,TrRoad_ene!X78/TrRoad_tech!X106)</f>
        <v>1.3225214108029812</v>
      </c>
      <c r="Y133" s="91">
        <f>IF(TrRoad_act!Y75=0,0,TrRoad_ene!Y78/TrRoad_tech!Y106)</f>
        <v>1.36475512051684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0.74707544998176389</v>
      </c>
      <c r="C134" s="91">
        <f>IF(TrRoad_act!C76=0,0,TrRoad_ene!C79/TrRoad_tech!C107)</f>
        <v>0.70761695908482369</v>
      </c>
      <c r="D134" s="91">
        <f>IF(TrRoad_act!D76=0,0,TrRoad_ene!D79/TrRoad_tech!D107)</f>
        <v>0.27824467101239475</v>
      </c>
      <c r="E134" s="91">
        <f>IF(TrRoad_act!E76=0,0,TrRoad_ene!E79/TrRoad_tech!E107)</f>
        <v>0.54982839941239303</v>
      </c>
      <c r="F134" s="91">
        <f>IF(TrRoad_act!F76=0,0,TrRoad_ene!F79/TrRoad_tech!F107)</f>
        <v>0.76500217278657501</v>
      </c>
      <c r="G134" s="91">
        <f>IF(TrRoad_act!G76=0,0,TrRoad_ene!G79/TrRoad_tech!G107)</f>
        <v>1.0870543088694491</v>
      </c>
      <c r="H134" s="91">
        <f>IF(TrRoad_act!H76=0,0,TrRoad_ene!H79/TrRoad_tech!H107)</f>
        <v>1.1422633448352828</v>
      </c>
      <c r="I134" s="91">
        <f>IF(TrRoad_act!I76=0,0,TrRoad_ene!I79/TrRoad_tech!I107)</f>
        <v>1.0624353984642623</v>
      </c>
      <c r="J134" s="91">
        <f>IF(TrRoad_act!J76=0,0,TrRoad_ene!J79/TrRoad_tech!J107)</f>
        <v>1.0258705488984274</v>
      </c>
      <c r="K134" s="91">
        <f>IF(TrRoad_act!K76=0,0,TrRoad_ene!K79/TrRoad_tech!K107)</f>
        <v>0.92363703161513655</v>
      </c>
      <c r="L134" s="91">
        <f>IF(TrRoad_act!L76=0,0,TrRoad_ene!L79/TrRoad_tech!L107)</f>
        <v>0.92561647720369888</v>
      </c>
      <c r="M134" s="91">
        <f>IF(TrRoad_act!M76=0,0,TrRoad_ene!M79/TrRoad_tech!M107)</f>
        <v>0.87248422693893068</v>
      </c>
      <c r="N134" s="91">
        <f>IF(TrRoad_act!N76=0,0,TrRoad_ene!N79/TrRoad_tech!N107)</f>
        <v>0.85777369997798381</v>
      </c>
      <c r="O134" s="91">
        <f>IF(TrRoad_act!O76=0,0,TrRoad_ene!O79/TrRoad_tech!O107)</f>
        <v>0.87754979962431612</v>
      </c>
      <c r="P134" s="91">
        <f>IF(TrRoad_act!P76=0,0,TrRoad_ene!P79/TrRoad_tech!P107)</f>
        <v>0.87238570097139556</v>
      </c>
      <c r="Q134" s="91">
        <f>IF(TrRoad_act!Q76=0,0,TrRoad_ene!Q79/TrRoad_tech!Q107)</f>
        <v>0.8869410670857828</v>
      </c>
      <c r="R134" s="91">
        <f>IF(TrRoad_act!R76=0,0,TrRoad_ene!R79/TrRoad_tech!R107)</f>
        <v>0.88759324559981545</v>
      </c>
      <c r="S134" s="91">
        <f>IF(TrRoad_act!S76=0,0,TrRoad_ene!S79/TrRoad_tech!S107)</f>
        <v>0.94572854898621062</v>
      </c>
      <c r="T134" s="91">
        <f>IF(TrRoad_act!T76=0,0,TrRoad_ene!T79/TrRoad_tech!T107)</f>
        <v>1.1120307990248055</v>
      </c>
      <c r="U134" s="91">
        <f>IF(TrRoad_act!U76=0,0,TrRoad_ene!U79/TrRoad_tech!U107)</f>
        <v>1.1604150442556012</v>
      </c>
      <c r="V134" s="91">
        <f>IF(TrRoad_act!V76=0,0,TrRoad_ene!V79/TrRoad_tech!V107)</f>
        <v>1.0775124323860801</v>
      </c>
      <c r="W134" s="91">
        <f>IF(TrRoad_act!W76=0,0,TrRoad_ene!W79/TrRoad_tech!W107)</f>
        <v>1.087543549837968</v>
      </c>
      <c r="X134" s="91">
        <f>IF(TrRoad_act!X76=0,0,TrRoad_ene!X79/TrRoad_tech!X107)</f>
        <v>1.3443763145538654</v>
      </c>
      <c r="Y134" s="91">
        <f>IF(TrRoad_act!Y76=0,0,TrRoad_ene!Y79/TrRoad_tech!Y107)</f>
        <v>1.3643393582333616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1.2360000000066973</v>
      </c>
      <c r="T135" s="91">
        <f>IF(TrRoad_act!T77=0,0,TrRoad_ene!T80/TrRoad_tech!T108)</f>
        <v>1.2360000000066975</v>
      </c>
      <c r="U135" s="91">
        <f>IF(TrRoad_act!U77=0,0,TrRoad_ene!U80/TrRoad_tech!U108)</f>
        <v>1.2557932980285886</v>
      </c>
      <c r="V135" s="91">
        <f>IF(TrRoad_act!V77=0,0,TrRoad_ene!V80/TrRoad_tech!V108)</f>
        <v>1.2557932980285891</v>
      </c>
      <c r="W135" s="91">
        <f>IF(TrRoad_act!W77=0,0,TrRoad_ene!W80/TrRoad_tech!W108)</f>
        <v>1.2557932980285884</v>
      </c>
      <c r="X135" s="91">
        <f>IF(TrRoad_act!X77=0,0,TrRoad_ene!X80/TrRoad_tech!X108)</f>
        <v>1.2557932980285884</v>
      </c>
      <c r="Y135" s="91">
        <f>IF(TrRoad_act!Y77=0,0,TrRoad_ene!Y80/TrRoad_tech!Y108)</f>
        <v>1.282727527615225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X136" s="91">
        <f>IF(TrRoad_act!X78=0,0,TrRoad_ene!X81/TrRoad_tech!X109)</f>
        <v>0</v>
      </c>
      <c r="Y136" s="91">
        <f>IF(TrRoad_act!Y78=0,0,TrRoad_ene!Y81/TrRoad_tech!Y109)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1.169333333339637</v>
      </c>
      <c r="K137" s="91">
        <f>IF(TrRoad_act!K79=0,0,TrRoad_ene!K82/TrRoad_tech!K110)</f>
        <v>1.169333333339637</v>
      </c>
      <c r="L137" s="91">
        <f>IF(TrRoad_act!L79=0,0,TrRoad_ene!L82/TrRoad_tech!L110)</f>
        <v>1.1757520877911884</v>
      </c>
      <c r="M137" s="91">
        <f>IF(TrRoad_act!M79=0,0,TrRoad_ene!M82/TrRoad_tech!M110)</f>
        <v>1.1831094581374846</v>
      </c>
      <c r="N137" s="91">
        <f>IF(TrRoad_act!N79=0,0,TrRoad_ene!N82/TrRoad_tech!N110)</f>
        <v>1.1831094581374846</v>
      </c>
      <c r="O137" s="91">
        <f>IF(TrRoad_act!O79=0,0,TrRoad_ene!O82/TrRoad_tech!O110)</f>
        <v>1.2335328623582293</v>
      </c>
      <c r="P137" s="91">
        <f>IF(TrRoad_act!P79=0,0,TrRoad_ene!P82/TrRoad_tech!P110)</f>
        <v>1.2393353201827091</v>
      </c>
      <c r="Q137" s="91">
        <f>IF(TrRoad_act!Q79=0,0,TrRoad_ene!Q82/TrRoad_tech!Q110)</f>
        <v>1.2463494039800593</v>
      </c>
      <c r="R137" s="91">
        <f>IF(TrRoad_act!R79=0,0,TrRoad_ene!R82/TrRoad_tech!R110)</f>
        <v>1.2670877842586392</v>
      </c>
      <c r="S137" s="91">
        <f>IF(TrRoad_act!S79=0,0,TrRoad_ene!S82/TrRoad_tech!S110)</f>
        <v>1.2870268940007923</v>
      </c>
      <c r="T137" s="91">
        <f>IF(TrRoad_act!T79=0,0,TrRoad_ene!T82/TrRoad_tech!T110)</f>
        <v>1.3006247787418663</v>
      </c>
      <c r="U137" s="91">
        <f>IF(TrRoad_act!U79=0,0,TrRoad_ene!U82/TrRoad_tech!U110)</f>
        <v>1.337233453117262</v>
      </c>
      <c r="V137" s="91">
        <f>IF(TrRoad_act!V79=0,0,TrRoad_ene!V82/TrRoad_tech!V110)</f>
        <v>1.3453243092644951</v>
      </c>
      <c r="W137" s="91">
        <f>IF(TrRoad_act!W79=0,0,TrRoad_ene!W82/TrRoad_tech!W110)</f>
        <v>1.3517841530954662</v>
      </c>
      <c r="X137" s="91">
        <f>IF(TrRoad_act!X79=0,0,TrRoad_ene!X82/TrRoad_tech!X110)</f>
        <v>1.3536252375043853</v>
      </c>
      <c r="Y137" s="91">
        <f>IF(TrRoad_act!Y79=0,0,TrRoad_ene!Y82/TrRoad_tech!Y110)</f>
        <v>1.3578747450098221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0.74707544998176389</v>
      </c>
      <c r="C138" s="151">
        <f>IF(TrRoad_act!C80=0,0,TrRoad_ene!C83/TrRoad_tech!C111)</f>
        <v>0.70772220243632988</v>
      </c>
      <c r="D138" s="151">
        <f>IF(TrRoad_act!D80=0,0,TrRoad_ene!D83/TrRoad_tech!D111)</f>
        <v>0.27839379192288061</v>
      </c>
      <c r="E138" s="151">
        <f>IF(TrRoad_act!E80=0,0,TrRoad_ene!E83/TrRoad_tech!E111)</f>
        <v>0.55053974522367011</v>
      </c>
      <c r="F138" s="151">
        <f>IF(TrRoad_act!F80=0,0,TrRoad_ene!F83/TrRoad_tech!F111)</f>
        <v>0.76697417381293675</v>
      </c>
      <c r="G138" s="151">
        <f>IF(TrRoad_act!G80=0,0,TrRoad_ene!G83/TrRoad_tech!G111)</f>
        <v>1.0919820563973648</v>
      </c>
      <c r="H138" s="151">
        <f>IF(TrRoad_act!H80=0,0,TrRoad_ene!H83/TrRoad_tech!H111)</f>
        <v>1.149399496298158</v>
      </c>
      <c r="I138" s="151">
        <f>IF(TrRoad_act!I80=0,0,TrRoad_ene!I83/TrRoad_tech!I111)</f>
        <v>1.0710505244283617</v>
      </c>
      <c r="J138" s="151">
        <f>IF(TrRoad_act!J80=0,0,TrRoad_ene!J83/TrRoad_tech!J111)</f>
        <v>1.0379325388769842</v>
      </c>
      <c r="K138" s="151">
        <f>IF(TrRoad_act!K80=0,0,TrRoad_ene!K83/TrRoad_tech!K111)</f>
        <v>0.93837667540375269</v>
      </c>
      <c r="L138" s="151">
        <f>IF(TrRoad_act!L80=0,0,TrRoad_ene!L83/TrRoad_tech!L111)</f>
        <v>0.94243395267202612</v>
      </c>
      <c r="M138" s="151">
        <f>IF(TrRoad_act!M80=0,0,TrRoad_ene!M83/TrRoad_tech!M111)</f>
        <v>0.8897072305611432</v>
      </c>
      <c r="N138" s="151">
        <f>IF(TrRoad_act!N80=0,0,TrRoad_ene!N83/TrRoad_tech!N111)</f>
        <v>0.87565589751260742</v>
      </c>
      <c r="O138" s="151">
        <f>IF(TrRoad_act!O80=0,0,TrRoad_ene!O83/TrRoad_tech!O111)</f>
        <v>0.89665085611573392</v>
      </c>
      <c r="P138" s="151">
        <f>IF(TrRoad_act!P80=0,0,TrRoad_ene!P83/TrRoad_tech!P111)</f>
        <v>0.89261468928909404</v>
      </c>
      <c r="Q138" s="151">
        <f>IF(TrRoad_act!Q80=0,0,TrRoad_ene!Q83/TrRoad_tech!Q111)</f>
        <v>0.90924106156599227</v>
      </c>
      <c r="R138" s="151">
        <f>IF(TrRoad_act!R80=0,0,TrRoad_ene!R83/TrRoad_tech!R111)</f>
        <v>0.91172114378460534</v>
      </c>
      <c r="S138" s="151">
        <f>IF(TrRoad_act!S80=0,0,TrRoad_ene!S83/TrRoad_tech!S111)</f>
        <v>0.97594328215862347</v>
      </c>
      <c r="T138" s="151">
        <f>IF(TrRoad_act!T80=0,0,TrRoad_ene!T83/TrRoad_tech!T111)</f>
        <v>1.1489604717443307</v>
      </c>
      <c r="U138" s="151">
        <f>IF(TrRoad_act!U80=0,0,TrRoad_ene!U83/TrRoad_tech!U111)</f>
        <v>1.2038419729914749</v>
      </c>
      <c r="V138" s="151">
        <f>IF(TrRoad_act!V80=0,0,TrRoad_ene!V83/TrRoad_tech!V111)</f>
        <v>1.1224551922853208</v>
      </c>
      <c r="W138" s="151">
        <f>IF(TrRoad_act!W80=0,0,TrRoad_ene!W83/TrRoad_tech!W111)</f>
        <v>1.1417331674401197</v>
      </c>
      <c r="X138" s="151">
        <f>IF(TrRoad_act!X80=0,0,TrRoad_ene!X83/TrRoad_tech!X111)</f>
        <v>1.4185001253232772</v>
      </c>
      <c r="Y138" s="151">
        <f>IF(TrRoad_act!Y80=0,0,TrRoad_ene!Y83/TrRoad_tech!Y111)</f>
        <v>1.4460984309461982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0.74707544998176389</v>
      </c>
      <c r="C139" s="93">
        <f>IF(TrRoad_act!C81=0,0,TrRoad_ene!C84/TrRoad_tech!C112)</f>
        <v>0.70772220243632988</v>
      </c>
      <c r="D139" s="93">
        <f>IF(TrRoad_act!D81=0,0,TrRoad_ene!D84/TrRoad_tech!D112)</f>
        <v>0.27839379192288061</v>
      </c>
      <c r="E139" s="93">
        <f>IF(TrRoad_act!E81=0,0,TrRoad_ene!E84/TrRoad_tech!E112)</f>
        <v>0.55053974522367011</v>
      </c>
      <c r="F139" s="93">
        <f>IF(TrRoad_act!F81=0,0,TrRoad_ene!F84/TrRoad_tech!F112)</f>
        <v>0.76697417381293675</v>
      </c>
      <c r="G139" s="93">
        <f>IF(TrRoad_act!G81=0,0,TrRoad_ene!G84/TrRoad_tech!G112)</f>
        <v>1.0919820563973648</v>
      </c>
      <c r="H139" s="93">
        <f>IF(TrRoad_act!H81=0,0,TrRoad_ene!H84/TrRoad_tech!H112)</f>
        <v>1.149399496298158</v>
      </c>
      <c r="I139" s="93">
        <f>IF(TrRoad_act!I81=0,0,TrRoad_ene!I84/TrRoad_tech!I112)</f>
        <v>1.0710505244283617</v>
      </c>
      <c r="J139" s="93">
        <f>IF(TrRoad_act!J81=0,0,TrRoad_ene!J84/TrRoad_tech!J112)</f>
        <v>1.0379325388769842</v>
      </c>
      <c r="K139" s="93">
        <f>IF(TrRoad_act!K81=0,0,TrRoad_ene!K84/TrRoad_tech!K112)</f>
        <v>0.93837667540375269</v>
      </c>
      <c r="L139" s="93">
        <f>IF(TrRoad_act!L81=0,0,TrRoad_ene!L84/TrRoad_tech!L112)</f>
        <v>0.94243395267202612</v>
      </c>
      <c r="M139" s="93">
        <f>IF(TrRoad_act!M81=0,0,TrRoad_ene!M84/TrRoad_tech!M112)</f>
        <v>0.8897072305611432</v>
      </c>
      <c r="N139" s="93">
        <f>IF(TrRoad_act!N81=0,0,TrRoad_ene!N84/TrRoad_tech!N112)</f>
        <v>0.87565589751260742</v>
      </c>
      <c r="O139" s="93">
        <f>IF(TrRoad_act!O81=0,0,TrRoad_ene!O84/TrRoad_tech!O112)</f>
        <v>0.89665085611573392</v>
      </c>
      <c r="P139" s="93">
        <f>IF(TrRoad_act!P81=0,0,TrRoad_ene!P84/TrRoad_tech!P112)</f>
        <v>0.89261468928909404</v>
      </c>
      <c r="Q139" s="93">
        <f>IF(TrRoad_act!Q81=0,0,TrRoad_ene!Q84/TrRoad_tech!Q112)</f>
        <v>0.90924106156599227</v>
      </c>
      <c r="R139" s="93">
        <f>IF(TrRoad_act!R81=0,0,TrRoad_ene!R84/TrRoad_tech!R112)</f>
        <v>0.91172114378460534</v>
      </c>
      <c r="S139" s="93">
        <f>IF(TrRoad_act!S81=0,0,TrRoad_ene!S84/TrRoad_tech!S112)</f>
        <v>0.97594328215862347</v>
      </c>
      <c r="T139" s="93">
        <f>IF(TrRoad_act!T81=0,0,TrRoad_ene!T84/TrRoad_tech!T112)</f>
        <v>1.1489604717443307</v>
      </c>
      <c r="U139" s="93">
        <f>IF(TrRoad_act!U81=0,0,TrRoad_ene!U84/TrRoad_tech!U112)</f>
        <v>1.2038419729914749</v>
      </c>
      <c r="V139" s="93">
        <f>IF(TrRoad_act!V81=0,0,TrRoad_ene!V84/TrRoad_tech!V112)</f>
        <v>1.1224551922853208</v>
      </c>
      <c r="W139" s="93">
        <f>IF(TrRoad_act!W81=0,0,TrRoad_ene!W84/TrRoad_tech!W112)</f>
        <v>1.1417331674401197</v>
      </c>
      <c r="X139" s="93">
        <f>IF(TrRoad_act!X81=0,0,TrRoad_ene!X84/TrRoad_tech!X112)</f>
        <v>1.4185001253232772</v>
      </c>
      <c r="Y139" s="93">
        <f>IF(TrRoad_act!Y81=0,0,TrRoad_ene!Y84/TrRoad_tech!Y112)</f>
        <v>1.4460984309461982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</v>
      </c>
      <c r="C140" s="94">
        <f>IF(TrRoad_act!C82=0,0,TrRoad_ene!C85/TrRoad_tech!C113)</f>
        <v>0</v>
      </c>
      <c r="D140" s="94">
        <f>IF(TrRoad_act!D82=0,0,TrRoad_ene!D85/TrRoad_tech!D113)</f>
        <v>0</v>
      </c>
      <c r="E140" s="94">
        <f>IF(TrRoad_act!E82=0,0,TrRoad_ene!E85/TrRoad_tech!E113)</f>
        <v>0</v>
      </c>
      <c r="F140" s="94">
        <f>IF(TrRoad_act!F82=0,0,TrRoad_ene!F85/TrRoad_tech!F113)</f>
        <v>0</v>
      </c>
      <c r="G140" s="94">
        <f>IF(TrRoad_act!G82=0,0,TrRoad_ene!G85/TrRoad_tech!G113)</f>
        <v>0</v>
      </c>
      <c r="H140" s="94">
        <f>IF(TrRoad_act!H82=0,0,TrRoad_ene!H85/TrRoad_tech!H113)</f>
        <v>0</v>
      </c>
      <c r="I140" s="94">
        <f>IF(TrRoad_act!I82=0,0,TrRoad_ene!I85/TrRoad_tech!I113)</f>
        <v>0</v>
      </c>
      <c r="J140" s="94">
        <f>IF(TrRoad_act!J82=0,0,TrRoad_ene!J85/TrRoad_tech!J113)</f>
        <v>0</v>
      </c>
      <c r="K140" s="94">
        <f>IF(TrRoad_act!K82=0,0,TrRoad_ene!K85/TrRoad_tech!K113)</f>
        <v>0</v>
      </c>
      <c r="L140" s="94">
        <f>IF(TrRoad_act!L82=0,0,TrRoad_ene!L85/TrRoad_tech!L113)</f>
        <v>0</v>
      </c>
      <c r="M140" s="94">
        <f>IF(TrRoad_act!M82=0,0,TrRoad_ene!M85/TrRoad_tech!M113)</f>
        <v>0</v>
      </c>
      <c r="N140" s="94">
        <f>IF(TrRoad_act!N82=0,0,TrRoad_ene!N85/TrRoad_tech!N113)</f>
        <v>0</v>
      </c>
      <c r="O140" s="94">
        <f>IF(TrRoad_act!O82=0,0,TrRoad_ene!O85/TrRoad_tech!O113)</f>
        <v>0</v>
      </c>
      <c r="P140" s="94">
        <f>IF(TrRoad_act!P82=0,0,TrRoad_ene!P85/TrRoad_tech!P113)</f>
        <v>0</v>
      </c>
      <c r="Q140" s="94">
        <f>IF(TrRoad_act!Q82=0,0,TrRoad_ene!Q85/TrRoad_tech!Q113)</f>
        <v>0</v>
      </c>
      <c r="R140" s="94">
        <f>IF(TrRoad_act!R82=0,0,TrRoad_ene!R85/TrRoad_tech!R113)</f>
        <v>0</v>
      </c>
      <c r="S140" s="94">
        <f>IF(TrRoad_act!S82=0,0,TrRoad_ene!S85/TrRoad_tech!S113)</f>
        <v>0</v>
      </c>
      <c r="T140" s="94">
        <f>IF(TrRoad_act!T82=0,0,TrRoad_ene!T85/TrRoad_tech!T113)</f>
        <v>0</v>
      </c>
      <c r="U140" s="94">
        <f>IF(TrRoad_act!U82=0,0,TrRoad_ene!U85/TrRoad_tech!U113)</f>
        <v>0</v>
      </c>
      <c r="V140" s="94">
        <f>IF(TrRoad_act!V82=0,0,TrRoad_ene!V85/TrRoad_tech!V113)</f>
        <v>0</v>
      </c>
      <c r="W140" s="94">
        <f>IF(TrRoad_act!W82=0,0,TrRoad_ene!W85/TrRoad_tech!W113)</f>
        <v>0</v>
      </c>
      <c r="X140" s="94">
        <f>IF(TrRoad_act!X82=0,0,TrRoad_ene!X85/TrRoad_tech!X113)</f>
        <v>0</v>
      </c>
      <c r="Y140" s="94">
        <f>IF(TrRoad_act!Y82=0,0,TrRoad_ene!Y85/TrRoad_tech!Y113)</f>
        <v>0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3.4894601654201547</v>
      </c>
      <c r="C144" s="141">
        <v>3.4704632292542295</v>
      </c>
      <c r="D144" s="141">
        <v>3.4494767941924427</v>
      </c>
      <c r="E144" s="141">
        <v>3.4063005734345917</v>
      </c>
      <c r="F144" s="141">
        <v>3.4015834389482276</v>
      </c>
      <c r="G144" s="141">
        <v>3.2918406116179204</v>
      </c>
      <c r="H144" s="141">
        <v>3.1315080067840388</v>
      </c>
      <c r="I144" s="141">
        <v>3.0855743940013598</v>
      </c>
      <c r="J144" s="141">
        <v>2.9357629702750159</v>
      </c>
      <c r="K144" s="141">
        <v>2.7741701708149913</v>
      </c>
      <c r="L144" s="141">
        <v>2.6732720852514413</v>
      </c>
      <c r="M144" s="141">
        <v>2.5521223792943766</v>
      </c>
      <c r="N144" s="141">
        <v>2.470996128373093</v>
      </c>
      <c r="O144" s="141">
        <v>2.4179315147409897</v>
      </c>
      <c r="P144" s="141">
        <v>2.3782284015381676</v>
      </c>
      <c r="Q144" s="141">
        <v>2.3323684028199945</v>
      </c>
      <c r="R144" s="141">
        <v>2.2870018906376091</v>
      </c>
      <c r="S144" s="141">
        <v>2.2507086808917007</v>
      </c>
      <c r="T144" s="141">
        <v>2.221674113094974</v>
      </c>
      <c r="U144" s="141">
        <v>2.1984464588575925</v>
      </c>
      <c r="V144" s="141">
        <v>2.1798643354676877</v>
      </c>
      <c r="W144" s="141">
        <v>2.1649986367557634</v>
      </c>
      <c r="X144" s="141">
        <v>2.1531060777862243</v>
      </c>
      <c r="Y144" s="141">
        <v>2.1435920306105931</v>
      </c>
      <c r="DA144" s="174" t="s">
        <v>887</v>
      </c>
    </row>
    <row r="145" spans="1:105" ht="11.45" customHeight="1" x14ac:dyDescent="0.25">
      <c r="A145" s="109" t="s">
        <v>20</v>
      </c>
      <c r="B145" s="130">
        <v>5.6270809223136125</v>
      </c>
      <c r="C145" s="130">
        <v>5.6062666190083332</v>
      </c>
      <c r="D145" s="130">
        <v>5.5713608066345408</v>
      </c>
      <c r="E145" s="130">
        <v>5.4726561494166894</v>
      </c>
      <c r="F145" s="130">
        <v>5.4134784266128513</v>
      </c>
      <c r="G145" s="130">
        <v>5.354293107462575</v>
      </c>
      <c r="H145" s="130">
        <v>5.2861132363595544</v>
      </c>
      <c r="I145" s="130">
        <v>5.2629455366388056</v>
      </c>
      <c r="J145" s="130">
        <v>5.2386367203335329</v>
      </c>
      <c r="K145" s="130">
        <v>5.2871675924172461</v>
      </c>
      <c r="L145" s="130">
        <v>5.6422225144306308</v>
      </c>
      <c r="M145" s="130">
        <v>5.081532584604</v>
      </c>
      <c r="N145" s="130">
        <v>4.9771657842311212</v>
      </c>
      <c r="O145" s="130">
        <v>4.8453390542410961</v>
      </c>
      <c r="P145" s="130">
        <v>4.6851839240067878</v>
      </c>
      <c r="Q145" s="130">
        <v>4.5310489651618004</v>
      </c>
      <c r="R145" s="130">
        <v>4.6145227570660303</v>
      </c>
      <c r="S145" s="130">
        <v>4.5223746244679619</v>
      </c>
      <c r="T145" s="130">
        <v>4.4930595423793402</v>
      </c>
      <c r="U145" s="130">
        <v>4.5024049112779183</v>
      </c>
      <c r="V145" s="130">
        <v>4.5395044883241829</v>
      </c>
      <c r="W145" s="130">
        <v>4.2895883118300935</v>
      </c>
      <c r="X145" s="130">
        <v>4.1083843039167718</v>
      </c>
      <c r="Y145" s="130">
        <v>4.1266458276979305</v>
      </c>
      <c r="DA145" s="176" t="s">
        <v>888</v>
      </c>
    </row>
    <row r="146" spans="1:105" ht="11.45" customHeight="1" x14ac:dyDescent="0.25">
      <c r="A146" s="111" t="s">
        <v>110</v>
      </c>
      <c r="B146" s="96">
        <v>5.3662882349051264</v>
      </c>
      <c r="C146" s="96">
        <v>5.3422540905439639</v>
      </c>
      <c r="D146" s="96">
        <v>5.315675711984043</v>
      </c>
      <c r="E146" s="96">
        <v>5.2892295641632279</v>
      </c>
      <c r="F146" s="96">
        <v>5.2629149892171441</v>
      </c>
      <c r="G146" s="96">
        <v>5.2367313325543723</v>
      </c>
      <c r="H146" s="96">
        <v>5.2106779428401735</v>
      </c>
      <c r="I146" s="96">
        <v>5.1847541719802708</v>
      </c>
      <c r="J146" s="96">
        <v>5.1589593751047476</v>
      </c>
      <c r="K146" s="96">
        <v>5.1332929105519902</v>
      </c>
      <c r="L146" s="96">
        <v>5.1077541398527275</v>
      </c>
      <c r="M146" s="96">
        <v>4.8762764254973119</v>
      </c>
      <c r="N146" s="96">
        <v>4.7208566399526033</v>
      </c>
      <c r="O146" s="96">
        <v>4.6198812954488844</v>
      </c>
      <c r="P146" s="96">
        <v>4.5440215496543273</v>
      </c>
      <c r="Q146" s="96">
        <v>4.456397996631571</v>
      </c>
      <c r="R146" s="96">
        <v>4.41714566365411</v>
      </c>
      <c r="S146" s="96">
        <v>4.367641317252116</v>
      </c>
      <c r="T146" s="96">
        <v>4.3351002991020016</v>
      </c>
      <c r="U146" s="96">
        <v>4.5361827492352891</v>
      </c>
      <c r="V146" s="96">
        <v>4.5915500576284574</v>
      </c>
      <c r="W146" s="96">
        <v>4.3680719698286348</v>
      </c>
      <c r="X146" s="96">
        <v>4.2231519251467056</v>
      </c>
      <c r="Y146" s="96">
        <v>4.24195741240983</v>
      </c>
      <c r="DA146" s="171" t="s">
        <v>889</v>
      </c>
    </row>
    <row r="147" spans="1:105" ht="11.45" customHeight="1" x14ac:dyDescent="0.25">
      <c r="A147" s="111" t="s">
        <v>111</v>
      </c>
      <c r="B147" s="96">
        <v>6.0037334161237688</v>
      </c>
      <c r="C147" s="96">
        <v>5.9875694010432907</v>
      </c>
      <c r="D147" s="96">
        <v>5.9696604197839385</v>
      </c>
      <c r="E147" s="96">
        <v>5.9518050047696311</v>
      </c>
      <c r="F147" s="96">
        <v>5.9340029957822855</v>
      </c>
      <c r="G147" s="96">
        <v>5.9162542330830385</v>
      </c>
      <c r="H147" s="96">
        <v>5.8985585574108068</v>
      </c>
      <c r="I147" s="96">
        <v>5.8809158099808654</v>
      </c>
      <c r="J147" s="96">
        <v>5.8633258324834143</v>
      </c>
      <c r="K147" s="96">
        <v>5.8457884670821691</v>
      </c>
      <c r="L147" s="96">
        <v>5.8283035564129317</v>
      </c>
      <c r="M147" s="96">
        <v>5.4206457244984474</v>
      </c>
      <c r="N147" s="96">
        <v>5.3721164594153477</v>
      </c>
      <c r="O147" s="96">
        <v>5.20600106509524</v>
      </c>
      <c r="P147" s="96">
        <v>4.9319911095593971</v>
      </c>
      <c r="Q147" s="96">
        <v>4.8621572379781473</v>
      </c>
      <c r="R147" s="96">
        <v>4.7486223402827328</v>
      </c>
      <c r="S147" s="96">
        <v>4.7756146763849987</v>
      </c>
      <c r="T147" s="96">
        <v>4.9179989199692544</v>
      </c>
      <c r="U147" s="96">
        <v>4.8268157836572483</v>
      </c>
      <c r="V147" s="96">
        <v>4.747987086458263</v>
      </c>
      <c r="W147" s="96">
        <v>4.6650122081401424</v>
      </c>
      <c r="X147" s="96">
        <v>4.8487302107677168</v>
      </c>
      <c r="Y147" s="96">
        <v>4.9888028775642761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5.064907098811771</v>
      </c>
      <c r="S148" s="96">
        <v>0</v>
      </c>
      <c r="T148" s="96">
        <v>0</v>
      </c>
      <c r="U148" s="96">
        <v>5.0312824694148315</v>
      </c>
      <c r="V148" s="96">
        <v>0</v>
      </c>
      <c r="W148" s="96">
        <v>3.9271413272745956</v>
      </c>
      <c r="X148" s="96">
        <v>4.2394200352265514</v>
      </c>
      <c r="Y148" s="96">
        <v>4.3529759290272629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X149" s="96">
        <v>0</v>
      </c>
      <c r="Y149" s="96">
        <v>0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4.2203706952036955</v>
      </c>
      <c r="M150" s="96">
        <v>4.0955053425998669</v>
      </c>
      <c r="N150" s="96">
        <v>3.4639435701783556</v>
      </c>
      <c r="O150" s="96">
        <v>4.8398235777646095</v>
      </c>
      <c r="P150" s="96">
        <v>4.7968725498908551</v>
      </c>
      <c r="Q150" s="96">
        <v>4.0618603209334818</v>
      </c>
      <c r="R150" s="96">
        <v>5.4546133584134395</v>
      </c>
      <c r="S150" s="96">
        <v>4.3055514963298158</v>
      </c>
      <c r="T150" s="96">
        <v>5.1999983692210288</v>
      </c>
      <c r="U150" s="96">
        <v>2.9929152734467133</v>
      </c>
      <c r="V150" s="96">
        <v>3.3941043593424607</v>
      </c>
      <c r="W150" s="96">
        <v>2.7371769826587049</v>
      </c>
      <c r="X150" s="96">
        <v>2.6665564616492152</v>
      </c>
      <c r="Y150" s="96">
        <v>2.4464231432825194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1.2578869614751085</v>
      </c>
      <c r="F151" s="96">
        <v>1.2453080918603574</v>
      </c>
      <c r="G151" s="96">
        <v>1.2328550109417538</v>
      </c>
      <c r="H151" s="96">
        <v>1.2205264608323361</v>
      </c>
      <c r="I151" s="96">
        <v>1.2083211962240128</v>
      </c>
      <c r="J151" s="96">
        <v>1.1962379842617727</v>
      </c>
      <c r="K151" s="96">
        <v>1.1842756044191551</v>
      </c>
      <c r="L151" s="96">
        <v>1.1724328483749633</v>
      </c>
      <c r="M151" s="96">
        <v>0</v>
      </c>
      <c r="N151" s="96">
        <v>1.0817356473149937</v>
      </c>
      <c r="O151" s="96">
        <v>1.1263972484952709</v>
      </c>
      <c r="P151" s="96">
        <v>1.177578512058306</v>
      </c>
      <c r="Q151" s="96">
        <v>1.3117246094607504</v>
      </c>
      <c r="R151" s="96">
        <v>1.2742087376653157</v>
      </c>
      <c r="S151" s="96">
        <v>1.028237458440759</v>
      </c>
      <c r="T151" s="96">
        <v>1.1435941530524505</v>
      </c>
      <c r="U151" s="96">
        <v>1.3506184271446526</v>
      </c>
      <c r="V151" s="96">
        <v>1.5997975203173105</v>
      </c>
      <c r="W151" s="96">
        <v>1.4749687025247369</v>
      </c>
      <c r="X151" s="96">
        <v>1.4412058890624178</v>
      </c>
      <c r="Y151" s="96">
        <v>1.5254611771594178</v>
      </c>
      <c r="DA151" s="171" t="s">
        <v>894</v>
      </c>
    </row>
    <row r="152" spans="1:105" ht="11.45" customHeight="1" x14ac:dyDescent="0.25">
      <c r="A152" s="109" t="s">
        <v>21</v>
      </c>
      <c r="B152" s="130">
        <v>0</v>
      </c>
      <c r="C152" s="130">
        <v>0</v>
      </c>
      <c r="D152" s="130">
        <v>37.693972423196627</v>
      </c>
      <c r="E152" s="130">
        <v>37.574903195426984</v>
      </c>
      <c r="F152" s="130">
        <v>0</v>
      </c>
      <c r="G152" s="130">
        <v>37.434088444411522</v>
      </c>
      <c r="H152" s="130">
        <v>37.242454261441047</v>
      </c>
      <c r="I152" s="130">
        <v>37.104365098666143</v>
      </c>
      <c r="J152" s="130">
        <v>36.636970694188506</v>
      </c>
      <c r="K152" s="130">
        <v>36.111111141451964</v>
      </c>
      <c r="L152" s="130">
        <v>31.95089749106641</v>
      </c>
      <c r="M152" s="130">
        <v>35.35399309509576</v>
      </c>
      <c r="N152" s="130">
        <v>35.066175229072194</v>
      </c>
      <c r="O152" s="130">
        <v>34.874831980386141</v>
      </c>
      <c r="P152" s="130">
        <v>34.72988327756201</v>
      </c>
      <c r="Q152" s="130">
        <v>34.559999999926667</v>
      </c>
      <c r="R152" s="130">
        <v>34.132553140684934</v>
      </c>
      <c r="S152" s="130">
        <v>33.4823540425812</v>
      </c>
      <c r="T152" s="130">
        <v>30.671180002833797</v>
      </c>
      <c r="U152" s="130">
        <v>31.286464805441351</v>
      </c>
      <c r="V152" s="130">
        <v>30.501377657831892</v>
      </c>
      <c r="W152" s="130">
        <v>28.8663802642081</v>
      </c>
      <c r="X152" s="130">
        <v>27.978208790452836</v>
      </c>
      <c r="Y152" s="130">
        <v>26.813729172171278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11.138633688547673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8.5569867548296621</v>
      </c>
      <c r="U153" s="97">
        <v>8.3386959937465335</v>
      </c>
      <c r="V153" s="97">
        <v>0</v>
      </c>
      <c r="W153" s="97">
        <v>7.9551286527782015</v>
      </c>
      <c r="X153" s="97">
        <v>0</v>
      </c>
      <c r="Y153" s="97">
        <v>7.6283534414702752</v>
      </c>
      <c r="DA153" s="175" t="s">
        <v>896</v>
      </c>
    </row>
    <row r="154" spans="1:105" ht="11.45" customHeight="1" x14ac:dyDescent="0.25">
      <c r="A154" s="111" t="s">
        <v>111</v>
      </c>
      <c r="B154" s="97">
        <v>0</v>
      </c>
      <c r="C154" s="97">
        <v>0</v>
      </c>
      <c r="D154" s="97">
        <v>37.693972423196627</v>
      </c>
      <c r="E154" s="97">
        <v>37.574903195426984</v>
      </c>
      <c r="F154" s="97">
        <v>0</v>
      </c>
      <c r="G154" s="97">
        <v>37.434088444411522</v>
      </c>
      <c r="H154" s="97">
        <v>37.242454261441047</v>
      </c>
      <c r="I154" s="97">
        <v>37.104365098666143</v>
      </c>
      <c r="J154" s="97">
        <v>36.636970694188506</v>
      </c>
      <c r="K154" s="97">
        <v>36.111111141451964</v>
      </c>
      <c r="L154" s="97">
        <v>35.77355818948822</v>
      </c>
      <c r="M154" s="97">
        <v>35.35399309509576</v>
      </c>
      <c r="N154" s="97">
        <v>35.066175229072194</v>
      </c>
      <c r="O154" s="97">
        <v>34.874831980386141</v>
      </c>
      <c r="P154" s="97">
        <v>34.72988327756201</v>
      </c>
      <c r="Q154" s="97">
        <v>34.559999999926667</v>
      </c>
      <c r="R154" s="97">
        <v>34.132553140684934</v>
      </c>
      <c r="S154" s="97">
        <v>33.4823540425812</v>
      </c>
      <c r="T154" s="97">
        <v>32.644509298581319</v>
      </c>
      <c r="U154" s="97">
        <v>31.653122712106015</v>
      </c>
      <c r="V154" s="97">
        <v>30.54034990492956</v>
      </c>
      <c r="W154" s="97">
        <v>29.335762642398446</v>
      </c>
      <c r="X154" s="97">
        <v>28.065972303883179</v>
      </c>
      <c r="Y154" s="97">
        <v>26.754460799660571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32.997341415878061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X156" s="97">
        <v>0</v>
      </c>
      <c r="Y156" s="97">
        <v>0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25.295470813875763</v>
      </c>
      <c r="U157" s="97">
        <v>25.084930037295674</v>
      </c>
      <c r="V157" s="97">
        <v>24.772457334474748</v>
      </c>
      <c r="W157" s="97">
        <v>24.372088436877242</v>
      </c>
      <c r="X157" s="97">
        <v>23.897205415941951</v>
      </c>
      <c r="Y157" s="97">
        <v>23.360338505591002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6.3153329199686485</v>
      </c>
      <c r="D159" s="141">
        <v>6.3396114559717267</v>
      </c>
      <c r="E159" s="141">
        <v>6.3413048543435151</v>
      </c>
      <c r="F159" s="141">
        <v>6.3484571156986176</v>
      </c>
      <c r="G159" s="141">
        <v>6.3573515470312056</v>
      </c>
      <c r="H159" s="141">
        <v>6.3700943217769321</v>
      </c>
      <c r="I159" s="141">
        <v>6.2451685656343159</v>
      </c>
      <c r="J159" s="141">
        <v>6.1135246021364837</v>
      </c>
      <c r="K159" s="141">
        <v>6.000350771379698</v>
      </c>
      <c r="L159" s="141">
        <v>5.9515583050801064</v>
      </c>
      <c r="M159" s="141">
        <v>5.8342695372245004</v>
      </c>
      <c r="N159" s="141">
        <v>5.6226055916204345</v>
      </c>
      <c r="O159" s="141">
        <v>5.5180769106220193</v>
      </c>
      <c r="P159" s="141">
        <v>5.421265084770714</v>
      </c>
      <c r="Q159" s="141">
        <v>5.370936525533077</v>
      </c>
      <c r="R159" s="141">
        <v>5.2373177033922893</v>
      </c>
      <c r="S159" s="141">
        <v>5.0828070404208106</v>
      </c>
      <c r="T159" s="141">
        <v>5.2021768606740126</v>
      </c>
      <c r="U159" s="141">
        <v>5.039324614618697</v>
      </c>
      <c r="V159" s="141">
        <v>5.4136320243490212</v>
      </c>
      <c r="W159" s="141">
        <v>5.1954077410592054</v>
      </c>
      <c r="X159" s="141">
        <v>4.9166308242916159</v>
      </c>
      <c r="Y159" s="141">
        <v>5.090622484097624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6.4606501758625701</v>
      </c>
      <c r="D160" s="96">
        <v>6.3339707606495788</v>
      </c>
      <c r="E160" s="96">
        <v>6.2097752555388022</v>
      </c>
      <c r="F160" s="96">
        <v>6.0880149564105892</v>
      </c>
      <c r="G160" s="96">
        <v>5.9686421141280306</v>
      </c>
      <c r="H160" s="96">
        <v>5.8516099158117942</v>
      </c>
      <c r="I160" s="96">
        <v>5.7368724664821507</v>
      </c>
      <c r="J160" s="96">
        <v>5.5254724279156724</v>
      </c>
      <c r="K160" s="96">
        <v>5.4171298312898744</v>
      </c>
      <c r="L160" s="96">
        <v>5.3109115993037985</v>
      </c>
      <c r="M160" s="96">
        <v>5.206776077748823</v>
      </c>
      <c r="N160" s="96">
        <v>5.1046824291655133</v>
      </c>
      <c r="O160" s="96">
        <v>5.9035548141058243</v>
      </c>
      <c r="P160" s="96">
        <v>4.8562094764875914</v>
      </c>
      <c r="Q160" s="96">
        <v>4.7795828969769403</v>
      </c>
      <c r="R160" s="96">
        <v>5.1722941169690317</v>
      </c>
      <c r="S160" s="96">
        <v>4.9072415947483989</v>
      </c>
      <c r="T160" s="96">
        <v>5.2209671282533012</v>
      </c>
      <c r="U160" s="96">
        <v>5.0732757754168638</v>
      </c>
      <c r="V160" s="96">
        <v>5.9855080395827516</v>
      </c>
      <c r="W160" s="96">
        <v>5.9469659780313542</v>
      </c>
      <c r="X160" s="96">
        <v>6.0170346185530104</v>
      </c>
      <c r="Y160" s="96">
        <v>6.1849901606018243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6.4434128729384783</v>
      </c>
      <c r="D161" s="96">
        <v>6.3170714440573326</v>
      </c>
      <c r="E161" s="96">
        <v>6.1932072980954231</v>
      </c>
      <c r="F161" s="96">
        <v>6.0717718608778668</v>
      </c>
      <c r="G161" s="96">
        <v>5.9527175106645744</v>
      </c>
      <c r="H161" s="96">
        <v>5.8359975594750715</v>
      </c>
      <c r="I161" s="96">
        <v>5.7215662347794822</v>
      </c>
      <c r="J161" s="96">
        <v>5.595060295297106</v>
      </c>
      <c r="K161" s="96">
        <v>5.4853532306834358</v>
      </c>
      <c r="L161" s="96">
        <v>5.3777972849837603</v>
      </c>
      <c r="M161" s="96">
        <v>5.2723502793958446</v>
      </c>
      <c r="N161" s="96">
        <v>5.1689708621527872</v>
      </c>
      <c r="O161" s="96">
        <v>5.2518085291802015</v>
      </c>
      <c r="P161" s="96">
        <v>5.1454251149853381</v>
      </c>
      <c r="Q161" s="96">
        <v>5.3694436233928569</v>
      </c>
      <c r="R161" s="96">
        <v>5.1584313111961047</v>
      </c>
      <c r="S161" s="96">
        <v>4.7758311160001217</v>
      </c>
      <c r="T161" s="96">
        <v>5.0062328825297522</v>
      </c>
      <c r="U161" s="96">
        <v>5.0621685529423752</v>
      </c>
      <c r="V161" s="96">
        <v>5.788902384199587</v>
      </c>
      <c r="W161" s="96">
        <v>5.5213900132066245</v>
      </c>
      <c r="X161" s="96">
        <v>5.5026513500506535</v>
      </c>
      <c r="Y161" s="96">
        <v>5.706306852748761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7.2138488693647842</v>
      </c>
      <c r="T162" s="96">
        <v>0</v>
      </c>
      <c r="U162" s="96">
        <v>7.4579260078885738</v>
      </c>
      <c r="V162" s="96">
        <v>0</v>
      </c>
      <c r="W162" s="96">
        <v>0</v>
      </c>
      <c r="X162" s="96">
        <v>0</v>
      </c>
      <c r="Y162" s="96">
        <v>7.3432811324459921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X163" s="96">
        <v>0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1.2967304180438881</v>
      </c>
      <c r="K164" s="96">
        <v>0</v>
      </c>
      <c r="L164" s="96">
        <v>1.2756689973421773</v>
      </c>
      <c r="M164" s="96">
        <v>1.2629123073687554</v>
      </c>
      <c r="N164" s="96">
        <v>0</v>
      </c>
      <c r="O164" s="96">
        <v>1.2402326008930817</v>
      </c>
      <c r="P164" s="96">
        <v>1.2508321057961216</v>
      </c>
      <c r="Q164" s="96">
        <v>1.3198853792075025</v>
      </c>
      <c r="R164" s="96">
        <v>1.3327601031814273</v>
      </c>
      <c r="S164" s="96">
        <v>1.4084264832330182</v>
      </c>
      <c r="T164" s="96">
        <v>1.3134135855546003</v>
      </c>
      <c r="U164" s="96">
        <v>1.8057543142999408</v>
      </c>
      <c r="V164" s="96">
        <v>1.4740203906154032</v>
      </c>
      <c r="W164" s="96">
        <v>2.0427773000859846</v>
      </c>
      <c r="X164" s="96">
        <v>2.0745419670613141</v>
      </c>
      <c r="Y164" s="96">
        <v>1.9639431935218694</v>
      </c>
      <c r="DA164" s="171" t="s">
        <v>906</v>
      </c>
    </row>
    <row r="165" spans="1:105" ht="11.45" customHeight="1" x14ac:dyDescent="0.25">
      <c r="A165" s="109" t="s">
        <v>154</v>
      </c>
      <c r="B165" s="130">
        <v>18.112047730504155</v>
      </c>
      <c r="C165" s="130">
        <v>18.084085051510382</v>
      </c>
      <c r="D165" s="130">
        <v>18.053066037696293</v>
      </c>
      <c r="E165" s="130">
        <v>18.014441591750245</v>
      </c>
      <c r="F165" s="130">
        <v>17.968309859116868</v>
      </c>
      <c r="G165" s="130">
        <v>17.914787234004248</v>
      </c>
      <c r="H165" s="130">
        <v>17.854007633552897</v>
      </c>
      <c r="I165" s="130">
        <v>17.786121672965649</v>
      </c>
      <c r="J165" s="130">
        <v>17.711295750911347</v>
      </c>
      <c r="K165" s="130">
        <v>17.629711055240044</v>
      </c>
      <c r="L165" s="130">
        <v>17.541562499961117</v>
      </c>
      <c r="M165" s="130">
        <v>17.447057604606101</v>
      </c>
      <c r="N165" s="130">
        <v>17.346415327528995</v>
      </c>
      <c r="O165" s="130">
        <v>17.239864864831905</v>
      </c>
      <c r="P165" s="130">
        <v>17.127644426329045</v>
      </c>
      <c r="Q165" s="130">
        <v>17.009999999963902</v>
      </c>
      <c r="R165" s="130">
        <v>17.096652274046399</v>
      </c>
      <c r="S165" s="130">
        <v>17.157308865904145</v>
      </c>
      <c r="T165" s="130">
        <v>17.220998287354782</v>
      </c>
      <c r="U165" s="130">
        <v>17.298840913572224</v>
      </c>
      <c r="V165" s="130">
        <v>17.694260626736121</v>
      </c>
      <c r="W165" s="130">
        <v>17.694260626736121</v>
      </c>
      <c r="X165" s="130">
        <v>17.694260626736121</v>
      </c>
      <c r="Y165" s="130">
        <v>17.51731802046876</v>
      </c>
      <c r="DA165" s="176" t="s">
        <v>907</v>
      </c>
    </row>
    <row r="166" spans="1:105" ht="11.45" customHeight="1" x14ac:dyDescent="0.25">
      <c r="A166" s="128" t="s">
        <v>27</v>
      </c>
      <c r="B166" s="97">
        <v>18.112047730504155</v>
      </c>
      <c r="C166" s="97">
        <v>18.084085051510382</v>
      </c>
      <c r="D166" s="97">
        <v>18.053066037696293</v>
      </c>
      <c r="E166" s="97">
        <v>18.014441591750245</v>
      </c>
      <c r="F166" s="97">
        <v>17.968309859116868</v>
      </c>
      <c r="G166" s="97">
        <v>17.914787234004248</v>
      </c>
      <c r="H166" s="97">
        <v>17.854007633552897</v>
      </c>
      <c r="I166" s="97">
        <v>17.786121672965649</v>
      </c>
      <c r="J166" s="97">
        <v>17.711295750911347</v>
      </c>
      <c r="K166" s="97">
        <v>17.629711055240044</v>
      </c>
      <c r="L166" s="97">
        <v>17.541562499961117</v>
      </c>
      <c r="M166" s="97">
        <v>17.447057604606101</v>
      </c>
      <c r="N166" s="97">
        <v>17.346415327528995</v>
      </c>
      <c r="O166" s="97">
        <v>17.239864864831905</v>
      </c>
      <c r="P166" s="97">
        <v>17.127644426329045</v>
      </c>
      <c r="Q166" s="97">
        <v>17.009999999963902</v>
      </c>
      <c r="R166" s="97">
        <v>17.096652274046399</v>
      </c>
      <c r="S166" s="97">
        <v>17.157308865904145</v>
      </c>
      <c r="T166" s="97">
        <v>17.220998287354782</v>
      </c>
      <c r="U166" s="97">
        <v>17.298840913572224</v>
      </c>
      <c r="V166" s="97">
        <v>17.694260626736121</v>
      </c>
      <c r="W166" s="97">
        <v>17.694260626736121</v>
      </c>
      <c r="X166" s="97">
        <v>17.694260626736121</v>
      </c>
      <c r="Y166" s="97">
        <v>17.51731802046876</v>
      </c>
      <c r="DA166" s="175" t="s">
        <v>908</v>
      </c>
    </row>
    <row r="167" spans="1:105" ht="11.45" customHeight="1" x14ac:dyDescent="0.25">
      <c r="A167" s="138" t="s">
        <v>116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108.15825742045459</v>
      </c>
      <c r="C171" s="152">
        <v>107.71086484846498</v>
      </c>
      <c r="D171" s="152">
        <v>107.23338528384434</v>
      </c>
      <c r="E171" s="152">
        <v>106.75259118692681</v>
      </c>
      <c r="F171" s="152">
        <v>106.26896677983454</v>
      </c>
      <c r="G171" s="152">
        <v>105.66049460989889</v>
      </c>
      <c r="H171" s="152">
        <v>104.89229461360604</v>
      </c>
      <c r="I171" s="152">
        <v>103.956625256506</v>
      </c>
      <c r="J171" s="152">
        <v>101.83750372911972</v>
      </c>
      <c r="K171" s="152">
        <v>99.958842472236157</v>
      </c>
      <c r="L171" s="152">
        <v>97.659097159673877</v>
      </c>
      <c r="M171" s="152">
        <v>95.617768255889715</v>
      </c>
      <c r="N171" s="152">
        <v>93.003150478007157</v>
      </c>
      <c r="O171" s="152">
        <v>90.712863680577172</v>
      </c>
      <c r="P171" s="152">
        <v>88.48702135370408</v>
      </c>
      <c r="Q171" s="152">
        <v>85.597159504266017</v>
      </c>
      <c r="R171" s="152">
        <v>82.289360438605357</v>
      </c>
      <c r="S171" s="152">
        <v>79.637155742888098</v>
      </c>
      <c r="T171" s="152">
        <v>77.795754813743798</v>
      </c>
      <c r="U171" s="152">
        <v>76.13534503545506</v>
      </c>
      <c r="V171" s="152">
        <v>74.764351645736568</v>
      </c>
      <c r="W171" s="152">
        <v>73.236265742170062</v>
      </c>
      <c r="X171" s="152">
        <v>71.322581393842867</v>
      </c>
      <c r="Y171" s="152">
        <v>70.36745437478298</v>
      </c>
      <c r="DA171" s="174" t="s">
        <v>910</v>
      </c>
    </row>
    <row r="172" spans="1:105" ht="11.45" customHeight="1" x14ac:dyDescent="0.25">
      <c r="A172" s="109" t="s">
        <v>20</v>
      </c>
      <c r="B172" s="116">
        <v>173.02378473087711</v>
      </c>
      <c r="C172" s="116">
        <v>172.24561946112757</v>
      </c>
      <c r="D172" s="116">
        <v>171.58742557062891</v>
      </c>
      <c r="E172" s="116">
        <v>169.88763850496431</v>
      </c>
      <c r="F172" s="116">
        <v>168.9888614657703</v>
      </c>
      <c r="G172" s="116">
        <v>167.85267264371942</v>
      </c>
      <c r="H172" s="116">
        <v>166.30035309596249</v>
      </c>
      <c r="I172" s="116">
        <v>165.63568871979857</v>
      </c>
      <c r="J172" s="116">
        <v>164.98978471305259</v>
      </c>
      <c r="K172" s="116">
        <v>165.5299480282354</v>
      </c>
      <c r="L172" s="116">
        <v>171.54881401029104</v>
      </c>
      <c r="M172" s="116">
        <v>166.72599962280009</v>
      </c>
      <c r="N172" s="116">
        <v>166.13574036697639</v>
      </c>
      <c r="O172" s="116">
        <v>164.82533248251755</v>
      </c>
      <c r="P172" s="116">
        <v>163.01336731666032</v>
      </c>
      <c r="Q172" s="116">
        <v>160.10365451787547</v>
      </c>
      <c r="R172" s="116">
        <v>159.85946424913081</v>
      </c>
      <c r="S172" s="116">
        <v>161.491491055316</v>
      </c>
      <c r="T172" s="116">
        <v>158.97433718388041</v>
      </c>
      <c r="U172" s="116">
        <v>155.48014227108146</v>
      </c>
      <c r="V172" s="116">
        <v>154.45235587301613</v>
      </c>
      <c r="W172" s="116">
        <v>150.04899428202253</v>
      </c>
      <c r="X172" s="116">
        <v>145.1644272097877</v>
      </c>
      <c r="Y172" s="116">
        <v>142.87943177476762</v>
      </c>
      <c r="DA172" s="176" t="s">
        <v>911</v>
      </c>
    </row>
    <row r="173" spans="1:105" ht="11.45" customHeight="1" x14ac:dyDescent="0.25">
      <c r="A173" s="111" t="s">
        <v>110</v>
      </c>
      <c r="B173" s="87">
        <v>166.31197687786155</v>
      </c>
      <c r="C173" s="87">
        <v>165.16166329806131</v>
      </c>
      <c r="D173" s="87">
        <v>164.50046667527377</v>
      </c>
      <c r="E173" s="87">
        <v>163.95598684904451</v>
      </c>
      <c r="F173" s="87">
        <v>163.5605186806103</v>
      </c>
      <c r="G173" s="87">
        <v>162.82317194133032</v>
      </c>
      <c r="H173" s="87">
        <v>161.71064422750825</v>
      </c>
      <c r="I173" s="87">
        <v>160.70856588652643</v>
      </c>
      <c r="J173" s="87">
        <v>159.81325503649586</v>
      </c>
      <c r="K173" s="87">
        <v>158.85634491527676</v>
      </c>
      <c r="L173" s="87">
        <v>157.5125188462809</v>
      </c>
      <c r="M173" s="87">
        <v>156.45073784502449</v>
      </c>
      <c r="N173" s="87">
        <v>155.3745396941506</v>
      </c>
      <c r="O173" s="87">
        <v>154.48691087746337</v>
      </c>
      <c r="P173" s="87">
        <v>153.51119714343466</v>
      </c>
      <c r="Q173" s="87">
        <v>152.46377484993681</v>
      </c>
      <c r="R173" s="87">
        <v>151.25296478527207</v>
      </c>
      <c r="S173" s="87">
        <v>149.79224464174828</v>
      </c>
      <c r="T173" s="87">
        <v>148.21285077430448</v>
      </c>
      <c r="U173" s="87">
        <v>146.98389630647353</v>
      </c>
      <c r="V173" s="87">
        <v>145.9838835439127</v>
      </c>
      <c r="W173" s="87">
        <v>143.76477807042306</v>
      </c>
      <c r="X173" s="87">
        <v>141.39573441776739</v>
      </c>
      <c r="Y173" s="87">
        <v>139.06601978544828</v>
      </c>
      <c r="DA173" s="171" t="s">
        <v>912</v>
      </c>
    </row>
    <row r="174" spans="1:105" ht="11.45" customHeight="1" x14ac:dyDescent="0.25">
      <c r="A174" s="111" t="s">
        <v>111</v>
      </c>
      <c r="B174" s="87">
        <v>189.98617328778013</v>
      </c>
      <c r="C174" s="87">
        <v>188.81994707943551</v>
      </c>
      <c r="D174" s="87">
        <v>188.36192622597068</v>
      </c>
      <c r="E174" s="87">
        <v>188.13949024982531</v>
      </c>
      <c r="F174" s="87">
        <v>188.01843612211411</v>
      </c>
      <c r="G174" s="87">
        <v>187.83016151732329</v>
      </c>
      <c r="H174" s="87">
        <v>187.65950607503342</v>
      </c>
      <c r="I174" s="87">
        <v>187.46483479757021</v>
      </c>
      <c r="J174" s="87">
        <v>187.27674983219416</v>
      </c>
      <c r="K174" s="87">
        <v>186.78696471138358</v>
      </c>
      <c r="L174" s="87">
        <v>185.08244831214006</v>
      </c>
      <c r="M174" s="87">
        <v>184.43212393768857</v>
      </c>
      <c r="N174" s="87">
        <v>183.7642154568891</v>
      </c>
      <c r="O174" s="87">
        <v>183.02805547609219</v>
      </c>
      <c r="P174" s="87">
        <v>181.81333171297035</v>
      </c>
      <c r="Q174" s="87">
        <v>180.5388056842944</v>
      </c>
      <c r="R174" s="87">
        <v>178.72115168279555</v>
      </c>
      <c r="S174" s="87">
        <v>176.86601082311478</v>
      </c>
      <c r="T174" s="87">
        <v>175.1870586786888</v>
      </c>
      <c r="U174" s="87">
        <v>173.32588125573594</v>
      </c>
      <c r="V174" s="87">
        <v>171.81206870493597</v>
      </c>
      <c r="W174" s="87">
        <v>170.24566306466411</v>
      </c>
      <c r="X174" s="87">
        <v>168.75964006341781</v>
      </c>
      <c r="Y174" s="87">
        <v>167.41905546193723</v>
      </c>
      <c r="DA174" s="171" t="s">
        <v>913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0</v>
      </c>
      <c r="I175" s="87">
        <v>0</v>
      </c>
      <c r="J175" s="87">
        <v>0</v>
      </c>
      <c r="K175" s="87">
        <v>0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165.80810019088904</v>
      </c>
      <c r="S175" s="87">
        <v>165.80810019088904</v>
      </c>
      <c r="T175" s="87">
        <v>165.80810019088904</v>
      </c>
      <c r="U175" s="87">
        <v>152.47739455257604</v>
      </c>
      <c r="V175" s="87">
        <v>151.49175894194201</v>
      </c>
      <c r="W175" s="87">
        <v>150.15352104319936</v>
      </c>
      <c r="X175" s="87">
        <v>148.75813080265175</v>
      </c>
      <c r="Y175" s="87">
        <v>147.19878951230089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X176" s="87">
        <v>0</v>
      </c>
      <c r="Y176" s="87">
        <v>0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85.214338835112386</v>
      </c>
      <c r="M177" s="87">
        <v>84.139538763749613</v>
      </c>
      <c r="N177" s="87">
        <v>77.818013293208011</v>
      </c>
      <c r="O177" s="87">
        <v>84.295658753660319</v>
      </c>
      <c r="P177" s="87">
        <v>87.120613504609352</v>
      </c>
      <c r="Q177" s="87">
        <v>80.215705834018109</v>
      </c>
      <c r="R177" s="87">
        <v>79.998917612871352</v>
      </c>
      <c r="S177" s="87">
        <v>80.083670962880518</v>
      </c>
      <c r="T177" s="87">
        <v>82.716895250819022</v>
      </c>
      <c r="U177" s="87">
        <v>81.412330110202177</v>
      </c>
      <c r="V177" s="87">
        <v>76.161531493277991</v>
      </c>
      <c r="W177" s="87">
        <v>61.553107239487439</v>
      </c>
      <c r="X177" s="87">
        <v>49.769708004196474</v>
      </c>
      <c r="Y177" s="87">
        <v>44.278946265994698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1559.7029021068236</v>
      </c>
      <c r="C179" s="116">
        <v>1559.7029021068236</v>
      </c>
      <c r="D179" s="116">
        <v>1558.2180142874856</v>
      </c>
      <c r="E179" s="116">
        <v>1557.2250044115315</v>
      </c>
      <c r="F179" s="116">
        <v>1557.2250044115315</v>
      </c>
      <c r="G179" s="116">
        <v>1556.2083434038102</v>
      </c>
      <c r="H179" s="116">
        <v>1555.6981549118368</v>
      </c>
      <c r="I179" s="116">
        <v>1553.6421866181952</v>
      </c>
      <c r="J179" s="116">
        <v>1551.2353372377538</v>
      </c>
      <c r="K179" s="116">
        <v>1513.2351252761641</v>
      </c>
      <c r="L179" s="116">
        <v>1475.3349512223567</v>
      </c>
      <c r="M179" s="116">
        <v>1397.6533107348096</v>
      </c>
      <c r="N179" s="116">
        <v>1385.2606944127069</v>
      </c>
      <c r="O179" s="116">
        <v>1376.0872662202275</v>
      </c>
      <c r="P179" s="116">
        <v>1362.6869151293527</v>
      </c>
      <c r="Q179" s="116">
        <v>1331.5757150353095</v>
      </c>
      <c r="R179" s="116">
        <v>1304.4911820657292</v>
      </c>
      <c r="S179" s="116">
        <v>1294.9917149971814</v>
      </c>
      <c r="T179" s="116">
        <v>1085.2481728134758</v>
      </c>
      <c r="U179" s="116">
        <v>1252.6948001925844</v>
      </c>
      <c r="V179" s="116">
        <v>1214.3394547855567</v>
      </c>
      <c r="W179" s="116">
        <v>1150.2995617807396</v>
      </c>
      <c r="X179" s="116">
        <v>1169.2105985284907</v>
      </c>
      <c r="Y179" s="116">
        <v>855.18489828400493</v>
      </c>
      <c r="DA179" s="176" t="s">
        <v>918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323.182154483575</v>
      </c>
      <c r="M180" s="101">
        <v>323.18215448357495</v>
      </c>
      <c r="N180" s="101">
        <v>323.182154483575</v>
      </c>
      <c r="O180" s="101">
        <v>323.18215448357495</v>
      </c>
      <c r="P180" s="101">
        <v>323.18215448357506</v>
      </c>
      <c r="Q180" s="101">
        <v>323.182154483575</v>
      </c>
      <c r="R180" s="101">
        <v>323.182154483575</v>
      </c>
      <c r="S180" s="101">
        <v>323.182154483575</v>
      </c>
      <c r="T180" s="101">
        <v>314.31855068337927</v>
      </c>
      <c r="U180" s="101">
        <v>300.05135920042977</v>
      </c>
      <c r="V180" s="101">
        <v>296.23658029349326</v>
      </c>
      <c r="W180" s="101">
        <v>289.04070611742083</v>
      </c>
      <c r="X180" s="101">
        <v>289.04070611742077</v>
      </c>
      <c r="Y180" s="101">
        <v>281.87347660093633</v>
      </c>
      <c r="DA180" s="175" t="s">
        <v>919</v>
      </c>
    </row>
    <row r="181" spans="1:105" ht="11.45" customHeight="1" x14ac:dyDescent="0.25">
      <c r="A181" s="111" t="s">
        <v>111</v>
      </c>
      <c r="B181" s="101">
        <v>1559.7029021068236</v>
      </c>
      <c r="C181" s="101">
        <v>1559.7029021068231</v>
      </c>
      <c r="D181" s="101">
        <v>1557.2188270202041</v>
      </c>
      <c r="E181" s="101">
        <v>1555.5029578620949</v>
      </c>
      <c r="F181" s="101">
        <v>1555.5029578620949</v>
      </c>
      <c r="G181" s="101">
        <v>1553.6249698335241</v>
      </c>
      <c r="H181" s="101">
        <v>1552.6490940358726</v>
      </c>
      <c r="I181" s="101">
        <v>1548.5960572977476</v>
      </c>
      <c r="J181" s="101">
        <v>1543.7349489371161</v>
      </c>
      <c r="K181" s="101">
        <v>1471.5138548806369</v>
      </c>
      <c r="L181" s="101">
        <v>1434.6937651083033</v>
      </c>
      <c r="M181" s="101">
        <v>1320.1099774965323</v>
      </c>
      <c r="N181" s="101">
        <v>1305.5493182828714</v>
      </c>
      <c r="O181" s="101">
        <v>1295.3689462320644</v>
      </c>
      <c r="P181" s="101">
        <v>1278.2865383219485</v>
      </c>
      <c r="Q181" s="101">
        <v>1242.7865164766811</v>
      </c>
      <c r="R181" s="101">
        <v>1217.5800952265304</v>
      </c>
      <c r="S181" s="101">
        <v>1207.3964936385878</v>
      </c>
      <c r="T181" s="101">
        <v>1202.4000968881187</v>
      </c>
      <c r="U181" s="101">
        <v>1177.3353129001782</v>
      </c>
      <c r="V181" s="101">
        <v>1134.6517032368872</v>
      </c>
      <c r="W181" s="101">
        <v>1118.924542093795</v>
      </c>
      <c r="X181" s="101">
        <v>1101.5354323361933</v>
      </c>
      <c r="Y181" s="101">
        <v>1089.3827903294693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871.74712764238916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259.6004799666926</v>
      </c>
      <c r="C186" s="152">
        <v>257.34664168733565</v>
      </c>
      <c r="D186" s="152">
        <v>249.1629635946762</v>
      </c>
      <c r="E186" s="152">
        <v>239.96237587446993</v>
      </c>
      <c r="F186" s="152">
        <v>231.75395097981306</v>
      </c>
      <c r="G186" s="152">
        <v>223.51653612956221</v>
      </c>
      <c r="H186" s="152">
        <v>213.73881140667226</v>
      </c>
      <c r="I186" s="152">
        <v>208.74924736141742</v>
      </c>
      <c r="J186" s="152">
        <v>203.69536781944748</v>
      </c>
      <c r="K186" s="152">
        <v>199.84636874196417</v>
      </c>
      <c r="L186" s="152">
        <v>192.44011814759332</v>
      </c>
      <c r="M186" s="152">
        <v>187.98473487153353</v>
      </c>
      <c r="N186" s="152">
        <v>186.16678735593987</v>
      </c>
      <c r="O186" s="152">
        <v>189.51794032442101</v>
      </c>
      <c r="P186" s="152">
        <v>183.01043791828826</v>
      </c>
      <c r="Q186" s="152">
        <v>186.93936639780827</v>
      </c>
      <c r="R186" s="152">
        <v>179.82218442304668</v>
      </c>
      <c r="S186" s="152">
        <v>168.86113572450489</v>
      </c>
      <c r="T186" s="152">
        <v>169.14866553605441</v>
      </c>
      <c r="U186" s="152">
        <v>169.64344240986384</v>
      </c>
      <c r="V186" s="152">
        <v>182.64302075530773</v>
      </c>
      <c r="W186" s="152">
        <v>179.36708774165646</v>
      </c>
      <c r="X186" s="152">
        <v>187.57885772539328</v>
      </c>
      <c r="Y186" s="152">
        <v>182.02609297571144</v>
      </c>
      <c r="DA186" s="174" t="s">
        <v>924</v>
      </c>
    </row>
    <row r="187" spans="1:105" ht="11.45" customHeight="1" x14ac:dyDescent="0.25">
      <c r="A187" s="111" t="s">
        <v>110</v>
      </c>
      <c r="B187" s="87">
        <v>202.27839002618438</v>
      </c>
      <c r="C187" s="87">
        <v>199.74069735988638</v>
      </c>
      <c r="D187" s="87">
        <v>198.7510492811605</v>
      </c>
      <c r="E187" s="87">
        <v>197.23315189553566</v>
      </c>
      <c r="F187" s="87">
        <v>196.16484426754843</v>
      </c>
      <c r="G187" s="87">
        <v>195.15673621672283</v>
      </c>
      <c r="H187" s="87">
        <v>193.78325005312772</v>
      </c>
      <c r="I187" s="87">
        <v>192.07187626234639</v>
      </c>
      <c r="J187" s="87">
        <v>190.37653574640612</v>
      </c>
      <c r="K187" s="87">
        <v>188.88950219940483</v>
      </c>
      <c r="L187" s="87">
        <v>186.68110254359812</v>
      </c>
      <c r="M187" s="87">
        <v>185.10690450747546</v>
      </c>
      <c r="N187" s="87">
        <v>183.38669561678012</v>
      </c>
      <c r="O187" s="87">
        <v>179.67111160896218</v>
      </c>
      <c r="P187" s="87">
        <v>177.07205416539298</v>
      </c>
      <c r="Q187" s="87">
        <v>173.86051218398046</v>
      </c>
      <c r="R187" s="87">
        <v>170.69523266934951</v>
      </c>
      <c r="S187" s="87">
        <v>167.81600810105752</v>
      </c>
      <c r="T187" s="87">
        <v>167.22854283693454</v>
      </c>
      <c r="U187" s="87">
        <v>163.31352364361541</v>
      </c>
      <c r="V187" s="87">
        <v>160.88127791590151</v>
      </c>
      <c r="W187" s="87">
        <v>159.23453062820536</v>
      </c>
      <c r="X187" s="87">
        <v>155.13395692758976</v>
      </c>
      <c r="Y187" s="87">
        <v>154.33061337810383</v>
      </c>
      <c r="DA187" s="171" t="s">
        <v>925</v>
      </c>
    </row>
    <row r="188" spans="1:105" ht="11.45" customHeight="1" x14ac:dyDescent="0.25">
      <c r="A188" s="111" t="s">
        <v>111</v>
      </c>
      <c r="B188" s="87">
        <v>258.79870370415676</v>
      </c>
      <c r="C188" s="87">
        <v>255.37131714759727</v>
      </c>
      <c r="D188" s="87">
        <v>250.75692699463525</v>
      </c>
      <c r="E188" s="87">
        <v>244.93084394702475</v>
      </c>
      <c r="F188" s="87">
        <v>240.35619890769539</v>
      </c>
      <c r="G188" s="87">
        <v>235.81005517318269</v>
      </c>
      <c r="H188" s="87">
        <v>229.38555164107277</v>
      </c>
      <c r="I188" s="87">
        <v>223.16740704200947</v>
      </c>
      <c r="J188" s="87">
        <v>217.96326481470425</v>
      </c>
      <c r="K188" s="87">
        <v>213.72878102227273</v>
      </c>
      <c r="L188" s="87">
        <v>208.56974563610484</v>
      </c>
      <c r="M188" s="87">
        <v>203.68346944932352</v>
      </c>
      <c r="N188" s="87">
        <v>198.3222548949044</v>
      </c>
      <c r="O188" s="87">
        <v>194.97372703940491</v>
      </c>
      <c r="P188" s="87">
        <v>189.86549787736951</v>
      </c>
      <c r="Q188" s="87">
        <v>185.03645933540943</v>
      </c>
      <c r="R188" s="87">
        <v>180.83186250800793</v>
      </c>
      <c r="S188" s="87">
        <v>177.5923825663171</v>
      </c>
      <c r="T188" s="87">
        <v>174.1230419794305</v>
      </c>
      <c r="U188" s="87">
        <v>171.57916504543599</v>
      </c>
      <c r="V188" s="87">
        <v>170.62115534561093</v>
      </c>
      <c r="W188" s="87">
        <v>169.84755155963578</v>
      </c>
      <c r="X188" s="87">
        <v>167.34319078257295</v>
      </c>
      <c r="Y188" s="87">
        <v>165.65949027705685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188.37339099532781</v>
      </c>
      <c r="T189" s="87">
        <v>188.37339099532775</v>
      </c>
      <c r="U189" s="87">
        <v>174.09079972623857</v>
      </c>
      <c r="V189" s="87">
        <v>174.09079972623857</v>
      </c>
      <c r="W189" s="87">
        <v>174.09079972623857</v>
      </c>
      <c r="X189" s="87">
        <v>174.0907997262386</v>
      </c>
      <c r="Y189" s="87">
        <v>178.68844814919345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X190" s="87">
        <v>0</v>
      </c>
      <c r="Y190" s="87">
        <v>0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590.00715254894112</v>
      </c>
      <c r="C192" s="116">
        <v>588.56441519585826</v>
      </c>
      <c r="D192" s="116">
        <v>586.86767362704018</v>
      </c>
      <c r="E192" s="116">
        <v>584.82542994921323</v>
      </c>
      <c r="F192" s="116">
        <v>582.53719290348897</v>
      </c>
      <c r="G192" s="116">
        <v>579.94665967567505</v>
      </c>
      <c r="H192" s="116">
        <v>577.44077255001514</v>
      </c>
      <c r="I192" s="116">
        <v>574.74824740765405</v>
      </c>
      <c r="J192" s="116">
        <v>571.23347947486616</v>
      </c>
      <c r="K192" s="116">
        <v>567.59971240775428</v>
      </c>
      <c r="L192" s="116">
        <v>564.85023609997938</v>
      </c>
      <c r="M192" s="116">
        <v>563.22970878963861</v>
      </c>
      <c r="N192" s="116">
        <v>560.816433957139</v>
      </c>
      <c r="O192" s="116">
        <v>558.16342406859462</v>
      </c>
      <c r="P192" s="116">
        <v>555.2848555863294</v>
      </c>
      <c r="Q192" s="116">
        <v>552.05850375027626</v>
      </c>
      <c r="R192" s="116">
        <v>549.15236652976319</v>
      </c>
      <c r="S192" s="116">
        <v>546.16794545039068</v>
      </c>
      <c r="T192" s="116">
        <v>543.91751716841941</v>
      </c>
      <c r="U192" s="116">
        <v>542.20300024111475</v>
      </c>
      <c r="V192" s="116">
        <v>542.05407794944495</v>
      </c>
      <c r="W192" s="116">
        <v>541.31758476084588</v>
      </c>
      <c r="X192" s="116">
        <v>541.24111764556892</v>
      </c>
      <c r="Y192" s="116">
        <v>540.81523167854641</v>
      </c>
      <c r="DA192" s="176" t="s">
        <v>930</v>
      </c>
    </row>
    <row r="193" spans="1:105" ht="11.45" customHeight="1" x14ac:dyDescent="0.25">
      <c r="A193" s="128" t="s">
        <v>27</v>
      </c>
      <c r="B193" s="101">
        <v>551.78806574415137</v>
      </c>
      <c r="C193" s="101">
        <v>550.4387850617137</v>
      </c>
      <c r="D193" s="101">
        <v>548.85195387792021</v>
      </c>
      <c r="E193" s="101">
        <v>546.94200128853527</v>
      </c>
      <c r="F193" s="101">
        <v>544.80199012431569</v>
      </c>
      <c r="G193" s="101">
        <v>542.37926471692685</v>
      </c>
      <c r="H193" s="101">
        <v>540.03570226337445</v>
      </c>
      <c r="I193" s="101">
        <v>537.51759170513401</v>
      </c>
      <c r="J193" s="101">
        <v>534.23050104734443</v>
      </c>
      <c r="K193" s="101">
        <v>530.83211970117918</v>
      </c>
      <c r="L193" s="101">
        <v>528.26074712184311</v>
      </c>
      <c r="M193" s="101">
        <v>526.74519324051209</v>
      </c>
      <c r="N193" s="101">
        <v>524.48824390323534</v>
      </c>
      <c r="O193" s="101">
        <v>522.00708890625651</v>
      </c>
      <c r="P193" s="101">
        <v>519.3149863985509</v>
      </c>
      <c r="Q193" s="101">
        <v>516.29762901341621</v>
      </c>
      <c r="R193" s="101">
        <v>513.57974359666116</v>
      </c>
      <c r="S193" s="101">
        <v>510.78864534024399</v>
      </c>
      <c r="T193" s="101">
        <v>508.68399378908856</v>
      </c>
      <c r="U193" s="101">
        <v>507.08053868703445</v>
      </c>
      <c r="V193" s="101">
        <v>506.94126318348896</v>
      </c>
      <c r="W193" s="101">
        <v>506.25247805568983</v>
      </c>
      <c r="X193" s="101">
        <v>506.18096427581537</v>
      </c>
      <c r="Y193" s="101">
        <v>505.78266606374171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0</v>
      </c>
      <c r="D194" s="88">
        <v>0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  <c r="X194" s="88">
        <v>0</v>
      </c>
      <c r="Y194" s="88">
        <v>0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1.0725000000065616</v>
      </c>
      <c r="C198" s="150">
        <f>IF(TrRoad_act!C59=0,0,TrRoad_emi!C56/TrRoad_tech!C171)</f>
        <v>1.0727134624631669</v>
      </c>
      <c r="D198" s="150">
        <f>IF(TrRoad_act!D59=0,0,TrRoad_emi!D56/TrRoad_tech!D171)</f>
        <v>1.0732160772857273</v>
      </c>
      <c r="E198" s="150">
        <f>IF(TrRoad_act!E59=0,0,TrRoad_emi!E56/TrRoad_tech!E171)</f>
        <v>1.0739617854015202</v>
      </c>
      <c r="F198" s="150">
        <f>IF(TrRoad_act!F59=0,0,TrRoad_emi!F56/TrRoad_tech!F171)</f>
        <v>1.0748724836941279</v>
      </c>
      <c r="G198" s="150">
        <f>IF(TrRoad_act!G59=0,0,TrRoad_emi!G56/TrRoad_tech!G171)</f>
        <v>1.0760817315757851</v>
      </c>
      <c r="H198" s="150">
        <f>IF(TrRoad_act!H59=0,0,TrRoad_emi!H56/TrRoad_tech!H171)</f>
        <v>1.0777786503237659</v>
      </c>
      <c r="I198" s="150">
        <f>IF(TrRoad_act!I59=0,0,TrRoad_emi!I56/TrRoad_tech!I171)</f>
        <v>1.080285640393414</v>
      </c>
      <c r="J198" s="150">
        <f>IF(TrRoad_act!J59=0,0,TrRoad_emi!J56/TrRoad_tech!J171)</f>
        <v>1.0859319806200625</v>
      </c>
      <c r="K198" s="150">
        <f>IF(TrRoad_act!K59=0,0,TrRoad_emi!K56/TrRoad_tech!K171)</f>
        <v>1.0906180923880995</v>
      </c>
      <c r="L198" s="150">
        <f>IF(TrRoad_act!L59=0,0,TrRoad_emi!L56/TrRoad_tech!L171)</f>
        <v>1.0967326467450984</v>
      </c>
      <c r="M198" s="150">
        <f>IF(TrRoad_act!M59=0,0,TrRoad_emi!M56/TrRoad_tech!M171)</f>
        <v>1.1026520856477697</v>
      </c>
      <c r="N198" s="150">
        <f>IF(TrRoad_act!N59=0,0,TrRoad_emi!N56/TrRoad_tech!N171)</f>
        <v>1.110856116539771</v>
      </c>
      <c r="O198" s="150">
        <f>IF(TrRoad_act!O59=0,0,TrRoad_emi!O56/TrRoad_tech!O171)</f>
        <v>1.1194072604164236</v>
      </c>
      <c r="P198" s="150">
        <f>IF(TrRoad_act!P59=0,0,TrRoad_emi!P56/TrRoad_tech!P171)</f>
        <v>1.1295178112543243</v>
      </c>
      <c r="Q198" s="150">
        <f>IF(TrRoad_act!Q59=0,0,TrRoad_emi!Q56/TrRoad_tech!Q171)</f>
        <v>1.1438059597896897</v>
      </c>
      <c r="R198" s="150">
        <f>IF(TrRoad_act!R59=0,0,TrRoad_emi!R56/TrRoad_tech!R171)</f>
        <v>1.1620397550822816</v>
      </c>
      <c r="S198" s="150">
        <f>IF(TrRoad_act!S59=0,0,TrRoad_emi!S56/TrRoad_tech!S171)</f>
        <v>1.1782128992462604</v>
      </c>
      <c r="T198" s="150">
        <f>IF(TrRoad_act!T59=0,0,TrRoad_emi!T56/TrRoad_tech!T171)</f>
        <v>1.2149473989964814</v>
      </c>
      <c r="U198" s="150">
        <f>IF(TrRoad_act!U59=0,0,TrRoad_emi!U56/TrRoad_tech!U171)</f>
        <v>1.2690895741900481</v>
      </c>
      <c r="V198" s="150">
        <f>IF(TrRoad_act!V59=0,0,TrRoad_emi!V56/TrRoad_tech!V171)</f>
        <v>1.2823373070865778</v>
      </c>
      <c r="W198" s="150">
        <f>IF(TrRoad_act!W59=0,0,TrRoad_emi!W56/TrRoad_tech!W171)</f>
        <v>1.3009536736290326</v>
      </c>
      <c r="X198" s="150">
        <f>IF(TrRoad_act!X59=0,0,TrRoad_emi!X56/TrRoad_tech!X171)</f>
        <v>1.3232993335930661</v>
      </c>
      <c r="Y198" s="150">
        <f>IF(TrRoad_act!Y59=0,0,TrRoad_emi!Y56/TrRoad_tech!Y171)</f>
        <v>1.3361928837507868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0.98681208710219126</v>
      </c>
      <c r="C199" s="151">
        <f>IF(TrRoad_act!C60=0,0,TrRoad_emi!C57/TrRoad_tech!C172)</f>
        <v>0.92806926180713334</v>
      </c>
      <c r="D199" s="151">
        <f>IF(TrRoad_act!D60=0,0,TrRoad_emi!D57/TrRoad_tech!D172)</f>
        <v>0.9263410518535945</v>
      </c>
      <c r="E199" s="151">
        <f>IF(TrRoad_act!E60=0,0,TrRoad_emi!E57/TrRoad_tech!E172)</f>
        <v>0.88901759151919801</v>
      </c>
      <c r="F199" s="151">
        <f>IF(TrRoad_act!F60=0,0,TrRoad_emi!F57/TrRoad_tech!F172)</f>
        <v>0.81748345181873527</v>
      </c>
      <c r="G199" s="151">
        <f>IF(TrRoad_act!G60=0,0,TrRoad_emi!G57/TrRoad_tech!G172)</f>
        <v>0.86034801077736456</v>
      </c>
      <c r="H199" s="151">
        <f>IF(TrRoad_act!H60=0,0,TrRoad_emi!H57/TrRoad_tech!H172)</f>
        <v>0.85488144332887517</v>
      </c>
      <c r="I199" s="151">
        <f>IF(TrRoad_act!I60=0,0,TrRoad_emi!I57/TrRoad_tech!I172)</f>
        <v>0.90735252334644256</v>
      </c>
      <c r="J199" s="151">
        <f>IF(TrRoad_act!J60=0,0,TrRoad_emi!J57/TrRoad_tech!J172)</f>
        <v>0.99101476518276332</v>
      </c>
      <c r="K199" s="151">
        <f>IF(TrRoad_act!K60=0,0,TrRoad_emi!K57/TrRoad_tech!K172)</f>
        <v>0.82769914109955589</v>
      </c>
      <c r="L199" s="151">
        <f>IF(TrRoad_act!L60=0,0,TrRoad_emi!L57/TrRoad_tech!L172)</f>
        <v>0.93033231274453621</v>
      </c>
      <c r="M199" s="151">
        <f>IF(TrRoad_act!M60=0,0,TrRoad_emi!M57/TrRoad_tech!M172)</f>
        <v>0.94932858158531541</v>
      </c>
      <c r="N199" s="151">
        <f>IF(TrRoad_act!N60=0,0,TrRoad_emi!N57/TrRoad_tech!N172)</f>
        <v>0.94625869376916039</v>
      </c>
      <c r="O199" s="151">
        <f>IF(TrRoad_act!O60=0,0,TrRoad_emi!O57/TrRoad_tech!O172)</f>
        <v>0.95152025927630501</v>
      </c>
      <c r="P199" s="151">
        <f>IF(TrRoad_act!P60=0,0,TrRoad_emi!P57/TrRoad_tech!P172)</f>
        <v>0.91495065349678173</v>
      </c>
      <c r="Q199" s="151">
        <f>IF(TrRoad_act!Q60=0,0,TrRoad_emi!Q57/TrRoad_tech!Q172)</f>
        <v>0.94939899804358041</v>
      </c>
      <c r="R199" s="151">
        <f>IF(TrRoad_act!R60=0,0,TrRoad_emi!R57/TrRoad_tech!R172)</f>
        <v>0.93229344377232715</v>
      </c>
      <c r="S199" s="151">
        <f>IF(TrRoad_act!S60=0,0,TrRoad_emi!S57/TrRoad_tech!S172)</f>
        <v>0.93607700329351795</v>
      </c>
      <c r="T199" s="151">
        <f>IF(TrRoad_act!T60=0,0,TrRoad_emi!T57/TrRoad_tech!T172)</f>
        <v>1.0120766710345948</v>
      </c>
      <c r="U199" s="151">
        <f>IF(TrRoad_act!U60=0,0,TrRoad_emi!U57/TrRoad_tech!U172)</f>
        <v>1.0726863226652128</v>
      </c>
      <c r="V199" s="151">
        <f>IF(TrRoad_act!V60=0,0,TrRoad_emi!V57/TrRoad_tech!V172)</f>
        <v>0.97129263303679858</v>
      </c>
      <c r="W199" s="151">
        <f>IF(TrRoad_act!W60=0,0,TrRoad_emi!W57/TrRoad_tech!W172)</f>
        <v>1.0239395045863195</v>
      </c>
      <c r="X199" s="151">
        <f>IF(TrRoad_act!X60=0,0,TrRoad_emi!X57/TrRoad_tech!X172)</f>
        <v>1.2028538614779571</v>
      </c>
      <c r="Y199" s="151">
        <f>IF(TrRoad_act!Y60=0,0,TrRoad_emi!Y57/TrRoad_tech!Y172)</f>
        <v>1.222286747742015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1.0642470073711647</v>
      </c>
      <c r="C200" s="91">
        <f>IF(TrRoad_act!C61=0,0,TrRoad_emi!C58/TrRoad_tech!C173)</f>
        <v>1.0064533897243018</v>
      </c>
      <c r="D200" s="91">
        <f>IF(TrRoad_act!D61=0,0,TrRoad_emi!D58/TrRoad_tech!D173)</f>
        <v>1.0936684191288559</v>
      </c>
      <c r="E200" s="91">
        <f>IF(TrRoad_act!E61=0,0,TrRoad_emi!E58/TrRoad_tech!E173)</f>
        <v>0.98719583101805775</v>
      </c>
      <c r="F200" s="91">
        <f>IF(TrRoad_act!F61=0,0,TrRoad_emi!F58/TrRoad_tech!F173)</f>
        <v>0.84972016339214307</v>
      </c>
      <c r="G200" s="91">
        <f>IF(TrRoad_act!G61=0,0,TrRoad_emi!G58/TrRoad_tech!G173)</f>
        <v>0.82957563271726009</v>
      </c>
      <c r="H200" s="91">
        <f>IF(TrRoad_act!H61=0,0,TrRoad_emi!H58/TrRoad_tech!H173)</f>
        <v>0.80598965856136295</v>
      </c>
      <c r="I200" s="91">
        <f>IF(TrRoad_act!I61=0,0,TrRoad_emi!I58/TrRoad_tech!I173)</f>
        <v>0.88600999170056616</v>
      </c>
      <c r="J200" s="91">
        <f>IF(TrRoad_act!J61=0,0,TrRoad_emi!J58/TrRoad_tech!J173)</f>
        <v>1.0029235037228614</v>
      </c>
      <c r="K200" s="91">
        <f>IF(TrRoad_act!K61=0,0,TrRoad_emi!K58/TrRoad_tech!K173)</f>
        <v>0.83006004256312738</v>
      </c>
      <c r="L200" s="91">
        <f>IF(TrRoad_act!L61=0,0,TrRoad_emi!L58/TrRoad_tech!L173)</f>
        <v>1.0175831916929772</v>
      </c>
      <c r="M200" s="91">
        <f>IF(TrRoad_act!M61=0,0,TrRoad_emi!M58/TrRoad_tech!M173)</f>
        <v>1.0537696881570005</v>
      </c>
      <c r="N200" s="91">
        <f>IF(TrRoad_act!N61=0,0,TrRoad_emi!N58/TrRoad_tech!N173)</f>
        <v>1.075290893127735</v>
      </c>
      <c r="O200" s="91">
        <f>IF(TrRoad_act!O61=0,0,TrRoad_emi!O58/TrRoad_tech!O173)</f>
        <v>1.087293756330501</v>
      </c>
      <c r="P200" s="91">
        <f>IF(TrRoad_act!P61=0,0,TrRoad_emi!P58/TrRoad_tech!P173)</f>
        <v>1.0345510832666001</v>
      </c>
      <c r="Q200" s="91">
        <f>IF(TrRoad_act!Q61=0,0,TrRoad_emi!Q58/TrRoad_tech!Q173)</f>
        <v>1.0702065122901108</v>
      </c>
      <c r="R200" s="91">
        <f>IF(TrRoad_act!R61=0,0,TrRoad_emi!R58/TrRoad_tech!R173)</f>
        <v>1.0588413095372931</v>
      </c>
      <c r="S200" s="91">
        <f>IF(TrRoad_act!S61=0,0,TrRoad_emi!S58/TrRoad_tech!S173)</f>
        <v>1.0633698343746363</v>
      </c>
      <c r="T200" s="91">
        <f>IF(TrRoad_act!T61=0,0,TrRoad_emi!T58/TrRoad_tech!T173)</f>
        <v>1.0961332182826398</v>
      </c>
      <c r="U200" s="91">
        <f>IF(TrRoad_act!U61=0,0,TrRoad_emi!U58/TrRoad_tech!U173)</f>
        <v>1.1679441847643646</v>
      </c>
      <c r="V200" s="91">
        <f>IF(TrRoad_act!V61=0,0,TrRoad_emi!V58/TrRoad_tech!V173)</f>
        <v>1.0841931845145749</v>
      </c>
      <c r="W200" s="91">
        <f>IF(TrRoad_act!W61=0,0,TrRoad_emi!W58/TrRoad_tech!W173)</f>
        <v>1.1335527675484289</v>
      </c>
      <c r="X200" s="91">
        <f>IF(TrRoad_act!X61=0,0,TrRoad_emi!X58/TrRoad_tech!X173)</f>
        <v>1.2668989644392934</v>
      </c>
      <c r="Y200" s="91">
        <f>IF(TrRoad_act!Y61=0,0,TrRoad_emi!Y58/TrRoad_tech!Y173)</f>
        <v>1.3141490298131271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0.69802504164794599</v>
      </c>
      <c r="C201" s="91">
        <f>IF(TrRoad_act!C62=0,0,TrRoad_emi!C59/TrRoad_tech!C174)</f>
        <v>0.66117690914274951</v>
      </c>
      <c r="D201" s="91">
        <f>IF(TrRoad_act!D62=0,0,TrRoad_emi!D59/TrRoad_tech!D174)</f>
        <v>0.25999260397071844</v>
      </c>
      <c r="E201" s="91">
        <f>IF(TrRoad_act!E62=0,0,TrRoad_emi!E59/TrRoad_tech!E174)</f>
        <v>0.51372758781293526</v>
      </c>
      <c r="F201" s="91">
        <f>IF(TrRoad_act!F62=0,0,TrRoad_emi!F59/TrRoad_tech!F174)</f>
        <v>0.71469113534892159</v>
      </c>
      <c r="G201" s="91">
        <f>IF(TrRoad_act!G62=0,0,TrRoad_emi!G59/TrRoad_tech!G174)</f>
        <v>1.015415101139699</v>
      </c>
      <c r="H201" s="91">
        <f>IF(TrRoad_act!H62=0,0,TrRoad_emi!H59/TrRoad_tech!H174)</f>
        <v>1.0662022798445459</v>
      </c>
      <c r="I201" s="91">
        <f>IF(TrRoad_act!I62=0,0,TrRoad_emi!I59/TrRoad_tech!I174)</f>
        <v>0.99045415710487228</v>
      </c>
      <c r="J201" s="91">
        <f>IF(TrRoad_act!J62=0,0,TrRoad_emi!J59/TrRoad_tech!J174)</f>
        <v>0.9549130848006927</v>
      </c>
      <c r="K201" s="91">
        <f>IF(TrRoad_act!K62=0,0,TrRoad_emi!K59/TrRoad_tech!K174)</f>
        <v>0.85912126634147379</v>
      </c>
      <c r="L201" s="91">
        <f>IF(TrRoad_act!L62=0,0,TrRoad_emi!L59/TrRoad_tech!L174)</f>
        <v>0.85702178188085942</v>
      </c>
      <c r="M201" s="91">
        <f>IF(TrRoad_act!M62=0,0,TrRoad_emi!M59/TrRoad_tech!M174)</f>
        <v>0.79744226676425467</v>
      </c>
      <c r="N201" s="91">
        <f>IF(TrRoad_act!N62=0,0,TrRoad_emi!N59/TrRoad_tech!N174)</f>
        <v>0.77173252497827416</v>
      </c>
      <c r="O201" s="91">
        <f>IF(TrRoad_act!O62=0,0,TrRoad_emi!O59/TrRoad_tech!O174)</f>
        <v>0.7669014044909519</v>
      </c>
      <c r="P201" s="91">
        <f>IF(TrRoad_act!P62=0,0,TrRoad_emi!P59/TrRoad_tech!P174)</f>
        <v>0.74321956250808707</v>
      </c>
      <c r="Q201" s="91">
        <f>IF(TrRoad_act!Q62=0,0,TrRoad_emi!Q59/TrRoad_tech!Q174)</f>
        <v>0.75654284593777577</v>
      </c>
      <c r="R201" s="91">
        <f>IF(TrRoad_act!R62=0,0,TrRoad_emi!R59/TrRoad_tech!R174)</f>
        <v>0.75179618483293187</v>
      </c>
      <c r="S201" s="91">
        <f>IF(TrRoad_act!S62=0,0,TrRoad_emi!S59/TrRoad_tech!S174)</f>
        <v>0.79131365463711056</v>
      </c>
      <c r="T201" s="91">
        <f>IF(TrRoad_act!T62=0,0,TrRoad_emi!T59/TrRoad_tech!T174)</f>
        <v>0.91167831942864108</v>
      </c>
      <c r="U201" s="91">
        <f>IF(TrRoad_act!U62=0,0,TrRoad_emi!U59/TrRoad_tech!U174)</f>
        <v>0.93993087633666406</v>
      </c>
      <c r="V201" s="91">
        <f>IF(TrRoad_act!V62=0,0,TrRoad_emi!V59/TrRoad_tech!V174)</f>
        <v>0.82129143835511054</v>
      </c>
      <c r="W201" s="91">
        <f>IF(TrRoad_act!W62=0,0,TrRoad_emi!W59/TrRoad_tech!W174)</f>
        <v>0.85134454780850233</v>
      </c>
      <c r="X201" s="91">
        <f>IF(TrRoad_act!X62=0,0,TrRoad_emi!X59/TrRoad_tech!X174)</f>
        <v>1.0492474570999499</v>
      </c>
      <c r="Y201" s="91">
        <f>IF(TrRoad_act!Y62=0,0,TrRoad_emi!Y59/TrRoad_tech!Y174)</f>
        <v>1.0513703339600924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</v>
      </c>
      <c r="I202" s="91">
        <f>IF(TrRoad_act!I63=0,0,TrRoad_emi!I60/TrRoad_tech!I175)</f>
        <v>0</v>
      </c>
      <c r="J202" s="91">
        <f>IF(TrRoad_act!J63=0,0,TrRoad_emi!J60/TrRoad_tech!J175)</f>
        <v>0</v>
      </c>
      <c r="K202" s="91">
        <f>IF(TrRoad_act!K63=0,0,TrRoad_emi!K60/TrRoad_tech!K175)</f>
        <v>0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0.77259117911863262</v>
      </c>
      <c r="S202" s="91">
        <f>IF(TrRoad_act!S63=0,0,TrRoad_emi!S60/TrRoad_tech!S175)</f>
        <v>0.86276563663542527</v>
      </c>
      <c r="T202" s="91">
        <f>IF(TrRoad_act!T63=0,0,TrRoad_emi!T60/TrRoad_tech!T175)</f>
        <v>1.1938101857160961</v>
      </c>
      <c r="U202" s="91">
        <f>IF(TrRoad_act!U63=0,0,TrRoad_emi!U60/TrRoad_tech!U175)</f>
        <v>0.94326797624079084</v>
      </c>
      <c r="V202" s="91">
        <f>IF(TrRoad_act!V63=0,0,TrRoad_emi!V60/TrRoad_tech!V175)</f>
        <v>1.065572733992427</v>
      </c>
      <c r="W202" s="91">
        <f>IF(TrRoad_act!W63=0,0,TrRoad_emi!W60/TrRoad_tech!W175)</f>
        <v>1.2393315930616275</v>
      </c>
      <c r="X202" s="91">
        <f>IF(TrRoad_act!X63=0,0,TrRoad_emi!X60/TrRoad_tech!X175)</f>
        <v>1.4130221571641159</v>
      </c>
      <c r="Y202" s="91">
        <f>IF(TrRoad_act!Y63=0,0,TrRoad_emi!Y60/TrRoad_tech!Y175)</f>
        <v>1.1065964420808989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X203" s="91">
        <f>IF(TrRoad_act!X64=0,0,TrRoad_emi!X61/TrRoad_tech!X176)</f>
        <v>0</v>
      </c>
      <c r="Y203" s="91">
        <f>IF(TrRoad_act!Y64=0,0,TrRoad_emi!Y61/TrRoad_tech!Y176)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1.0401336426183072</v>
      </c>
      <c r="M204" s="91">
        <f>IF(TrRoad_act!M65=0,0,TrRoad_emi!M62/TrRoad_tech!M177)</f>
        <v>1.0764962906811841</v>
      </c>
      <c r="N204" s="91">
        <f>IF(TrRoad_act!N65=0,0,TrRoad_emi!N62/TrRoad_tech!N177)</f>
        <v>1.0988958494910979</v>
      </c>
      <c r="O204" s="91">
        <f>IF(TrRoad_act!O65=0,0,TrRoad_emi!O62/TrRoad_tech!O177)</f>
        <v>1.1156888735883823</v>
      </c>
      <c r="P204" s="91">
        <f>IF(TrRoad_act!P65=0,0,TrRoad_emi!P62/TrRoad_tech!P177)</f>
        <v>1.0661459260825104</v>
      </c>
      <c r="Q204" s="91">
        <f>IF(TrRoad_act!Q65=0,0,TrRoad_emi!Q62/TrRoad_tech!Q177)</f>
        <v>1.1048497624287763</v>
      </c>
      <c r="R204" s="91">
        <f>IF(TrRoad_act!R65=0,0,TrRoad_emi!R62/TrRoad_tech!R177)</f>
        <v>1.0918654914898565</v>
      </c>
      <c r="S204" s="91">
        <f>IF(TrRoad_act!S65=0,0,TrRoad_emi!S62/TrRoad_tech!S177)</f>
        <v>1.0943814050247131</v>
      </c>
      <c r="T204" s="91">
        <f>IF(TrRoad_act!T65=0,0,TrRoad_emi!T62/TrRoad_tech!T177)</f>
        <v>1.1273008381217808</v>
      </c>
      <c r="U204" s="91">
        <f>IF(TrRoad_act!U65=0,0,TrRoad_emi!U62/TrRoad_tech!U177)</f>
        <v>1.1990313369066539</v>
      </c>
      <c r="V204" s="91">
        <f>IF(TrRoad_act!V65=0,0,TrRoad_emi!V62/TrRoad_tech!V177)</f>
        <v>1.1139279757210527</v>
      </c>
      <c r="W204" s="91">
        <f>IF(TrRoad_act!W65=0,0,TrRoad_emi!W62/TrRoad_tech!W177)</f>
        <v>1.165927377431667</v>
      </c>
      <c r="X204" s="91">
        <f>IF(TrRoad_act!X65=0,0,TrRoad_emi!X62/TrRoad_tech!X177)</f>
        <v>1.3038142092342204</v>
      </c>
      <c r="Y204" s="91">
        <f>IF(TrRoad_act!Y65=0,0,TrRoad_emi!Y62/TrRoad_tech!Y177)</f>
        <v>1.3498300606859959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0.74707544998176389</v>
      </c>
      <c r="C206" s="151">
        <f>IF(TrRoad_act!C67=0,0,TrRoad_emi!C64/TrRoad_tech!C179)</f>
        <v>0.70760300238272766</v>
      </c>
      <c r="D206" s="151">
        <f>IF(TrRoad_act!D67=0,0,TrRoad_emi!D64/TrRoad_tech!D179)</f>
        <v>0.27805449177723329</v>
      </c>
      <c r="E206" s="151">
        <f>IF(TrRoad_act!E67=0,0,TrRoad_emi!E64/TrRoad_tech!E179)</f>
        <v>0.54914516014961401</v>
      </c>
      <c r="F206" s="151">
        <f>IF(TrRoad_act!F67=0,0,TrRoad_emi!F64/TrRoad_tech!F179)</f>
        <v>0.76391988934957966</v>
      </c>
      <c r="G206" s="151">
        <f>IF(TrRoad_act!G67=0,0,TrRoad_emi!G64/TrRoad_tech!G179)</f>
        <v>1.0847624258126372</v>
      </c>
      <c r="H206" s="151">
        <f>IF(TrRoad_act!H67=0,0,TrRoad_emi!H64/TrRoad_tech!H179)</f>
        <v>1.1385638367526683</v>
      </c>
      <c r="I206" s="151">
        <f>IF(TrRoad_act!I67=0,0,TrRoad_emi!I64/TrRoad_tech!I179)</f>
        <v>1.056427297923529</v>
      </c>
      <c r="J206" s="151">
        <f>IF(TrRoad_act!J67=0,0,TrRoad_emi!J64/TrRoad_tech!J179)</f>
        <v>1.0171084067533585</v>
      </c>
      <c r="K206" s="151">
        <f>IF(TrRoad_act!K67=0,0,TrRoad_emi!K64/TrRoad_tech!K179)</f>
        <v>0.90196521259037366</v>
      </c>
      <c r="L206" s="151">
        <f>IF(TrRoad_act!L67=0,0,TrRoad_emi!L64/TrRoad_tech!L179)</f>
        <v>0.89654847003655858</v>
      </c>
      <c r="M206" s="151">
        <f>IF(TrRoad_act!M67=0,0,TrRoad_emi!M64/TrRoad_tech!M179)</f>
        <v>0.8300978980911099</v>
      </c>
      <c r="N206" s="151">
        <f>IF(TrRoad_act!N67=0,0,TrRoad_emi!N64/TrRoad_tech!N179)</f>
        <v>0.80426842663134235</v>
      </c>
      <c r="O206" s="151">
        <f>IF(TrRoad_act!O67=0,0,TrRoad_emi!O64/TrRoad_tech!O179)</f>
        <v>0.7996103804427257</v>
      </c>
      <c r="P206" s="151">
        <f>IF(TrRoad_act!P67=0,0,TrRoad_emi!P64/TrRoad_tech!P179)</f>
        <v>0.77686402068861626</v>
      </c>
      <c r="Q206" s="151">
        <f>IF(TrRoad_act!Q67=0,0,TrRoad_emi!Q64/TrRoad_tech!Q179)</f>
        <v>0.79944730172560019</v>
      </c>
      <c r="R206" s="151">
        <f>IF(TrRoad_act!R67=0,0,TrRoad_emi!R64/TrRoad_tech!R179)</f>
        <v>0.80226840150853984</v>
      </c>
      <c r="S206" s="151">
        <f>IF(TrRoad_act!S67=0,0,TrRoad_emi!S64/TrRoad_tech!S179)</f>
        <v>0.84603119239428204</v>
      </c>
      <c r="T206" s="151">
        <f>IF(TrRoad_act!T67=0,0,TrRoad_emi!T64/TrRoad_tech!T179)</f>
        <v>1.1535162174428435</v>
      </c>
      <c r="U206" s="151">
        <f>IF(TrRoad_act!U67=0,0,TrRoad_emi!U64/TrRoad_tech!U179)</f>
        <v>1.0165801244859394</v>
      </c>
      <c r="V206" s="151">
        <f>IF(TrRoad_act!V67=0,0,TrRoad_emi!V64/TrRoad_tech!V179)</f>
        <v>0.89537860305579287</v>
      </c>
      <c r="W206" s="151">
        <f>IF(TrRoad_act!W67=0,0,TrRoad_emi!W64/TrRoad_tech!W179)</f>
        <v>0.96756921695339659</v>
      </c>
      <c r="X206" s="151">
        <f>IF(TrRoad_act!X67=0,0,TrRoad_emi!X64/TrRoad_tech!X179)</f>
        <v>1.1595769789793915</v>
      </c>
      <c r="Y206" s="151">
        <f>IF(TrRoad_act!Y67=0,0,TrRoad_emi!Y64/TrRoad_tech!Y179)</f>
        <v>1.5476830941154671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1.2000000000070943</v>
      </c>
      <c r="M207" s="93">
        <f>IF(TrRoad_act!M68=0,0,TrRoad_emi!M65/TrRoad_tech!M180)</f>
        <v>1.2000000000070943</v>
      </c>
      <c r="N207" s="93">
        <f>IF(TrRoad_act!N68=0,0,TrRoad_emi!N65/TrRoad_tech!N180)</f>
        <v>1.2000000000070936</v>
      </c>
      <c r="O207" s="93">
        <f>IF(TrRoad_act!O68=0,0,TrRoad_emi!O65/TrRoad_tech!O180)</f>
        <v>1.2000000000070941</v>
      </c>
      <c r="P207" s="93">
        <f>IF(TrRoad_act!P68=0,0,TrRoad_emi!P65/TrRoad_tech!P180)</f>
        <v>1.2000000000070936</v>
      </c>
      <c r="Q207" s="93">
        <f>IF(TrRoad_act!Q68=0,0,TrRoad_emi!Q65/TrRoad_tech!Q180)</f>
        <v>1.2000000000070943</v>
      </c>
      <c r="R207" s="93">
        <f>IF(TrRoad_act!R68=0,0,TrRoad_emi!R65/TrRoad_tech!R180)</f>
        <v>1.2000000000070941</v>
      </c>
      <c r="S207" s="93">
        <f>IF(TrRoad_act!S68=0,0,TrRoad_emi!S65/TrRoad_tech!S180)</f>
        <v>1.2000000000070938</v>
      </c>
      <c r="T207" s="93">
        <f>IF(TrRoad_act!T68=0,0,TrRoad_emi!T65/TrRoad_tech!T180)</f>
        <v>1.2131108359870268</v>
      </c>
      <c r="U207" s="93">
        <f>IF(TrRoad_act!U68=0,0,TrRoad_emi!U65/TrRoad_tech!U180)</f>
        <v>1.2345120920896906</v>
      </c>
      <c r="V207" s="93">
        <f>IF(TrRoad_act!V68=0,0,TrRoad_emi!V65/TrRoad_tech!V180)</f>
        <v>1.2407216228153928</v>
      </c>
      <c r="W207" s="93">
        <f>IF(TrRoad_act!W68=0,0,TrRoad_emi!W65/TrRoad_tech!W180)</f>
        <v>1.2509902470428074</v>
      </c>
      <c r="X207" s="93">
        <f>IF(TrRoad_act!X68=0,0,TrRoad_emi!X65/TrRoad_tech!X180)</f>
        <v>1.2509902470428074</v>
      </c>
      <c r="Y207" s="93">
        <f>IF(TrRoad_act!Y68=0,0,TrRoad_emi!Y65/TrRoad_tech!Y180)</f>
        <v>1.2603188894514108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0.74707544998176389</v>
      </c>
      <c r="C208" s="93">
        <f>IF(TrRoad_act!C69=0,0,TrRoad_emi!C66/TrRoad_tech!C181)</f>
        <v>0.70760300238272789</v>
      </c>
      <c r="D208" s="93">
        <f>IF(TrRoad_act!D69=0,0,TrRoad_emi!D66/TrRoad_tech!D181)</f>
        <v>0.27823290505029002</v>
      </c>
      <c r="E208" s="93">
        <f>IF(TrRoad_act!E69=0,0,TrRoad_emi!E66/TrRoad_tech!E181)</f>
        <v>0.54975310083104811</v>
      </c>
      <c r="F208" s="93">
        <f>IF(TrRoad_act!F69=0,0,TrRoad_emi!F66/TrRoad_tech!F181)</f>
        <v>0.76476560012296735</v>
      </c>
      <c r="G208" s="93">
        <f>IF(TrRoad_act!G69=0,0,TrRoad_emi!G66/TrRoad_tech!G181)</f>
        <v>1.0865661729429268</v>
      </c>
      <c r="H208" s="93">
        <f>IF(TrRoad_act!H69=0,0,TrRoad_emi!H66/TrRoad_tech!H181)</f>
        <v>1.1407997253786077</v>
      </c>
      <c r="I208" s="93">
        <f>IF(TrRoad_act!I69=0,0,TrRoad_emi!I66/TrRoad_tech!I181)</f>
        <v>1.059869686103359</v>
      </c>
      <c r="J208" s="93">
        <f>IF(TrRoad_act!J69=0,0,TrRoad_emi!J66/TrRoad_tech!J181)</f>
        <v>1.0220501281283558</v>
      </c>
      <c r="K208" s="93">
        <f>IF(TrRoad_act!K69=0,0,TrRoad_emi!K66/TrRoad_tech!K181)</f>
        <v>0.92753828782648451</v>
      </c>
      <c r="L208" s="93">
        <f>IF(TrRoad_act!L69=0,0,TrRoad_emi!L66/TrRoad_tech!L181)</f>
        <v>0.92753153151612033</v>
      </c>
      <c r="M208" s="93">
        <f>IF(TrRoad_act!M69=0,0,TrRoad_emi!M66/TrRoad_tech!M181)</f>
        <v>0.88252679630923336</v>
      </c>
      <c r="N208" s="93">
        <f>IF(TrRoad_act!N69=0,0,TrRoad_emi!N66/TrRoad_tech!N181)</f>
        <v>0.85614073691428361</v>
      </c>
      <c r="O208" s="93">
        <f>IF(TrRoad_act!O69=0,0,TrRoad_emi!O66/TrRoad_tech!O181)</f>
        <v>0.85191989442856186</v>
      </c>
      <c r="P208" s="93">
        <f>IF(TrRoad_act!P69=0,0,TrRoad_emi!P66/TrRoad_tech!P181)</f>
        <v>0.82993347197117406</v>
      </c>
      <c r="Q208" s="93">
        <f>IF(TrRoad_act!Q69=0,0,TrRoad_emi!Q66/TrRoad_tech!Q181)</f>
        <v>0.85791629681570702</v>
      </c>
      <c r="R208" s="93">
        <f>IF(TrRoad_act!R69=0,0,TrRoad_emi!R66/TrRoad_tech!R181)</f>
        <v>0.86082215114572302</v>
      </c>
      <c r="S208" s="93">
        <f>IF(TrRoad_act!S69=0,0,TrRoad_emi!S66/TrRoad_tech!S181)</f>
        <v>0.9087272530914503</v>
      </c>
      <c r="T208" s="93">
        <f>IF(TrRoad_act!T69=0,0,TrRoad_emi!T66/TrRoad_tech!T181)</f>
        <v>1.0468577622838018</v>
      </c>
      <c r="U208" s="93">
        <f>IF(TrRoad_act!U69=0,0,TrRoad_emi!U66/TrRoad_tech!U181)</f>
        <v>1.0888271446543314</v>
      </c>
      <c r="V208" s="93">
        <f>IF(TrRoad_act!V69=0,0,TrRoad_emi!V66/TrRoad_tech!V181)</f>
        <v>0.9651165951806695</v>
      </c>
      <c r="W208" s="93">
        <f>IF(TrRoad_act!W69=0,0,TrRoad_emi!W66/TrRoad_tech!W181)</f>
        <v>1.0039452303042882</v>
      </c>
      <c r="X208" s="93">
        <f>IF(TrRoad_act!X69=0,0,TrRoad_emi!X66/TrRoad_tech!X181)</f>
        <v>1.241271988341657</v>
      </c>
      <c r="Y208" s="93">
        <f>IF(TrRoad_act!Y69=0,0,TrRoad_emi!Y66/TrRoad_tech!Y181)</f>
        <v>1.2445799977930043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1.3632212662645304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X210" s="93">
        <f>IF(TrRoad_act!X71=0,0,TrRoad_emi!X68/TrRoad_tech!X183)</f>
        <v>0</v>
      </c>
      <c r="Y210" s="93">
        <f>IF(TrRoad_act!Y71=0,0,TrRoad_emi!Y68/TrRoad_tech!Y183)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0.74874497117227667</v>
      </c>
      <c r="C213" s="150">
        <f>IF(TrRoad_act!C74=0,0,TrRoad_emi!C71/TrRoad_tech!C186)</f>
        <v>0.70796826231847532</v>
      </c>
      <c r="D213" s="150">
        <f>IF(TrRoad_act!D74=0,0,TrRoad_emi!D71/TrRoad_tech!D186)</f>
        <v>0.30373302133810315</v>
      </c>
      <c r="E213" s="150">
        <f>IF(TrRoad_act!E74=0,0,TrRoad_emi!E71/TrRoad_tech!E186)</f>
        <v>0.57356511691918832</v>
      </c>
      <c r="F213" s="150">
        <f>IF(TrRoad_act!F74=0,0,TrRoad_emi!F71/TrRoad_tech!F186)</f>
        <v>0.79670905645770773</v>
      </c>
      <c r="G213" s="150">
        <f>IF(TrRoad_act!G74=0,0,TrRoad_emi!G71/TrRoad_tech!G186)</f>
        <v>1.1379716902866914</v>
      </c>
      <c r="H213" s="150">
        <f>IF(TrRoad_act!H74=0,0,TrRoad_emi!H71/TrRoad_tech!H186)</f>
        <v>1.2156403856128768</v>
      </c>
      <c r="I213" s="150">
        <f>IF(TrRoad_act!I74=0,0,TrRoad_emi!I71/TrRoad_tech!I186)</f>
        <v>1.1306324602753963</v>
      </c>
      <c r="J213" s="150">
        <f>IF(TrRoad_act!J74=0,0,TrRoad_emi!J71/TrRoad_tech!J186)</f>
        <v>1.095525224822492</v>
      </c>
      <c r="K213" s="150">
        <f>IF(TrRoad_act!K74=0,0,TrRoad_emi!K71/TrRoad_tech!K186)</f>
        <v>0.98761514029355968</v>
      </c>
      <c r="L213" s="150">
        <f>IF(TrRoad_act!L74=0,0,TrRoad_emi!L71/TrRoad_tech!L186)</f>
        <v>0.9995389413285779</v>
      </c>
      <c r="M213" s="150">
        <f>IF(TrRoad_act!M74=0,0,TrRoad_emi!M71/TrRoad_tech!M186)</f>
        <v>0.93414566180952474</v>
      </c>
      <c r="N213" s="150">
        <f>IF(TrRoad_act!N74=0,0,TrRoad_emi!N71/TrRoad_tech!N186)</f>
        <v>0.89369767911063147</v>
      </c>
      <c r="O213" s="150">
        <f>IF(TrRoad_act!O74=0,0,TrRoad_emi!O71/TrRoad_tech!O186)</f>
        <v>0.86186278243254055</v>
      </c>
      <c r="P213" s="150">
        <f>IF(TrRoad_act!P74=0,0,TrRoad_emi!P71/TrRoad_tech!P186)</f>
        <v>0.84766132540346739</v>
      </c>
      <c r="Q213" s="150">
        <f>IF(TrRoad_act!Q74=0,0,TrRoad_emi!Q71/TrRoad_tech!Q186)</f>
        <v>0.82906906490278487</v>
      </c>
      <c r="R213" s="150">
        <f>IF(TrRoad_act!R74=0,0,TrRoad_emi!R71/TrRoad_tech!R186)</f>
        <v>0.84344136013991577</v>
      </c>
      <c r="S213" s="150">
        <f>IF(TrRoad_act!S74=0,0,TrRoad_emi!S71/TrRoad_tech!S186)</f>
        <v>0.93411801298049324</v>
      </c>
      <c r="T213" s="150">
        <f>IF(TrRoad_act!T74=0,0,TrRoad_emi!T71/TrRoad_tech!T186)</f>
        <v>1.0614735346468733</v>
      </c>
      <c r="U213" s="150">
        <f>IF(TrRoad_act!U74=0,0,TrRoad_emi!U71/TrRoad_tech!U186)</f>
        <v>1.083635545422408</v>
      </c>
      <c r="V213" s="150">
        <f>IF(TrRoad_act!V74=0,0,TrRoad_emi!V71/TrRoad_tech!V186)</f>
        <v>0.88461611588888256</v>
      </c>
      <c r="W213" s="150">
        <f>IF(TrRoad_act!W74=0,0,TrRoad_emi!W71/TrRoad_tech!W186)</f>
        <v>0.93503435495038489</v>
      </c>
      <c r="X213" s="150">
        <f>IF(TrRoad_act!X74=0,0,TrRoad_emi!X71/TrRoad_tech!X186)</f>
        <v>1.0917754051682946</v>
      </c>
      <c r="Y213" s="150">
        <f>IF(TrRoad_act!Y74=0,0,TrRoad_emi!Y71/TrRoad_tech!Y186)</f>
        <v>1.1261724152539581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1.1114511906273987</v>
      </c>
      <c r="C214" s="91">
        <f>IF(TrRoad_act!C75=0,0,TrRoad_emi!C72/TrRoad_tech!C187)</f>
        <v>1.0933248766650221</v>
      </c>
      <c r="D214" s="91">
        <f>IF(TrRoad_act!D75=0,0,TrRoad_emi!D72/TrRoad_tech!D187)</f>
        <v>1.1206586464066763</v>
      </c>
      <c r="E214" s="91">
        <f>IF(TrRoad_act!E75=0,0,TrRoad_emi!E72/TrRoad_tech!E187)</f>
        <v>1.0872931366991572</v>
      </c>
      <c r="F214" s="91">
        <f>IF(TrRoad_act!F75=0,0,TrRoad_emi!F72/TrRoad_tech!F187)</f>
        <v>1.0441813033529272</v>
      </c>
      <c r="G214" s="91">
        <f>IF(TrRoad_act!G75=0,0,TrRoad_emi!G72/TrRoad_tech!G187)</f>
        <v>1.0376684484312311</v>
      </c>
      <c r="H214" s="91">
        <f>IF(TrRoad_act!H75=0,0,TrRoad_emi!H72/TrRoad_tech!H187)</f>
        <v>1.0307056891830564</v>
      </c>
      <c r="I214" s="91">
        <f>IF(TrRoad_act!I75=0,0,TrRoad_emi!I72/TrRoad_tech!I187)</f>
        <v>1.0569967797174136</v>
      </c>
      <c r="J214" s="91">
        <f>IF(TrRoad_act!J75=0,0,TrRoad_emi!J72/TrRoad_tech!J187)</f>
        <v>1.0951160778425757</v>
      </c>
      <c r="K214" s="91">
        <f>IF(TrRoad_act!K75=0,0,TrRoad_emi!K72/TrRoad_tech!K187)</f>
        <v>1.0416453922054798</v>
      </c>
      <c r="L214" s="91">
        <f>IF(TrRoad_act!L75=0,0,TrRoad_emi!L72/TrRoad_tech!L187)</f>
        <v>1.1032286151461075</v>
      </c>
      <c r="M214" s="91">
        <f>IF(TrRoad_act!M75=0,0,TrRoad_emi!M72/TrRoad_tech!M187)</f>
        <v>1.1160351215923734</v>
      </c>
      <c r="N214" s="91">
        <f>IF(TrRoad_act!N75=0,0,TrRoad_emi!N72/TrRoad_tech!N187)</f>
        <v>1.1249819960774923</v>
      </c>
      <c r="O214" s="91">
        <f>IF(TrRoad_act!O75=0,0,TrRoad_emi!O72/TrRoad_tech!O187)</f>
        <v>1.1352373291457258</v>
      </c>
      <c r="P214" s="91">
        <f>IF(TrRoad_act!P75=0,0,TrRoad_emi!P72/TrRoad_tech!P187)</f>
        <v>1.1252554975532569</v>
      </c>
      <c r="Q214" s="91">
        <f>IF(TrRoad_act!Q75=0,0,TrRoad_emi!Q72/TrRoad_tech!Q187)</f>
        <v>1.1435684297568842</v>
      </c>
      <c r="R214" s="91">
        <f>IF(TrRoad_act!R75=0,0,TrRoad_emi!R72/TrRoad_tech!R187)</f>
        <v>1.148341284826311</v>
      </c>
      <c r="S214" s="91">
        <f>IF(TrRoad_act!S75=0,0,TrRoad_emi!S72/TrRoad_tech!S187)</f>
        <v>1.1579649507423313</v>
      </c>
      <c r="T214" s="91">
        <f>IF(TrRoad_act!T75=0,0,TrRoad_emi!T72/TrRoad_tech!T187)</f>
        <v>1.1820537393883852</v>
      </c>
      <c r="U214" s="91">
        <f>IF(TrRoad_act!U75=0,0,TrRoad_emi!U72/TrRoad_tech!U187)</f>
        <v>1.2211163697555243</v>
      </c>
      <c r="V214" s="91">
        <f>IF(TrRoad_act!V75=0,0,TrRoad_emi!V72/TrRoad_tech!V187)</f>
        <v>1.2048198540355497</v>
      </c>
      <c r="W214" s="91">
        <f>IF(TrRoad_act!W75=0,0,TrRoad_emi!W72/TrRoad_tech!W187)</f>
        <v>1.2432788250722104</v>
      </c>
      <c r="X214" s="91">
        <f>IF(TrRoad_act!X75=0,0,TrRoad_emi!X72/TrRoad_tech!X187)</f>
        <v>1.3225214108029808</v>
      </c>
      <c r="Y214" s="91">
        <f>IF(TrRoad_act!Y75=0,0,TrRoad_emi!Y72/TrRoad_tech!Y187)</f>
        <v>1.3647551205168402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0.74707544998176367</v>
      </c>
      <c r="C215" s="91">
        <f>IF(TrRoad_act!C76=0,0,TrRoad_emi!C73/TrRoad_tech!C188)</f>
        <v>0.70761695908482358</v>
      </c>
      <c r="D215" s="91">
        <f>IF(TrRoad_act!D76=0,0,TrRoad_emi!D73/TrRoad_tech!D188)</f>
        <v>0.2782446710123947</v>
      </c>
      <c r="E215" s="91">
        <f>IF(TrRoad_act!E76=0,0,TrRoad_emi!E73/TrRoad_tech!E188)</f>
        <v>0.54982839941239314</v>
      </c>
      <c r="F215" s="91">
        <f>IF(TrRoad_act!F76=0,0,TrRoad_emi!F73/TrRoad_tech!F188)</f>
        <v>0.76500217278657512</v>
      </c>
      <c r="G215" s="91">
        <f>IF(TrRoad_act!G76=0,0,TrRoad_emi!G73/TrRoad_tech!G188)</f>
        <v>1.0870543088694493</v>
      </c>
      <c r="H215" s="91">
        <f>IF(TrRoad_act!H76=0,0,TrRoad_emi!H73/TrRoad_tech!H188)</f>
        <v>1.142263344835283</v>
      </c>
      <c r="I215" s="91">
        <f>IF(TrRoad_act!I76=0,0,TrRoad_emi!I73/TrRoad_tech!I188)</f>
        <v>1.0624353984642623</v>
      </c>
      <c r="J215" s="91">
        <f>IF(TrRoad_act!J76=0,0,TrRoad_emi!J73/TrRoad_tech!J188)</f>
        <v>1.0258705488984274</v>
      </c>
      <c r="K215" s="91">
        <f>IF(TrRoad_act!K76=0,0,TrRoad_emi!K73/TrRoad_tech!K188)</f>
        <v>0.92363703161513644</v>
      </c>
      <c r="L215" s="91">
        <f>IF(TrRoad_act!L76=0,0,TrRoad_emi!L73/TrRoad_tech!L188)</f>
        <v>0.92033381071394027</v>
      </c>
      <c r="M215" s="91">
        <f>IF(TrRoad_act!M76=0,0,TrRoad_emi!M73/TrRoad_tech!M188)</f>
        <v>0.85807000982627313</v>
      </c>
      <c r="N215" s="91">
        <f>IF(TrRoad_act!N76=0,0,TrRoad_emi!N73/TrRoad_tech!N188)</f>
        <v>0.83367656707677118</v>
      </c>
      <c r="O215" s="91">
        <f>IF(TrRoad_act!O76=0,0,TrRoad_emi!O73/TrRoad_tech!O188)</f>
        <v>0.83266269644154034</v>
      </c>
      <c r="P215" s="91">
        <f>IF(TrRoad_act!P76=0,0,TrRoad_emi!P73/TrRoad_tech!P188)</f>
        <v>0.81145667027606516</v>
      </c>
      <c r="Q215" s="91">
        <f>IF(TrRoad_act!Q76=0,0,TrRoad_emi!Q73/TrRoad_tech!Q188)</f>
        <v>0.83231647140198251</v>
      </c>
      <c r="R215" s="91">
        <f>IF(TrRoad_act!R76=0,0,TrRoad_emi!R73/TrRoad_tech!R188)</f>
        <v>0.83358735879662849</v>
      </c>
      <c r="S215" s="91">
        <f>IF(TrRoad_act!S76=0,0,TrRoad_emi!S73/TrRoad_tech!S188)</f>
        <v>0.88443779830774949</v>
      </c>
      <c r="T215" s="91">
        <f>IF(TrRoad_act!T76=0,0,TrRoad_emi!T73/TrRoad_tech!T188)</f>
        <v>1.0299846036149092</v>
      </c>
      <c r="U215" s="91">
        <f>IF(TrRoad_act!U76=0,0,TrRoad_emi!U73/TrRoad_tech!U188)</f>
        <v>1.0725817909387678</v>
      </c>
      <c r="V215" s="91">
        <f>IF(TrRoad_act!V76=0,0,TrRoad_emi!V73/TrRoad_tech!V188)</f>
        <v>0.94596525083454752</v>
      </c>
      <c r="W215" s="91">
        <f>IF(TrRoad_act!W76=0,0,TrRoad_emi!W73/TrRoad_tech!W188)</f>
        <v>0.98678048152289166</v>
      </c>
      <c r="X215" s="91">
        <f>IF(TrRoad_act!X76=0,0,TrRoad_emi!X73/TrRoad_tech!X188)</f>
        <v>1.2283278995615401</v>
      </c>
      <c r="Y215" s="91">
        <f>IF(TrRoad_act!Y76=0,0,TrRoad_emi!Y73/TrRoad_tech!Y188)</f>
        <v>1.2434438943232771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1.2360000000066973</v>
      </c>
      <c r="T216" s="91">
        <f>IF(TrRoad_act!T77=0,0,TrRoad_emi!T74/TrRoad_tech!T189)</f>
        <v>1.2360000000066977</v>
      </c>
      <c r="U216" s="91">
        <f>IF(TrRoad_act!U77=0,0,TrRoad_emi!U74/TrRoad_tech!U189)</f>
        <v>1.2557932980285882</v>
      </c>
      <c r="V216" s="91">
        <f>IF(TrRoad_act!V77=0,0,TrRoad_emi!V74/TrRoad_tech!V189)</f>
        <v>1.2557932980285886</v>
      </c>
      <c r="W216" s="91">
        <f>IF(TrRoad_act!W77=0,0,TrRoad_emi!W74/TrRoad_tech!W189)</f>
        <v>1.2557932980285882</v>
      </c>
      <c r="X216" s="91">
        <f>IF(TrRoad_act!X77=0,0,TrRoad_emi!X74/TrRoad_tech!X189)</f>
        <v>1.2557932980285886</v>
      </c>
      <c r="Y216" s="91">
        <f>IF(TrRoad_act!Y77=0,0,TrRoad_emi!Y74/TrRoad_tech!Y189)</f>
        <v>1.282727527615225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X217" s="91">
        <f>IF(TrRoad_act!X78=0,0,TrRoad_emi!X75/TrRoad_tech!X190)</f>
        <v>0</v>
      </c>
      <c r="Y217" s="91">
        <f>IF(TrRoad_act!Y78=0,0,TrRoad_emi!Y75/TrRoad_tech!Y190)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0.74707544998176389</v>
      </c>
      <c r="C219" s="151">
        <f>IF(TrRoad_act!C80=0,0,TrRoad_emi!C77/TrRoad_tech!C192)</f>
        <v>0.70772220243632988</v>
      </c>
      <c r="D219" s="151">
        <f>IF(TrRoad_act!D80=0,0,TrRoad_emi!D77/TrRoad_tech!D192)</f>
        <v>0.27839379192288066</v>
      </c>
      <c r="E219" s="151">
        <f>IF(TrRoad_act!E80=0,0,TrRoad_emi!E77/TrRoad_tech!E192)</f>
        <v>0.55053974522367</v>
      </c>
      <c r="F219" s="151">
        <f>IF(TrRoad_act!F80=0,0,TrRoad_emi!F77/TrRoad_tech!F192)</f>
        <v>0.76697417381293675</v>
      </c>
      <c r="G219" s="151">
        <f>IF(TrRoad_act!G80=0,0,TrRoad_emi!G77/TrRoad_tech!G192)</f>
        <v>1.0919820563973648</v>
      </c>
      <c r="H219" s="151">
        <f>IF(TrRoad_act!H80=0,0,TrRoad_emi!H77/TrRoad_tech!H192)</f>
        <v>1.149399496298158</v>
      </c>
      <c r="I219" s="151">
        <f>IF(TrRoad_act!I80=0,0,TrRoad_emi!I77/TrRoad_tech!I192)</f>
        <v>1.0710505244283615</v>
      </c>
      <c r="J219" s="151">
        <f>IF(TrRoad_act!J80=0,0,TrRoad_emi!J77/TrRoad_tech!J192)</f>
        <v>1.037932538876984</v>
      </c>
      <c r="K219" s="151">
        <f>IF(TrRoad_act!K80=0,0,TrRoad_emi!K77/TrRoad_tech!K192)</f>
        <v>0.9383766754037528</v>
      </c>
      <c r="L219" s="151">
        <f>IF(TrRoad_act!L80=0,0,TrRoad_emi!L77/TrRoad_tech!L192)</f>
        <v>0.93705530570192086</v>
      </c>
      <c r="M219" s="151">
        <f>IF(TrRoad_act!M80=0,0,TrRoad_emi!M77/TrRoad_tech!M192)</f>
        <v>0.87500847407702476</v>
      </c>
      <c r="N219" s="151">
        <f>IF(TrRoad_act!N80=0,0,TrRoad_emi!N77/TrRoad_tech!N192)</f>
        <v>0.85105640636636037</v>
      </c>
      <c r="O219" s="151">
        <f>IF(TrRoad_act!O80=0,0,TrRoad_emi!O77/TrRoad_tech!O192)</f>
        <v>0.8507867245136056</v>
      </c>
      <c r="P219" s="151">
        <f>IF(TrRoad_act!P80=0,0,TrRoad_emi!P77/TrRoad_tech!P192)</f>
        <v>0.83027282863933827</v>
      </c>
      <c r="Q219" s="151">
        <f>IF(TrRoad_act!Q80=0,0,TrRoad_emi!Q77/TrRoad_tech!Q192)</f>
        <v>0.853243062138204</v>
      </c>
      <c r="R219" s="151">
        <f>IF(TrRoad_act!R80=0,0,TrRoad_emi!R77/TrRoad_tech!R192)</f>
        <v>0.85624718751984219</v>
      </c>
      <c r="S219" s="151">
        <f>IF(TrRoad_act!S80=0,0,TrRoad_emi!S77/TrRoad_tech!S192)</f>
        <v>0.91269437585540925</v>
      </c>
      <c r="T219" s="151">
        <f>IF(TrRoad_act!T80=0,0,TrRoad_emi!T77/TrRoad_tech!T192)</f>
        <v>1.0641895863824773</v>
      </c>
      <c r="U219" s="151">
        <f>IF(TrRoad_act!U80=0,0,TrRoad_emi!U77/TrRoad_tech!U192)</f>
        <v>1.112721681600366</v>
      </c>
      <c r="V219" s="151">
        <f>IF(TrRoad_act!V80=0,0,TrRoad_emi!V77/TrRoad_tech!V192)</f>
        <v>0.98542121242112235</v>
      </c>
      <c r="W219" s="151">
        <f>IF(TrRoad_act!W80=0,0,TrRoad_emi!W77/TrRoad_tech!W192)</f>
        <v>1.0359493235053201</v>
      </c>
      <c r="X219" s="151">
        <f>IF(TrRoad_act!X80=0,0,TrRoad_emi!X77/TrRoad_tech!X192)</f>
        <v>1.2960532408995444</v>
      </c>
      <c r="Y219" s="151">
        <f>IF(TrRoad_act!Y80=0,0,TrRoad_emi!Y77/TrRoad_tech!Y192)</f>
        <v>1.3179582145008826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0.79882093569478663</v>
      </c>
      <c r="C220" s="93">
        <f>IF(TrRoad_act!C81=0,0,TrRoad_emi!C78/TrRoad_tech!C193)</f>
        <v>0.75674192208559932</v>
      </c>
      <c r="D220" s="93">
        <f>IF(TrRoad_act!D81=0,0,TrRoad_emi!D78/TrRoad_tech!D193)</f>
        <v>0.29767647880931397</v>
      </c>
      <c r="E220" s="93">
        <f>IF(TrRoad_act!E81=0,0,TrRoad_emi!E78/TrRoad_tech!E193)</f>
        <v>0.58867236826946556</v>
      </c>
      <c r="F220" s="93">
        <f>IF(TrRoad_act!F81=0,0,TrRoad_emi!F78/TrRoad_tech!F193)</f>
        <v>0.8200979261116681</v>
      </c>
      <c r="G220" s="93">
        <f>IF(TrRoad_act!G81=0,0,TrRoad_emi!G78/TrRoad_tech!G193)</f>
        <v>1.1676171771867927</v>
      </c>
      <c r="H220" s="93">
        <f>IF(TrRoad_act!H81=0,0,TrRoad_emi!H78/TrRoad_tech!H193)</f>
        <v>1.22901158262184</v>
      </c>
      <c r="I220" s="93">
        <f>IF(TrRoad_act!I81=0,0,TrRoad_emi!I78/TrRoad_tech!I193)</f>
        <v>1.1452358421376851</v>
      </c>
      <c r="J220" s="93">
        <f>IF(TrRoad_act!J81=0,0,TrRoad_emi!J78/TrRoad_tech!J193)</f>
        <v>1.1098239701411907</v>
      </c>
      <c r="K220" s="93">
        <f>IF(TrRoad_act!K81=0,0,TrRoad_emi!K78/TrRoad_tech!K193)</f>
        <v>1.0033724624447053</v>
      </c>
      <c r="L220" s="93">
        <f>IF(TrRoad_act!L81=0,0,TrRoad_emi!L78/TrRoad_tech!L193)</f>
        <v>1.0019595693003223</v>
      </c>
      <c r="M220" s="93">
        <f>IF(TrRoad_act!M81=0,0,TrRoad_emi!M78/TrRoad_tech!M193)</f>
        <v>0.93561512163214366</v>
      </c>
      <c r="N220" s="93">
        <f>IF(TrRoad_act!N81=0,0,TrRoad_emi!N78/TrRoad_tech!N193)</f>
        <v>0.91000403624454962</v>
      </c>
      <c r="O220" s="93">
        <f>IF(TrRoad_act!O81=0,0,TrRoad_emi!O78/TrRoad_tech!O193)</f>
        <v>0.90971567512926665</v>
      </c>
      <c r="P220" s="93">
        <f>IF(TrRoad_act!P81=0,0,TrRoad_emi!P78/TrRoad_tech!P193)</f>
        <v>0.88778090335028825</v>
      </c>
      <c r="Q220" s="93">
        <f>IF(TrRoad_act!Q81=0,0,TrRoad_emi!Q78/TrRoad_tech!Q193)</f>
        <v>0.91234214869323116</v>
      </c>
      <c r="R220" s="93">
        <f>IF(TrRoad_act!R81=0,0,TrRoad_emi!R78/TrRoad_tech!R193)</f>
        <v>0.91555435202338098</v>
      </c>
      <c r="S220" s="93">
        <f>IF(TrRoad_act!S81=0,0,TrRoad_emi!S78/TrRoad_tech!S193)</f>
        <v>0.97591130232158463</v>
      </c>
      <c r="T220" s="93">
        <f>IF(TrRoad_act!T81=0,0,TrRoad_emi!T78/TrRoad_tech!T193)</f>
        <v>1.1378996876037744</v>
      </c>
      <c r="U220" s="93">
        <f>IF(TrRoad_act!U81=0,0,TrRoad_emi!U78/TrRoad_tech!U193)</f>
        <v>1.1897933132263654</v>
      </c>
      <c r="V220" s="93">
        <f>IF(TrRoad_act!V81=0,0,TrRoad_emi!V78/TrRoad_tech!V193)</f>
        <v>1.0536754955325423</v>
      </c>
      <c r="W220" s="93">
        <f>IF(TrRoad_act!W81=0,0,TrRoad_emi!W78/TrRoad_tech!W193)</f>
        <v>1.1077033892026584</v>
      </c>
      <c r="X220" s="93">
        <f>IF(TrRoad_act!X81=0,0,TrRoad_emi!X78/TrRoad_tech!X193)</f>
        <v>1.3858231623471322</v>
      </c>
      <c r="Y220" s="93">
        <f>IF(TrRoad_act!Y81=0,0,TrRoad_emi!Y78/TrRoad_tech!Y193)</f>
        <v>1.4092453635572209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</v>
      </c>
      <c r="C221" s="94">
        <f>IF(TrRoad_act!C82=0,0,TrRoad_emi!C79/TrRoad_tech!C194)</f>
        <v>0</v>
      </c>
      <c r="D221" s="94">
        <f>IF(TrRoad_act!D82=0,0,TrRoad_emi!D79/TrRoad_tech!D194)</f>
        <v>0</v>
      </c>
      <c r="E221" s="94">
        <f>IF(TrRoad_act!E82=0,0,TrRoad_emi!E79/TrRoad_tech!E194)</f>
        <v>0</v>
      </c>
      <c r="F221" s="94">
        <f>IF(TrRoad_act!F82=0,0,TrRoad_emi!F79/TrRoad_tech!F194)</f>
        <v>0</v>
      </c>
      <c r="G221" s="94">
        <f>IF(TrRoad_act!G82=0,0,TrRoad_emi!G79/TrRoad_tech!G194)</f>
        <v>0</v>
      </c>
      <c r="H221" s="94">
        <f>IF(TrRoad_act!H82=0,0,TrRoad_emi!H79/TrRoad_tech!H194)</f>
        <v>0</v>
      </c>
      <c r="I221" s="94">
        <f>IF(TrRoad_act!I82=0,0,TrRoad_emi!I79/TrRoad_tech!I194)</f>
        <v>0</v>
      </c>
      <c r="J221" s="94">
        <f>IF(TrRoad_act!J82=0,0,TrRoad_emi!J79/TrRoad_tech!J194)</f>
        <v>0</v>
      </c>
      <c r="K221" s="94">
        <f>IF(TrRoad_act!K82=0,0,TrRoad_emi!K79/TrRoad_tech!K194)</f>
        <v>0</v>
      </c>
      <c r="L221" s="94">
        <f>IF(TrRoad_act!L82=0,0,TrRoad_emi!L79/TrRoad_tech!L194)</f>
        <v>0</v>
      </c>
      <c r="M221" s="94">
        <f>IF(TrRoad_act!M82=0,0,TrRoad_emi!M79/TrRoad_tech!M194)</f>
        <v>0</v>
      </c>
      <c r="N221" s="94">
        <f>IF(TrRoad_act!N82=0,0,TrRoad_emi!N79/TrRoad_tech!N194)</f>
        <v>0</v>
      </c>
      <c r="O221" s="94">
        <f>IF(TrRoad_act!O82=0,0,TrRoad_emi!O79/TrRoad_tech!O194)</f>
        <v>0</v>
      </c>
      <c r="P221" s="94">
        <f>IF(TrRoad_act!P82=0,0,TrRoad_emi!P79/TrRoad_tech!P194)</f>
        <v>0</v>
      </c>
      <c r="Q221" s="94">
        <f>IF(TrRoad_act!Q82=0,0,TrRoad_emi!Q79/TrRoad_tech!Q194)</f>
        <v>0</v>
      </c>
      <c r="R221" s="94">
        <f>IF(TrRoad_act!R82=0,0,TrRoad_emi!R79/TrRoad_tech!R194)</f>
        <v>0</v>
      </c>
      <c r="S221" s="94">
        <f>IF(TrRoad_act!S82=0,0,TrRoad_emi!S79/TrRoad_tech!S194)</f>
        <v>0</v>
      </c>
      <c r="T221" s="94">
        <f>IF(TrRoad_act!T82=0,0,TrRoad_emi!T79/TrRoad_tech!T194)</f>
        <v>0</v>
      </c>
      <c r="U221" s="94">
        <f>IF(TrRoad_act!U82=0,0,TrRoad_emi!U79/TrRoad_tech!U194)</f>
        <v>0</v>
      </c>
      <c r="V221" s="94">
        <f>IF(TrRoad_act!V82=0,0,TrRoad_emi!V79/TrRoad_tech!V194)</f>
        <v>0</v>
      </c>
      <c r="W221" s="94">
        <f>IF(TrRoad_act!W82=0,0,TrRoad_emi!W79/TrRoad_tech!W194)</f>
        <v>0</v>
      </c>
      <c r="X221" s="94">
        <f>IF(TrRoad_act!X82=0,0,TrRoad_emi!X79/TrRoad_tech!X194)</f>
        <v>0</v>
      </c>
      <c r="Y221" s="94">
        <f>IF(TrRoad_act!Y82=0,0,TrRoad_emi!Y79/TrRoad_tech!Y194)</f>
        <v>0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101.24502571662707</v>
      </c>
      <c r="C225" s="152">
        <v>100.69383865631436</v>
      </c>
      <c r="D225" s="152">
        <v>100.08492723253968</v>
      </c>
      <c r="E225" s="152">
        <v>98.832189739131735</v>
      </c>
      <c r="F225" s="152">
        <v>98.695324327365881</v>
      </c>
      <c r="G225" s="152">
        <v>95.511188429962829</v>
      </c>
      <c r="H225" s="152">
        <v>90.859214219027663</v>
      </c>
      <c r="I225" s="152">
        <v>89.526472308537919</v>
      </c>
      <c r="J225" s="152">
        <v>85.179765159355739</v>
      </c>
      <c r="K225" s="152">
        <v>80.491227001195668</v>
      </c>
      <c r="L225" s="152">
        <v>77.563717076057998</v>
      </c>
      <c r="M225" s="152">
        <v>74.048616024973796</v>
      </c>
      <c r="N225" s="152">
        <v>71.694776470588195</v>
      </c>
      <c r="O225" s="152">
        <v>70.155131964808803</v>
      </c>
      <c r="P225" s="152">
        <v>69.00316503391079</v>
      </c>
      <c r="Q225" s="152">
        <v>67.6725590004624</v>
      </c>
      <c r="R225" s="152">
        <v>66.356271243950289</v>
      </c>
      <c r="S225" s="152">
        <v>65.303241038740595</v>
      </c>
      <c r="T225" s="152">
        <v>64.460816874572842</v>
      </c>
      <c r="U225" s="152">
        <v>63.786877543238624</v>
      </c>
      <c r="V225" s="152">
        <v>63.247726078171276</v>
      </c>
      <c r="W225" s="152">
        <v>62.816404906117384</v>
      </c>
      <c r="X225" s="152">
        <v>62.471347968474269</v>
      </c>
      <c r="Y225" s="152">
        <v>62.195302418359795</v>
      </c>
      <c r="DA225" s="174" t="s">
        <v>933</v>
      </c>
    </row>
    <row r="226" spans="1:105" ht="11.45" customHeight="1" x14ac:dyDescent="0.25">
      <c r="A226" s="109" t="s">
        <v>20</v>
      </c>
      <c r="B226" s="116">
        <v>168.20332757793557</v>
      </c>
      <c r="C226" s="116">
        <v>167.58612046638487</v>
      </c>
      <c r="D226" s="116">
        <v>166.34079281971424</v>
      </c>
      <c r="E226" s="116">
        <v>162.13073167023717</v>
      </c>
      <c r="F226" s="116">
        <v>159.76772209988715</v>
      </c>
      <c r="G226" s="116">
        <v>157.41609721150519</v>
      </c>
      <c r="H226" s="116">
        <v>154.67853860809788</v>
      </c>
      <c r="I226" s="116">
        <v>154.05220104937203</v>
      </c>
      <c r="J226" s="116">
        <v>153.33955142997101</v>
      </c>
      <c r="K226" s="116">
        <v>155.94767839685829</v>
      </c>
      <c r="L226" s="116">
        <v>172.28705309652511</v>
      </c>
      <c r="M226" s="116">
        <v>151.49131833474246</v>
      </c>
      <c r="N226" s="116">
        <v>148.57352067032133</v>
      </c>
      <c r="O226" s="116">
        <v>144.0265975517579</v>
      </c>
      <c r="P226" s="116">
        <v>138.43011366260879</v>
      </c>
      <c r="Q226" s="116">
        <v>132.26223238806406</v>
      </c>
      <c r="R226" s="116">
        <v>135.25944192037491</v>
      </c>
      <c r="S226" s="116">
        <v>134.98466028859141</v>
      </c>
      <c r="T226" s="116">
        <v>133.15057979108059</v>
      </c>
      <c r="U226" s="116">
        <v>131.70507317573185</v>
      </c>
      <c r="V226" s="116">
        <v>132.87631778208362</v>
      </c>
      <c r="W226" s="116">
        <v>123.67159258676689</v>
      </c>
      <c r="X226" s="116">
        <v>116.47209160769172</v>
      </c>
      <c r="Y226" s="116">
        <v>117.08157952618359</v>
      </c>
      <c r="DA226" s="176" t="s">
        <v>934</v>
      </c>
    </row>
    <row r="227" spans="1:105" ht="11.45" customHeight="1" x14ac:dyDescent="0.25">
      <c r="A227" s="111" t="s">
        <v>110</v>
      </c>
      <c r="B227" s="87">
        <v>155.70029878257242</v>
      </c>
      <c r="C227" s="87">
        <v>155.002959524186</v>
      </c>
      <c r="D227" s="87">
        <v>154.23180052157812</v>
      </c>
      <c r="E227" s="87">
        <v>153.46447813092354</v>
      </c>
      <c r="F227" s="87">
        <v>152.70097326460058</v>
      </c>
      <c r="G227" s="87">
        <v>151.94126692995081</v>
      </c>
      <c r="H227" s="87">
        <v>151.18534022880687</v>
      </c>
      <c r="I227" s="87">
        <v>150.43317435702173</v>
      </c>
      <c r="J227" s="87">
        <v>149.68475060400172</v>
      </c>
      <c r="K227" s="87">
        <v>148.94005035224058</v>
      </c>
      <c r="L227" s="87">
        <v>148.19905507685633</v>
      </c>
      <c r="M227" s="87">
        <v>141.48283937822598</v>
      </c>
      <c r="N227" s="87">
        <v>136.97340828046418</v>
      </c>
      <c r="O227" s="87">
        <v>134.04365672395275</v>
      </c>
      <c r="P227" s="87">
        <v>131.84262230896266</v>
      </c>
      <c r="Q227" s="87">
        <v>129.30026662681863</v>
      </c>
      <c r="R227" s="87">
        <v>128.16137886958811</v>
      </c>
      <c r="S227" s="87">
        <v>126.72503382280314</v>
      </c>
      <c r="T227" s="87">
        <v>125.7808716707022</v>
      </c>
      <c r="U227" s="87">
        <v>131.61518324607329</v>
      </c>
      <c r="V227" s="87">
        <v>133.22163934426229</v>
      </c>
      <c r="W227" s="87">
        <v>126.7375290023202</v>
      </c>
      <c r="X227" s="87">
        <v>122.5327428878153</v>
      </c>
      <c r="Y227" s="87">
        <v>123.0783751493429</v>
      </c>
      <c r="DA227" s="171" t="s">
        <v>935</v>
      </c>
    </row>
    <row r="228" spans="1:105" ht="11.45" customHeight="1" x14ac:dyDescent="0.25">
      <c r="A228" s="111" t="s">
        <v>111</v>
      </c>
      <c r="B228" s="87">
        <v>186.26095420370604</v>
      </c>
      <c r="C228" s="87">
        <v>185.75947876101446</v>
      </c>
      <c r="D228" s="87">
        <v>185.20386715953586</v>
      </c>
      <c r="E228" s="87">
        <v>184.64991740731395</v>
      </c>
      <c r="F228" s="87">
        <v>184.09762453371283</v>
      </c>
      <c r="G228" s="87">
        <v>183.546983582964</v>
      </c>
      <c r="H228" s="87">
        <v>182.99798961412168</v>
      </c>
      <c r="I228" s="87">
        <v>182.45063770101865</v>
      </c>
      <c r="J228" s="87">
        <v>181.90492293222195</v>
      </c>
      <c r="K228" s="87">
        <v>181.36084041098903</v>
      </c>
      <c r="L228" s="87">
        <v>180.8183852552234</v>
      </c>
      <c r="M228" s="87">
        <v>168.17113203823607</v>
      </c>
      <c r="N228" s="87">
        <v>166.66555099479612</v>
      </c>
      <c r="O228" s="87">
        <v>161.51195577171498</v>
      </c>
      <c r="P228" s="87">
        <v>153.01101939729935</v>
      </c>
      <c r="Q228" s="87">
        <v>150.84448023659479</v>
      </c>
      <c r="R228" s="87">
        <v>147.32215222593149</v>
      </c>
      <c r="S228" s="87">
        <v>148.15956753572735</v>
      </c>
      <c r="T228" s="87">
        <v>152.57692307692309</v>
      </c>
      <c r="U228" s="87">
        <v>149.74804031354981</v>
      </c>
      <c r="V228" s="87">
        <v>147.30244399185341</v>
      </c>
      <c r="W228" s="87">
        <v>144.72821576763491</v>
      </c>
      <c r="X228" s="87">
        <v>150.42791762013729</v>
      </c>
      <c r="Y228" s="87">
        <v>154.77355836849509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133.80830169063535</v>
      </c>
      <c r="S229" s="87">
        <v>0</v>
      </c>
      <c r="T229" s="87">
        <v>0</v>
      </c>
      <c r="U229" s="87">
        <v>132.91998242498937</v>
      </c>
      <c r="V229" s="87">
        <v>0</v>
      </c>
      <c r="W229" s="87">
        <v>103.75</v>
      </c>
      <c r="X229" s="87">
        <v>112</v>
      </c>
      <c r="Y229" s="87">
        <v>115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X230" s="87">
        <v>0</v>
      </c>
      <c r="Y230" s="87">
        <v>0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85.2143388351124</v>
      </c>
      <c r="M231" s="87">
        <v>78.551331437410383</v>
      </c>
      <c r="N231" s="87">
        <v>57.248287044629429</v>
      </c>
      <c r="O231" s="87">
        <v>94.270268072932069</v>
      </c>
      <c r="P231" s="87">
        <v>90.22083859131196</v>
      </c>
      <c r="Q231" s="87">
        <v>65.712609383239098</v>
      </c>
      <c r="R231" s="87">
        <v>106.37117019840734</v>
      </c>
      <c r="S231" s="87">
        <v>91.927213830844536</v>
      </c>
      <c r="T231" s="87">
        <v>115.99999999999999</v>
      </c>
      <c r="U231" s="87">
        <v>59.837837837837839</v>
      </c>
      <c r="V231" s="87">
        <v>53.873096446700508</v>
      </c>
      <c r="W231" s="87">
        <v>39.95090016366612</v>
      </c>
      <c r="X231" s="87">
        <v>35.4973544973545</v>
      </c>
      <c r="Y231" s="87">
        <v>31.97044334975369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0</v>
      </c>
      <c r="C233" s="116">
        <v>0</v>
      </c>
      <c r="D233" s="116">
        <v>1169.4248869240678</v>
      </c>
      <c r="E233" s="116">
        <v>1165.7308608167275</v>
      </c>
      <c r="F233" s="116">
        <v>0</v>
      </c>
      <c r="G233" s="116">
        <v>1161.3621975080505</v>
      </c>
      <c r="H233" s="116">
        <v>1155.4169025883482</v>
      </c>
      <c r="I233" s="116">
        <v>1151.1327984416571</v>
      </c>
      <c r="J233" s="116">
        <v>1136.6322665669948</v>
      </c>
      <c r="K233" s="116">
        <v>1120.3179009413002</v>
      </c>
      <c r="L233" s="116">
        <v>987.77712983851131</v>
      </c>
      <c r="M233" s="116">
        <v>1096.828928332953</v>
      </c>
      <c r="N233" s="116">
        <v>1087.8996127476789</v>
      </c>
      <c r="O233" s="116">
        <v>1081.963343827912</v>
      </c>
      <c r="P233" s="116">
        <v>1077.4664280211398</v>
      </c>
      <c r="Q233" s="116">
        <v>1072.1959372777251</v>
      </c>
      <c r="R233" s="116">
        <v>1058.9347455565999</v>
      </c>
      <c r="S233" s="116">
        <v>1038.7628464995989</v>
      </c>
      <c r="T233" s="116">
        <v>801.65873542653674</v>
      </c>
      <c r="U233" s="116">
        <v>960.88259465927979</v>
      </c>
      <c r="V233" s="116">
        <v>941.08760056985523</v>
      </c>
      <c r="W233" s="116">
        <v>853.78781867904604</v>
      </c>
      <c r="X233" s="116">
        <v>852.39296955512884</v>
      </c>
      <c r="Y233" s="116">
        <v>606.66827585459203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323.182154483575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248.27689756568736</v>
      </c>
      <c r="U234" s="101">
        <v>241.94329503926267</v>
      </c>
      <c r="V234" s="101">
        <v>0</v>
      </c>
      <c r="W234" s="101">
        <v>230.81427121912083</v>
      </c>
      <c r="X234" s="101">
        <v>0</v>
      </c>
      <c r="Y234" s="101">
        <v>221.33304400802191</v>
      </c>
      <c r="DA234" s="175" t="s">
        <v>942</v>
      </c>
    </row>
    <row r="235" spans="1:105" ht="11.45" customHeight="1" x14ac:dyDescent="0.25">
      <c r="A235" s="111" t="s">
        <v>111</v>
      </c>
      <c r="B235" s="101">
        <v>0</v>
      </c>
      <c r="C235" s="101">
        <v>0</v>
      </c>
      <c r="D235" s="101">
        <v>1169.4248869240678</v>
      </c>
      <c r="E235" s="101">
        <v>1165.7308608167275</v>
      </c>
      <c r="F235" s="101">
        <v>0</v>
      </c>
      <c r="G235" s="101">
        <v>1161.3621975080505</v>
      </c>
      <c r="H235" s="101">
        <v>1155.4169025883482</v>
      </c>
      <c r="I235" s="101">
        <v>1151.1327984416571</v>
      </c>
      <c r="J235" s="101">
        <v>1136.6322665669948</v>
      </c>
      <c r="K235" s="101">
        <v>1120.3179009413002</v>
      </c>
      <c r="L235" s="101">
        <v>1109.8455946996221</v>
      </c>
      <c r="M235" s="101">
        <v>1096.828928332953</v>
      </c>
      <c r="N235" s="101">
        <v>1087.8996127476789</v>
      </c>
      <c r="O235" s="101">
        <v>1081.963343827912</v>
      </c>
      <c r="P235" s="101">
        <v>1077.4664280211398</v>
      </c>
      <c r="Q235" s="101">
        <v>1072.1959372777251</v>
      </c>
      <c r="R235" s="101">
        <v>1058.9347455565999</v>
      </c>
      <c r="S235" s="101">
        <v>1038.7628464995989</v>
      </c>
      <c r="T235" s="101">
        <v>1012.7693936469351</v>
      </c>
      <c r="U235" s="101">
        <v>982.01242980744701</v>
      </c>
      <c r="V235" s="101">
        <v>947.4895570363168</v>
      </c>
      <c r="W235" s="101">
        <v>910.11821534114608</v>
      </c>
      <c r="X235" s="101">
        <v>870.72400115846494</v>
      </c>
      <c r="Y235" s="101">
        <v>830.03542168729996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871.74712764238916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X237" s="101">
        <v>0</v>
      </c>
      <c r="Y237" s="101">
        <v>0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198.71801450570152</v>
      </c>
      <c r="D240" s="152">
        <v>195.62537641143336</v>
      </c>
      <c r="E240" s="152">
        <v>191.69101568803697</v>
      </c>
      <c r="F240" s="152">
        <v>187.98399217970046</v>
      </c>
      <c r="G240" s="152">
        <v>184.27262029472686</v>
      </c>
      <c r="H240" s="152">
        <v>180.57239592074336</v>
      </c>
      <c r="I240" s="152">
        <v>177.03582344415264</v>
      </c>
      <c r="J240" s="152">
        <v>172.7919428452482</v>
      </c>
      <c r="K240" s="152">
        <v>169.72344248747376</v>
      </c>
      <c r="L240" s="152">
        <v>166.26901699013317</v>
      </c>
      <c r="M240" s="152">
        <v>163.2733744442389</v>
      </c>
      <c r="N240" s="152">
        <v>160.27872173560766</v>
      </c>
      <c r="O240" s="152">
        <v>162.5910129093914</v>
      </c>
      <c r="P240" s="152">
        <v>158.90226584845411</v>
      </c>
      <c r="Q240" s="152">
        <v>165.71800000799809</v>
      </c>
      <c r="R240" s="152">
        <v>159.53306128189251</v>
      </c>
      <c r="S240" s="152">
        <v>147.73414993742966</v>
      </c>
      <c r="T240" s="152">
        <v>154.84760367948874</v>
      </c>
      <c r="U240" s="152">
        <v>152.95872543917503</v>
      </c>
      <c r="V240" s="152">
        <v>178.2477713484131</v>
      </c>
      <c r="W240" s="152">
        <v>168.73785788026373</v>
      </c>
      <c r="X240" s="152">
        <v>169.69349800411862</v>
      </c>
      <c r="Y240" s="152">
        <v>172.70348298775977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187.45268958316876</v>
      </c>
      <c r="D241" s="87">
        <v>183.77714665016546</v>
      </c>
      <c r="E241" s="87">
        <v>180.17367318643673</v>
      </c>
      <c r="F241" s="87">
        <v>176.64085606513402</v>
      </c>
      <c r="G241" s="87">
        <v>173.17730986777849</v>
      </c>
      <c r="H241" s="87">
        <v>169.78167634095928</v>
      </c>
      <c r="I241" s="87">
        <v>166.45262386368555</v>
      </c>
      <c r="J241" s="87">
        <v>160.31895237109757</v>
      </c>
      <c r="K241" s="87">
        <v>157.17544350107602</v>
      </c>
      <c r="L241" s="87">
        <v>154.09357205987845</v>
      </c>
      <c r="M241" s="87">
        <v>151.07212947046909</v>
      </c>
      <c r="N241" s="87">
        <v>148.10993085340107</v>
      </c>
      <c r="O241" s="87">
        <v>171.28883283918898</v>
      </c>
      <c r="P241" s="87">
        <v>140.90060640457665</v>
      </c>
      <c r="Q241" s="87">
        <v>138.67732267432694</v>
      </c>
      <c r="R241" s="87">
        <v>150.07165179185679</v>
      </c>
      <c r="S241" s="87">
        <v>142.38127902462571</v>
      </c>
      <c r="T241" s="87">
        <v>151.48387604591647</v>
      </c>
      <c r="U241" s="87">
        <v>147.19868174445122</v>
      </c>
      <c r="V241" s="87">
        <v>173.66666666666671</v>
      </c>
      <c r="W241" s="87">
        <v>172.54838709677421</v>
      </c>
      <c r="X241" s="87">
        <v>174.58139534883719</v>
      </c>
      <c r="Y241" s="87">
        <v>179.4545454545455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199.90165233166348</v>
      </c>
      <c r="D242" s="87">
        <v>195.98201208986617</v>
      </c>
      <c r="E242" s="87">
        <v>192.13922753908449</v>
      </c>
      <c r="F242" s="87">
        <v>188.37179170498479</v>
      </c>
      <c r="G242" s="87">
        <v>184.67822716174976</v>
      </c>
      <c r="H242" s="87">
        <v>181.05708545269582</v>
      </c>
      <c r="I242" s="87">
        <v>177.50694652225081</v>
      </c>
      <c r="J242" s="87">
        <v>173.58220247263293</v>
      </c>
      <c r="K242" s="87">
        <v>170.1786298751303</v>
      </c>
      <c r="L242" s="87">
        <v>166.84179399522577</v>
      </c>
      <c r="M242" s="87">
        <v>163.57038626982921</v>
      </c>
      <c r="N242" s="87">
        <v>160.36312379395017</v>
      </c>
      <c r="O242" s="87">
        <v>162.93309514929007</v>
      </c>
      <c r="P242" s="87">
        <v>159.63263610722677</v>
      </c>
      <c r="Q242" s="87">
        <v>166.58262842754121</v>
      </c>
      <c r="R242" s="87">
        <v>160.03614278363446</v>
      </c>
      <c r="S242" s="87">
        <v>148.16628239903758</v>
      </c>
      <c r="T242" s="87">
        <v>155.31431011938494</v>
      </c>
      <c r="U242" s="87">
        <v>157.0496688741722</v>
      </c>
      <c r="V242" s="87">
        <v>179.59599588105621</v>
      </c>
      <c r="W242" s="87">
        <v>171.29664179104481</v>
      </c>
      <c r="X242" s="87">
        <v>170.7152899824253</v>
      </c>
      <c r="Y242" s="87">
        <v>177.03353658536591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190.58056683587841</v>
      </c>
      <c r="T243" s="87">
        <v>0</v>
      </c>
      <c r="U243" s="87">
        <v>197.02876948801398</v>
      </c>
      <c r="V243" s="87">
        <v>0</v>
      </c>
      <c r="W243" s="87">
        <v>0</v>
      </c>
      <c r="X243" s="87">
        <v>0</v>
      </c>
      <c r="Y243" s="87">
        <v>194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X244" s="87">
        <v>0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561.91157385613428</v>
      </c>
      <c r="C246" s="116">
        <v>561.04405444604777</v>
      </c>
      <c r="D246" s="116">
        <v>560.08171472990489</v>
      </c>
      <c r="E246" s="116">
        <v>558.88342265747895</v>
      </c>
      <c r="F246" s="116">
        <v>557.45222311149519</v>
      </c>
      <c r="G246" s="116">
        <v>555.79172712774778</v>
      </c>
      <c r="H246" s="116">
        <v>553.90608937678019</v>
      </c>
      <c r="I246" s="116">
        <v>551.79998257296086</v>
      </c>
      <c r="J246" s="116">
        <v>549.4785690998749</v>
      </c>
      <c r="K246" s="116">
        <v>546.94747016344547</v>
      </c>
      <c r="L246" s="116">
        <v>544.21273281254366</v>
      </c>
      <c r="M246" s="116">
        <v>541.28079517212939</v>
      </c>
      <c r="N246" s="116">
        <v>538.15845024734108</v>
      </c>
      <c r="O246" s="116">
        <v>534.85280866113965</v>
      </c>
      <c r="P246" s="116">
        <v>531.37126067958457</v>
      </c>
      <c r="Q246" s="116">
        <v>527.72143787888012</v>
      </c>
      <c r="R246" s="116">
        <v>530.40975432064295</v>
      </c>
      <c r="S246" s="116">
        <v>532.29157582987705</v>
      </c>
      <c r="T246" s="116">
        <v>534.26748841457288</v>
      </c>
      <c r="U246" s="116">
        <v>536.68249268475643</v>
      </c>
      <c r="V246" s="116">
        <v>548.95006820485924</v>
      </c>
      <c r="W246" s="116">
        <v>548.95006820485924</v>
      </c>
      <c r="X246" s="116">
        <v>548.95006820485924</v>
      </c>
      <c r="Y246" s="116">
        <v>543.46056752281072</v>
      </c>
      <c r="DA246" s="176" t="s">
        <v>953</v>
      </c>
    </row>
    <row r="247" spans="1:105" ht="11.45" customHeight="1" x14ac:dyDescent="0.25">
      <c r="A247" s="128" t="s">
        <v>27</v>
      </c>
      <c r="B247" s="101">
        <v>525.51244356585835</v>
      </c>
      <c r="C247" s="101">
        <v>524.70111974508927</v>
      </c>
      <c r="D247" s="101">
        <v>523.80111782432402</v>
      </c>
      <c r="E247" s="101">
        <v>522.68044791043565</v>
      </c>
      <c r="F247" s="101">
        <v>521.34195764678304</v>
      </c>
      <c r="G247" s="101">
        <v>519.78902415590983</v>
      </c>
      <c r="H247" s="101">
        <v>518.02553297990369</v>
      </c>
      <c r="I247" s="101">
        <v>516.055854147182</v>
      </c>
      <c r="J247" s="101">
        <v>513.8848156359154</v>
      </c>
      <c r="K247" s="101">
        <v>511.51767452532761</v>
      </c>
      <c r="L247" s="101">
        <v>508.96008615262178</v>
      </c>
      <c r="M247" s="101">
        <v>506.21807159822617</v>
      </c>
      <c r="N247" s="101">
        <v>503.29798383455795</v>
      </c>
      <c r="O247" s="101">
        <v>500.20647287742202</v>
      </c>
      <c r="P247" s="101">
        <v>496.95045027119033</v>
      </c>
      <c r="Q247" s="101">
        <v>493.53705323895269</v>
      </c>
      <c r="R247" s="101">
        <v>496.05122772497378</v>
      </c>
      <c r="S247" s="101">
        <v>497.81114986518867</v>
      </c>
      <c r="T247" s="101">
        <v>499.65906811241422</v>
      </c>
      <c r="U247" s="101">
        <v>501.91763485902328</v>
      </c>
      <c r="V247" s="101">
        <v>513.39054961669012</v>
      </c>
      <c r="W247" s="101">
        <v>513.39054961669012</v>
      </c>
      <c r="X247" s="101">
        <v>513.39054961669012</v>
      </c>
      <c r="Y247" s="101">
        <v>508.25664412052328</v>
      </c>
      <c r="DA247" s="175" t="s">
        <v>954</v>
      </c>
    </row>
    <row r="248" spans="1:105" ht="11.45" customHeight="1" x14ac:dyDescent="0.25">
      <c r="A248" s="138" t="s">
        <v>116</v>
      </c>
      <c r="B248" s="88">
        <v>0</v>
      </c>
      <c r="C248" s="88">
        <v>0</v>
      </c>
      <c r="D248" s="88">
        <v>0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  <c r="X248" s="88">
        <v>0</v>
      </c>
      <c r="Y248" s="88">
        <v>0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0</v>
      </c>
      <c r="C4" s="28">
        <f t="shared" ref="C4:V4" si="1">SUM(C5,C6,C9)</f>
        <v>0</v>
      </c>
      <c r="D4" s="28">
        <f t="shared" si="1"/>
        <v>0</v>
      </c>
      <c r="E4" s="28">
        <f t="shared" si="1"/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  <c r="K4" s="28">
        <f t="shared" si="1"/>
        <v>0</v>
      </c>
      <c r="L4" s="28">
        <f t="shared" si="1"/>
        <v>0</v>
      </c>
      <c r="M4" s="28">
        <f t="shared" si="1"/>
        <v>0</v>
      </c>
      <c r="N4" s="28">
        <f t="shared" si="1"/>
        <v>0</v>
      </c>
      <c r="O4" s="28">
        <f t="shared" si="1"/>
        <v>0</v>
      </c>
      <c r="P4" s="28">
        <f t="shared" si="1"/>
        <v>0</v>
      </c>
      <c r="Q4" s="28">
        <f t="shared" si="1"/>
        <v>0</v>
      </c>
      <c r="R4" s="28">
        <f t="shared" si="1"/>
        <v>0</v>
      </c>
      <c r="S4" s="28">
        <f t="shared" si="1"/>
        <v>0</v>
      </c>
      <c r="T4" s="28">
        <f t="shared" si="1"/>
        <v>0</v>
      </c>
      <c r="U4" s="28">
        <f t="shared" si="1"/>
        <v>0</v>
      </c>
      <c r="V4" s="28">
        <f t="shared" si="1"/>
        <v>0</v>
      </c>
      <c r="W4" s="28">
        <f t="shared" ref="W4:Y4" si="2">SUM(W5,W6,W9)</f>
        <v>0</v>
      </c>
      <c r="X4" s="28">
        <f t="shared" si="2"/>
        <v>0</v>
      </c>
      <c r="Y4" s="28">
        <f t="shared" si="2"/>
        <v>0</v>
      </c>
      <c r="DA4" s="173" t="s">
        <v>376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X5" s="108">
        <v>0</v>
      </c>
      <c r="Y5" s="108">
        <v>0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0</v>
      </c>
      <c r="C6" s="110">
        <f t="shared" ref="C6:V6" si="4">SUM(C7:C8)</f>
        <v>0</v>
      </c>
      <c r="D6" s="110">
        <f t="shared" si="4"/>
        <v>0</v>
      </c>
      <c r="E6" s="110">
        <f t="shared" si="4"/>
        <v>0</v>
      </c>
      <c r="F6" s="110">
        <f t="shared" si="4"/>
        <v>0</v>
      </c>
      <c r="G6" s="110">
        <f t="shared" si="4"/>
        <v>0</v>
      </c>
      <c r="H6" s="110">
        <f t="shared" si="4"/>
        <v>0</v>
      </c>
      <c r="I6" s="110">
        <f t="shared" si="4"/>
        <v>0</v>
      </c>
      <c r="J6" s="110">
        <f t="shared" si="4"/>
        <v>0</v>
      </c>
      <c r="K6" s="110">
        <f t="shared" si="4"/>
        <v>0</v>
      </c>
      <c r="L6" s="110">
        <f t="shared" si="4"/>
        <v>0</v>
      </c>
      <c r="M6" s="110">
        <f t="shared" si="4"/>
        <v>0</v>
      </c>
      <c r="N6" s="110">
        <f t="shared" si="4"/>
        <v>0</v>
      </c>
      <c r="O6" s="110">
        <f t="shared" si="4"/>
        <v>0</v>
      </c>
      <c r="P6" s="110">
        <f t="shared" si="4"/>
        <v>0</v>
      </c>
      <c r="Q6" s="110">
        <f t="shared" si="4"/>
        <v>0</v>
      </c>
      <c r="R6" s="110">
        <f t="shared" si="4"/>
        <v>0</v>
      </c>
      <c r="S6" s="110">
        <f t="shared" si="4"/>
        <v>0</v>
      </c>
      <c r="T6" s="110">
        <f t="shared" si="4"/>
        <v>0</v>
      </c>
      <c r="U6" s="110">
        <f t="shared" si="4"/>
        <v>0</v>
      </c>
      <c r="V6" s="110">
        <f t="shared" si="4"/>
        <v>0</v>
      </c>
      <c r="W6" s="110">
        <f t="shared" ref="W6:Y6" si="5">SUM(W7:W8)</f>
        <v>0</v>
      </c>
      <c r="X6" s="110">
        <f t="shared" si="5"/>
        <v>0</v>
      </c>
      <c r="Y6" s="110">
        <f t="shared" si="5"/>
        <v>0</v>
      </c>
      <c r="DA6" s="176" t="s">
        <v>378</v>
      </c>
    </row>
    <row r="7" spans="1:105" ht="11.45" customHeight="1" x14ac:dyDescent="0.25">
      <c r="A7" s="111" t="s">
        <v>90</v>
      </c>
      <c r="B7" s="84">
        <v>0</v>
      </c>
      <c r="C7" s="84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X7" s="84">
        <v>0</v>
      </c>
      <c r="Y7" s="84">
        <v>0</v>
      </c>
      <c r="DA7" s="171" t="s">
        <v>1031</v>
      </c>
    </row>
    <row r="8" spans="1:105" ht="11.45" customHeight="1" x14ac:dyDescent="0.25">
      <c r="A8" s="111" t="s">
        <v>93</v>
      </c>
      <c r="B8" s="84">
        <v>0</v>
      </c>
      <c r="C8" s="84">
        <v>0</v>
      </c>
      <c r="D8" s="84">
        <v>0</v>
      </c>
      <c r="E8" s="84">
        <v>0</v>
      </c>
      <c r="F8" s="84">
        <v>0</v>
      </c>
      <c r="G8" s="84">
        <v>0</v>
      </c>
      <c r="H8" s="84">
        <v>0</v>
      </c>
      <c r="I8" s="84">
        <v>0</v>
      </c>
      <c r="J8" s="84">
        <v>0</v>
      </c>
      <c r="K8" s="84">
        <v>0</v>
      </c>
      <c r="L8" s="84">
        <v>0</v>
      </c>
      <c r="M8" s="84">
        <v>0</v>
      </c>
      <c r="N8" s="84">
        <v>0</v>
      </c>
      <c r="O8" s="84">
        <v>0</v>
      </c>
      <c r="P8" s="84">
        <v>0</v>
      </c>
      <c r="Q8" s="84">
        <v>0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84">
        <v>0</v>
      </c>
      <c r="X8" s="84">
        <v>0</v>
      </c>
      <c r="Y8" s="84">
        <v>0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0</v>
      </c>
      <c r="C10" s="28">
        <f t="shared" ref="C10:V10" si="7">SUM(C11:C12)</f>
        <v>0</v>
      </c>
      <c r="D10" s="28">
        <f t="shared" si="7"/>
        <v>0</v>
      </c>
      <c r="E10" s="28">
        <f t="shared" si="7"/>
        <v>0</v>
      </c>
      <c r="F10" s="28">
        <f t="shared" si="7"/>
        <v>0</v>
      </c>
      <c r="G10" s="28">
        <f t="shared" si="7"/>
        <v>0</v>
      </c>
      <c r="H10" s="28">
        <f t="shared" si="7"/>
        <v>0</v>
      </c>
      <c r="I10" s="28">
        <f t="shared" si="7"/>
        <v>0</v>
      </c>
      <c r="J10" s="28">
        <f t="shared" si="7"/>
        <v>0</v>
      </c>
      <c r="K10" s="28">
        <f t="shared" si="7"/>
        <v>0</v>
      </c>
      <c r="L10" s="28">
        <f t="shared" si="7"/>
        <v>0</v>
      </c>
      <c r="M10" s="28">
        <f t="shared" si="7"/>
        <v>0</v>
      </c>
      <c r="N10" s="28">
        <f t="shared" si="7"/>
        <v>0</v>
      </c>
      <c r="O10" s="28">
        <f t="shared" si="7"/>
        <v>0</v>
      </c>
      <c r="P10" s="28">
        <f t="shared" si="7"/>
        <v>0</v>
      </c>
      <c r="Q10" s="28">
        <f t="shared" si="7"/>
        <v>0</v>
      </c>
      <c r="R10" s="28">
        <f t="shared" si="7"/>
        <v>0</v>
      </c>
      <c r="S10" s="28">
        <f t="shared" si="7"/>
        <v>0</v>
      </c>
      <c r="T10" s="28">
        <f t="shared" si="7"/>
        <v>0</v>
      </c>
      <c r="U10" s="28">
        <f t="shared" si="7"/>
        <v>0</v>
      </c>
      <c r="V10" s="28">
        <f t="shared" si="7"/>
        <v>0</v>
      </c>
      <c r="W10" s="28">
        <f t="shared" ref="W10:Y10" si="8">SUM(W11:W12)</f>
        <v>0</v>
      </c>
      <c r="X10" s="28">
        <f t="shared" si="8"/>
        <v>0</v>
      </c>
      <c r="Y10" s="28">
        <f t="shared" si="8"/>
        <v>0</v>
      </c>
      <c r="DA10" s="173" t="s">
        <v>384</v>
      </c>
    </row>
    <row r="11" spans="1:105" ht="11.45" customHeight="1" x14ac:dyDescent="0.25">
      <c r="A11" s="83" t="s">
        <v>90</v>
      </c>
      <c r="B11" s="84">
        <v>0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X11" s="84">
        <v>0</v>
      </c>
      <c r="Y11" s="84">
        <v>0</v>
      </c>
      <c r="DA11" s="171" t="s">
        <v>1033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0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0</v>
      </c>
      <c r="C14" s="62">
        <f t="shared" ref="C14:V14" si="10">C15+C21</f>
        <v>0</v>
      </c>
      <c r="D14" s="62">
        <f t="shared" si="10"/>
        <v>0</v>
      </c>
      <c r="E14" s="62">
        <f t="shared" si="10"/>
        <v>0</v>
      </c>
      <c r="F14" s="62">
        <f t="shared" si="10"/>
        <v>0</v>
      </c>
      <c r="G14" s="62">
        <f t="shared" si="10"/>
        <v>0</v>
      </c>
      <c r="H14" s="62">
        <f t="shared" si="10"/>
        <v>0</v>
      </c>
      <c r="I14" s="62">
        <f t="shared" si="10"/>
        <v>0</v>
      </c>
      <c r="J14" s="62">
        <f t="shared" si="10"/>
        <v>0</v>
      </c>
      <c r="K14" s="62">
        <f t="shared" si="10"/>
        <v>0</v>
      </c>
      <c r="L14" s="62">
        <f t="shared" si="10"/>
        <v>0</v>
      </c>
      <c r="M14" s="62">
        <f t="shared" si="10"/>
        <v>0</v>
      </c>
      <c r="N14" s="62">
        <f t="shared" si="10"/>
        <v>0</v>
      </c>
      <c r="O14" s="62">
        <f t="shared" si="10"/>
        <v>0</v>
      </c>
      <c r="P14" s="62">
        <f t="shared" si="10"/>
        <v>0</v>
      </c>
      <c r="Q14" s="62">
        <f t="shared" si="10"/>
        <v>0</v>
      </c>
      <c r="R14" s="62">
        <f t="shared" si="10"/>
        <v>0</v>
      </c>
      <c r="S14" s="62">
        <f t="shared" si="10"/>
        <v>0</v>
      </c>
      <c r="T14" s="62">
        <f t="shared" si="10"/>
        <v>0</v>
      </c>
      <c r="U14" s="62">
        <f t="shared" si="10"/>
        <v>0</v>
      </c>
      <c r="V14" s="62">
        <f t="shared" si="10"/>
        <v>0</v>
      </c>
      <c r="W14" s="62">
        <f t="shared" ref="W14:Y14" si="11">W15+W21</f>
        <v>0</v>
      </c>
      <c r="X14" s="62">
        <f t="shared" si="11"/>
        <v>0</v>
      </c>
      <c r="Y14" s="62">
        <f t="shared" si="11"/>
        <v>0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0</v>
      </c>
      <c r="C15" s="29">
        <f t="shared" ref="C15:V15" si="13">SUM(C16,C17,C20)</f>
        <v>0</v>
      </c>
      <c r="D15" s="29">
        <f t="shared" si="13"/>
        <v>0</v>
      </c>
      <c r="E15" s="29">
        <f t="shared" si="13"/>
        <v>0</v>
      </c>
      <c r="F15" s="29">
        <f t="shared" si="13"/>
        <v>0</v>
      </c>
      <c r="G15" s="29">
        <f t="shared" si="13"/>
        <v>0</v>
      </c>
      <c r="H15" s="29">
        <f t="shared" si="13"/>
        <v>0</v>
      </c>
      <c r="I15" s="29">
        <f t="shared" si="13"/>
        <v>0</v>
      </c>
      <c r="J15" s="29">
        <f t="shared" si="13"/>
        <v>0</v>
      </c>
      <c r="K15" s="29">
        <f t="shared" si="13"/>
        <v>0</v>
      </c>
      <c r="L15" s="29">
        <f t="shared" si="13"/>
        <v>0</v>
      </c>
      <c r="M15" s="29">
        <f t="shared" si="13"/>
        <v>0</v>
      </c>
      <c r="N15" s="29">
        <f t="shared" si="13"/>
        <v>0</v>
      </c>
      <c r="O15" s="29">
        <f t="shared" si="13"/>
        <v>0</v>
      </c>
      <c r="P15" s="29">
        <f t="shared" si="13"/>
        <v>0</v>
      </c>
      <c r="Q15" s="29">
        <f t="shared" si="13"/>
        <v>0</v>
      </c>
      <c r="R15" s="29">
        <f t="shared" si="13"/>
        <v>0</v>
      </c>
      <c r="S15" s="29">
        <f t="shared" si="13"/>
        <v>0</v>
      </c>
      <c r="T15" s="29">
        <f t="shared" si="13"/>
        <v>0</v>
      </c>
      <c r="U15" s="29">
        <f t="shared" si="13"/>
        <v>0</v>
      </c>
      <c r="V15" s="29">
        <f t="shared" si="13"/>
        <v>0</v>
      </c>
      <c r="W15" s="29">
        <f t="shared" ref="W15:Y15" si="14">SUM(W16,W17,W20)</f>
        <v>0</v>
      </c>
      <c r="X15" s="29">
        <f t="shared" si="14"/>
        <v>0</v>
      </c>
      <c r="Y15" s="29">
        <f t="shared" si="14"/>
        <v>0</v>
      </c>
      <c r="DA15" s="173" t="s">
        <v>1036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X16" s="115">
        <v>0</v>
      </c>
      <c r="Y16" s="115">
        <v>0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0</v>
      </c>
      <c r="C17" s="116">
        <f t="shared" ref="C17:V17" si="16">SUM(C18:C19)</f>
        <v>0</v>
      </c>
      <c r="D17" s="116">
        <f t="shared" si="16"/>
        <v>0</v>
      </c>
      <c r="E17" s="116">
        <f t="shared" si="16"/>
        <v>0</v>
      </c>
      <c r="F17" s="116">
        <f t="shared" si="16"/>
        <v>0</v>
      </c>
      <c r="G17" s="116">
        <f t="shared" si="16"/>
        <v>0</v>
      </c>
      <c r="H17" s="116">
        <f t="shared" si="16"/>
        <v>0</v>
      </c>
      <c r="I17" s="116">
        <f t="shared" si="16"/>
        <v>0</v>
      </c>
      <c r="J17" s="116">
        <f t="shared" si="16"/>
        <v>0</v>
      </c>
      <c r="K17" s="116">
        <f t="shared" si="16"/>
        <v>0</v>
      </c>
      <c r="L17" s="116">
        <f t="shared" si="16"/>
        <v>0</v>
      </c>
      <c r="M17" s="116">
        <f t="shared" si="16"/>
        <v>0</v>
      </c>
      <c r="N17" s="116">
        <f t="shared" si="16"/>
        <v>0</v>
      </c>
      <c r="O17" s="116">
        <f t="shared" si="16"/>
        <v>0</v>
      </c>
      <c r="P17" s="116">
        <f t="shared" si="16"/>
        <v>0</v>
      </c>
      <c r="Q17" s="116">
        <f t="shared" si="16"/>
        <v>0</v>
      </c>
      <c r="R17" s="116">
        <f t="shared" si="16"/>
        <v>0</v>
      </c>
      <c r="S17" s="116">
        <f t="shared" si="16"/>
        <v>0</v>
      </c>
      <c r="T17" s="116">
        <f t="shared" si="16"/>
        <v>0</v>
      </c>
      <c r="U17" s="116">
        <f t="shared" si="16"/>
        <v>0</v>
      </c>
      <c r="V17" s="116">
        <f t="shared" si="16"/>
        <v>0</v>
      </c>
      <c r="W17" s="116">
        <f t="shared" ref="W17:Y17" si="17">SUM(W18:W19)</f>
        <v>0</v>
      </c>
      <c r="X17" s="116">
        <f t="shared" si="17"/>
        <v>0</v>
      </c>
      <c r="Y17" s="116">
        <f t="shared" si="17"/>
        <v>0</v>
      </c>
      <c r="DA17" s="176" t="s">
        <v>1038</v>
      </c>
    </row>
    <row r="18" spans="1:105" ht="11.45" customHeight="1" x14ac:dyDescent="0.25">
      <c r="A18" s="111" t="s">
        <v>92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DA18" s="171" t="s">
        <v>1039</v>
      </c>
    </row>
    <row r="19" spans="1:105" ht="11.45" customHeight="1" x14ac:dyDescent="0.25">
      <c r="A19" s="111" t="s">
        <v>93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0</v>
      </c>
      <c r="C21" s="29">
        <f t="shared" ref="C21:V21" si="19">SUM(C22:C23)</f>
        <v>0</v>
      </c>
      <c r="D21" s="29">
        <f t="shared" si="19"/>
        <v>0</v>
      </c>
      <c r="E21" s="29">
        <f t="shared" si="19"/>
        <v>0</v>
      </c>
      <c r="F21" s="29">
        <f t="shared" si="19"/>
        <v>0</v>
      </c>
      <c r="G21" s="29">
        <f t="shared" si="19"/>
        <v>0</v>
      </c>
      <c r="H21" s="29">
        <f t="shared" si="19"/>
        <v>0</v>
      </c>
      <c r="I21" s="29">
        <f t="shared" si="19"/>
        <v>0</v>
      </c>
      <c r="J21" s="29">
        <f t="shared" si="19"/>
        <v>0</v>
      </c>
      <c r="K21" s="29">
        <f t="shared" si="19"/>
        <v>0</v>
      </c>
      <c r="L21" s="29">
        <f t="shared" si="19"/>
        <v>0</v>
      </c>
      <c r="M21" s="29">
        <f t="shared" si="19"/>
        <v>0</v>
      </c>
      <c r="N21" s="29">
        <f t="shared" si="19"/>
        <v>0</v>
      </c>
      <c r="O21" s="29">
        <f t="shared" si="19"/>
        <v>0</v>
      </c>
      <c r="P21" s="29">
        <f t="shared" si="19"/>
        <v>0</v>
      </c>
      <c r="Q21" s="29">
        <f t="shared" si="19"/>
        <v>0</v>
      </c>
      <c r="R21" s="29">
        <f t="shared" si="19"/>
        <v>0</v>
      </c>
      <c r="S21" s="29">
        <f t="shared" si="19"/>
        <v>0</v>
      </c>
      <c r="T21" s="29">
        <f t="shared" si="19"/>
        <v>0</v>
      </c>
      <c r="U21" s="29">
        <f t="shared" si="19"/>
        <v>0</v>
      </c>
      <c r="V21" s="29">
        <f t="shared" si="19"/>
        <v>0</v>
      </c>
      <c r="W21" s="29">
        <f t="shared" ref="W21:Y21" si="20">SUM(W22:W23)</f>
        <v>0</v>
      </c>
      <c r="X21" s="29">
        <f t="shared" si="20"/>
        <v>0</v>
      </c>
      <c r="Y21" s="29">
        <f t="shared" si="20"/>
        <v>0</v>
      </c>
      <c r="DA21" s="173" t="s">
        <v>1042</v>
      </c>
    </row>
    <row r="22" spans="1:105" ht="11.45" customHeight="1" x14ac:dyDescent="0.25">
      <c r="A22" s="83" t="s">
        <v>92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DA22" s="171" t="s">
        <v>1043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0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0</v>
      </c>
      <c r="C25" s="62">
        <f t="shared" ref="C25:V25" si="22">C26+C32</f>
        <v>0</v>
      </c>
      <c r="D25" s="62">
        <f t="shared" si="22"/>
        <v>0</v>
      </c>
      <c r="E25" s="62">
        <f t="shared" si="22"/>
        <v>0</v>
      </c>
      <c r="F25" s="62">
        <f t="shared" si="22"/>
        <v>0</v>
      </c>
      <c r="G25" s="62">
        <f t="shared" si="22"/>
        <v>0</v>
      </c>
      <c r="H25" s="62">
        <f t="shared" si="22"/>
        <v>0</v>
      </c>
      <c r="I25" s="62">
        <f t="shared" si="22"/>
        <v>0</v>
      </c>
      <c r="J25" s="62">
        <f t="shared" si="22"/>
        <v>0</v>
      </c>
      <c r="K25" s="62">
        <f t="shared" si="22"/>
        <v>0</v>
      </c>
      <c r="L25" s="62">
        <f t="shared" si="22"/>
        <v>0</v>
      </c>
      <c r="M25" s="62">
        <f t="shared" si="22"/>
        <v>0</v>
      </c>
      <c r="N25" s="62">
        <f t="shared" si="22"/>
        <v>0</v>
      </c>
      <c r="O25" s="62">
        <f t="shared" si="22"/>
        <v>0</v>
      </c>
      <c r="P25" s="62">
        <f t="shared" si="22"/>
        <v>0</v>
      </c>
      <c r="Q25" s="62">
        <f t="shared" si="22"/>
        <v>0</v>
      </c>
      <c r="R25" s="62">
        <f t="shared" si="22"/>
        <v>0</v>
      </c>
      <c r="S25" s="62">
        <f t="shared" si="22"/>
        <v>0</v>
      </c>
      <c r="T25" s="62">
        <f t="shared" si="22"/>
        <v>0</v>
      </c>
      <c r="U25" s="62">
        <f t="shared" si="22"/>
        <v>0</v>
      </c>
      <c r="V25" s="62">
        <f t="shared" si="22"/>
        <v>0</v>
      </c>
      <c r="W25" s="62">
        <f t="shared" ref="W25:Y25" si="23">W26+W32</f>
        <v>0</v>
      </c>
      <c r="X25" s="62">
        <f t="shared" si="23"/>
        <v>0</v>
      </c>
      <c r="Y25" s="62">
        <f t="shared" si="23"/>
        <v>0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0</v>
      </c>
      <c r="C26" s="29">
        <f t="shared" ref="C26:V26" si="25">SUM(C27,C28,C31)</f>
        <v>0</v>
      </c>
      <c r="D26" s="29">
        <f t="shared" si="25"/>
        <v>0</v>
      </c>
      <c r="E26" s="29">
        <f t="shared" si="25"/>
        <v>0</v>
      </c>
      <c r="F26" s="29">
        <f t="shared" si="25"/>
        <v>0</v>
      </c>
      <c r="G26" s="29">
        <f t="shared" si="25"/>
        <v>0</v>
      </c>
      <c r="H26" s="29">
        <f t="shared" si="25"/>
        <v>0</v>
      </c>
      <c r="I26" s="29">
        <f t="shared" si="25"/>
        <v>0</v>
      </c>
      <c r="J26" s="29">
        <f t="shared" si="25"/>
        <v>0</v>
      </c>
      <c r="K26" s="29">
        <f t="shared" si="25"/>
        <v>0</v>
      </c>
      <c r="L26" s="29">
        <f t="shared" si="25"/>
        <v>0</v>
      </c>
      <c r="M26" s="29">
        <f t="shared" si="25"/>
        <v>0</v>
      </c>
      <c r="N26" s="29">
        <f t="shared" si="25"/>
        <v>0</v>
      </c>
      <c r="O26" s="29">
        <f t="shared" si="25"/>
        <v>0</v>
      </c>
      <c r="P26" s="29">
        <f t="shared" si="25"/>
        <v>0</v>
      </c>
      <c r="Q26" s="29">
        <f t="shared" si="25"/>
        <v>0</v>
      </c>
      <c r="R26" s="29">
        <f t="shared" si="25"/>
        <v>0</v>
      </c>
      <c r="S26" s="29">
        <f t="shared" si="25"/>
        <v>0</v>
      </c>
      <c r="T26" s="29">
        <f t="shared" si="25"/>
        <v>0</v>
      </c>
      <c r="U26" s="29">
        <f t="shared" si="25"/>
        <v>0</v>
      </c>
      <c r="V26" s="29">
        <f t="shared" si="25"/>
        <v>0</v>
      </c>
      <c r="W26" s="29">
        <f t="shared" ref="W26:Y26" si="26">SUM(W27,W28,W31)</f>
        <v>0</v>
      </c>
      <c r="X26" s="29">
        <f t="shared" si="26"/>
        <v>0</v>
      </c>
      <c r="Y26" s="29">
        <f t="shared" si="26"/>
        <v>0</v>
      </c>
      <c r="DA26" s="173" t="s">
        <v>1046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X27" s="115">
        <v>0</v>
      </c>
      <c r="Y27" s="115">
        <v>0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0</v>
      </c>
      <c r="C28" s="116">
        <f t="shared" ref="C28:V28" si="28">SUM(C29:C30)</f>
        <v>0</v>
      </c>
      <c r="D28" s="116">
        <f t="shared" si="28"/>
        <v>0</v>
      </c>
      <c r="E28" s="116">
        <f t="shared" si="28"/>
        <v>0</v>
      </c>
      <c r="F28" s="116">
        <f t="shared" si="28"/>
        <v>0</v>
      </c>
      <c r="G28" s="116">
        <f t="shared" si="28"/>
        <v>0</v>
      </c>
      <c r="H28" s="116">
        <f t="shared" si="28"/>
        <v>0</v>
      </c>
      <c r="I28" s="116">
        <f t="shared" si="28"/>
        <v>0</v>
      </c>
      <c r="J28" s="116">
        <f t="shared" si="28"/>
        <v>0</v>
      </c>
      <c r="K28" s="116">
        <f t="shared" si="28"/>
        <v>0</v>
      </c>
      <c r="L28" s="116">
        <f t="shared" si="28"/>
        <v>0</v>
      </c>
      <c r="M28" s="116">
        <f t="shared" si="28"/>
        <v>0</v>
      </c>
      <c r="N28" s="116">
        <f t="shared" si="28"/>
        <v>0</v>
      </c>
      <c r="O28" s="116">
        <f t="shared" si="28"/>
        <v>0</v>
      </c>
      <c r="P28" s="116">
        <f t="shared" si="28"/>
        <v>0</v>
      </c>
      <c r="Q28" s="116">
        <f t="shared" si="28"/>
        <v>0</v>
      </c>
      <c r="R28" s="116">
        <f t="shared" si="28"/>
        <v>0</v>
      </c>
      <c r="S28" s="116">
        <f t="shared" si="28"/>
        <v>0</v>
      </c>
      <c r="T28" s="116">
        <f t="shared" si="28"/>
        <v>0</v>
      </c>
      <c r="U28" s="116">
        <f t="shared" si="28"/>
        <v>0</v>
      </c>
      <c r="V28" s="116">
        <f t="shared" si="28"/>
        <v>0</v>
      </c>
      <c r="W28" s="116">
        <f t="shared" ref="W28:Y28" si="29">SUM(W29:W30)</f>
        <v>0</v>
      </c>
      <c r="X28" s="116">
        <f t="shared" si="29"/>
        <v>0</v>
      </c>
      <c r="Y28" s="116">
        <f t="shared" si="29"/>
        <v>0</v>
      </c>
      <c r="DA28" s="176" t="s">
        <v>1048</v>
      </c>
    </row>
    <row r="29" spans="1:105" ht="11.45" customHeight="1" x14ac:dyDescent="0.25">
      <c r="A29" s="111" t="s">
        <v>92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X29" s="87">
        <v>0</v>
      </c>
      <c r="Y29" s="87">
        <v>0</v>
      </c>
      <c r="DA29" s="171" t="s">
        <v>1049</v>
      </c>
    </row>
    <row r="30" spans="1:105" ht="11.45" customHeight="1" x14ac:dyDescent="0.25">
      <c r="A30" s="111" t="s">
        <v>93</v>
      </c>
      <c r="B30" s="87">
        <v>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7">
        <v>0</v>
      </c>
      <c r="Y30" s="87">
        <v>0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0</v>
      </c>
      <c r="C32" s="29">
        <f t="shared" ref="C32:V32" si="31">SUM(C33:C34)</f>
        <v>0</v>
      </c>
      <c r="D32" s="29">
        <f t="shared" si="31"/>
        <v>0</v>
      </c>
      <c r="E32" s="29">
        <f t="shared" si="31"/>
        <v>0</v>
      </c>
      <c r="F32" s="29">
        <f t="shared" si="31"/>
        <v>0</v>
      </c>
      <c r="G32" s="29">
        <f t="shared" si="31"/>
        <v>0</v>
      </c>
      <c r="H32" s="29">
        <f t="shared" si="31"/>
        <v>0</v>
      </c>
      <c r="I32" s="29">
        <f t="shared" si="31"/>
        <v>0</v>
      </c>
      <c r="J32" s="29">
        <f t="shared" si="31"/>
        <v>0</v>
      </c>
      <c r="K32" s="29">
        <f t="shared" si="31"/>
        <v>0</v>
      </c>
      <c r="L32" s="29">
        <f t="shared" si="31"/>
        <v>0</v>
      </c>
      <c r="M32" s="29">
        <f t="shared" si="31"/>
        <v>0</v>
      </c>
      <c r="N32" s="29">
        <f t="shared" si="31"/>
        <v>0</v>
      </c>
      <c r="O32" s="29">
        <f t="shared" si="31"/>
        <v>0</v>
      </c>
      <c r="P32" s="29">
        <f t="shared" si="31"/>
        <v>0</v>
      </c>
      <c r="Q32" s="29">
        <f t="shared" si="31"/>
        <v>0</v>
      </c>
      <c r="R32" s="29">
        <f t="shared" si="31"/>
        <v>0</v>
      </c>
      <c r="S32" s="29">
        <f t="shared" si="31"/>
        <v>0</v>
      </c>
      <c r="T32" s="29">
        <f t="shared" si="31"/>
        <v>0</v>
      </c>
      <c r="U32" s="29">
        <f t="shared" si="31"/>
        <v>0</v>
      </c>
      <c r="V32" s="29">
        <f t="shared" si="31"/>
        <v>0</v>
      </c>
      <c r="W32" s="29">
        <f t="shared" ref="W32:Y32" si="32">SUM(W33:W34)</f>
        <v>0</v>
      </c>
      <c r="X32" s="29">
        <f t="shared" si="32"/>
        <v>0</v>
      </c>
      <c r="Y32" s="29">
        <f t="shared" si="32"/>
        <v>0</v>
      </c>
      <c r="DA32" s="173" t="s">
        <v>1052</v>
      </c>
    </row>
    <row r="33" spans="1:105" ht="11.45" customHeight="1" x14ac:dyDescent="0.25">
      <c r="A33" s="83" t="s">
        <v>92</v>
      </c>
      <c r="B33" s="87">
        <v>0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7">
        <v>0</v>
      </c>
      <c r="Y33" s="87">
        <v>0</v>
      </c>
      <c r="DA33" s="171" t="s">
        <v>1053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</v>
      </c>
      <c r="D36" s="54">
        <f t="shared" ref="D36:V36" si="34">D37+D43</f>
        <v>0</v>
      </c>
      <c r="E36" s="54">
        <f t="shared" si="34"/>
        <v>0</v>
      </c>
      <c r="F36" s="54">
        <f t="shared" si="34"/>
        <v>0</v>
      </c>
      <c r="G36" s="54">
        <f t="shared" si="34"/>
        <v>0</v>
      </c>
      <c r="H36" s="54">
        <f t="shared" si="34"/>
        <v>0</v>
      </c>
      <c r="I36" s="54">
        <f t="shared" si="34"/>
        <v>0</v>
      </c>
      <c r="J36" s="54">
        <f t="shared" si="34"/>
        <v>0</v>
      </c>
      <c r="K36" s="54">
        <f t="shared" si="34"/>
        <v>0</v>
      </c>
      <c r="L36" s="54">
        <f t="shared" si="34"/>
        <v>0</v>
      </c>
      <c r="M36" s="54">
        <f t="shared" si="34"/>
        <v>0</v>
      </c>
      <c r="N36" s="54">
        <f t="shared" si="34"/>
        <v>0</v>
      </c>
      <c r="O36" s="54">
        <f t="shared" si="34"/>
        <v>0</v>
      </c>
      <c r="P36" s="54">
        <f t="shared" si="34"/>
        <v>0</v>
      </c>
      <c r="Q36" s="54">
        <f t="shared" si="34"/>
        <v>0</v>
      </c>
      <c r="R36" s="54">
        <f t="shared" si="34"/>
        <v>0</v>
      </c>
      <c r="S36" s="54">
        <f t="shared" si="34"/>
        <v>0</v>
      </c>
      <c r="T36" s="54">
        <f t="shared" si="34"/>
        <v>0</v>
      </c>
      <c r="U36" s="54">
        <f t="shared" si="34"/>
        <v>0</v>
      </c>
      <c r="V36" s="54">
        <f t="shared" si="34"/>
        <v>0</v>
      </c>
      <c r="W36" s="54">
        <f t="shared" ref="W36:Y36" si="35">W37+W43</f>
        <v>0</v>
      </c>
      <c r="X36" s="54">
        <f t="shared" si="35"/>
        <v>0</v>
      </c>
      <c r="Y36" s="54">
        <f t="shared" si="35"/>
        <v>0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</v>
      </c>
      <c r="D37" s="28">
        <f t="shared" ref="D37:V37" si="37">SUM(D38,D39,D42)</f>
        <v>0</v>
      </c>
      <c r="E37" s="28">
        <f t="shared" si="37"/>
        <v>0</v>
      </c>
      <c r="F37" s="28">
        <f t="shared" si="37"/>
        <v>0</v>
      </c>
      <c r="G37" s="28">
        <f t="shared" si="37"/>
        <v>0</v>
      </c>
      <c r="H37" s="28">
        <f t="shared" si="37"/>
        <v>0</v>
      </c>
      <c r="I37" s="28">
        <f t="shared" si="37"/>
        <v>0</v>
      </c>
      <c r="J37" s="28">
        <f t="shared" si="37"/>
        <v>0</v>
      </c>
      <c r="K37" s="28">
        <f t="shared" si="37"/>
        <v>0</v>
      </c>
      <c r="L37" s="28">
        <f t="shared" si="37"/>
        <v>0</v>
      </c>
      <c r="M37" s="28">
        <f t="shared" si="37"/>
        <v>0</v>
      </c>
      <c r="N37" s="28">
        <f t="shared" si="37"/>
        <v>0</v>
      </c>
      <c r="O37" s="28">
        <f t="shared" si="37"/>
        <v>0</v>
      </c>
      <c r="P37" s="28">
        <f t="shared" si="37"/>
        <v>0</v>
      </c>
      <c r="Q37" s="28">
        <f t="shared" si="37"/>
        <v>0</v>
      </c>
      <c r="R37" s="28">
        <f t="shared" si="37"/>
        <v>0</v>
      </c>
      <c r="S37" s="28">
        <f t="shared" si="37"/>
        <v>0</v>
      </c>
      <c r="T37" s="28">
        <f t="shared" si="37"/>
        <v>0</v>
      </c>
      <c r="U37" s="28">
        <f t="shared" si="37"/>
        <v>0</v>
      </c>
      <c r="V37" s="28">
        <f t="shared" si="37"/>
        <v>0</v>
      </c>
      <c r="W37" s="28">
        <f t="shared" ref="W37:Y37" si="38">SUM(W38,W39,W42)</f>
        <v>0</v>
      </c>
      <c r="X37" s="28">
        <f t="shared" si="38"/>
        <v>0</v>
      </c>
      <c r="Y37" s="28">
        <f t="shared" si="38"/>
        <v>0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0</v>
      </c>
      <c r="F39" s="110">
        <f t="shared" si="40"/>
        <v>0</v>
      </c>
      <c r="G39" s="110">
        <f t="shared" si="40"/>
        <v>0</v>
      </c>
      <c r="H39" s="110">
        <f t="shared" si="40"/>
        <v>0</v>
      </c>
      <c r="I39" s="110">
        <f t="shared" si="40"/>
        <v>0</v>
      </c>
      <c r="J39" s="110">
        <f t="shared" si="40"/>
        <v>0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0</v>
      </c>
      <c r="P39" s="110">
        <f t="shared" si="40"/>
        <v>0</v>
      </c>
      <c r="Q39" s="110">
        <f t="shared" si="40"/>
        <v>0</v>
      </c>
      <c r="R39" s="110">
        <f t="shared" si="40"/>
        <v>0</v>
      </c>
      <c r="S39" s="110">
        <f t="shared" si="40"/>
        <v>0</v>
      </c>
      <c r="T39" s="110">
        <f t="shared" si="40"/>
        <v>0</v>
      </c>
      <c r="U39" s="110">
        <f t="shared" si="40"/>
        <v>0</v>
      </c>
      <c r="V39" s="110">
        <f t="shared" si="40"/>
        <v>0</v>
      </c>
      <c r="W39" s="110">
        <f t="shared" ref="W39:Y39" si="41">SUM(W40:W41)</f>
        <v>0</v>
      </c>
      <c r="X39" s="110">
        <f t="shared" si="41"/>
        <v>0</v>
      </c>
      <c r="Y39" s="110">
        <f t="shared" si="41"/>
        <v>0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X40" s="84">
        <v>0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0</v>
      </c>
      <c r="R41" s="84">
        <v>0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X41" s="84">
        <v>0</v>
      </c>
      <c r="Y41" s="84">
        <v>0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0</v>
      </c>
      <c r="F43" s="28">
        <f t="shared" si="43"/>
        <v>0</v>
      </c>
      <c r="G43" s="28">
        <f t="shared" si="43"/>
        <v>0</v>
      </c>
      <c r="H43" s="28">
        <f t="shared" si="43"/>
        <v>0</v>
      </c>
      <c r="I43" s="28">
        <f t="shared" si="43"/>
        <v>0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0</v>
      </c>
      <c r="W43" s="28">
        <f t="shared" ref="W43:Y43" si="44">SUM(W44:W45)</f>
        <v>0</v>
      </c>
      <c r="X43" s="28">
        <f t="shared" si="44"/>
        <v>0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0</v>
      </c>
      <c r="C50" s="29">
        <f t="shared" si="45"/>
        <v>0</v>
      </c>
      <c r="D50" s="29">
        <f t="shared" si="45"/>
        <v>0</v>
      </c>
      <c r="E50" s="29">
        <f t="shared" si="45"/>
        <v>0</v>
      </c>
      <c r="F50" s="29">
        <f t="shared" si="45"/>
        <v>0</v>
      </c>
      <c r="G50" s="29">
        <f t="shared" si="45"/>
        <v>0</v>
      </c>
      <c r="H50" s="29">
        <f t="shared" si="45"/>
        <v>0</v>
      </c>
      <c r="I50" s="29">
        <f t="shared" si="45"/>
        <v>0</v>
      </c>
      <c r="J50" s="29">
        <f t="shared" si="45"/>
        <v>0</v>
      </c>
      <c r="K50" s="29">
        <f t="shared" ref="K50:V50" si="46">IF(K4=0,0,K4/K15)</f>
        <v>0</v>
      </c>
      <c r="L50" s="29">
        <f t="shared" si="46"/>
        <v>0</v>
      </c>
      <c r="M50" s="29">
        <f t="shared" si="46"/>
        <v>0</v>
      </c>
      <c r="N50" s="29">
        <f t="shared" si="46"/>
        <v>0</v>
      </c>
      <c r="O50" s="29">
        <f t="shared" si="46"/>
        <v>0</v>
      </c>
      <c r="P50" s="29">
        <f t="shared" si="46"/>
        <v>0</v>
      </c>
      <c r="Q50" s="29">
        <f t="shared" si="46"/>
        <v>0</v>
      </c>
      <c r="R50" s="29">
        <f t="shared" si="46"/>
        <v>0</v>
      </c>
      <c r="S50" s="29">
        <f t="shared" si="46"/>
        <v>0</v>
      </c>
      <c r="T50" s="29">
        <f t="shared" si="46"/>
        <v>0</v>
      </c>
      <c r="U50" s="29">
        <f t="shared" si="46"/>
        <v>0</v>
      </c>
      <c r="V50" s="29">
        <f t="shared" si="46"/>
        <v>0</v>
      </c>
      <c r="W50" s="29">
        <f t="shared" ref="W50:Y50" si="47">IF(W4=0,0,W4/W15)</f>
        <v>0</v>
      </c>
      <c r="X50" s="29">
        <f t="shared" si="47"/>
        <v>0</v>
      </c>
      <c r="Y50" s="29">
        <f t="shared" si="47"/>
        <v>0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:Y51" si="50">IF(W5=0,0,W5/W16)</f>
        <v>0</v>
      </c>
      <c r="X51" s="115">
        <f t="shared" si="50"/>
        <v>0</v>
      </c>
      <c r="Y51" s="115">
        <f t="shared" si="50"/>
        <v>0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0</v>
      </c>
      <c r="C52" s="116">
        <f t="shared" si="51"/>
        <v>0</v>
      </c>
      <c r="D52" s="116">
        <f t="shared" si="51"/>
        <v>0</v>
      </c>
      <c r="E52" s="116">
        <f t="shared" si="51"/>
        <v>0</v>
      </c>
      <c r="F52" s="116">
        <f t="shared" si="51"/>
        <v>0</v>
      </c>
      <c r="G52" s="116">
        <f t="shared" si="51"/>
        <v>0</v>
      </c>
      <c r="H52" s="116">
        <f t="shared" si="51"/>
        <v>0</v>
      </c>
      <c r="I52" s="116">
        <f t="shared" si="51"/>
        <v>0</v>
      </c>
      <c r="J52" s="116">
        <f t="shared" si="51"/>
        <v>0</v>
      </c>
      <c r="K52" s="116">
        <f t="shared" ref="K52:V52" si="52">IF(K6=0,0,K6/K17)</f>
        <v>0</v>
      </c>
      <c r="L52" s="116">
        <f t="shared" si="52"/>
        <v>0</v>
      </c>
      <c r="M52" s="116">
        <f t="shared" si="52"/>
        <v>0</v>
      </c>
      <c r="N52" s="116">
        <f t="shared" si="52"/>
        <v>0</v>
      </c>
      <c r="O52" s="116">
        <f t="shared" si="52"/>
        <v>0</v>
      </c>
      <c r="P52" s="116">
        <f t="shared" si="52"/>
        <v>0</v>
      </c>
      <c r="Q52" s="116">
        <f t="shared" si="52"/>
        <v>0</v>
      </c>
      <c r="R52" s="116">
        <f t="shared" si="52"/>
        <v>0</v>
      </c>
      <c r="S52" s="116">
        <f t="shared" si="52"/>
        <v>0</v>
      </c>
      <c r="T52" s="116">
        <f t="shared" si="52"/>
        <v>0</v>
      </c>
      <c r="U52" s="116">
        <f t="shared" si="52"/>
        <v>0</v>
      </c>
      <c r="V52" s="116">
        <f t="shared" si="52"/>
        <v>0</v>
      </c>
      <c r="W52" s="116">
        <f t="shared" ref="W52:Y52" si="53">IF(W6=0,0,W6/W17)</f>
        <v>0</v>
      </c>
      <c r="X52" s="116">
        <f t="shared" si="53"/>
        <v>0</v>
      </c>
      <c r="Y52" s="116">
        <f t="shared" si="53"/>
        <v>0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0</v>
      </c>
      <c r="C53" s="87">
        <f t="shared" si="54"/>
        <v>0</v>
      </c>
      <c r="D53" s="87">
        <f t="shared" si="54"/>
        <v>0</v>
      </c>
      <c r="E53" s="87">
        <f t="shared" si="54"/>
        <v>0</v>
      </c>
      <c r="F53" s="87">
        <f t="shared" si="54"/>
        <v>0</v>
      </c>
      <c r="G53" s="87">
        <f t="shared" si="54"/>
        <v>0</v>
      </c>
      <c r="H53" s="87">
        <f t="shared" si="54"/>
        <v>0</v>
      </c>
      <c r="I53" s="87">
        <f t="shared" si="54"/>
        <v>0</v>
      </c>
      <c r="J53" s="87">
        <f t="shared" si="54"/>
        <v>0</v>
      </c>
      <c r="K53" s="87">
        <f t="shared" ref="K53:V53" si="55">IF(K7=0,0,K7/K18)</f>
        <v>0</v>
      </c>
      <c r="L53" s="87">
        <f t="shared" si="55"/>
        <v>0</v>
      </c>
      <c r="M53" s="87">
        <f t="shared" si="55"/>
        <v>0</v>
      </c>
      <c r="N53" s="87">
        <f t="shared" si="55"/>
        <v>0</v>
      </c>
      <c r="O53" s="87">
        <f t="shared" si="55"/>
        <v>0</v>
      </c>
      <c r="P53" s="87">
        <f t="shared" si="55"/>
        <v>0</v>
      </c>
      <c r="Q53" s="87">
        <f t="shared" si="55"/>
        <v>0</v>
      </c>
      <c r="R53" s="87">
        <f t="shared" si="55"/>
        <v>0</v>
      </c>
      <c r="S53" s="87">
        <f t="shared" si="55"/>
        <v>0</v>
      </c>
      <c r="T53" s="87">
        <f t="shared" si="55"/>
        <v>0</v>
      </c>
      <c r="U53" s="87">
        <f t="shared" si="55"/>
        <v>0</v>
      </c>
      <c r="V53" s="87">
        <f t="shared" si="55"/>
        <v>0</v>
      </c>
      <c r="W53" s="87">
        <f t="shared" ref="W53:Y53" si="56">IF(W7=0,0,W7/W18)</f>
        <v>0</v>
      </c>
      <c r="X53" s="87">
        <f t="shared" si="56"/>
        <v>0</v>
      </c>
      <c r="Y53" s="87">
        <f t="shared" si="56"/>
        <v>0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0</v>
      </c>
      <c r="C54" s="87">
        <f t="shared" si="57"/>
        <v>0</v>
      </c>
      <c r="D54" s="87">
        <f t="shared" si="57"/>
        <v>0</v>
      </c>
      <c r="E54" s="87">
        <f t="shared" si="57"/>
        <v>0</v>
      </c>
      <c r="F54" s="87">
        <f t="shared" si="57"/>
        <v>0</v>
      </c>
      <c r="G54" s="87">
        <f t="shared" si="57"/>
        <v>0</v>
      </c>
      <c r="H54" s="87">
        <f t="shared" si="57"/>
        <v>0</v>
      </c>
      <c r="I54" s="87">
        <f t="shared" si="57"/>
        <v>0</v>
      </c>
      <c r="J54" s="87">
        <f t="shared" si="57"/>
        <v>0</v>
      </c>
      <c r="K54" s="87">
        <f t="shared" ref="K54:V54" si="58">IF(K8=0,0,K8/K19)</f>
        <v>0</v>
      </c>
      <c r="L54" s="87">
        <f t="shared" si="58"/>
        <v>0</v>
      </c>
      <c r="M54" s="87">
        <f t="shared" si="58"/>
        <v>0</v>
      </c>
      <c r="N54" s="87">
        <f t="shared" si="58"/>
        <v>0</v>
      </c>
      <c r="O54" s="87">
        <f t="shared" si="58"/>
        <v>0</v>
      </c>
      <c r="P54" s="87">
        <f t="shared" si="58"/>
        <v>0</v>
      </c>
      <c r="Q54" s="87">
        <f t="shared" si="58"/>
        <v>0</v>
      </c>
      <c r="R54" s="87">
        <f t="shared" si="58"/>
        <v>0</v>
      </c>
      <c r="S54" s="87">
        <f t="shared" si="58"/>
        <v>0</v>
      </c>
      <c r="T54" s="87">
        <f t="shared" si="58"/>
        <v>0</v>
      </c>
      <c r="U54" s="87">
        <f t="shared" si="58"/>
        <v>0</v>
      </c>
      <c r="V54" s="87">
        <f t="shared" si="58"/>
        <v>0</v>
      </c>
      <c r="W54" s="87">
        <f t="shared" ref="W54:Y54" si="59">IF(W8=0,0,W8/W19)</f>
        <v>0</v>
      </c>
      <c r="X54" s="87">
        <f t="shared" si="59"/>
        <v>0</v>
      </c>
      <c r="Y54" s="87">
        <f t="shared" si="59"/>
        <v>0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0</v>
      </c>
      <c r="C56" s="29">
        <f t="shared" si="63"/>
        <v>0</v>
      </c>
      <c r="D56" s="29">
        <f t="shared" si="63"/>
        <v>0</v>
      </c>
      <c r="E56" s="29">
        <f t="shared" si="63"/>
        <v>0</v>
      </c>
      <c r="F56" s="29">
        <f t="shared" si="63"/>
        <v>0</v>
      </c>
      <c r="G56" s="29">
        <f t="shared" si="63"/>
        <v>0</v>
      </c>
      <c r="H56" s="29">
        <f t="shared" si="63"/>
        <v>0</v>
      </c>
      <c r="I56" s="29">
        <f t="shared" si="63"/>
        <v>0</v>
      </c>
      <c r="J56" s="29">
        <f t="shared" si="63"/>
        <v>0</v>
      </c>
      <c r="K56" s="29">
        <f t="shared" ref="K56:V56" si="64">IF(K10=0,0,K10/K21)</f>
        <v>0</v>
      </c>
      <c r="L56" s="29">
        <f t="shared" si="64"/>
        <v>0</v>
      </c>
      <c r="M56" s="29">
        <f t="shared" si="64"/>
        <v>0</v>
      </c>
      <c r="N56" s="29">
        <f t="shared" si="64"/>
        <v>0</v>
      </c>
      <c r="O56" s="29">
        <f t="shared" si="64"/>
        <v>0</v>
      </c>
      <c r="P56" s="29">
        <f t="shared" si="64"/>
        <v>0</v>
      </c>
      <c r="Q56" s="29">
        <f t="shared" si="64"/>
        <v>0</v>
      </c>
      <c r="R56" s="29">
        <f t="shared" si="64"/>
        <v>0</v>
      </c>
      <c r="S56" s="29">
        <f t="shared" si="64"/>
        <v>0</v>
      </c>
      <c r="T56" s="29">
        <f t="shared" si="64"/>
        <v>0</v>
      </c>
      <c r="U56" s="29">
        <f t="shared" si="64"/>
        <v>0</v>
      </c>
      <c r="V56" s="29">
        <f t="shared" si="64"/>
        <v>0</v>
      </c>
      <c r="W56" s="29">
        <f t="shared" ref="W56:Y56" si="65">IF(W10=0,0,W10/W21)</f>
        <v>0</v>
      </c>
      <c r="X56" s="29">
        <f t="shared" si="65"/>
        <v>0</v>
      </c>
      <c r="Y56" s="29">
        <f t="shared" si="65"/>
        <v>0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0</v>
      </c>
      <c r="C57" s="87">
        <f t="shared" si="66"/>
        <v>0</v>
      </c>
      <c r="D57" s="87">
        <f t="shared" si="66"/>
        <v>0</v>
      </c>
      <c r="E57" s="87">
        <f t="shared" si="66"/>
        <v>0</v>
      </c>
      <c r="F57" s="87">
        <f t="shared" si="66"/>
        <v>0</v>
      </c>
      <c r="G57" s="87">
        <f t="shared" si="66"/>
        <v>0</v>
      </c>
      <c r="H57" s="87">
        <f t="shared" si="66"/>
        <v>0</v>
      </c>
      <c r="I57" s="87">
        <f t="shared" si="66"/>
        <v>0</v>
      </c>
      <c r="J57" s="87">
        <f t="shared" si="66"/>
        <v>0</v>
      </c>
      <c r="K57" s="87">
        <f t="shared" ref="K57:V57" si="67">IF(K11=0,0,K11/K22)</f>
        <v>0</v>
      </c>
      <c r="L57" s="87">
        <f t="shared" si="67"/>
        <v>0</v>
      </c>
      <c r="M57" s="87">
        <f t="shared" si="67"/>
        <v>0</v>
      </c>
      <c r="N57" s="87">
        <f t="shared" si="67"/>
        <v>0</v>
      </c>
      <c r="O57" s="87">
        <f t="shared" si="67"/>
        <v>0</v>
      </c>
      <c r="P57" s="87">
        <f t="shared" si="67"/>
        <v>0</v>
      </c>
      <c r="Q57" s="87">
        <f t="shared" si="67"/>
        <v>0</v>
      </c>
      <c r="R57" s="87">
        <f t="shared" si="67"/>
        <v>0</v>
      </c>
      <c r="S57" s="87">
        <f t="shared" si="67"/>
        <v>0</v>
      </c>
      <c r="T57" s="87">
        <f t="shared" si="67"/>
        <v>0</v>
      </c>
      <c r="U57" s="87">
        <f t="shared" si="67"/>
        <v>0</v>
      </c>
      <c r="V57" s="87">
        <f t="shared" si="67"/>
        <v>0</v>
      </c>
      <c r="W57" s="87">
        <f t="shared" ref="W57:Y57" si="68">IF(W11=0,0,W11/W22)</f>
        <v>0</v>
      </c>
      <c r="X57" s="87">
        <f t="shared" si="68"/>
        <v>0</v>
      </c>
      <c r="Y57" s="87">
        <f t="shared" si="68"/>
        <v>0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:Y58" si="71">IF(W12=0,0,W12/W23)</f>
        <v>0</v>
      </c>
      <c r="X58" s="88">
        <f t="shared" si="71"/>
        <v>0</v>
      </c>
      <c r="Y58" s="88">
        <f t="shared" si="71"/>
        <v>0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0</v>
      </c>
      <c r="C61" s="29">
        <f t="shared" ref="C61" si="73">IF(C26=0,0,(C62*C27+C64*C29+C65*C30+C66*C31)/(C27+C29+C30+C31))</f>
        <v>0</v>
      </c>
      <c r="D61" s="29">
        <f t="shared" ref="D61" si="74">IF(D26=0,0,(D62*D27+D64*D29+D65*D30+D66*D31)/(D27+D29+D30+D31))</f>
        <v>0</v>
      </c>
      <c r="E61" s="29">
        <f t="shared" ref="E61" si="75">IF(E26=0,0,(E62*E27+E64*E29+E65*E30+E66*E31)/(E27+E29+E30+E31))</f>
        <v>0</v>
      </c>
      <c r="F61" s="29">
        <f t="shared" ref="F61" si="76">IF(F26=0,0,(F62*F27+F64*F29+F65*F30+F66*F31)/(F27+F29+F30+F31))</f>
        <v>0</v>
      </c>
      <c r="G61" s="29">
        <f t="shared" ref="G61" si="77">IF(G26=0,0,(G62*G27+G64*G29+G65*G30+G66*G31)/(G27+G29+G30+G31))</f>
        <v>0</v>
      </c>
      <c r="H61" s="29">
        <f t="shared" ref="H61" si="78">IF(H26=0,0,(H62*H27+H64*H29+H65*H30+H66*H31)/(H27+H29+H30+H31))</f>
        <v>0</v>
      </c>
      <c r="I61" s="29">
        <f t="shared" ref="I61" si="79">IF(I26=0,0,(I62*I27+I64*I29+I65*I30+I66*I31)/(I27+I29+I30+I31))</f>
        <v>0</v>
      </c>
      <c r="J61" s="29">
        <f t="shared" ref="J61" si="80">IF(J26=0,0,(J62*J27+J64*J29+J65*J30+J66*J31)/(J27+J29+J30+J31))</f>
        <v>0</v>
      </c>
      <c r="K61" s="29">
        <f t="shared" ref="K61" si="81">IF(K26=0,0,(K62*K27+K64*K29+K65*K30+K66*K31)/(K27+K29+K30+K31))</f>
        <v>0</v>
      </c>
      <c r="L61" s="29">
        <f t="shared" ref="L61" si="82">IF(L26=0,0,(L62*L27+L64*L29+L65*L30+L66*L31)/(L27+L29+L30+L31))</f>
        <v>0</v>
      </c>
      <c r="M61" s="29">
        <f t="shared" ref="M61" si="83">IF(M26=0,0,(M62*M27+M64*M29+M65*M30+M66*M31)/(M27+M29+M30+M31))</f>
        <v>0</v>
      </c>
      <c r="N61" s="29">
        <f t="shared" ref="N61" si="84">IF(N26=0,0,(N62*N27+N64*N29+N65*N30+N66*N31)/(N27+N29+N30+N31))</f>
        <v>0</v>
      </c>
      <c r="O61" s="29">
        <f t="shared" ref="O61" si="85">IF(O26=0,0,(O62*O27+O64*O29+O65*O30+O66*O31)/(O27+O29+O30+O31))</f>
        <v>0</v>
      </c>
      <c r="P61" s="29">
        <f t="shared" ref="P61" si="86">IF(P26=0,0,(P62*P27+P64*P29+P65*P30+P66*P31)/(P27+P29+P30+P31))</f>
        <v>0</v>
      </c>
      <c r="Q61" s="29">
        <f t="shared" ref="Q61" si="87">IF(Q26=0,0,(Q62*Q27+Q64*Q29+Q65*Q30+Q66*Q31)/(Q27+Q29+Q30+Q31))</f>
        <v>0</v>
      </c>
      <c r="R61" s="29">
        <f t="shared" ref="R61" si="88">IF(R26=0,0,(R62*R27+R64*R29+R65*R30+R66*R31)/(R27+R29+R30+R31))</f>
        <v>0</v>
      </c>
      <c r="S61" s="29">
        <f t="shared" ref="S61" si="89">IF(S26=0,0,(S62*S27+S64*S29+S65*S30+S66*S31)/(S27+S29+S30+S31))</f>
        <v>0</v>
      </c>
      <c r="T61" s="29">
        <f t="shared" ref="T61" si="90">IF(T26=0,0,(T62*T27+T64*T29+T65*T30+T66*T31)/(T27+T29+T30+T31))</f>
        <v>0</v>
      </c>
      <c r="U61" s="29">
        <f t="shared" ref="U61" si="91">IF(U26=0,0,(U62*U27+U64*U29+U65*U30+U66*U31)/(U27+U29+U30+U31))</f>
        <v>0</v>
      </c>
      <c r="V61" s="29">
        <f t="shared" ref="V61" si="92">IF(V26=0,0,(V62*V27+V64*V29+V65*V30+V66*V31)/(V27+V29+V30+V31))</f>
        <v>0</v>
      </c>
      <c r="W61" s="29">
        <f t="shared" ref="W61:Y61" si="93">IF(W26=0,0,(W62*W27+W64*W29+W65*W30+W66*W31)/(W27+W29+W30+W31))</f>
        <v>0</v>
      </c>
      <c r="X61" s="29">
        <f t="shared" si="93"/>
        <v>0</v>
      </c>
      <c r="Y61" s="29">
        <f t="shared" si="93"/>
        <v>0</v>
      </c>
      <c r="DA61" s="173" t="s">
        <v>1074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X62" s="115">
        <v>0</v>
      </c>
      <c r="Y62" s="115">
        <v>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0</v>
      </c>
      <c r="C63" s="116">
        <f t="shared" ref="C63" si="95">IF(C28=0,0,(C64*C29+C65*C30)/(C29+C30))</f>
        <v>0</v>
      </c>
      <c r="D63" s="116">
        <f t="shared" ref="D63" si="96">IF(D28=0,0,(D64*D29+D65*D30)/(D29+D30))</f>
        <v>0</v>
      </c>
      <c r="E63" s="116">
        <f t="shared" ref="E63" si="97">IF(E28=0,0,(E64*E29+E65*E30)/(E29+E30))</f>
        <v>0</v>
      </c>
      <c r="F63" s="116">
        <f t="shared" ref="F63" si="98">IF(F28=0,0,(F64*F29+F65*F30)/(F29+F30))</f>
        <v>0</v>
      </c>
      <c r="G63" s="116">
        <f t="shared" ref="G63" si="99">IF(G28=0,0,(G64*G29+G65*G30)/(G29+G30))</f>
        <v>0</v>
      </c>
      <c r="H63" s="116">
        <f t="shared" ref="H63" si="100">IF(H28=0,0,(H64*H29+H65*H30)/(H29+H30))</f>
        <v>0</v>
      </c>
      <c r="I63" s="116">
        <f t="shared" ref="I63" si="101">IF(I28=0,0,(I64*I29+I65*I30)/(I29+I30))</f>
        <v>0</v>
      </c>
      <c r="J63" s="116">
        <f t="shared" ref="J63" si="102">IF(J28=0,0,(J64*J29+J65*J30)/(J29+J30))</f>
        <v>0</v>
      </c>
      <c r="K63" s="116">
        <f t="shared" ref="K63" si="103">IF(K28=0,0,(K64*K29+K65*K30)/(K29+K30))</f>
        <v>0</v>
      </c>
      <c r="L63" s="116">
        <f t="shared" ref="L63" si="104">IF(L28=0,0,(L64*L29+L65*L30)/(L29+L30))</f>
        <v>0</v>
      </c>
      <c r="M63" s="116">
        <f t="shared" ref="M63" si="105">IF(M28=0,0,(M64*M29+M65*M30)/(M29+M30))</f>
        <v>0</v>
      </c>
      <c r="N63" s="116">
        <f t="shared" ref="N63" si="106">IF(N28=0,0,(N64*N29+N65*N30)/(N29+N30))</f>
        <v>0</v>
      </c>
      <c r="O63" s="116">
        <f t="shared" ref="O63" si="107">IF(O28=0,0,(O64*O29+O65*O30)/(O29+O30))</f>
        <v>0</v>
      </c>
      <c r="P63" s="116">
        <f t="shared" ref="P63" si="108">IF(P28=0,0,(P64*P29+P65*P30)/(P29+P30))</f>
        <v>0</v>
      </c>
      <c r="Q63" s="116">
        <f t="shared" ref="Q63" si="109">IF(Q28=0,0,(Q64*Q29+Q65*Q30)/(Q29+Q30))</f>
        <v>0</v>
      </c>
      <c r="R63" s="116">
        <f t="shared" ref="R63" si="110">IF(R28=0,0,(R64*R29+R65*R30)/(R29+R30))</f>
        <v>0</v>
      </c>
      <c r="S63" s="116">
        <f t="shared" ref="S63" si="111">IF(S28=0,0,(S64*S29+S65*S30)/(S29+S30))</f>
        <v>0</v>
      </c>
      <c r="T63" s="116">
        <f t="shared" ref="T63" si="112">IF(T28=0,0,(T64*T29+T65*T30)/(T29+T30))</f>
        <v>0</v>
      </c>
      <c r="U63" s="116">
        <f t="shared" ref="U63" si="113">IF(U28=0,0,(U64*U29+U65*U30)/(U29+U30))</f>
        <v>0</v>
      </c>
      <c r="V63" s="116">
        <f t="shared" ref="V63" si="114">IF(V28=0,0,(V64*V29+V65*V30)/(V29+V30))</f>
        <v>0</v>
      </c>
      <c r="W63" s="116">
        <f t="shared" ref="W63:Y63" si="115">IF(W28=0,0,(W64*W29+W65*W30)/(W29+W30))</f>
        <v>0</v>
      </c>
      <c r="X63" s="116">
        <f t="shared" si="115"/>
        <v>0</v>
      </c>
      <c r="Y63" s="116">
        <f t="shared" si="115"/>
        <v>0</v>
      </c>
      <c r="DA63" s="176" t="s">
        <v>1076</v>
      </c>
    </row>
    <row r="64" spans="1:105" ht="11.45" customHeight="1" x14ac:dyDescent="0.25">
      <c r="A64" s="111" t="s">
        <v>92</v>
      </c>
      <c r="B64" s="87">
        <v>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X64" s="87">
        <v>0</v>
      </c>
      <c r="Y64" s="87">
        <v>0</v>
      </c>
      <c r="DA64" s="171" t="s">
        <v>1077</v>
      </c>
    </row>
    <row r="65" spans="1:105" ht="11.45" customHeight="1" x14ac:dyDescent="0.25">
      <c r="A65" s="111" t="s">
        <v>93</v>
      </c>
      <c r="B65" s="87">
        <v>0</v>
      </c>
      <c r="C65" s="87">
        <v>0</v>
      </c>
      <c r="D65" s="87">
        <v>0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87">
        <v>0</v>
      </c>
      <c r="U65" s="87">
        <v>0</v>
      </c>
      <c r="V65" s="87">
        <v>0</v>
      </c>
      <c r="W65" s="87">
        <v>0</v>
      </c>
      <c r="X65" s="87">
        <v>0</v>
      </c>
      <c r="Y65" s="87">
        <v>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0</v>
      </c>
      <c r="C67" s="29">
        <f t="shared" ref="C67" si="117">IF(C32=0,0,(C68*C33+C69*C34)/(C33+C34))</f>
        <v>0</v>
      </c>
      <c r="D67" s="29">
        <f t="shared" ref="D67" si="118">IF(D32=0,0,(D68*D33+D69*D34)/(D33+D34))</f>
        <v>0</v>
      </c>
      <c r="E67" s="29">
        <f t="shared" ref="E67" si="119">IF(E32=0,0,(E68*E33+E69*E34)/(E33+E34))</f>
        <v>0</v>
      </c>
      <c r="F67" s="29">
        <f t="shared" ref="F67" si="120">IF(F32=0,0,(F68*F33+F69*F34)/(F33+F34))</f>
        <v>0</v>
      </c>
      <c r="G67" s="29">
        <f t="shared" ref="G67" si="121">IF(G32=0,0,(G68*G33+G69*G34)/(G33+G34))</f>
        <v>0</v>
      </c>
      <c r="H67" s="29">
        <f t="shared" ref="H67" si="122">IF(H32=0,0,(H68*H33+H69*H34)/(H33+H34))</f>
        <v>0</v>
      </c>
      <c r="I67" s="29">
        <f t="shared" ref="I67" si="123">IF(I32=0,0,(I68*I33+I69*I34)/(I33+I34))</f>
        <v>0</v>
      </c>
      <c r="J67" s="29">
        <f t="shared" ref="J67" si="124">IF(J32=0,0,(J68*J33+J69*J34)/(J33+J34))</f>
        <v>0</v>
      </c>
      <c r="K67" s="29">
        <f t="shared" ref="K67" si="125">IF(K32=0,0,(K68*K33+K69*K34)/(K33+K34))</f>
        <v>0</v>
      </c>
      <c r="L67" s="29">
        <f t="shared" ref="L67" si="126">IF(L32=0,0,(L68*L33+L69*L34)/(L33+L34))</f>
        <v>0</v>
      </c>
      <c r="M67" s="29">
        <f t="shared" ref="M67" si="127">IF(M32=0,0,(M68*M33+M69*M34)/(M33+M34))</f>
        <v>0</v>
      </c>
      <c r="N67" s="29">
        <f t="shared" ref="N67" si="128">IF(N32=0,0,(N68*N33+N69*N34)/(N33+N34))</f>
        <v>0</v>
      </c>
      <c r="O67" s="29">
        <f t="shared" ref="O67" si="129">IF(O32=0,0,(O68*O33+O69*O34)/(O33+O34))</f>
        <v>0</v>
      </c>
      <c r="P67" s="29">
        <f t="shared" ref="P67" si="130">IF(P32=0,0,(P68*P33+P69*P34)/(P33+P34))</f>
        <v>0</v>
      </c>
      <c r="Q67" s="29">
        <f t="shared" ref="Q67" si="131">IF(Q32=0,0,(Q68*Q33+Q69*Q34)/(Q33+Q34))</f>
        <v>0</v>
      </c>
      <c r="R67" s="29">
        <f t="shared" ref="R67" si="132">IF(R32=0,0,(R68*R33+R69*R34)/(R33+R34))</f>
        <v>0</v>
      </c>
      <c r="S67" s="29">
        <f t="shared" ref="S67" si="133">IF(S32=0,0,(S68*S33+S69*S34)/(S33+S34))</f>
        <v>0</v>
      </c>
      <c r="T67" s="29">
        <f t="shared" ref="T67" si="134">IF(T32=0,0,(T68*T33+T69*T34)/(T33+T34))</f>
        <v>0</v>
      </c>
      <c r="U67" s="29">
        <f t="shared" ref="U67" si="135">IF(U32=0,0,(U68*U33+U69*U34)/(U33+U34))</f>
        <v>0</v>
      </c>
      <c r="V67" s="29">
        <f t="shared" ref="V67" si="136">IF(V32=0,0,(V68*V33+V69*V34)/(V33+V34))</f>
        <v>0</v>
      </c>
      <c r="W67" s="29">
        <f t="shared" ref="W67:Y67" si="137">IF(W32=0,0,(W68*W33+W69*W34)/(W33+W34))</f>
        <v>0</v>
      </c>
      <c r="X67" s="29">
        <f t="shared" si="137"/>
        <v>0</v>
      </c>
      <c r="Y67" s="29">
        <f t="shared" si="137"/>
        <v>0</v>
      </c>
      <c r="DA67" s="173" t="s">
        <v>1080</v>
      </c>
    </row>
    <row r="68" spans="1:105" ht="11.45" customHeight="1" x14ac:dyDescent="0.25">
      <c r="A68" s="83" t="s">
        <v>92</v>
      </c>
      <c r="B68" s="87">
        <v>0</v>
      </c>
      <c r="C68" s="87">
        <v>0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X68" s="87">
        <v>0</v>
      </c>
      <c r="Y68" s="87">
        <v>0</v>
      </c>
      <c r="DA68" s="171" t="s">
        <v>1081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X69" s="88">
        <v>0</v>
      </c>
      <c r="Y69" s="88">
        <v>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</v>
      </c>
      <c r="C72" s="30">
        <f t="shared" ref="C72:J72" si="138">IF(C50=0,0,C50/C61)</f>
        <v>0</v>
      </c>
      <c r="D72" s="30">
        <f t="shared" si="138"/>
        <v>0</v>
      </c>
      <c r="E72" s="30">
        <f t="shared" si="138"/>
        <v>0</v>
      </c>
      <c r="F72" s="30">
        <f t="shared" si="138"/>
        <v>0</v>
      </c>
      <c r="G72" s="30">
        <f t="shared" si="138"/>
        <v>0</v>
      </c>
      <c r="H72" s="30">
        <f t="shared" si="138"/>
        <v>0</v>
      </c>
      <c r="I72" s="30">
        <f t="shared" si="138"/>
        <v>0</v>
      </c>
      <c r="J72" s="30">
        <f t="shared" si="138"/>
        <v>0</v>
      </c>
      <c r="K72" s="30">
        <f t="shared" ref="K72:V72" si="139">IF(K50=0,0,K50/K61)</f>
        <v>0</v>
      </c>
      <c r="L72" s="30">
        <f t="shared" si="139"/>
        <v>0</v>
      </c>
      <c r="M72" s="30">
        <f t="shared" si="139"/>
        <v>0</v>
      </c>
      <c r="N72" s="30">
        <f t="shared" si="139"/>
        <v>0</v>
      </c>
      <c r="O72" s="30">
        <f t="shared" si="139"/>
        <v>0</v>
      </c>
      <c r="P72" s="30">
        <f t="shared" si="139"/>
        <v>0</v>
      </c>
      <c r="Q72" s="30">
        <f t="shared" si="139"/>
        <v>0</v>
      </c>
      <c r="R72" s="30">
        <f t="shared" si="139"/>
        <v>0</v>
      </c>
      <c r="S72" s="30">
        <f t="shared" si="139"/>
        <v>0</v>
      </c>
      <c r="T72" s="30">
        <f t="shared" si="139"/>
        <v>0</v>
      </c>
      <c r="U72" s="30">
        <f t="shared" si="139"/>
        <v>0</v>
      </c>
      <c r="V72" s="30">
        <f t="shared" si="139"/>
        <v>0</v>
      </c>
      <c r="W72" s="30">
        <f t="shared" ref="W72:Y72" si="140">IF(W50=0,0,W50/W61)</f>
        <v>0</v>
      </c>
      <c r="X72" s="30">
        <f t="shared" si="140"/>
        <v>0</v>
      </c>
      <c r="Y72" s="30">
        <f t="shared" si="140"/>
        <v>0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:Y73" si="143">IF(W51=0,0,W51/W62)</f>
        <v>0</v>
      </c>
      <c r="X73" s="118">
        <f t="shared" si="143"/>
        <v>0</v>
      </c>
      <c r="Y73" s="118">
        <f t="shared" si="143"/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</v>
      </c>
      <c r="C74" s="119">
        <f t="shared" si="141"/>
        <v>0</v>
      </c>
      <c r="D74" s="119">
        <f t="shared" si="141"/>
        <v>0</v>
      </c>
      <c r="E74" s="119">
        <f t="shared" si="141"/>
        <v>0</v>
      </c>
      <c r="F74" s="119">
        <f t="shared" si="141"/>
        <v>0</v>
      </c>
      <c r="G74" s="119">
        <f t="shared" si="141"/>
        <v>0</v>
      </c>
      <c r="H74" s="119">
        <f t="shared" si="141"/>
        <v>0</v>
      </c>
      <c r="I74" s="119">
        <f t="shared" si="141"/>
        <v>0</v>
      </c>
      <c r="J74" s="119">
        <f t="shared" si="141"/>
        <v>0</v>
      </c>
      <c r="K74" s="119">
        <f t="shared" ref="K74:V74" si="144">IF(K52=0,0,K52/K63)</f>
        <v>0</v>
      </c>
      <c r="L74" s="119">
        <f t="shared" si="144"/>
        <v>0</v>
      </c>
      <c r="M74" s="119">
        <f t="shared" si="144"/>
        <v>0</v>
      </c>
      <c r="N74" s="119">
        <f t="shared" si="144"/>
        <v>0</v>
      </c>
      <c r="O74" s="119">
        <f t="shared" si="144"/>
        <v>0</v>
      </c>
      <c r="P74" s="119">
        <f t="shared" si="144"/>
        <v>0</v>
      </c>
      <c r="Q74" s="119">
        <f t="shared" si="144"/>
        <v>0</v>
      </c>
      <c r="R74" s="119">
        <f t="shared" si="144"/>
        <v>0</v>
      </c>
      <c r="S74" s="119">
        <f t="shared" si="144"/>
        <v>0</v>
      </c>
      <c r="T74" s="119">
        <f t="shared" si="144"/>
        <v>0</v>
      </c>
      <c r="U74" s="119">
        <f t="shared" si="144"/>
        <v>0</v>
      </c>
      <c r="V74" s="119">
        <f t="shared" si="144"/>
        <v>0</v>
      </c>
      <c r="W74" s="119">
        <f t="shared" ref="W74:Y74" si="145">IF(W52=0,0,W52/W63)</f>
        <v>0</v>
      </c>
      <c r="X74" s="119">
        <f t="shared" si="145"/>
        <v>0</v>
      </c>
      <c r="Y74" s="119">
        <f t="shared" si="145"/>
        <v>0</v>
      </c>
      <c r="DA74" s="176"/>
    </row>
    <row r="75" spans="1:105" ht="11.45" customHeight="1" x14ac:dyDescent="0.25">
      <c r="A75" s="111" t="s">
        <v>92</v>
      </c>
      <c r="B75" s="120">
        <f t="shared" si="141"/>
        <v>0</v>
      </c>
      <c r="C75" s="120">
        <f t="shared" si="141"/>
        <v>0</v>
      </c>
      <c r="D75" s="120">
        <f t="shared" si="141"/>
        <v>0</v>
      </c>
      <c r="E75" s="120">
        <f t="shared" si="141"/>
        <v>0</v>
      </c>
      <c r="F75" s="120">
        <f t="shared" si="141"/>
        <v>0</v>
      </c>
      <c r="G75" s="120">
        <f t="shared" si="141"/>
        <v>0</v>
      </c>
      <c r="H75" s="120">
        <f t="shared" si="141"/>
        <v>0</v>
      </c>
      <c r="I75" s="120">
        <f t="shared" si="141"/>
        <v>0</v>
      </c>
      <c r="J75" s="120">
        <f t="shared" si="141"/>
        <v>0</v>
      </c>
      <c r="K75" s="120">
        <f t="shared" ref="K75:V75" si="146">IF(K53=0,0,K53/K64)</f>
        <v>0</v>
      </c>
      <c r="L75" s="120">
        <f t="shared" si="146"/>
        <v>0</v>
      </c>
      <c r="M75" s="120">
        <f t="shared" si="146"/>
        <v>0</v>
      </c>
      <c r="N75" s="120">
        <f t="shared" si="146"/>
        <v>0</v>
      </c>
      <c r="O75" s="120">
        <f t="shared" si="146"/>
        <v>0</v>
      </c>
      <c r="P75" s="120">
        <f t="shared" si="146"/>
        <v>0</v>
      </c>
      <c r="Q75" s="120">
        <f t="shared" si="146"/>
        <v>0</v>
      </c>
      <c r="R75" s="120">
        <f t="shared" si="146"/>
        <v>0</v>
      </c>
      <c r="S75" s="120">
        <f t="shared" si="146"/>
        <v>0</v>
      </c>
      <c r="T75" s="120">
        <f t="shared" si="146"/>
        <v>0</v>
      </c>
      <c r="U75" s="120">
        <f t="shared" si="146"/>
        <v>0</v>
      </c>
      <c r="V75" s="120">
        <f t="shared" si="146"/>
        <v>0</v>
      </c>
      <c r="W75" s="120">
        <f t="shared" ref="W75:Y75" si="147">IF(W53=0,0,W53/W64)</f>
        <v>0</v>
      </c>
      <c r="X75" s="120">
        <f t="shared" si="147"/>
        <v>0</v>
      </c>
      <c r="Y75" s="120">
        <f t="shared" si="147"/>
        <v>0</v>
      </c>
      <c r="DA75" s="171"/>
    </row>
    <row r="76" spans="1:105" ht="11.45" customHeight="1" x14ac:dyDescent="0.25">
      <c r="A76" s="111" t="s">
        <v>93</v>
      </c>
      <c r="B76" s="120">
        <f t="shared" si="141"/>
        <v>0</v>
      </c>
      <c r="C76" s="120">
        <f t="shared" si="141"/>
        <v>0</v>
      </c>
      <c r="D76" s="120">
        <f t="shared" si="141"/>
        <v>0</v>
      </c>
      <c r="E76" s="120">
        <f t="shared" si="141"/>
        <v>0</v>
      </c>
      <c r="F76" s="120">
        <f t="shared" si="141"/>
        <v>0</v>
      </c>
      <c r="G76" s="120">
        <f t="shared" si="141"/>
        <v>0</v>
      </c>
      <c r="H76" s="120">
        <f t="shared" si="141"/>
        <v>0</v>
      </c>
      <c r="I76" s="120">
        <f t="shared" si="141"/>
        <v>0</v>
      </c>
      <c r="J76" s="120">
        <f t="shared" si="141"/>
        <v>0</v>
      </c>
      <c r="K76" s="120">
        <f t="shared" ref="K76:V76" si="148">IF(K54=0,0,K54/K65)</f>
        <v>0</v>
      </c>
      <c r="L76" s="120">
        <f t="shared" si="148"/>
        <v>0</v>
      </c>
      <c r="M76" s="120">
        <f t="shared" si="148"/>
        <v>0</v>
      </c>
      <c r="N76" s="120">
        <f t="shared" si="148"/>
        <v>0</v>
      </c>
      <c r="O76" s="120">
        <f t="shared" si="148"/>
        <v>0</v>
      </c>
      <c r="P76" s="120">
        <f t="shared" si="148"/>
        <v>0</v>
      </c>
      <c r="Q76" s="120">
        <f t="shared" si="148"/>
        <v>0</v>
      </c>
      <c r="R76" s="120">
        <f t="shared" si="148"/>
        <v>0</v>
      </c>
      <c r="S76" s="120">
        <f t="shared" si="148"/>
        <v>0</v>
      </c>
      <c r="T76" s="120">
        <f t="shared" si="148"/>
        <v>0</v>
      </c>
      <c r="U76" s="120">
        <f t="shared" si="148"/>
        <v>0</v>
      </c>
      <c r="V76" s="120">
        <f t="shared" si="148"/>
        <v>0</v>
      </c>
      <c r="W76" s="120">
        <f t="shared" ref="W76:Y76" si="149">IF(W54=0,0,W54/W65)</f>
        <v>0</v>
      </c>
      <c r="X76" s="120">
        <f t="shared" si="149"/>
        <v>0</v>
      </c>
      <c r="Y76" s="120">
        <f t="shared" si="149"/>
        <v>0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</v>
      </c>
      <c r="C78" s="30">
        <f t="shared" si="141"/>
        <v>0</v>
      </c>
      <c r="D78" s="30">
        <f t="shared" si="141"/>
        <v>0</v>
      </c>
      <c r="E78" s="30">
        <f t="shared" si="141"/>
        <v>0</v>
      </c>
      <c r="F78" s="30">
        <f t="shared" si="141"/>
        <v>0</v>
      </c>
      <c r="G78" s="30">
        <f t="shared" si="141"/>
        <v>0</v>
      </c>
      <c r="H78" s="30">
        <f t="shared" si="141"/>
        <v>0</v>
      </c>
      <c r="I78" s="30">
        <f t="shared" si="141"/>
        <v>0</v>
      </c>
      <c r="J78" s="30">
        <f t="shared" si="141"/>
        <v>0</v>
      </c>
      <c r="K78" s="30">
        <f t="shared" ref="K78:V78" si="152">IF(K56=0,0,K56/K67)</f>
        <v>0</v>
      </c>
      <c r="L78" s="30">
        <f t="shared" si="152"/>
        <v>0</v>
      </c>
      <c r="M78" s="30">
        <f t="shared" si="152"/>
        <v>0</v>
      </c>
      <c r="N78" s="30">
        <f t="shared" si="152"/>
        <v>0</v>
      </c>
      <c r="O78" s="30">
        <f t="shared" si="152"/>
        <v>0</v>
      </c>
      <c r="P78" s="30">
        <f t="shared" si="152"/>
        <v>0</v>
      </c>
      <c r="Q78" s="30">
        <f t="shared" si="152"/>
        <v>0</v>
      </c>
      <c r="R78" s="30">
        <f t="shared" si="152"/>
        <v>0</v>
      </c>
      <c r="S78" s="30">
        <f t="shared" si="152"/>
        <v>0</v>
      </c>
      <c r="T78" s="30">
        <f t="shared" si="152"/>
        <v>0</v>
      </c>
      <c r="U78" s="30">
        <f t="shared" si="152"/>
        <v>0</v>
      </c>
      <c r="V78" s="30">
        <f t="shared" si="152"/>
        <v>0</v>
      </c>
      <c r="W78" s="30">
        <f t="shared" ref="W78:Y78" si="153">IF(W56=0,0,W56/W67)</f>
        <v>0</v>
      </c>
      <c r="X78" s="30">
        <f t="shared" si="153"/>
        <v>0</v>
      </c>
      <c r="Y78" s="30">
        <f t="shared" si="153"/>
        <v>0</v>
      </c>
      <c r="DA78" s="173"/>
    </row>
    <row r="79" spans="1:105" ht="11.45" customHeight="1" x14ac:dyDescent="0.25">
      <c r="A79" s="83" t="s">
        <v>92</v>
      </c>
      <c r="B79" s="120">
        <f t="shared" si="141"/>
        <v>0</v>
      </c>
      <c r="C79" s="120">
        <f t="shared" si="141"/>
        <v>0</v>
      </c>
      <c r="D79" s="120">
        <f t="shared" si="141"/>
        <v>0</v>
      </c>
      <c r="E79" s="120">
        <f t="shared" si="141"/>
        <v>0</v>
      </c>
      <c r="F79" s="120">
        <f t="shared" si="141"/>
        <v>0</v>
      </c>
      <c r="G79" s="120">
        <f t="shared" si="141"/>
        <v>0</v>
      </c>
      <c r="H79" s="120">
        <f t="shared" si="141"/>
        <v>0</v>
      </c>
      <c r="I79" s="120">
        <f t="shared" si="141"/>
        <v>0</v>
      </c>
      <c r="J79" s="120">
        <f t="shared" si="141"/>
        <v>0</v>
      </c>
      <c r="K79" s="120">
        <f t="shared" ref="K79:V79" si="154">IF(K57=0,0,K57/K68)</f>
        <v>0</v>
      </c>
      <c r="L79" s="120">
        <f t="shared" si="154"/>
        <v>0</v>
      </c>
      <c r="M79" s="120">
        <f t="shared" si="154"/>
        <v>0</v>
      </c>
      <c r="N79" s="120">
        <f t="shared" si="154"/>
        <v>0</v>
      </c>
      <c r="O79" s="120">
        <f t="shared" si="154"/>
        <v>0</v>
      </c>
      <c r="P79" s="120">
        <f t="shared" si="154"/>
        <v>0</v>
      </c>
      <c r="Q79" s="120">
        <f t="shared" si="154"/>
        <v>0</v>
      </c>
      <c r="R79" s="120">
        <f t="shared" si="154"/>
        <v>0</v>
      </c>
      <c r="S79" s="120">
        <f t="shared" si="154"/>
        <v>0</v>
      </c>
      <c r="T79" s="120">
        <f t="shared" si="154"/>
        <v>0</v>
      </c>
      <c r="U79" s="120">
        <f t="shared" si="154"/>
        <v>0</v>
      </c>
      <c r="V79" s="120">
        <f t="shared" si="154"/>
        <v>0</v>
      </c>
      <c r="W79" s="120">
        <f t="shared" ref="W79:Y79" si="155">IF(W57=0,0,W57/W68)</f>
        <v>0</v>
      </c>
      <c r="X79" s="120">
        <f t="shared" si="155"/>
        <v>0</v>
      </c>
      <c r="Y79" s="120">
        <f t="shared" si="155"/>
        <v>0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:Y80" si="157">IF(W58=0,0,W58/W69)</f>
        <v>0</v>
      </c>
      <c r="X80" s="122">
        <f t="shared" si="157"/>
        <v>0</v>
      </c>
      <c r="Y80" s="122">
        <f t="shared" si="157"/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0</v>
      </c>
      <c r="C82" s="54">
        <f t="shared" si="158"/>
        <v>0</v>
      </c>
      <c r="D82" s="54">
        <f t="shared" si="158"/>
        <v>0</v>
      </c>
      <c r="E82" s="54">
        <f t="shared" si="158"/>
        <v>0</v>
      </c>
      <c r="F82" s="54">
        <f t="shared" si="158"/>
        <v>0</v>
      </c>
      <c r="G82" s="54">
        <f t="shared" si="158"/>
        <v>0</v>
      </c>
      <c r="H82" s="54">
        <f t="shared" si="158"/>
        <v>0</v>
      </c>
      <c r="I82" s="54">
        <f t="shared" si="158"/>
        <v>0</v>
      </c>
      <c r="J82" s="54">
        <f t="shared" si="158"/>
        <v>0</v>
      </c>
      <c r="K82" s="54">
        <f t="shared" ref="K82:V82" si="159">IF(K14=0,0,K14/K25*1000000)</f>
        <v>0</v>
      </c>
      <c r="L82" s="54">
        <f t="shared" si="159"/>
        <v>0</v>
      </c>
      <c r="M82" s="54">
        <f t="shared" si="159"/>
        <v>0</v>
      </c>
      <c r="N82" s="54">
        <f t="shared" si="159"/>
        <v>0</v>
      </c>
      <c r="O82" s="54">
        <f t="shared" si="159"/>
        <v>0</v>
      </c>
      <c r="P82" s="54">
        <f t="shared" si="159"/>
        <v>0</v>
      </c>
      <c r="Q82" s="54">
        <f t="shared" si="159"/>
        <v>0</v>
      </c>
      <c r="R82" s="54">
        <f t="shared" si="159"/>
        <v>0</v>
      </c>
      <c r="S82" s="54">
        <f t="shared" si="159"/>
        <v>0</v>
      </c>
      <c r="T82" s="54">
        <f t="shared" si="159"/>
        <v>0</v>
      </c>
      <c r="U82" s="54">
        <f t="shared" si="159"/>
        <v>0</v>
      </c>
      <c r="V82" s="54">
        <f t="shared" si="159"/>
        <v>0</v>
      </c>
      <c r="W82" s="54">
        <f t="shared" ref="W82:Y82" si="160">IF(W14=0,0,W14/W25*1000000)</f>
        <v>0</v>
      </c>
      <c r="X82" s="54">
        <f t="shared" si="160"/>
        <v>0</v>
      </c>
      <c r="Y82" s="54">
        <f t="shared" si="160"/>
        <v>0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0</v>
      </c>
      <c r="C83" s="28">
        <f t="shared" si="161"/>
        <v>0</v>
      </c>
      <c r="D83" s="28">
        <f t="shared" si="161"/>
        <v>0</v>
      </c>
      <c r="E83" s="28">
        <f t="shared" si="161"/>
        <v>0</v>
      </c>
      <c r="F83" s="28">
        <f t="shared" si="161"/>
        <v>0</v>
      </c>
      <c r="G83" s="28">
        <f t="shared" si="161"/>
        <v>0</v>
      </c>
      <c r="H83" s="28">
        <f t="shared" si="161"/>
        <v>0</v>
      </c>
      <c r="I83" s="28">
        <f t="shared" si="161"/>
        <v>0</v>
      </c>
      <c r="J83" s="28">
        <f t="shared" si="161"/>
        <v>0</v>
      </c>
      <c r="K83" s="28">
        <f t="shared" ref="K83:V83" si="162">IF(K15=0,0,K15/K26*1000000)</f>
        <v>0</v>
      </c>
      <c r="L83" s="28">
        <f t="shared" si="162"/>
        <v>0</v>
      </c>
      <c r="M83" s="28">
        <f t="shared" si="162"/>
        <v>0</v>
      </c>
      <c r="N83" s="28">
        <f t="shared" si="162"/>
        <v>0</v>
      </c>
      <c r="O83" s="28">
        <f t="shared" si="162"/>
        <v>0</v>
      </c>
      <c r="P83" s="28">
        <f t="shared" si="162"/>
        <v>0</v>
      </c>
      <c r="Q83" s="28">
        <f t="shared" si="162"/>
        <v>0</v>
      </c>
      <c r="R83" s="28">
        <f t="shared" si="162"/>
        <v>0</v>
      </c>
      <c r="S83" s="28">
        <f t="shared" si="162"/>
        <v>0</v>
      </c>
      <c r="T83" s="28">
        <f t="shared" si="162"/>
        <v>0</v>
      </c>
      <c r="U83" s="28">
        <f t="shared" si="162"/>
        <v>0</v>
      </c>
      <c r="V83" s="28">
        <f t="shared" si="162"/>
        <v>0</v>
      </c>
      <c r="W83" s="28">
        <f t="shared" ref="W83:Y83" si="163">IF(W15=0,0,W15/W26*1000000)</f>
        <v>0</v>
      </c>
      <c r="X83" s="28">
        <f t="shared" si="163"/>
        <v>0</v>
      </c>
      <c r="Y83" s="28">
        <f t="shared" si="163"/>
        <v>0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:Y84" si="165">IF(W16=0,0,W16/W27*1000000)</f>
        <v>0</v>
      </c>
      <c r="X84" s="108">
        <f t="shared" si="165"/>
        <v>0</v>
      </c>
      <c r="Y84" s="108">
        <f t="shared" si="165"/>
        <v>0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0</v>
      </c>
      <c r="C85" s="110">
        <f t="shared" si="161"/>
        <v>0</v>
      </c>
      <c r="D85" s="110">
        <f t="shared" si="161"/>
        <v>0</v>
      </c>
      <c r="E85" s="110">
        <f t="shared" si="161"/>
        <v>0</v>
      </c>
      <c r="F85" s="110">
        <f t="shared" si="161"/>
        <v>0</v>
      </c>
      <c r="G85" s="110">
        <f t="shared" si="161"/>
        <v>0</v>
      </c>
      <c r="H85" s="110">
        <f t="shared" si="161"/>
        <v>0</v>
      </c>
      <c r="I85" s="110">
        <f t="shared" si="161"/>
        <v>0</v>
      </c>
      <c r="J85" s="110">
        <f t="shared" si="161"/>
        <v>0</v>
      </c>
      <c r="K85" s="110">
        <f t="shared" ref="K85:V85" si="166">IF(K17=0,0,K17/K28*1000000)</f>
        <v>0</v>
      </c>
      <c r="L85" s="110">
        <f t="shared" si="166"/>
        <v>0</v>
      </c>
      <c r="M85" s="110">
        <f t="shared" si="166"/>
        <v>0</v>
      </c>
      <c r="N85" s="110">
        <f t="shared" si="166"/>
        <v>0</v>
      </c>
      <c r="O85" s="110">
        <f t="shared" si="166"/>
        <v>0</v>
      </c>
      <c r="P85" s="110">
        <f t="shared" si="166"/>
        <v>0</v>
      </c>
      <c r="Q85" s="110">
        <f t="shared" si="166"/>
        <v>0</v>
      </c>
      <c r="R85" s="110">
        <f t="shared" si="166"/>
        <v>0</v>
      </c>
      <c r="S85" s="110">
        <f t="shared" si="166"/>
        <v>0</v>
      </c>
      <c r="T85" s="110">
        <f t="shared" si="166"/>
        <v>0</v>
      </c>
      <c r="U85" s="110">
        <f t="shared" si="166"/>
        <v>0</v>
      </c>
      <c r="V85" s="110">
        <f t="shared" si="166"/>
        <v>0</v>
      </c>
      <c r="W85" s="110">
        <f t="shared" ref="W85:Y85" si="167">IF(W17=0,0,W17/W28*1000000)</f>
        <v>0</v>
      </c>
      <c r="X85" s="110">
        <f t="shared" si="167"/>
        <v>0</v>
      </c>
      <c r="Y85" s="110">
        <f t="shared" si="167"/>
        <v>0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0</v>
      </c>
      <c r="C86" s="84">
        <f t="shared" si="161"/>
        <v>0</v>
      </c>
      <c r="D86" s="84">
        <f t="shared" si="161"/>
        <v>0</v>
      </c>
      <c r="E86" s="84">
        <f t="shared" si="161"/>
        <v>0</v>
      </c>
      <c r="F86" s="84">
        <f t="shared" si="161"/>
        <v>0</v>
      </c>
      <c r="G86" s="84">
        <f t="shared" si="161"/>
        <v>0</v>
      </c>
      <c r="H86" s="84">
        <f t="shared" si="161"/>
        <v>0</v>
      </c>
      <c r="I86" s="84">
        <f t="shared" si="161"/>
        <v>0</v>
      </c>
      <c r="J86" s="84">
        <f t="shared" si="161"/>
        <v>0</v>
      </c>
      <c r="K86" s="84">
        <f t="shared" ref="K86:V86" si="168">IF(K18=0,0,K18/K29*1000000)</f>
        <v>0</v>
      </c>
      <c r="L86" s="84">
        <f t="shared" si="168"/>
        <v>0</v>
      </c>
      <c r="M86" s="84">
        <f t="shared" si="168"/>
        <v>0</v>
      </c>
      <c r="N86" s="84">
        <f t="shared" si="168"/>
        <v>0</v>
      </c>
      <c r="O86" s="84">
        <f t="shared" si="168"/>
        <v>0</v>
      </c>
      <c r="P86" s="84">
        <f t="shared" si="168"/>
        <v>0</v>
      </c>
      <c r="Q86" s="84">
        <f t="shared" si="168"/>
        <v>0</v>
      </c>
      <c r="R86" s="84">
        <f t="shared" si="168"/>
        <v>0</v>
      </c>
      <c r="S86" s="84">
        <f t="shared" si="168"/>
        <v>0</v>
      </c>
      <c r="T86" s="84">
        <f t="shared" si="168"/>
        <v>0</v>
      </c>
      <c r="U86" s="84">
        <f t="shared" si="168"/>
        <v>0</v>
      </c>
      <c r="V86" s="84">
        <f t="shared" si="168"/>
        <v>0</v>
      </c>
      <c r="W86" s="84">
        <f t="shared" ref="W86:Y86" si="169">IF(W18=0,0,W18/W29*1000000)</f>
        <v>0</v>
      </c>
      <c r="X86" s="84">
        <f t="shared" si="169"/>
        <v>0</v>
      </c>
      <c r="Y86" s="84">
        <f t="shared" si="169"/>
        <v>0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0</v>
      </c>
      <c r="C87" s="84">
        <f t="shared" si="161"/>
        <v>0</v>
      </c>
      <c r="D87" s="84">
        <f t="shared" si="161"/>
        <v>0</v>
      </c>
      <c r="E87" s="84">
        <f t="shared" si="161"/>
        <v>0</v>
      </c>
      <c r="F87" s="84">
        <f t="shared" si="161"/>
        <v>0</v>
      </c>
      <c r="G87" s="84">
        <f t="shared" si="161"/>
        <v>0</v>
      </c>
      <c r="H87" s="84">
        <f t="shared" si="161"/>
        <v>0</v>
      </c>
      <c r="I87" s="84">
        <f t="shared" si="161"/>
        <v>0</v>
      </c>
      <c r="J87" s="84">
        <f t="shared" si="161"/>
        <v>0</v>
      </c>
      <c r="K87" s="84">
        <f t="shared" ref="K87:V87" si="170">IF(K19=0,0,K19/K30*1000000)</f>
        <v>0</v>
      </c>
      <c r="L87" s="84">
        <f t="shared" si="170"/>
        <v>0</v>
      </c>
      <c r="M87" s="84">
        <f t="shared" si="170"/>
        <v>0</v>
      </c>
      <c r="N87" s="84">
        <f t="shared" si="170"/>
        <v>0</v>
      </c>
      <c r="O87" s="84">
        <f t="shared" si="170"/>
        <v>0</v>
      </c>
      <c r="P87" s="84">
        <f t="shared" si="170"/>
        <v>0</v>
      </c>
      <c r="Q87" s="84">
        <f t="shared" si="170"/>
        <v>0</v>
      </c>
      <c r="R87" s="84">
        <f t="shared" si="170"/>
        <v>0</v>
      </c>
      <c r="S87" s="84">
        <f t="shared" si="170"/>
        <v>0</v>
      </c>
      <c r="T87" s="84">
        <f t="shared" si="170"/>
        <v>0</v>
      </c>
      <c r="U87" s="84">
        <f t="shared" si="170"/>
        <v>0</v>
      </c>
      <c r="V87" s="84">
        <f t="shared" si="170"/>
        <v>0</v>
      </c>
      <c r="W87" s="84">
        <f t="shared" ref="W87:Y87" si="171">IF(W19=0,0,W19/W30*1000000)</f>
        <v>0</v>
      </c>
      <c r="X87" s="84">
        <f t="shared" si="171"/>
        <v>0</v>
      </c>
      <c r="Y87" s="84">
        <f t="shared" si="171"/>
        <v>0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0</v>
      </c>
      <c r="C89" s="28">
        <f t="shared" si="161"/>
        <v>0</v>
      </c>
      <c r="D89" s="28">
        <f t="shared" si="161"/>
        <v>0</v>
      </c>
      <c r="E89" s="28">
        <f t="shared" si="161"/>
        <v>0</v>
      </c>
      <c r="F89" s="28">
        <f t="shared" si="161"/>
        <v>0</v>
      </c>
      <c r="G89" s="28">
        <f t="shared" si="161"/>
        <v>0</v>
      </c>
      <c r="H89" s="28">
        <f t="shared" si="161"/>
        <v>0</v>
      </c>
      <c r="I89" s="28">
        <f t="shared" si="161"/>
        <v>0</v>
      </c>
      <c r="J89" s="28">
        <f t="shared" si="161"/>
        <v>0</v>
      </c>
      <c r="K89" s="28">
        <f t="shared" ref="K89:V89" si="174">IF(K21=0,0,K21/K32*1000000)</f>
        <v>0</v>
      </c>
      <c r="L89" s="28">
        <f t="shared" si="174"/>
        <v>0</v>
      </c>
      <c r="M89" s="28">
        <f t="shared" si="174"/>
        <v>0</v>
      </c>
      <c r="N89" s="28">
        <f t="shared" si="174"/>
        <v>0</v>
      </c>
      <c r="O89" s="28">
        <f t="shared" si="174"/>
        <v>0</v>
      </c>
      <c r="P89" s="28">
        <f t="shared" si="174"/>
        <v>0</v>
      </c>
      <c r="Q89" s="28">
        <f t="shared" si="174"/>
        <v>0</v>
      </c>
      <c r="R89" s="28">
        <f t="shared" si="174"/>
        <v>0</v>
      </c>
      <c r="S89" s="28">
        <f t="shared" si="174"/>
        <v>0</v>
      </c>
      <c r="T89" s="28">
        <f t="shared" si="174"/>
        <v>0</v>
      </c>
      <c r="U89" s="28">
        <f t="shared" si="174"/>
        <v>0</v>
      </c>
      <c r="V89" s="28">
        <f t="shared" si="174"/>
        <v>0</v>
      </c>
      <c r="W89" s="28">
        <f t="shared" ref="W89:Y89" si="175">IF(W21=0,0,W21/W32*1000000)</f>
        <v>0</v>
      </c>
      <c r="X89" s="28">
        <f t="shared" si="175"/>
        <v>0</v>
      </c>
      <c r="Y89" s="28">
        <f t="shared" si="175"/>
        <v>0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0</v>
      </c>
      <c r="C90" s="84">
        <f t="shared" si="161"/>
        <v>0</v>
      </c>
      <c r="D90" s="84">
        <f t="shared" si="161"/>
        <v>0</v>
      </c>
      <c r="E90" s="84">
        <f t="shared" si="161"/>
        <v>0</v>
      </c>
      <c r="F90" s="84">
        <f t="shared" si="161"/>
        <v>0</v>
      </c>
      <c r="G90" s="84">
        <f t="shared" si="161"/>
        <v>0</v>
      </c>
      <c r="H90" s="84">
        <f t="shared" si="161"/>
        <v>0</v>
      </c>
      <c r="I90" s="84">
        <f t="shared" si="161"/>
        <v>0</v>
      </c>
      <c r="J90" s="84">
        <f t="shared" si="161"/>
        <v>0</v>
      </c>
      <c r="K90" s="84">
        <f t="shared" ref="K90:V90" si="176">IF(K22=0,0,K22/K33*1000000)</f>
        <v>0</v>
      </c>
      <c r="L90" s="84">
        <f t="shared" si="176"/>
        <v>0</v>
      </c>
      <c r="M90" s="84">
        <f t="shared" si="176"/>
        <v>0</v>
      </c>
      <c r="N90" s="84">
        <f t="shared" si="176"/>
        <v>0</v>
      </c>
      <c r="O90" s="84">
        <f t="shared" si="176"/>
        <v>0</v>
      </c>
      <c r="P90" s="84">
        <f t="shared" si="176"/>
        <v>0</v>
      </c>
      <c r="Q90" s="84">
        <f t="shared" si="176"/>
        <v>0</v>
      </c>
      <c r="R90" s="84">
        <f t="shared" si="176"/>
        <v>0</v>
      </c>
      <c r="S90" s="84">
        <f t="shared" si="176"/>
        <v>0</v>
      </c>
      <c r="T90" s="84">
        <f t="shared" si="176"/>
        <v>0</v>
      </c>
      <c r="U90" s="84">
        <f t="shared" si="176"/>
        <v>0</v>
      </c>
      <c r="V90" s="84">
        <f t="shared" si="176"/>
        <v>0</v>
      </c>
      <c r="W90" s="84">
        <f t="shared" ref="W90:Y90" si="177">IF(W22=0,0,W22/W33*1000000)</f>
        <v>0</v>
      </c>
      <c r="X90" s="84">
        <f t="shared" si="177"/>
        <v>0</v>
      </c>
      <c r="Y90" s="84">
        <f t="shared" si="177"/>
        <v>0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:Y91" si="179">IF(W23=0,0,W23/W34*1000000)</f>
        <v>0</v>
      </c>
      <c r="X91" s="86">
        <f t="shared" si="179"/>
        <v>0</v>
      </c>
      <c r="Y91" s="86">
        <f t="shared" si="179"/>
        <v>0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0</v>
      </c>
      <c r="C94" s="28">
        <f t="shared" si="180"/>
        <v>0</v>
      </c>
      <c r="D94" s="28">
        <f t="shared" si="180"/>
        <v>0</v>
      </c>
      <c r="E94" s="28">
        <f t="shared" si="180"/>
        <v>0</v>
      </c>
      <c r="F94" s="28">
        <f t="shared" si="180"/>
        <v>0</v>
      </c>
      <c r="G94" s="28">
        <f t="shared" si="180"/>
        <v>0</v>
      </c>
      <c r="H94" s="28">
        <f t="shared" si="180"/>
        <v>0</v>
      </c>
      <c r="I94" s="28">
        <f t="shared" si="180"/>
        <v>0</v>
      </c>
      <c r="J94" s="28">
        <f t="shared" si="180"/>
        <v>0</v>
      </c>
      <c r="K94" s="28">
        <f t="shared" ref="K94:V94" si="181">IF(K4=0,0,K4/K26*1000000)</f>
        <v>0</v>
      </c>
      <c r="L94" s="28">
        <f t="shared" si="181"/>
        <v>0</v>
      </c>
      <c r="M94" s="28">
        <f t="shared" si="181"/>
        <v>0</v>
      </c>
      <c r="N94" s="28">
        <f t="shared" si="181"/>
        <v>0</v>
      </c>
      <c r="O94" s="28">
        <f t="shared" si="181"/>
        <v>0</v>
      </c>
      <c r="P94" s="28">
        <f t="shared" si="181"/>
        <v>0</v>
      </c>
      <c r="Q94" s="28">
        <f t="shared" si="181"/>
        <v>0</v>
      </c>
      <c r="R94" s="28">
        <f t="shared" si="181"/>
        <v>0</v>
      </c>
      <c r="S94" s="28">
        <f t="shared" si="181"/>
        <v>0</v>
      </c>
      <c r="T94" s="28">
        <f t="shared" si="181"/>
        <v>0</v>
      </c>
      <c r="U94" s="28">
        <f t="shared" si="181"/>
        <v>0</v>
      </c>
      <c r="V94" s="28">
        <f t="shared" si="181"/>
        <v>0</v>
      </c>
      <c r="W94" s="28">
        <f t="shared" ref="W94:Y94" si="182">IF(W4=0,0,W4/W26*1000000)</f>
        <v>0</v>
      </c>
      <c r="X94" s="28">
        <f t="shared" si="182"/>
        <v>0</v>
      </c>
      <c r="Y94" s="28">
        <f t="shared" si="182"/>
        <v>0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:Y95" si="184">IF(W5=0,0,W5/W27*1000000)</f>
        <v>0</v>
      </c>
      <c r="X95" s="108">
        <f t="shared" si="184"/>
        <v>0</v>
      </c>
      <c r="Y95" s="108">
        <f t="shared" si="184"/>
        <v>0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0</v>
      </c>
      <c r="C96" s="110">
        <f t="shared" si="180"/>
        <v>0</v>
      </c>
      <c r="D96" s="110">
        <f t="shared" si="180"/>
        <v>0</v>
      </c>
      <c r="E96" s="110">
        <f t="shared" si="180"/>
        <v>0</v>
      </c>
      <c r="F96" s="110">
        <f t="shared" si="180"/>
        <v>0</v>
      </c>
      <c r="G96" s="110">
        <f t="shared" si="180"/>
        <v>0</v>
      </c>
      <c r="H96" s="110">
        <f t="shared" si="180"/>
        <v>0</v>
      </c>
      <c r="I96" s="110">
        <f t="shared" si="180"/>
        <v>0</v>
      </c>
      <c r="J96" s="110">
        <f t="shared" si="180"/>
        <v>0</v>
      </c>
      <c r="K96" s="110">
        <f t="shared" ref="K96:V96" si="185">IF(K6=0,0,K6/K28*1000000)</f>
        <v>0</v>
      </c>
      <c r="L96" s="110">
        <f t="shared" si="185"/>
        <v>0</v>
      </c>
      <c r="M96" s="110">
        <f t="shared" si="185"/>
        <v>0</v>
      </c>
      <c r="N96" s="110">
        <f t="shared" si="185"/>
        <v>0</v>
      </c>
      <c r="O96" s="110">
        <f t="shared" si="185"/>
        <v>0</v>
      </c>
      <c r="P96" s="110">
        <f t="shared" si="185"/>
        <v>0</v>
      </c>
      <c r="Q96" s="110">
        <f t="shared" si="185"/>
        <v>0</v>
      </c>
      <c r="R96" s="110">
        <f t="shared" si="185"/>
        <v>0</v>
      </c>
      <c r="S96" s="110">
        <f t="shared" si="185"/>
        <v>0</v>
      </c>
      <c r="T96" s="110">
        <f t="shared" si="185"/>
        <v>0</v>
      </c>
      <c r="U96" s="110">
        <f t="shared" si="185"/>
        <v>0</v>
      </c>
      <c r="V96" s="110">
        <f t="shared" si="185"/>
        <v>0</v>
      </c>
      <c r="W96" s="110">
        <f t="shared" ref="W96:Y96" si="186">IF(W6=0,0,W6/W28*1000000)</f>
        <v>0</v>
      </c>
      <c r="X96" s="110">
        <f t="shared" si="186"/>
        <v>0</v>
      </c>
      <c r="Y96" s="110">
        <f t="shared" si="186"/>
        <v>0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0</v>
      </c>
      <c r="C97" s="84">
        <f t="shared" si="180"/>
        <v>0</v>
      </c>
      <c r="D97" s="84">
        <f t="shared" si="180"/>
        <v>0</v>
      </c>
      <c r="E97" s="84">
        <f t="shared" si="180"/>
        <v>0</v>
      </c>
      <c r="F97" s="84">
        <f t="shared" si="180"/>
        <v>0</v>
      </c>
      <c r="G97" s="84">
        <f t="shared" si="180"/>
        <v>0</v>
      </c>
      <c r="H97" s="84">
        <f t="shared" si="180"/>
        <v>0</v>
      </c>
      <c r="I97" s="84">
        <f t="shared" si="180"/>
        <v>0</v>
      </c>
      <c r="J97" s="84">
        <f t="shared" si="180"/>
        <v>0</v>
      </c>
      <c r="K97" s="84">
        <f t="shared" ref="K97:V97" si="187">IF(K7=0,0,K7/K29*1000000)</f>
        <v>0</v>
      </c>
      <c r="L97" s="84">
        <f t="shared" si="187"/>
        <v>0</v>
      </c>
      <c r="M97" s="84">
        <f t="shared" si="187"/>
        <v>0</v>
      </c>
      <c r="N97" s="84">
        <f t="shared" si="187"/>
        <v>0</v>
      </c>
      <c r="O97" s="84">
        <f t="shared" si="187"/>
        <v>0</v>
      </c>
      <c r="P97" s="84">
        <f t="shared" si="187"/>
        <v>0</v>
      </c>
      <c r="Q97" s="84">
        <f t="shared" si="187"/>
        <v>0</v>
      </c>
      <c r="R97" s="84">
        <f t="shared" si="187"/>
        <v>0</v>
      </c>
      <c r="S97" s="84">
        <f t="shared" si="187"/>
        <v>0</v>
      </c>
      <c r="T97" s="84">
        <f t="shared" si="187"/>
        <v>0</v>
      </c>
      <c r="U97" s="84">
        <f t="shared" si="187"/>
        <v>0</v>
      </c>
      <c r="V97" s="84">
        <f t="shared" si="187"/>
        <v>0</v>
      </c>
      <c r="W97" s="84">
        <f t="shared" ref="W97:Y97" si="188">IF(W7=0,0,W7/W29*1000000)</f>
        <v>0</v>
      </c>
      <c r="X97" s="84">
        <f t="shared" si="188"/>
        <v>0</v>
      </c>
      <c r="Y97" s="84">
        <f t="shared" si="188"/>
        <v>0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0</v>
      </c>
      <c r="C98" s="84">
        <f t="shared" si="180"/>
        <v>0</v>
      </c>
      <c r="D98" s="84">
        <f t="shared" si="180"/>
        <v>0</v>
      </c>
      <c r="E98" s="84">
        <f t="shared" si="180"/>
        <v>0</v>
      </c>
      <c r="F98" s="84">
        <f t="shared" si="180"/>
        <v>0</v>
      </c>
      <c r="G98" s="84">
        <f t="shared" si="180"/>
        <v>0</v>
      </c>
      <c r="H98" s="84">
        <f t="shared" si="180"/>
        <v>0</v>
      </c>
      <c r="I98" s="84">
        <f t="shared" si="180"/>
        <v>0</v>
      </c>
      <c r="J98" s="84">
        <f t="shared" si="180"/>
        <v>0</v>
      </c>
      <c r="K98" s="84">
        <f t="shared" ref="K98:V98" si="189">IF(K8=0,0,K8/K30*1000000)</f>
        <v>0</v>
      </c>
      <c r="L98" s="84">
        <f t="shared" si="189"/>
        <v>0</v>
      </c>
      <c r="M98" s="84">
        <f t="shared" si="189"/>
        <v>0</v>
      </c>
      <c r="N98" s="84">
        <f t="shared" si="189"/>
        <v>0</v>
      </c>
      <c r="O98" s="84">
        <f t="shared" si="189"/>
        <v>0</v>
      </c>
      <c r="P98" s="84">
        <f t="shared" si="189"/>
        <v>0</v>
      </c>
      <c r="Q98" s="84">
        <f t="shared" si="189"/>
        <v>0</v>
      </c>
      <c r="R98" s="84">
        <f t="shared" si="189"/>
        <v>0</v>
      </c>
      <c r="S98" s="84">
        <f t="shared" si="189"/>
        <v>0</v>
      </c>
      <c r="T98" s="84">
        <f t="shared" si="189"/>
        <v>0</v>
      </c>
      <c r="U98" s="84">
        <f t="shared" si="189"/>
        <v>0</v>
      </c>
      <c r="V98" s="84">
        <f t="shared" si="189"/>
        <v>0</v>
      </c>
      <c r="W98" s="84">
        <f t="shared" ref="W98:Y98" si="190">IF(W8=0,0,W8/W30*1000000)</f>
        <v>0</v>
      </c>
      <c r="X98" s="84">
        <f t="shared" si="190"/>
        <v>0</v>
      </c>
      <c r="Y98" s="84">
        <f t="shared" si="190"/>
        <v>0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0</v>
      </c>
      <c r="C100" s="28">
        <f t="shared" si="180"/>
        <v>0</v>
      </c>
      <c r="D100" s="28">
        <f t="shared" si="180"/>
        <v>0</v>
      </c>
      <c r="E100" s="28">
        <f t="shared" si="180"/>
        <v>0</v>
      </c>
      <c r="F100" s="28">
        <f t="shared" si="180"/>
        <v>0</v>
      </c>
      <c r="G100" s="28">
        <f t="shared" si="180"/>
        <v>0</v>
      </c>
      <c r="H100" s="28">
        <f t="shared" si="180"/>
        <v>0</v>
      </c>
      <c r="I100" s="28">
        <f t="shared" si="180"/>
        <v>0</v>
      </c>
      <c r="J100" s="28">
        <f t="shared" si="180"/>
        <v>0</v>
      </c>
      <c r="K100" s="28">
        <f t="shared" ref="K100:V100" si="193">IF(K10=0,0,K10/K32*1000000)</f>
        <v>0</v>
      </c>
      <c r="L100" s="28">
        <f t="shared" si="193"/>
        <v>0</v>
      </c>
      <c r="M100" s="28">
        <f t="shared" si="193"/>
        <v>0</v>
      </c>
      <c r="N100" s="28">
        <f t="shared" si="193"/>
        <v>0</v>
      </c>
      <c r="O100" s="28">
        <f t="shared" si="193"/>
        <v>0</v>
      </c>
      <c r="P100" s="28">
        <f t="shared" si="193"/>
        <v>0</v>
      </c>
      <c r="Q100" s="28">
        <f t="shared" si="193"/>
        <v>0</v>
      </c>
      <c r="R100" s="28">
        <f t="shared" si="193"/>
        <v>0</v>
      </c>
      <c r="S100" s="28">
        <f t="shared" si="193"/>
        <v>0</v>
      </c>
      <c r="T100" s="28">
        <f t="shared" si="193"/>
        <v>0</v>
      </c>
      <c r="U100" s="28">
        <f t="shared" si="193"/>
        <v>0</v>
      </c>
      <c r="V100" s="28">
        <f t="shared" si="193"/>
        <v>0</v>
      </c>
      <c r="W100" s="28">
        <f t="shared" ref="W100:Y100" si="194">IF(W10=0,0,W10/W32*1000000)</f>
        <v>0</v>
      </c>
      <c r="X100" s="28">
        <f t="shared" si="194"/>
        <v>0</v>
      </c>
      <c r="Y100" s="28">
        <f t="shared" si="194"/>
        <v>0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0</v>
      </c>
      <c r="C101" s="84">
        <f t="shared" si="180"/>
        <v>0</v>
      </c>
      <c r="D101" s="84">
        <f t="shared" si="180"/>
        <v>0</v>
      </c>
      <c r="E101" s="84">
        <f t="shared" si="180"/>
        <v>0</v>
      </c>
      <c r="F101" s="84">
        <f t="shared" si="180"/>
        <v>0</v>
      </c>
      <c r="G101" s="84">
        <f t="shared" si="180"/>
        <v>0</v>
      </c>
      <c r="H101" s="84">
        <f t="shared" si="180"/>
        <v>0</v>
      </c>
      <c r="I101" s="84">
        <f t="shared" si="180"/>
        <v>0</v>
      </c>
      <c r="J101" s="84">
        <f t="shared" si="180"/>
        <v>0</v>
      </c>
      <c r="K101" s="84">
        <f t="shared" ref="K101:V101" si="195">IF(K11=0,0,K11/K33*1000000)</f>
        <v>0</v>
      </c>
      <c r="L101" s="84">
        <f t="shared" si="195"/>
        <v>0</v>
      </c>
      <c r="M101" s="84">
        <f t="shared" si="195"/>
        <v>0</v>
      </c>
      <c r="N101" s="84">
        <f t="shared" si="195"/>
        <v>0</v>
      </c>
      <c r="O101" s="84">
        <f t="shared" si="195"/>
        <v>0</v>
      </c>
      <c r="P101" s="84">
        <f t="shared" si="195"/>
        <v>0</v>
      </c>
      <c r="Q101" s="84">
        <f t="shared" si="195"/>
        <v>0</v>
      </c>
      <c r="R101" s="84">
        <f t="shared" si="195"/>
        <v>0</v>
      </c>
      <c r="S101" s="84">
        <f t="shared" si="195"/>
        <v>0</v>
      </c>
      <c r="T101" s="84">
        <f t="shared" si="195"/>
        <v>0</v>
      </c>
      <c r="U101" s="84">
        <f t="shared" si="195"/>
        <v>0</v>
      </c>
      <c r="V101" s="84">
        <f t="shared" si="195"/>
        <v>0</v>
      </c>
      <c r="W101" s="84">
        <f t="shared" ref="W101:Y101" si="196">IF(W11=0,0,W11/W33*1000000)</f>
        <v>0</v>
      </c>
      <c r="X101" s="84">
        <f t="shared" si="196"/>
        <v>0</v>
      </c>
      <c r="Y101" s="84">
        <f t="shared" si="196"/>
        <v>0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:Y102" si="198">IF(W12=0,0,W12/W34*1000000)</f>
        <v>0</v>
      </c>
      <c r="X102" s="86">
        <f t="shared" si="198"/>
        <v>0</v>
      </c>
      <c r="Y102" s="86">
        <f t="shared" si="198"/>
        <v>0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0</v>
      </c>
      <c r="C105" s="31">
        <f t="shared" si="199"/>
        <v>0</v>
      </c>
      <c r="D105" s="31">
        <f t="shared" si="199"/>
        <v>0</v>
      </c>
      <c r="E105" s="31">
        <f t="shared" si="199"/>
        <v>0</v>
      </c>
      <c r="F105" s="31">
        <f t="shared" si="199"/>
        <v>0</v>
      </c>
      <c r="G105" s="31">
        <f t="shared" si="199"/>
        <v>0</v>
      </c>
      <c r="H105" s="31">
        <f t="shared" si="199"/>
        <v>0</v>
      </c>
      <c r="I105" s="31">
        <f t="shared" si="199"/>
        <v>0</v>
      </c>
      <c r="J105" s="31">
        <f t="shared" si="199"/>
        <v>0</v>
      </c>
      <c r="K105" s="31">
        <f t="shared" ref="K105:V105" si="200">IF(K4=0,0,K4/K$4)</f>
        <v>0</v>
      </c>
      <c r="L105" s="31">
        <f t="shared" si="200"/>
        <v>0</v>
      </c>
      <c r="M105" s="31">
        <f t="shared" si="200"/>
        <v>0</v>
      </c>
      <c r="N105" s="31">
        <f t="shared" si="200"/>
        <v>0</v>
      </c>
      <c r="O105" s="31">
        <f t="shared" si="200"/>
        <v>0</v>
      </c>
      <c r="P105" s="31">
        <f t="shared" si="200"/>
        <v>0</v>
      </c>
      <c r="Q105" s="31">
        <f t="shared" si="200"/>
        <v>0</v>
      </c>
      <c r="R105" s="31">
        <f t="shared" si="200"/>
        <v>0</v>
      </c>
      <c r="S105" s="31">
        <f t="shared" si="200"/>
        <v>0</v>
      </c>
      <c r="T105" s="31">
        <f t="shared" si="200"/>
        <v>0</v>
      </c>
      <c r="U105" s="31">
        <f t="shared" si="200"/>
        <v>0</v>
      </c>
      <c r="V105" s="31">
        <f t="shared" si="200"/>
        <v>0</v>
      </c>
      <c r="W105" s="31">
        <f t="shared" ref="W105:Y105" si="201">IF(W4=0,0,W4/W$4)</f>
        <v>0</v>
      </c>
      <c r="X105" s="31">
        <f t="shared" si="201"/>
        <v>0</v>
      </c>
      <c r="Y105" s="31">
        <f t="shared" si="201"/>
        <v>0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:Y106" si="203">IF(W5=0,0,W5/W$4)</f>
        <v>0</v>
      </c>
      <c r="X106" s="123">
        <f t="shared" si="203"/>
        <v>0</v>
      </c>
      <c r="Y106" s="123">
        <f t="shared" si="203"/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0</v>
      </c>
      <c r="C107" s="124">
        <f t="shared" si="199"/>
        <v>0</v>
      </c>
      <c r="D107" s="124">
        <f t="shared" si="199"/>
        <v>0</v>
      </c>
      <c r="E107" s="124">
        <f t="shared" si="199"/>
        <v>0</v>
      </c>
      <c r="F107" s="124">
        <f t="shared" si="199"/>
        <v>0</v>
      </c>
      <c r="G107" s="124">
        <f t="shared" si="199"/>
        <v>0</v>
      </c>
      <c r="H107" s="124">
        <f t="shared" si="199"/>
        <v>0</v>
      </c>
      <c r="I107" s="124">
        <f t="shared" si="199"/>
        <v>0</v>
      </c>
      <c r="J107" s="124">
        <f t="shared" si="199"/>
        <v>0</v>
      </c>
      <c r="K107" s="124">
        <f t="shared" ref="K107:V107" si="204">IF(K6=0,0,K6/K$4)</f>
        <v>0</v>
      </c>
      <c r="L107" s="124">
        <f t="shared" si="204"/>
        <v>0</v>
      </c>
      <c r="M107" s="124">
        <f t="shared" si="204"/>
        <v>0</v>
      </c>
      <c r="N107" s="124">
        <f t="shared" si="204"/>
        <v>0</v>
      </c>
      <c r="O107" s="124">
        <f t="shared" si="204"/>
        <v>0</v>
      </c>
      <c r="P107" s="124">
        <f t="shared" si="204"/>
        <v>0</v>
      </c>
      <c r="Q107" s="124">
        <f t="shared" si="204"/>
        <v>0</v>
      </c>
      <c r="R107" s="124">
        <f t="shared" si="204"/>
        <v>0</v>
      </c>
      <c r="S107" s="124">
        <f t="shared" si="204"/>
        <v>0</v>
      </c>
      <c r="T107" s="124">
        <f t="shared" si="204"/>
        <v>0</v>
      </c>
      <c r="U107" s="124">
        <f t="shared" si="204"/>
        <v>0</v>
      </c>
      <c r="V107" s="124">
        <f t="shared" si="204"/>
        <v>0</v>
      </c>
      <c r="W107" s="124">
        <f t="shared" ref="W107:Y107" si="205">IF(W6=0,0,W6/W$4)</f>
        <v>0</v>
      </c>
      <c r="X107" s="124">
        <f t="shared" si="205"/>
        <v>0</v>
      </c>
      <c r="Y107" s="124">
        <f t="shared" si="205"/>
        <v>0</v>
      </c>
      <c r="DA107" s="176"/>
    </row>
    <row r="108" spans="1:105" ht="11.45" customHeight="1" x14ac:dyDescent="0.25">
      <c r="A108" s="111" t="s">
        <v>92</v>
      </c>
      <c r="B108" s="125">
        <f t="shared" si="199"/>
        <v>0</v>
      </c>
      <c r="C108" s="125">
        <f t="shared" si="199"/>
        <v>0</v>
      </c>
      <c r="D108" s="125">
        <f t="shared" si="199"/>
        <v>0</v>
      </c>
      <c r="E108" s="125">
        <f t="shared" si="199"/>
        <v>0</v>
      </c>
      <c r="F108" s="125">
        <f t="shared" si="199"/>
        <v>0</v>
      </c>
      <c r="G108" s="125">
        <f t="shared" si="199"/>
        <v>0</v>
      </c>
      <c r="H108" s="125">
        <f t="shared" si="199"/>
        <v>0</v>
      </c>
      <c r="I108" s="125">
        <f t="shared" si="199"/>
        <v>0</v>
      </c>
      <c r="J108" s="125">
        <f t="shared" si="199"/>
        <v>0</v>
      </c>
      <c r="K108" s="125">
        <f t="shared" ref="K108:V108" si="206">IF(K7=0,0,K7/K$4)</f>
        <v>0</v>
      </c>
      <c r="L108" s="125">
        <f t="shared" si="206"/>
        <v>0</v>
      </c>
      <c r="M108" s="125">
        <f t="shared" si="206"/>
        <v>0</v>
      </c>
      <c r="N108" s="125">
        <f t="shared" si="206"/>
        <v>0</v>
      </c>
      <c r="O108" s="125">
        <f t="shared" si="206"/>
        <v>0</v>
      </c>
      <c r="P108" s="125">
        <f t="shared" si="206"/>
        <v>0</v>
      </c>
      <c r="Q108" s="125">
        <f t="shared" si="206"/>
        <v>0</v>
      </c>
      <c r="R108" s="125">
        <f t="shared" si="206"/>
        <v>0</v>
      </c>
      <c r="S108" s="125">
        <f t="shared" si="206"/>
        <v>0</v>
      </c>
      <c r="T108" s="125">
        <f t="shared" si="206"/>
        <v>0</v>
      </c>
      <c r="U108" s="125">
        <f t="shared" si="206"/>
        <v>0</v>
      </c>
      <c r="V108" s="125">
        <f t="shared" si="206"/>
        <v>0</v>
      </c>
      <c r="W108" s="125">
        <f t="shared" ref="W108:Y108" si="207">IF(W7=0,0,W7/W$4)</f>
        <v>0</v>
      </c>
      <c r="X108" s="125">
        <f t="shared" si="207"/>
        <v>0</v>
      </c>
      <c r="Y108" s="125">
        <f t="shared" si="207"/>
        <v>0</v>
      </c>
      <c r="DA108" s="171"/>
    </row>
    <row r="109" spans="1:105" ht="11.45" customHeight="1" x14ac:dyDescent="0.25">
      <c r="A109" s="111" t="s">
        <v>93</v>
      </c>
      <c r="B109" s="125">
        <f t="shared" si="199"/>
        <v>0</v>
      </c>
      <c r="C109" s="125">
        <f t="shared" si="199"/>
        <v>0</v>
      </c>
      <c r="D109" s="125">
        <f t="shared" si="199"/>
        <v>0</v>
      </c>
      <c r="E109" s="125">
        <f t="shared" si="199"/>
        <v>0</v>
      </c>
      <c r="F109" s="125">
        <f t="shared" si="199"/>
        <v>0</v>
      </c>
      <c r="G109" s="125">
        <f t="shared" si="199"/>
        <v>0</v>
      </c>
      <c r="H109" s="125">
        <f t="shared" si="199"/>
        <v>0</v>
      </c>
      <c r="I109" s="125">
        <f t="shared" si="199"/>
        <v>0</v>
      </c>
      <c r="J109" s="125">
        <f t="shared" si="199"/>
        <v>0</v>
      </c>
      <c r="K109" s="125">
        <f t="shared" ref="K109:V109" si="208">IF(K8=0,0,K8/K$4)</f>
        <v>0</v>
      </c>
      <c r="L109" s="125">
        <f t="shared" si="208"/>
        <v>0</v>
      </c>
      <c r="M109" s="125">
        <f t="shared" si="208"/>
        <v>0</v>
      </c>
      <c r="N109" s="125">
        <f t="shared" si="208"/>
        <v>0</v>
      </c>
      <c r="O109" s="125">
        <f t="shared" si="208"/>
        <v>0</v>
      </c>
      <c r="P109" s="125">
        <f t="shared" si="208"/>
        <v>0</v>
      </c>
      <c r="Q109" s="125">
        <f t="shared" si="208"/>
        <v>0</v>
      </c>
      <c r="R109" s="125">
        <f t="shared" si="208"/>
        <v>0</v>
      </c>
      <c r="S109" s="125">
        <f t="shared" si="208"/>
        <v>0</v>
      </c>
      <c r="T109" s="125">
        <f t="shared" si="208"/>
        <v>0</v>
      </c>
      <c r="U109" s="125">
        <f t="shared" si="208"/>
        <v>0</v>
      </c>
      <c r="V109" s="125">
        <f t="shared" si="208"/>
        <v>0</v>
      </c>
      <c r="W109" s="125">
        <f t="shared" ref="W109:Y109" si="209">IF(W8=0,0,W8/W$4)</f>
        <v>0</v>
      </c>
      <c r="X109" s="125">
        <f t="shared" si="209"/>
        <v>0</v>
      </c>
      <c r="Y109" s="125">
        <f t="shared" si="209"/>
        <v>0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0</v>
      </c>
      <c r="C111" s="31">
        <f t="shared" si="212"/>
        <v>0</v>
      </c>
      <c r="D111" s="31">
        <f t="shared" si="212"/>
        <v>0</v>
      </c>
      <c r="E111" s="31">
        <f t="shared" si="212"/>
        <v>0</v>
      </c>
      <c r="F111" s="31">
        <f t="shared" si="212"/>
        <v>0</v>
      </c>
      <c r="G111" s="31">
        <f t="shared" si="212"/>
        <v>0</v>
      </c>
      <c r="H111" s="31">
        <f t="shared" si="212"/>
        <v>0</v>
      </c>
      <c r="I111" s="31">
        <f t="shared" si="212"/>
        <v>0</v>
      </c>
      <c r="J111" s="31">
        <f t="shared" si="212"/>
        <v>0</v>
      </c>
      <c r="K111" s="31">
        <f t="shared" ref="K111:V111" si="213">IF(K10=0,0,K10/K$10)</f>
        <v>0</v>
      </c>
      <c r="L111" s="31">
        <f t="shared" si="213"/>
        <v>0</v>
      </c>
      <c r="M111" s="31">
        <f t="shared" si="213"/>
        <v>0</v>
      </c>
      <c r="N111" s="31">
        <f t="shared" si="213"/>
        <v>0</v>
      </c>
      <c r="O111" s="31">
        <f t="shared" si="213"/>
        <v>0</v>
      </c>
      <c r="P111" s="31">
        <f t="shared" si="213"/>
        <v>0</v>
      </c>
      <c r="Q111" s="31">
        <f t="shared" si="213"/>
        <v>0</v>
      </c>
      <c r="R111" s="31">
        <f t="shared" si="213"/>
        <v>0</v>
      </c>
      <c r="S111" s="31">
        <f t="shared" si="213"/>
        <v>0</v>
      </c>
      <c r="T111" s="31">
        <f t="shared" si="213"/>
        <v>0</v>
      </c>
      <c r="U111" s="31">
        <f t="shared" si="213"/>
        <v>0</v>
      </c>
      <c r="V111" s="31">
        <f t="shared" si="213"/>
        <v>0</v>
      </c>
      <c r="W111" s="31">
        <f t="shared" ref="W111:Y111" si="214">IF(W10=0,0,W10/W$10)</f>
        <v>0</v>
      </c>
      <c r="X111" s="31">
        <f t="shared" si="214"/>
        <v>0</v>
      </c>
      <c r="Y111" s="31">
        <f t="shared" si="214"/>
        <v>0</v>
      </c>
      <c r="DA111" s="173"/>
    </row>
    <row r="112" spans="1:105" ht="11.45" customHeight="1" x14ac:dyDescent="0.25">
      <c r="A112" s="83" t="s">
        <v>92</v>
      </c>
      <c r="B112" s="125">
        <f t="shared" si="212"/>
        <v>0</v>
      </c>
      <c r="C112" s="125">
        <f t="shared" si="212"/>
        <v>0</v>
      </c>
      <c r="D112" s="125">
        <f t="shared" si="212"/>
        <v>0</v>
      </c>
      <c r="E112" s="125">
        <f t="shared" si="212"/>
        <v>0</v>
      </c>
      <c r="F112" s="125">
        <f t="shared" si="212"/>
        <v>0</v>
      </c>
      <c r="G112" s="125">
        <f t="shared" si="212"/>
        <v>0</v>
      </c>
      <c r="H112" s="125">
        <f t="shared" si="212"/>
        <v>0</v>
      </c>
      <c r="I112" s="125">
        <f t="shared" si="212"/>
        <v>0</v>
      </c>
      <c r="J112" s="125">
        <f t="shared" si="212"/>
        <v>0</v>
      </c>
      <c r="K112" s="125">
        <f t="shared" ref="K112:V112" si="215">IF(K11=0,0,K11/K$10)</f>
        <v>0</v>
      </c>
      <c r="L112" s="125">
        <f t="shared" si="215"/>
        <v>0</v>
      </c>
      <c r="M112" s="125">
        <f t="shared" si="215"/>
        <v>0</v>
      </c>
      <c r="N112" s="125">
        <f t="shared" si="215"/>
        <v>0</v>
      </c>
      <c r="O112" s="125">
        <f t="shared" si="215"/>
        <v>0</v>
      </c>
      <c r="P112" s="125">
        <f t="shared" si="215"/>
        <v>0</v>
      </c>
      <c r="Q112" s="125">
        <f t="shared" si="215"/>
        <v>0</v>
      </c>
      <c r="R112" s="125">
        <f t="shared" si="215"/>
        <v>0</v>
      </c>
      <c r="S112" s="125">
        <f t="shared" si="215"/>
        <v>0</v>
      </c>
      <c r="T112" s="125">
        <f t="shared" si="215"/>
        <v>0</v>
      </c>
      <c r="U112" s="125">
        <f t="shared" si="215"/>
        <v>0</v>
      </c>
      <c r="V112" s="125">
        <f t="shared" si="215"/>
        <v>0</v>
      </c>
      <c r="W112" s="125">
        <f t="shared" ref="W112:Y112" si="216">IF(W11=0,0,W11/W$10)</f>
        <v>0</v>
      </c>
      <c r="X112" s="125">
        <f t="shared" si="216"/>
        <v>0</v>
      </c>
      <c r="Y112" s="125">
        <f t="shared" si="216"/>
        <v>0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:Y113" si="218">IF(W12=0,0,W12/W$10)</f>
        <v>0</v>
      </c>
      <c r="X113" s="127">
        <f t="shared" si="218"/>
        <v>0</v>
      </c>
      <c r="Y113" s="127">
        <f t="shared" si="218"/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0</v>
      </c>
      <c r="C116" s="31">
        <f t="shared" si="219"/>
        <v>0</v>
      </c>
      <c r="D116" s="31">
        <f t="shared" si="219"/>
        <v>0</v>
      </c>
      <c r="E116" s="31">
        <f t="shared" si="219"/>
        <v>0</v>
      </c>
      <c r="F116" s="31">
        <f t="shared" si="219"/>
        <v>0</v>
      </c>
      <c r="G116" s="31">
        <f t="shared" si="219"/>
        <v>0</v>
      </c>
      <c r="H116" s="31">
        <f t="shared" si="219"/>
        <v>0</v>
      </c>
      <c r="I116" s="31">
        <f t="shared" si="219"/>
        <v>0</v>
      </c>
      <c r="J116" s="31">
        <f t="shared" si="219"/>
        <v>0</v>
      </c>
      <c r="K116" s="31">
        <f t="shared" ref="K116:V116" si="220">IF(K15=0,0,K15/K$15)</f>
        <v>0</v>
      </c>
      <c r="L116" s="31">
        <f t="shared" si="220"/>
        <v>0</v>
      </c>
      <c r="M116" s="31">
        <f t="shared" si="220"/>
        <v>0</v>
      </c>
      <c r="N116" s="31">
        <f t="shared" si="220"/>
        <v>0</v>
      </c>
      <c r="O116" s="31">
        <f t="shared" si="220"/>
        <v>0</v>
      </c>
      <c r="P116" s="31">
        <f t="shared" si="220"/>
        <v>0</v>
      </c>
      <c r="Q116" s="31">
        <f t="shared" si="220"/>
        <v>0</v>
      </c>
      <c r="R116" s="31">
        <f t="shared" si="220"/>
        <v>0</v>
      </c>
      <c r="S116" s="31">
        <f t="shared" si="220"/>
        <v>0</v>
      </c>
      <c r="T116" s="31">
        <f t="shared" si="220"/>
        <v>0</v>
      </c>
      <c r="U116" s="31">
        <f t="shared" si="220"/>
        <v>0</v>
      </c>
      <c r="V116" s="31">
        <f t="shared" si="220"/>
        <v>0</v>
      </c>
      <c r="W116" s="31">
        <f t="shared" ref="W116:Y116" si="221">IF(W15=0,0,W15/W$15)</f>
        <v>0</v>
      </c>
      <c r="X116" s="31">
        <f t="shared" si="221"/>
        <v>0</v>
      </c>
      <c r="Y116" s="31">
        <f t="shared" si="221"/>
        <v>0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:Y117" si="223">IF(W16=0,0,W16/W$15)</f>
        <v>0</v>
      </c>
      <c r="X117" s="123">
        <f t="shared" si="223"/>
        <v>0</v>
      </c>
      <c r="Y117" s="123">
        <f t="shared" si="223"/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0</v>
      </c>
      <c r="C118" s="124">
        <f t="shared" si="219"/>
        <v>0</v>
      </c>
      <c r="D118" s="124">
        <f t="shared" si="219"/>
        <v>0</v>
      </c>
      <c r="E118" s="124">
        <f t="shared" si="219"/>
        <v>0</v>
      </c>
      <c r="F118" s="124">
        <f t="shared" si="219"/>
        <v>0</v>
      </c>
      <c r="G118" s="124">
        <f t="shared" si="219"/>
        <v>0</v>
      </c>
      <c r="H118" s="124">
        <f t="shared" si="219"/>
        <v>0</v>
      </c>
      <c r="I118" s="124">
        <f t="shared" si="219"/>
        <v>0</v>
      </c>
      <c r="J118" s="124">
        <f t="shared" si="219"/>
        <v>0</v>
      </c>
      <c r="K118" s="124">
        <f t="shared" ref="K118:V118" si="224">IF(K17=0,0,K17/K$15)</f>
        <v>0</v>
      </c>
      <c r="L118" s="124">
        <f t="shared" si="224"/>
        <v>0</v>
      </c>
      <c r="M118" s="124">
        <f t="shared" si="224"/>
        <v>0</v>
      </c>
      <c r="N118" s="124">
        <f t="shared" si="224"/>
        <v>0</v>
      </c>
      <c r="O118" s="124">
        <f t="shared" si="224"/>
        <v>0</v>
      </c>
      <c r="P118" s="124">
        <f t="shared" si="224"/>
        <v>0</v>
      </c>
      <c r="Q118" s="124">
        <f t="shared" si="224"/>
        <v>0</v>
      </c>
      <c r="R118" s="124">
        <f t="shared" si="224"/>
        <v>0</v>
      </c>
      <c r="S118" s="124">
        <f t="shared" si="224"/>
        <v>0</v>
      </c>
      <c r="T118" s="124">
        <f t="shared" si="224"/>
        <v>0</v>
      </c>
      <c r="U118" s="124">
        <f t="shared" si="224"/>
        <v>0</v>
      </c>
      <c r="V118" s="124">
        <f t="shared" si="224"/>
        <v>0</v>
      </c>
      <c r="W118" s="124">
        <f t="shared" ref="W118:Y118" si="225">IF(W17=0,0,W17/W$15)</f>
        <v>0</v>
      </c>
      <c r="X118" s="124">
        <f t="shared" si="225"/>
        <v>0</v>
      </c>
      <c r="Y118" s="124">
        <f t="shared" si="225"/>
        <v>0</v>
      </c>
      <c r="DA118" s="176"/>
    </row>
    <row r="119" spans="1:105" ht="11.45" customHeight="1" x14ac:dyDescent="0.25">
      <c r="A119" s="111" t="s">
        <v>92</v>
      </c>
      <c r="B119" s="125">
        <f t="shared" si="219"/>
        <v>0</v>
      </c>
      <c r="C119" s="125">
        <f t="shared" si="219"/>
        <v>0</v>
      </c>
      <c r="D119" s="125">
        <f t="shared" si="219"/>
        <v>0</v>
      </c>
      <c r="E119" s="125">
        <f t="shared" si="219"/>
        <v>0</v>
      </c>
      <c r="F119" s="125">
        <f t="shared" si="219"/>
        <v>0</v>
      </c>
      <c r="G119" s="125">
        <f t="shared" si="219"/>
        <v>0</v>
      </c>
      <c r="H119" s="125">
        <f t="shared" si="219"/>
        <v>0</v>
      </c>
      <c r="I119" s="125">
        <f t="shared" si="219"/>
        <v>0</v>
      </c>
      <c r="J119" s="125">
        <f t="shared" si="219"/>
        <v>0</v>
      </c>
      <c r="K119" s="125">
        <f t="shared" ref="K119:V119" si="226">IF(K18=0,0,K18/K$15)</f>
        <v>0</v>
      </c>
      <c r="L119" s="125">
        <f t="shared" si="226"/>
        <v>0</v>
      </c>
      <c r="M119" s="125">
        <f t="shared" si="226"/>
        <v>0</v>
      </c>
      <c r="N119" s="125">
        <f t="shared" si="226"/>
        <v>0</v>
      </c>
      <c r="O119" s="125">
        <f t="shared" si="226"/>
        <v>0</v>
      </c>
      <c r="P119" s="125">
        <f t="shared" si="226"/>
        <v>0</v>
      </c>
      <c r="Q119" s="125">
        <f t="shared" si="226"/>
        <v>0</v>
      </c>
      <c r="R119" s="125">
        <f t="shared" si="226"/>
        <v>0</v>
      </c>
      <c r="S119" s="125">
        <f t="shared" si="226"/>
        <v>0</v>
      </c>
      <c r="T119" s="125">
        <f t="shared" si="226"/>
        <v>0</v>
      </c>
      <c r="U119" s="125">
        <f t="shared" si="226"/>
        <v>0</v>
      </c>
      <c r="V119" s="125">
        <f t="shared" si="226"/>
        <v>0</v>
      </c>
      <c r="W119" s="125">
        <f t="shared" ref="W119:Y119" si="227">IF(W18=0,0,W18/W$15)</f>
        <v>0</v>
      </c>
      <c r="X119" s="125">
        <f t="shared" si="227"/>
        <v>0</v>
      </c>
      <c r="Y119" s="125">
        <f t="shared" si="227"/>
        <v>0</v>
      </c>
      <c r="DA119" s="171"/>
    </row>
    <row r="120" spans="1:105" ht="11.45" customHeight="1" x14ac:dyDescent="0.25">
      <c r="A120" s="111" t="s">
        <v>93</v>
      </c>
      <c r="B120" s="125">
        <f t="shared" si="219"/>
        <v>0</v>
      </c>
      <c r="C120" s="125">
        <f t="shared" si="219"/>
        <v>0</v>
      </c>
      <c r="D120" s="125">
        <f t="shared" si="219"/>
        <v>0</v>
      </c>
      <c r="E120" s="125">
        <f t="shared" si="219"/>
        <v>0</v>
      </c>
      <c r="F120" s="125">
        <f t="shared" si="219"/>
        <v>0</v>
      </c>
      <c r="G120" s="125">
        <f t="shared" si="219"/>
        <v>0</v>
      </c>
      <c r="H120" s="125">
        <f t="shared" si="219"/>
        <v>0</v>
      </c>
      <c r="I120" s="125">
        <f t="shared" si="219"/>
        <v>0</v>
      </c>
      <c r="J120" s="125">
        <f t="shared" si="219"/>
        <v>0</v>
      </c>
      <c r="K120" s="125">
        <f t="shared" ref="K120:V120" si="228">IF(K19=0,0,K19/K$15)</f>
        <v>0</v>
      </c>
      <c r="L120" s="125">
        <f t="shared" si="228"/>
        <v>0</v>
      </c>
      <c r="M120" s="125">
        <f t="shared" si="228"/>
        <v>0</v>
      </c>
      <c r="N120" s="125">
        <f t="shared" si="228"/>
        <v>0</v>
      </c>
      <c r="O120" s="125">
        <f t="shared" si="228"/>
        <v>0</v>
      </c>
      <c r="P120" s="125">
        <f t="shared" si="228"/>
        <v>0</v>
      </c>
      <c r="Q120" s="125">
        <f t="shared" si="228"/>
        <v>0</v>
      </c>
      <c r="R120" s="125">
        <f t="shared" si="228"/>
        <v>0</v>
      </c>
      <c r="S120" s="125">
        <f t="shared" si="228"/>
        <v>0</v>
      </c>
      <c r="T120" s="125">
        <f t="shared" si="228"/>
        <v>0</v>
      </c>
      <c r="U120" s="125">
        <f t="shared" si="228"/>
        <v>0</v>
      </c>
      <c r="V120" s="125">
        <f t="shared" si="228"/>
        <v>0</v>
      </c>
      <c r="W120" s="125">
        <f t="shared" ref="W120:Y120" si="229">IF(W19=0,0,W19/W$15)</f>
        <v>0</v>
      </c>
      <c r="X120" s="125">
        <f t="shared" si="229"/>
        <v>0</v>
      </c>
      <c r="Y120" s="125">
        <f t="shared" si="229"/>
        <v>0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0</v>
      </c>
      <c r="C122" s="31">
        <f t="shared" si="232"/>
        <v>0</v>
      </c>
      <c r="D122" s="31">
        <f t="shared" si="232"/>
        <v>0</v>
      </c>
      <c r="E122" s="31">
        <f t="shared" si="232"/>
        <v>0</v>
      </c>
      <c r="F122" s="31">
        <f t="shared" si="232"/>
        <v>0</v>
      </c>
      <c r="G122" s="31">
        <f t="shared" si="232"/>
        <v>0</v>
      </c>
      <c r="H122" s="31">
        <f t="shared" si="232"/>
        <v>0</v>
      </c>
      <c r="I122" s="31">
        <f t="shared" si="232"/>
        <v>0</v>
      </c>
      <c r="J122" s="31">
        <f t="shared" si="232"/>
        <v>0</v>
      </c>
      <c r="K122" s="31">
        <f t="shared" ref="K122:V122" si="233">IF(K21=0,0,K21/K$21)</f>
        <v>0</v>
      </c>
      <c r="L122" s="31">
        <f t="shared" si="233"/>
        <v>0</v>
      </c>
      <c r="M122" s="31">
        <f t="shared" si="233"/>
        <v>0</v>
      </c>
      <c r="N122" s="31">
        <f t="shared" si="233"/>
        <v>0</v>
      </c>
      <c r="O122" s="31">
        <f t="shared" si="233"/>
        <v>0</v>
      </c>
      <c r="P122" s="31">
        <f t="shared" si="233"/>
        <v>0</v>
      </c>
      <c r="Q122" s="31">
        <f t="shared" si="233"/>
        <v>0</v>
      </c>
      <c r="R122" s="31">
        <f t="shared" si="233"/>
        <v>0</v>
      </c>
      <c r="S122" s="31">
        <f t="shared" si="233"/>
        <v>0</v>
      </c>
      <c r="T122" s="31">
        <f t="shared" si="233"/>
        <v>0</v>
      </c>
      <c r="U122" s="31">
        <f t="shared" si="233"/>
        <v>0</v>
      </c>
      <c r="V122" s="31">
        <f t="shared" si="233"/>
        <v>0</v>
      </c>
      <c r="W122" s="31">
        <f t="shared" ref="W122:Y122" si="234">IF(W21=0,0,W21/W$21)</f>
        <v>0</v>
      </c>
      <c r="X122" s="31">
        <f t="shared" si="234"/>
        <v>0</v>
      </c>
      <c r="Y122" s="31">
        <f t="shared" si="234"/>
        <v>0</v>
      </c>
      <c r="DA122" s="173"/>
    </row>
    <row r="123" spans="1:105" ht="11.45" customHeight="1" x14ac:dyDescent="0.25">
      <c r="A123" s="83" t="s">
        <v>92</v>
      </c>
      <c r="B123" s="125">
        <f t="shared" si="232"/>
        <v>0</v>
      </c>
      <c r="C123" s="125">
        <f t="shared" si="232"/>
        <v>0</v>
      </c>
      <c r="D123" s="125">
        <f t="shared" si="232"/>
        <v>0</v>
      </c>
      <c r="E123" s="125">
        <f t="shared" si="232"/>
        <v>0</v>
      </c>
      <c r="F123" s="125">
        <f t="shared" si="232"/>
        <v>0</v>
      </c>
      <c r="G123" s="125">
        <f t="shared" si="232"/>
        <v>0</v>
      </c>
      <c r="H123" s="125">
        <f t="shared" si="232"/>
        <v>0</v>
      </c>
      <c r="I123" s="125">
        <f t="shared" si="232"/>
        <v>0</v>
      </c>
      <c r="J123" s="125">
        <f t="shared" si="232"/>
        <v>0</v>
      </c>
      <c r="K123" s="125">
        <f t="shared" ref="K123:V123" si="235">IF(K22=0,0,K22/K$21)</f>
        <v>0</v>
      </c>
      <c r="L123" s="125">
        <f t="shared" si="235"/>
        <v>0</v>
      </c>
      <c r="M123" s="125">
        <f t="shared" si="235"/>
        <v>0</v>
      </c>
      <c r="N123" s="125">
        <f t="shared" si="235"/>
        <v>0</v>
      </c>
      <c r="O123" s="125">
        <f t="shared" si="235"/>
        <v>0</v>
      </c>
      <c r="P123" s="125">
        <f t="shared" si="235"/>
        <v>0</v>
      </c>
      <c r="Q123" s="125">
        <f t="shared" si="235"/>
        <v>0</v>
      </c>
      <c r="R123" s="125">
        <f t="shared" si="235"/>
        <v>0</v>
      </c>
      <c r="S123" s="125">
        <f t="shared" si="235"/>
        <v>0</v>
      </c>
      <c r="T123" s="125">
        <f t="shared" si="235"/>
        <v>0</v>
      </c>
      <c r="U123" s="125">
        <f t="shared" si="235"/>
        <v>0</v>
      </c>
      <c r="V123" s="125">
        <f t="shared" si="235"/>
        <v>0</v>
      </c>
      <c r="W123" s="125">
        <f t="shared" ref="W123:Y123" si="236">IF(W22=0,0,W22/W$21)</f>
        <v>0</v>
      </c>
      <c r="X123" s="125">
        <f t="shared" si="236"/>
        <v>0</v>
      </c>
      <c r="Y123" s="125">
        <f t="shared" si="236"/>
        <v>0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:Y124" si="238">IF(W23=0,0,W23/W$21)</f>
        <v>0</v>
      </c>
      <c r="X124" s="127">
        <f t="shared" si="238"/>
        <v>0</v>
      </c>
      <c r="Y124" s="127">
        <f t="shared" si="238"/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0</v>
      </c>
      <c r="C4" s="146">
        <f t="shared" ref="C4:V4" si="0">SUM(C5,C8)</f>
        <v>0</v>
      </c>
      <c r="D4" s="146">
        <f t="shared" si="0"/>
        <v>0</v>
      </c>
      <c r="E4" s="146">
        <f t="shared" si="0"/>
        <v>0</v>
      </c>
      <c r="F4" s="146">
        <f t="shared" si="0"/>
        <v>0</v>
      </c>
      <c r="G4" s="146">
        <f t="shared" si="0"/>
        <v>0</v>
      </c>
      <c r="H4" s="146">
        <f t="shared" si="0"/>
        <v>0</v>
      </c>
      <c r="I4" s="146">
        <f t="shared" si="0"/>
        <v>0</v>
      </c>
      <c r="J4" s="146">
        <f t="shared" si="0"/>
        <v>0</v>
      </c>
      <c r="K4" s="146">
        <f t="shared" si="0"/>
        <v>0</v>
      </c>
      <c r="L4" s="146">
        <f t="shared" si="0"/>
        <v>0</v>
      </c>
      <c r="M4" s="146">
        <f t="shared" si="0"/>
        <v>0</v>
      </c>
      <c r="N4" s="146">
        <f t="shared" si="0"/>
        <v>0</v>
      </c>
      <c r="O4" s="146">
        <f t="shared" si="0"/>
        <v>0</v>
      </c>
      <c r="P4" s="146">
        <f t="shared" si="0"/>
        <v>0</v>
      </c>
      <c r="Q4" s="146">
        <f t="shared" si="0"/>
        <v>0</v>
      </c>
      <c r="R4" s="146">
        <f t="shared" si="0"/>
        <v>0</v>
      </c>
      <c r="S4" s="146">
        <f t="shared" si="0"/>
        <v>0</v>
      </c>
      <c r="T4" s="146">
        <f t="shared" si="0"/>
        <v>0</v>
      </c>
      <c r="U4" s="146">
        <f t="shared" si="0"/>
        <v>0</v>
      </c>
      <c r="V4" s="146">
        <f t="shared" si="0"/>
        <v>0</v>
      </c>
      <c r="W4" s="146">
        <f t="shared" ref="W4:Y4" si="1">SUM(W5,W8)</f>
        <v>0</v>
      </c>
      <c r="X4" s="146">
        <f t="shared" si="1"/>
        <v>0</v>
      </c>
      <c r="Y4" s="146">
        <f t="shared" si="1"/>
        <v>0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0</v>
      </c>
      <c r="C5" s="101">
        <f t="shared" ref="C5:V5" si="2">SUM(C6:C7)</f>
        <v>0</v>
      </c>
      <c r="D5" s="101">
        <f t="shared" si="2"/>
        <v>0</v>
      </c>
      <c r="E5" s="101">
        <f t="shared" si="2"/>
        <v>0</v>
      </c>
      <c r="F5" s="101">
        <f t="shared" si="2"/>
        <v>0</v>
      </c>
      <c r="G5" s="101">
        <f t="shared" si="2"/>
        <v>0</v>
      </c>
      <c r="H5" s="101">
        <f t="shared" si="2"/>
        <v>0</v>
      </c>
      <c r="I5" s="101">
        <f t="shared" si="2"/>
        <v>0</v>
      </c>
      <c r="J5" s="101">
        <f t="shared" si="2"/>
        <v>0</v>
      </c>
      <c r="K5" s="101">
        <f t="shared" si="2"/>
        <v>0</v>
      </c>
      <c r="L5" s="101">
        <f t="shared" si="2"/>
        <v>0</v>
      </c>
      <c r="M5" s="101">
        <f t="shared" si="2"/>
        <v>0</v>
      </c>
      <c r="N5" s="101">
        <f t="shared" si="2"/>
        <v>0</v>
      </c>
      <c r="O5" s="101">
        <f t="shared" si="2"/>
        <v>0</v>
      </c>
      <c r="P5" s="101">
        <f t="shared" si="2"/>
        <v>0</v>
      </c>
      <c r="Q5" s="101">
        <f t="shared" si="2"/>
        <v>0</v>
      </c>
      <c r="R5" s="101">
        <f t="shared" si="2"/>
        <v>0</v>
      </c>
      <c r="S5" s="101">
        <f t="shared" si="2"/>
        <v>0</v>
      </c>
      <c r="T5" s="101">
        <f t="shared" si="2"/>
        <v>0</v>
      </c>
      <c r="U5" s="101">
        <f t="shared" si="2"/>
        <v>0</v>
      </c>
      <c r="V5" s="101">
        <f t="shared" si="2"/>
        <v>0</v>
      </c>
      <c r="W5" s="101">
        <f t="shared" ref="W5:Y5" si="3">SUM(W6:W7)</f>
        <v>0</v>
      </c>
      <c r="X5" s="101">
        <f t="shared" si="3"/>
        <v>0</v>
      </c>
      <c r="Y5" s="101">
        <f t="shared" si="3"/>
        <v>0</v>
      </c>
      <c r="DA5" s="175"/>
    </row>
    <row r="6" spans="1:105" ht="11.45" customHeight="1" x14ac:dyDescent="0.25">
      <c r="A6" s="164" t="s">
        <v>175</v>
      </c>
      <c r="B6" s="165">
        <v>0</v>
      </c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65">
        <v>0</v>
      </c>
      <c r="W6" s="165">
        <v>0</v>
      </c>
      <c r="X6" s="165">
        <v>0</v>
      </c>
      <c r="Y6" s="165">
        <v>0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0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0</v>
      </c>
      <c r="C10" s="62">
        <f t="shared" ref="C10:V10" si="5">SUM(C11,C17)</f>
        <v>0</v>
      </c>
      <c r="D10" s="62">
        <f t="shared" si="5"/>
        <v>0</v>
      </c>
      <c r="E10" s="62">
        <f t="shared" si="5"/>
        <v>0</v>
      </c>
      <c r="F10" s="62">
        <f t="shared" si="5"/>
        <v>0</v>
      </c>
      <c r="G10" s="62">
        <f t="shared" si="5"/>
        <v>0</v>
      </c>
      <c r="H10" s="62">
        <f t="shared" si="5"/>
        <v>0</v>
      </c>
      <c r="I10" s="62">
        <f t="shared" si="5"/>
        <v>0</v>
      </c>
      <c r="J10" s="62">
        <f t="shared" si="5"/>
        <v>0</v>
      </c>
      <c r="K10" s="62">
        <f t="shared" si="5"/>
        <v>0</v>
      </c>
      <c r="L10" s="62">
        <f t="shared" si="5"/>
        <v>0</v>
      </c>
      <c r="M10" s="62">
        <f t="shared" si="5"/>
        <v>0</v>
      </c>
      <c r="N10" s="62">
        <f t="shared" si="5"/>
        <v>0</v>
      </c>
      <c r="O10" s="62">
        <f t="shared" si="5"/>
        <v>0</v>
      </c>
      <c r="P10" s="62">
        <f t="shared" si="5"/>
        <v>0</v>
      </c>
      <c r="Q10" s="62">
        <f t="shared" si="5"/>
        <v>0</v>
      </c>
      <c r="R10" s="62">
        <f t="shared" si="5"/>
        <v>0</v>
      </c>
      <c r="S10" s="62">
        <f t="shared" si="5"/>
        <v>0</v>
      </c>
      <c r="T10" s="62">
        <f t="shared" si="5"/>
        <v>0</v>
      </c>
      <c r="U10" s="62">
        <f t="shared" si="5"/>
        <v>0</v>
      </c>
      <c r="V10" s="62">
        <f t="shared" si="5"/>
        <v>0</v>
      </c>
      <c r="W10" s="62">
        <f t="shared" ref="W10:Y10" si="6">SUM(W11,W17)</f>
        <v>0</v>
      </c>
      <c r="X10" s="62">
        <f t="shared" si="6"/>
        <v>0</v>
      </c>
      <c r="Y10" s="62">
        <f t="shared" si="6"/>
        <v>0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0</v>
      </c>
      <c r="C11" s="29">
        <f t="shared" ref="C11:V11" si="8">SUM(C12,C13,C16)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Y11" si="9">SUM(W12,W13,W16)</f>
        <v>0</v>
      </c>
      <c r="X11" s="29">
        <f t="shared" si="9"/>
        <v>0</v>
      </c>
      <c r="Y11" s="29">
        <f t="shared" si="9"/>
        <v>0</v>
      </c>
      <c r="DA11" s="173" t="s">
        <v>395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0</v>
      </c>
      <c r="C13" s="116">
        <f t="shared" ref="C13:V13" si="11">SUM(C14:C15)</f>
        <v>0</v>
      </c>
      <c r="D13" s="116">
        <f t="shared" si="11"/>
        <v>0</v>
      </c>
      <c r="E13" s="116">
        <f t="shared" si="11"/>
        <v>0</v>
      </c>
      <c r="F13" s="116">
        <f t="shared" si="11"/>
        <v>0</v>
      </c>
      <c r="G13" s="116">
        <f t="shared" si="11"/>
        <v>0</v>
      </c>
      <c r="H13" s="116">
        <f t="shared" si="11"/>
        <v>0</v>
      </c>
      <c r="I13" s="116">
        <f t="shared" si="11"/>
        <v>0</v>
      </c>
      <c r="J13" s="116">
        <f t="shared" si="11"/>
        <v>0</v>
      </c>
      <c r="K13" s="116">
        <f t="shared" si="11"/>
        <v>0</v>
      </c>
      <c r="L13" s="116">
        <f t="shared" si="11"/>
        <v>0</v>
      </c>
      <c r="M13" s="116">
        <f t="shared" si="11"/>
        <v>0</v>
      </c>
      <c r="N13" s="116">
        <f t="shared" si="11"/>
        <v>0</v>
      </c>
      <c r="O13" s="116">
        <f t="shared" si="11"/>
        <v>0</v>
      </c>
      <c r="P13" s="116">
        <f t="shared" si="11"/>
        <v>0</v>
      </c>
      <c r="Q13" s="116">
        <f t="shared" si="11"/>
        <v>0</v>
      </c>
      <c r="R13" s="116">
        <f t="shared" si="11"/>
        <v>0</v>
      </c>
      <c r="S13" s="116">
        <f t="shared" si="11"/>
        <v>0</v>
      </c>
      <c r="T13" s="116">
        <f t="shared" si="11"/>
        <v>0</v>
      </c>
      <c r="U13" s="116">
        <f t="shared" si="11"/>
        <v>0</v>
      </c>
      <c r="V13" s="116">
        <f t="shared" si="11"/>
        <v>0</v>
      </c>
      <c r="W13" s="116">
        <f t="shared" ref="W13:Y13" si="12">SUM(W14:W15)</f>
        <v>0</v>
      </c>
      <c r="X13" s="116">
        <f t="shared" si="12"/>
        <v>0</v>
      </c>
      <c r="Y13" s="116">
        <f t="shared" si="12"/>
        <v>0</v>
      </c>
      <c r="DA13" s="176" t="s">
        <v>397</v>
      </c>
    </row>
    <row r="14" spans="1:105" ht="11.45" customHeight="1" x14ac:dyDescent="0.25">
      <c r="A14" s="111" t="s">
        <v>95</v>
      </c>
      <c r="B14" s="87">
        <v>0</v>
      </c>
      <c r="C14" s="87">
        <v>0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7">
        <v>0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X14" s="87">
        <v>0</v>
      </c>
      <c r="Y14" s="87">
        <v>0</v>
      </c>
      <c r="DA14" s="171" t="s">
        <v>1108</v>
      </c>
    </row>
    <row r="15" spans="1:105" ht="11.45" customHeight="1" x14ac:dyDescent="0.25">
      <c r="A15" s="111" t="s">
        <v>93</v>
      </c>
      <c r="B15" s="87">
        <v>0</v>
      </c>
      <c r="C15" s="87">
        <v>0</v>
      </c>
      <c r="D15" s="87">
        <v>0</v>
      </c>
      <c r="E15" s="87">
        <v>0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  <c r="P15" s="87">
        <v>0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7">
        <v>0</v>
      </c>
      <c r="Y15" s="87">
        <v>0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0</v>
      </c>
      <c r="C17" s="29">
        <f t="shared" si="13"/>
        <v>0</v>
      </c>
      <c r="D17" s="29">
        <f t="shared" si="13"/>
        <v>0</v>
      </c>
      <c r="E17" s="29">
        <f t="shared" si="13"/>
        <v>0</v>
      </c>
      <c r="F17" s="29">
        <f t="shared" si="13"/>
        <v>0</v>
      </c>
      <c r="G17" s="29">
        <f t="shared" si="13"/>
        <v>0</v>
      </c>
      <c r="H17" s="29">
        <f t="shared" si="13"/>
        <v>0</v>
      </c>
      <c r="I17" s="29">
        <f t="shared" si="13"/>
        <v>0</v>
      </c>
      <c r="J17" s="29">
        <f t="shared" si="13"/>
        <v>0</v>
      </c>
      <c r="K17" s="29">
        <f t="shared" si="13"/>
        <v>0</v>
      </c>
      <c r="L17" s="29">
        <f t="shared" si="13"/>
        <v>0</v>
      </c>
      <c r="M17" s="29">
        <f t="shared" si="13"/>
        <v>0</v>
      </c>
      <c r="N17" s="29">
        <f t="shared" si="13"/>
        <v>0</v>
      </c>
      <c r="O17" s="29">
        <f t="shared" si="13"/>
        <v>0</v>
      </c>
      <c r="P17" s="29">
        <f t="shared" si="13"/>
        <v>0</v>
      </c>
      <c r="Q17" s="29">
        <f t="shared" si="13"/>
        <v>0</v>
      </c>
      <c r="R17" s="29">
        <f t="shared" si="13"/>
        <v>0</v>
      </c>
      <c r="S17" s="29">
        <f t="shared" si="13"/>
        <v>0</v>
      </c>
      <c r="T17" s="29">
        <f t="shared" si="13"/>
        <v>0</v>
      </c>
      <c r="U17" s="29">
        <f t="shared" si="13"/>
        <v>0</v>
      </c>
      <c r="V17" s="29">
        <f t="shared" si="13"/>
        <v>0</v>
      </c>
      <c r="W17" s="29">
        <f t="shared" si="13"/>
        <v>0</v>
      </c>
      <c r="X17" s="29">
        <f t="shared" ref="X17:Y17" si="14">SUM(X18:X19)</f>
        <v>0</v>
      </c>
      <c r="Y17" s="29">
        <f t="shared" si="14"/>
        <v>0</v>
      </c>
      <c r="DA17" s="173" t="s">
        <v>402</v>
      </c>
    </row>
    <row r="18" spans="1:105" ht="11.45" customHeight="1" x14ac:dyDescent="0.25">
      <c r="A18" s="83" t="s">
        <v>95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DA18" s="171" t="s">
        <v>1110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0</v>
      </c>
      <c r="C23" s="62">
        <f>IF(C10=0,0,C10/TrRail_act!C14*100)</f>
        <v>0</v>
      </c>
      <c r="D23" s="62">
        <f>IF(D10=0,0,D10/TrRail_act!D14*100)</f>
        <v>0</v>
      </c>
      <c r="E23" s="62">
        <f>IF(E10=0,0,E10/TrRail_act!E14*100)</f>
        <v>0</v>
      </c>
      <c r="F23" s="62">
        <f>IF(F10=0,0,F10/TrRail_act!F14*100)</f>
        <v>0</v>
      </c>
      <c r="G23" s="62">
        <f>IF(G10=0,0,G10/TrRail_act!G14*100)</f>
        <v>0</v>
      </c>
      <c r="H23" s="62">
        <f>IF(H10=0,0,H10/TrRail_act!H14*100)</f>
        <v>0</v>
      </c>
      <c r="I23" s="62">
        <f>IF(I10=0,0,I10/TrRail_act!I14*100)</f>
        <v>0</v>
      </c>
      <c r="J23" s="62">
        <f>IF(J10=0,0,J10/TrRail_act!J14*100)</f>
        <v>0</v>
      </c>
      <c r="K23" s="62">
        <f>IF(K10=0,0,K10/TrRail_act!K14*100)</f>
        <v>0</v>
      </c>
      <c r="L23" s="62">
        <f>IF(L10=0,0,L10/TrRail_act!L14*100)</f>
        <v>0</v>
      </c>
      <c r="M23" s="62">
        <f>IF(M10=0,0,M10/TrRail_act!M14*100)</f>
        <v>0</v>
      </c>
      <c r="N23" s="62">
        <f>IF(N10=0,0,N10/TrRail_act!N14*100)</f>
        <v>0</v>
      </c>
      <c r="O23" s="62">
        <f>IF(O10=0,0,O10/TrRail_act!O14*100)</f>
        <v>0</v>
      </c>
      <c r="P23" s="62">
        <f>IF(P10=0,0,P10/TrRail_act!P14*100)</f>
        <v>0</v>
      </c>
      <c r="Q23" s="62">
        <f>IF(Q10=0,0,Q10/TrRail_act!Q14*100)</f>
        <v>0</v>
      </c>
      <c r="R23" s="62">
        <f>IF(R10=0,0,R10/TrRail_act!R14*100)</f>
        <v>0</v>
      </c>
      <c r="S23" s="62">
        <f>IF(S10=0,0,S10/TrRail_act!S14*100)</f>
        <v>0</v>
      </c>
      <c r="T23" s="62">
        <f>IF(T10=0,0,T10/TrRail_act!T14*100)</f>
        <v>0</v>
      </c>
      <c r="U23" s="62">
        <f>IF(U10=0,0,U10/TrRail_act!U14*100)</f>
        <v>0</v>
      </c>
      <c r="V23" s="62">
        <f>IF(V10=0,0,V10/TrRail_act!V14*100)</f>
        <v>0</v>
      </c>
      <c r="W23" s="62">
        <f>IF(W10=0,0,W10/TrRail_act!W14*100)</f>
        <v>0</v>
      </c>
      <c r="X23" s="62">
        <f>IF(X10=0,0,X10/TrRail_act!X14*100)</f>
        <v>0</v>
      </c>
      <c r="Y23" s="62">
        <f>IF(Y10=0,0,Y10/TrRail_act!Y14*100)</f>
        <v>0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0</v>
      </c>
      <c r="C24" s="29">
        <f>IF(C11=0,0,C11/TrRail_act!C15*100)</f>
        <v>0</v>
      </c>
      <c r="D24" s="29">
        <f>IF(D11=0,0,D11/TrRail_act!D15*100)</f>
        <v>0</v>
      </c>
      <c r="E24" s="29">
        <f>IF(E11=0,0,E11/TrRail_act!E15*100)</f>
        <v>0</v>
      </c>
      <c r="F24" s="29">
        <f>IF(F11=0,0,F11/TrRail_act!F15*100)</f>
        <v>0</v>
      </c>
      <c r="G24" s="29">
        <f>IF(G11=0,0,G11/TrRail_act!G15*100)</f>
        <v>0</v>
      </c>
      <c r="H24" s="29">
        <f>IF(H11=0,0,H11/TrRail_act!H15*100)</f>
        <v>0</v>
      </c>
      <c r="I24" s="29">
        <f>IF(I11=0,0,I11/TrRail_act!I15*100)</f>
        <v>0</v>
      </c>
      <c r="J24" s="29">
        <f>IF(J11=0,0,J11/TrRail_act!J15*100)</f>
        <v>0</v>
      </c>
      <c r="K24" s="29">
        <f>IF(K11=0,0,K11/TrRail_act!K15*100)</f>
        <v>0</v>
      </c>
      <c r="L24" s="29">
        <f>IF(L11=0,0,L11/TrRail_act!L15*100)</f>
        <v>0</v>
      </c>
      <c r="M24" s="29">
        <f>IF(M11=0,0,M11/TrRail_act!M15*100)</f>
        <v>0</v>
      </c>
      <c r="N24" s="29">
        <f>IF(N11=0,0,N11/TrRail_act!N15*100)</f>
        <v>0</v>
      </c>
      <c r="O24" s="29">
        <f>IF(O11=0,0,O11/TrRail_act!O15*100)</f>
        <v>0</v>
      </c>
      <c r="P24" s="29">
        <f>IF(P11=0,0,P11/TrRail_act!P15*100)</f>
        <v>0</v>
      </c>
      <c r="Q24" s="29">
        <f>IF(Q11=0,0,Q11/TrRail_act!Q15*100)</f>
        <v>0</v>
      </c>
      <c r="R24" s="29">
        <f>IF(R11=0,0,R11/TrRail_act!R15*100)</f>
        <v>0</v>
      </c>
      <c r="S24" s="29">
        <f>IF(S11=0,0,S11/TrRail_act!S15*100)</f>
        <v>0</v>
      </c>
      <c r="T24" s="29">
        <f>IF(T11=0,0,T11/TrRail_act!T15*100)</f>
        <v>0</v>
      </c>
      <c r="U24" s="29">
        <f>IF(U11=0,0,U11/TrRail_act!U15*100)</f>
        <v>0</v>
      </c>
      <c r="V24" s="29">
        <f>IF(V11=0,0,V11/TrRail_act!V15*100)</f>
        <v>0</v>
      </c>
      <c r="W24" s="29">
        <f>IF(W11=0,0,W11/TrRail_act!W15*100)</f>
        <v>0</v>
      </c>
      <c r="X24" s="29">
        <f>IF(X11=0,0,X11/TrRail_act!X15*100)</f>
        <v>0</v>
      </c>
      <c r="Y24" s="29">
        <f>IF(Y11=0,0,Y11/TrRail_act!Y15*100)</f>
        <v>0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X25" s="115">
        <f>IF(X12=0,0,X12/TrRail_act!X16*100)</f>
        <v>0</v>
      </c>
      <c r="Y25" s="115">
        <f>IF(Y12=0,0,Y12/TrRail_act!Y16*100)</f>
        <v>0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0</v>
      </c>
      <c r="C26" s="116">
        <f>IF(C13=0,0,C13/TrRail_act!C17*100)</f>
        <v>0</v>
      </c>
      <c r="D26" s="116">
        <f>IF(D13=0,0,D13/TrRail_act!D17*100)</f>
        <v>0</v>
      </c>
      <c r="E26" s="116">
        <f>IF(E13=0,0,E13/TrRail_act!E17*100)</f>
        <v>0</v>
      </c>
      <c r="F26" s="116">
        <f>IF(F13=0,0,F13/TrRail_act!F17*100)</f>
        <v>0</v>
      </c>
      <c r="G26" s="116">
        <f>IF(G13=0,0,G13/TrRail_act!G17*100)</f>
        <v>0</v>
      </c>
      <c r="H26" s="116">
        <f>IF(H13=0,0,H13/TrRail_act!H17*100)</f>
        <v>0</v>
      </c>
      <c r="I26" s="116">
        <f>IF(I13=0,0,I13/TrRail_act!I17*100)</f>
        <v>0</v>
      </c>
      <c r="J26" s="116">
        <f>IF(J13=0,0,J13/TrRail_act!J17*100)</f>
        <v>0</v>
      </c>
      <c r="K26" s="116">
        <f>IF(K13=0,0,K13/TrRail_act!K17*100)</f>
        <v>0</v>
      </c>
      <c r="L26" s="116">
        <f>IF(L13=0,0,L13/TrRail_act!L17*100)</f>
        <v>0</v>
      </c>
      <c r="M26" s="116">
        <f>IF(M13=0,0,M13/TrRail_act!M17*100)</f>
        <v>0</v>
      </c>
      <c r="N26" s="116">
        <f>IF(N13=0,0,N13/TrRail_act!N17*100)</f>
        <v>0</v>
      </c>
      <c r="O26" s="116">
        <f>IF(O13=0,0,O13/TrRail_act!O17*100)</f>
        <v>0</v>
      </c>
      <c r="P26" s="116">
        <f>IF(P13=0,0,P13/TrRail_act!P17*100)</f>
        <v>0</v>
      </c>
      <c r="Q26" s="116">
        <f>IF(Q13=0,0,Q13/TrRail_act!Q17*100)</f>
        <v>0</v>
      </c>
      <c r="R26" s="116">
        <f>IF(R13=0,0,R13/TrRail_act!R17*100)</f>
        <v>0</v>
      </c>
      <c r="S26" s="116">
        <f>IF(S13=0,0,S13/TrRail_act!S17*100)</f>
        <v>0</v>
      </c>
      <c r="T26" s="116">
        <f>IF(T13=0,0,T13/TrRail_act!T17*100)</f>
        <v>0</v>
      </c>
      <c r="U26" s="116">
        <f>IF(U13=0,0,U13/TrRail_act!U17*100)</f>
        <v>0</v>
      </c>
      <c r="V26" s="116">
        <f>IF(V13=0,0,V13/TrRail_act!V17*100)</f>
        <v>0</v>
      </c>
      <c r="W26" s="116">
        <f>IF(W13=0,0,W13/TrRail_act!W17*100)</f>
        <v>0</v>
      </c>
      <c r="X26" s="116">
        <f>IF(X13=0,0,X13/TrRail_act!X17*100)</f>
        <v>0</v>
      </c>
      <c r="Y26" s="116">
        <f>IF(Y13=0,0,Y13/TrRail_act!Y17*100)</f>
        <v>0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0</v>
      </c>
      <c r="C27" s="87">
        <f>IF(C14=0,0,C14/TrRail_act!C18*100)</f>
        <v>0</v>
      </c>
      <c r="D27" s="87">
        <f>IF(D14=0,0,D14/TrRail_act!D18*100)</f>
        <v>0</v>
      </c>
      <c r="E27" s="87">
        <f>IF(E14=0,0,E14/TrRail_act!E18*100)</f>
        <v>0</v>
      </c>
      <c r="F27" s="87">
        <f>IF(F14=0,0,F14/TrRail_act!F18*100)</f>
        <v>0</v>
      </c>
      <c r="G27" s="87">
        <f>IF(G14=0,0,G14/TrRail_act!G18*100)</f>
        <v>0</v>
      </c>
      <c r="H27" s="87">
        <f>IF(H14=0,0,H14/TrRail_act!H18*100)</f>
        <v>0</v>
      </c>
      <c r="I27" s="87">
        <f>IF(I14=0,0,I14/TrRail_act!I18*100)</f>
        <v>0</v>
      </c>
      <c r="J27" s="87">
        <f>IF(J14=0,0,J14/TrRail_act!J18*100)</f>
        <v>0</v>
      </c>
      <c r="K27" s="87">
        <f>IF(K14=0,0,K14/TrRail_act!K18*100)</f>
        <v>0</v>
      </c>
      <c r="L27" s="87">
        <f>IF(L14=0,0,L14/TrRail_act!L18*100)</f>
        <v>0</v>
      </c>
      <c r="M27" s="87">
        <f>IF(M14=0,0,M14/TrRail_act!M18*100)</f>
        <v>0</v>
      </c>
      <c r="N27" s="87">
        <f>IF(N14=0,0,N14/TrRail_act!N18*100)</f>
        <v>0</v>
      </c>
      <c r="O27" s="87">
        <f>IF(O14=0,0,O14/TrRail_act!O18*100)</f>
        <v>0</v>
      </c>
      <c r="P27" s="87">
        <f>IF(P14=0,0,P14/TrRail_act!P18*100)</f>
        <v>0</v>
      </c>
      <c r="Q27" s="87">
        <f>IF(Q14=0,0,Q14/TrRail_act!Q18*100)</f>
        <v>0</v>
      </c>
      <c r="R27" s="87">
        <f>IF(R14=0,0,R14/TrRail_act!R18*100)</f>
        <v>0</v>
      </c>
      <c r="S27" s="87">
        <f>IF(S14=0,0,S14/TrRail_act!S18*100)</f>
        <v>0</v>
      </c>
      <c r="T27" s="87">
        <f>IF(T14=0,0,T14/TrRail_act!T18*100)</f>
        <v>0</v>
      </c>
      <c r="U27" s="87">
        <f>IF(U14=0,0,U14/TrRail_act!U18*100)</f>
        <v>0</v>
      </c>
      <c r="V27" s="87">
        <f>IF(V14=0,0,V14/TrRail_act!V18*100)</f>
        <v>0</v>
      </c>
      <c r="W27" s="87">
        <f>IF(W14=0,0,W14/TrRail_act!W18*100)</f>
        <v>0</v>
      </c>
      <c r="X27" s="87">
        <f>IF(X14=0,0,X14/TrRail_act!X18*100)</f>
        <v>0</v>
      </c>
      <c r="Y27" s="87">
        <f>IF(Y14=0,0,Y14/TrRail_act!Y18*100)</f>
        <v>0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0</v>
      </c>
      <c r="C28" s="87">
        <f>IF(C15=0,0,C15/TrRail_act!C19*100)</f>
        <v>0</v>
      </c>
      <c r="D28" s="87">
        <f>IF(D15=0,0,D15/TrRail_act!D19*100)</f>
        <v>0</v>
      </c>
      <c r="E28" s="87">
        <f>IF(E15=0,0,E15/TrRail_act!E19*100)</f>
        <v>0</v>
      </c>
      <c r="F28" s="87">
        <f>IF(F15=0,0,F15/TrRail_act!F19*100)</f>
        <v>0</v>
      </c>
      <c r="G28" s="87">
        <f>IF(G15=0,0,G15/TrRail_act!G19*100)</f>
        <v>0</v>
      </c>
      <c r="H28" s="87">
        <f>IF(H15=0,0,H15/TrRail_act!H19*100)</f>
        <v>0</v>
      </c>
      <c r="I28" s="87">
        <f>IF(I15=0,0,I15/TrRail_act!I19*100)</f>
        <v>0</v>
      </c>
      <c r="J28" s="87">
        <f>IF(J15=0,0,J15/TrRail_act!J19*100)</f>
        <v>0</v>
      </c>
      <c r="K28" s="87">
        <f>IF(K15=0,0,K15/TrRail_act!K19*100)</f>
        <v>0</v>
      </c>
      <c r="L28" s="87">
        <f>IF(L15=0,0,L15/TrRail_act!L19*100)</f>
        <v>0</v>
      </c>
      <c r="M28" s="87">
        <f>IF(M15=0,0,M15/TrRail_act!M19*100)</f>
        <v>0</v>
      </c>
      <c r="N28" s="87">
        <f>IF(N15=0,0,N15/TrRail_act!N19*100)</f>
        <v>0</v>
      </c>
      <c r="O28" s="87">
        <f>IF(O15=0,0,O15/TrRail_act!O19*100)</f>
        <v>0</v>
      </c>
      <c r="P28" s="87">
        <f>IF(P15=0,0,P15/TrRail_act!P19*100)</f>
        <v>0</v>
      </c>
      <c r="Q28" s="87">
        <f>IF(Q15=0,0,Q15/TrRail_act!Q19*100)</f>
        <v>0</v>
      </c>
      <c r="R28" s="87">
        <f>IF(R15=0,0,R15/TrRail_act!R19*100)</f>
        <v>0</v>
      </c>
      <c r="S28" s="87">
        <f>IF(S15=0,0,S15/TrRail_act!S19*100)</f>
        <v>0</v>
      </c>
      <c r="T28" s="87">
        <f>IF(T15=0,0,T15/TrRail_act!T19*100)</f>
        <v>0</v>
      </c>
      <c r="U28" s="87">
        <f>IF(U15=0,0,U15/TrRail_act!U19*100)</f>
        <v>0</v>
      </c>
      <c r="V28" s="87">
        <f>IF(V15=0,0,V15/TrRail_act!V19*100)</f>
        <v>0</v>
      </c>
      <c r="W28" s="87">
        <f>IF(W15=0,0,W15/TrRail_act!W19*100)</f>
        <v>0</v>
      </c>
      <c r="X28" s="87">
        <f>IF(X15=0,0,X15/TrRail_act!X19*100)</f>
        <v>0</v>
      </c>
      <c r="Y28" s="87">
        <f>IF(Y15=0,0,Y15/TrRail_act!Y19*100)</f>
        <v>0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0</v>
      </c>
      <c r="C30" s="29">
        <f>IF(C17=0,0,C17/TrRail_act!C21*100)</f>
        <v>0</v>
      </c>
      <c r="D30" s="29">
        <f>IF(D17=0,0,D17/TrRail_act!D21*100)</f>
        <v>0</v>
      </c>
      <c r="E30" s="29">
        <f>IF(E17=0,0,E17/TrRail_act!E21*100)</f>
        <v>0</v>
      </c>
      <c r="F30" s="29">
        <f>IF(F17=0,0,F17/TrRail_act!F21*100)</f>
        <v>0</v>
      </c>
      <c r="G30" s="29">
        <f>IF(G17=0,0,G17/TrRail_act!G21*100)</f>
        <v>0</v>
      </c>
      <c r="H30" s="29">
        <f>IF(H17=0,0,H17/TrRail_act!H21*100)</f>
        <v>0</v>
      </c>
      <c r="I30" s="29">
        <f>IF(I17=0,0,I17/TrRail_act!I21*100)</f>
        <v>0</v>
      </c>
      <c r="J30" s="29">
        <f>IF(J17=0,0,J17/TrRail_act!J21*100)</f>
        <v>0</v>
      </c>
      <c r="K30" s="29">
        <f>IF(K17=0,0,K17/TrRail_act!K21*100)</f>
        <v>0</v>
      </c>
      <c r="L30" s="29">
        <f>IF(L17=0,0,L17/TrRail_act!L21*100)</f>
        <v>0</v>
      </c>
      <c r="M30" s="29">
        <f>IF(M17=0,0,M17/TrRail_act!M21*100)</f>
        <v>0</v>
      </c>
      <c r="N30" s="29">
        <f>IF(N17=0,0,N17/TrRail_act!N21*100)</f>
        <v>0</v>
      </c>
      <c r="O30" s="29">
        <f>IF(O17=0,0,O17/TrRail_act!O21*100)</f>
        <v>0</v>
      </c>
      <c r="P30" s="29">
        <f>IF(P17=0,0,P17/TrRail_act!P21*100)</f>
        <v>0</v>
      </c>
      <c r="Q30" s="29">
        <f>IF(Q17=0,0,Q17/TrRail_act!Q21*100)</f>
        <v>0</v>
      </c>
      <c r="R30" s="29">
        <f>IF(R17=0,0,R17/TrRail_act!R21*100)</f>
        <v>0</v>
      </c>
      <c r="S30" s="29">
        <f>IF(S17=0,0,S17/TrRail_act!S21*100)</f>
        <v>0</v>
      </c>
      <c r="T30" s="29">
        <f>IF(T17=0,0,T17/TrRail_act!T21*100)</f>
        <v>0</v>
      </c>
      <c r="U30" s="29">
        <f>IF(U17=0,0,U17/TrRail_act!U21*100)</f>
        <v>0</v>
      </c>
      <c r="V30" s="29">
        <f>IF(V17=0,0,V17/TrRail_act!V21*100)</f>
        <v>0</v>
      </c>
      <c r="W30" s="29">
        <f>IF(W17=0,0,W17/TrRail_act!W21*100)</f>
        <v>0</v>
      </c>
      <c r="X30" s="29">
        <f>IF(X17=0,0,X17/TrRail_act!X21*100)</f>
        <v>0</v>
      </c>
      <c r="Y30" s="29">
        <f>IF(Y17=0,0,Y17/TrRail_act!Y21*100)</f>
        <v>0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0</v>
      </c>
      <c r="C31" s="87">
        <f>IF(C18=0,0,C18/TrRail_act!C22*100)</f>
        <v>0</v>
      </c>
      <c r="D31" s="87">
        <f>IF(D18=0,0,D18/TrRail_act!D22*100)</f>
        <v>0</v>
      </c>
      <c r="E31" s="87">
        <f>IF(E18=0,0,E18/TrRail_act!E22*100)</f>
        <v>0</v>
      </c>
      <c r="F31" s="87">
        <f>IF(F18=0,0,F18/TrRail_act!F22*100)</f>
        <v>0</v>
      </c>
      <c r="G31" s="87">
        <f>IF(G18=0,0,G18/TrRail_act!G22*100)</f>
        <v>0</v>
      </c>
      <c r="H31" s="87">
        <f>IF(H18=0,0,H18/TrRail_act!H22*100)</f>
        <v>0</v>
      </c>
      <c r="I31" s="87">
        <f>IF(I18=0,0,I18/TrRail_act!I22*100)</f>
        <v>0</v>
      </c>
      <c r="J31" s="87">
        <f>IF(J18=0,0,J18/TrRail_act!J22*100)</f>
        <v>0</v>
      </c>
      <c r="K31" s="87">
        <f>IF(K18=0,0,K18/TrRail_act!K22*100)</f>
        <v>0</v>
      </c>
      <c r="L31" s="87">
        <f>IF(L18=0,0,L18/TrRail_act!L22*100)</f>
        <v>0</v>
      </c>
      <c r="M31" s="87">
        <f>IF(M18=0,0,M18/TrRail_act!M22*100)</f>
        <v>0</v>
      </c>
      <c r="N31" s="87">
        <f>IF(N18=0,0,N18/TrRail_act!N22*100)</f>
        <v>0</v>
      </c>
      <c r="O31" s="87">
        <f>IF(O18=0,0,O18/TrRail_act!O22*100)</f>
        <v>0</v>
      </c>
      <c r="P31" s="87">
        <f>IF(P18=0,0,P18/TrRail_act!P22*100)</f>
        <v>0</v>
      </c>
      <c r="Q31" s="87">
        <f>IF(Q18=0,0,Q18/TrRail_act!Q22*100)</f>
        <v>0</v>
      </c>
      <c r="R31" s="87">
        <f>IF(R18=0,0,R18/TrRail_act!R22*100)</f>
        <v>0</v>
      </c>
      <c r="S31" s="87">
        <f>IF(S18=0,0,S18/TrRail_act!S22*100)</f>
        <v>0</v>
      </c>
      <c r="T31" s="87">
        <f>IF(T18=0,0,T18/TrRail_act!T22*100)</f>
        <v>0</v>
      </c>
      <c r="U31" s="87">
        <f>IF(U18=0,0,U18/TrRail_act!U22*100)</f>
        <v>0</v>
      </c>
      <c r="V31" s="87">
        <f>IF(V18=0,0,V18/TrRail_act!V22*100)</f>
        <v>0</v>
      </c>
      <c r="W31" s="87">
        <f>IF(W18=0,0,W18/TrRail_act!W22*100)</f>
        <v>0</v>
      </c>
      <c r="X31" s="87">
        <f>IF(X18=0,0,X18/TrRail_act!X22*100)</f>
        <v>0</v>
      </c>
      <c r="Y31" s="87">
        <f>IF(Y18=0,0,Y18/TrRail_act!Y22*100)</f>
        <v>0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X32" s="88">
        <f>IF(X19=0,0,X19/TrRail_act!X23*100)</f>
        <v>0</v>
      </c>
      <c r="Y32" s="88">
        <f>IF(Y19=0,0,Y19/TrRail_act!Y23*100)</f>
        <v>0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0</v>
      </c>
      <c r="C35" s="29">
        <f>IF(C11=0,0,C11/TrRail_act!C4*1000)</f>
        <v>0</v>
      </c>
      <c r="D35" s="29">
        <f>IF(D11=0,0,D11/TrRail_act!D4*1000)</f>
        <v>0</v>
      </c>
      <c r="E35" s="29">
        <f>IF(E11=0,0,E11/TrRail_act!E4*1000)</f>
        <v>0</v>
      </c>
      <c r="F35" s="29">
        <f>IF(F11=0,0,F11/TrRail_act!F4*1000)</f>
        <v>0</v>
      </c>
      <c r="G35" s="29">
        <f>IF(G11=0,0,G11/TrRail_act!G4*1000)</f>
        <v>0</v>
      </c>
      <c r="H35" s="29">
        <f>IF(H11=0,0,H11/TrRail_act!H4*1000)</f>
        <v>0</v>
      </c>
      <c r="I35" s="29">
        <f>IF(I11=0,0,I11/TrRail_act!I4*1000)</f>
        <v>0</v>
      </c>
      <c r="J35" s="29">
        <f>IF(J11=0,0,J11/TrRail_act!J4*1000)</f>
        <v>0</v>
      </c>
      <c r="K35" s="29">
        <f>IF(K11=0,0,K11/TrRail_act!K4*1000)</f>
        <v>0</v>
      </c>
      <c r="L35" s="29">
        <f>IF(L11=0,0,L11/TrRail_act!L4*1000)</f>
        <v>0</v>
      </c>
      <c r="M35" s="29">
        <f>IF(M11=0,0,M11/TrRail_act!M4*1000)</f>
        <v>0</v>
      </c>
      <c r="N35" s="29">
        <f>IF(N11=0,0,N11/TrRail_act!N4*1000)</f>
        <v>0</v>
      </c>
      <c r="O35" s="29">
        <f>IF(O11=0,0,O11/TrRail_act!O4*1000)</f>
        <v>0</v>
      </c>
      <c r="P35" s="29">
        <f>IF(P11=0,0,P11/TrRail_act!P4*1000)</f>
        <v>0</v>
      </c>
      <c r="Q35" s="29">
        <f>IF(Q11=0,0,Q11/TrRail_act!Q4*1000)</f>
        <v>0</v>
      </c>
      <c r="R35" s="29">
        <f>IF(R11=0,0,R11/TrRail_act!R4*1000)</f>
        <v>0</v>
      </c>
      <c r="S35" s="29">
        <f>IF(S11=0,0,S11/TrRail_act!S4*1000)</f>
        <v>0</v>
      </c>
      <c r="T35" s="29">
        <f>IF(T11=0,0,T11/TrRail_act!T4*1000)</f>
        <v>0</v>
      </c>
      <c r="U35" s="29">
        <f>IF(U11=0,0,U11/TrRail_act!U4*1000)</f>
        <v>0</v>
      </c>
      <c r="V35" s="29">
        <f>IF(V11=0,0,V11/TrRail_act!V4*1000)</f>
        <v>0</v>
      </c>
      <c r="W35" s="29">
        <f>IF(W11=0,0,W11/TrRail_act!W4*1000)</f>
        <v>0</v>
      </c>
      <c r="X35" s="29">
        <f>IF(X11=0,0,X11/TrRail_act!X4*1000)</f>
        <v>0</v>
      </c>
      <c r="Y35" s="29">
        <f>IF(Y11=0,0,Y11/TrRail_act!Y4*1000)</f>
        <v>0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X36" s="115">
        <f>IF(X12=0,0,X12/TrRail_act!X5*1000)</f>
        <v>0</v>
      </c>
      <c r="Y36" s="115">
        <f>IF(Y12=0,0,Y12/TrRail_act!Y5*1000)</f>
        <v>0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0</v>
      </c>
      <c r="C37" s="116">
        <f>IF(C13=0,0,C13/TrRail_act!C6*1000)</f>
        <v>0</v>
      </c>
      <c r="D37" s="116">
        <f>IF(D13=0,0,D13/TrRail_act!D6*1000)</f>
        <v>0</v>
      </c>
      <c r="E37" s="116">
        <f>IF(E13=0,0,E13/TrRail_act!E6*1000)</f>
        <v>0</v>
      </c>
      <c r="F37" s="116">
        <f>IF(F13=0,0,F13/TrRail_act!F6*1000)</f>
        <v>0</v>
      </c>
      <c r="G37" s="116">
        <f>IF(G13=0,0,G13/TrRail_act!G6*1000)</f>
        <v>0</v>
      </c>
      <c r="H37" s="116">
        <f>IF(H13=0,0,H13/TrRail_act!H6*1000)</f>
        <v>0</v>
      </c>
      <c r="I37" s="116">
        <f>IF(I13=0,0,I13/TrRail_act!I6*1000)</f>
        <v>0</v>
      </c>
      <c r="J37" s="116">
        <f>IF(J13=0,0,J13/TrRail_act!J6*1000)</f>
        <v>0</v>
      </c>
      <c r="K37" s="116">
        <f>IF(K13=0,0,K13/TrRail_act!K6*1000)</f>
        <v>0</v>
      </c>
      <c r="L37" s="116">
        <f>IF(L13=0,0,L13/TrRail_act!L6*1000)</f>
        <v>0</v>
      </c>
      <c r="M37" s="116">
        <f>IF(M13=0,0,M13/TrRail_act!M6*1000)</f>
        <v>0</v>
      </c>
      <c r="N37" s="116">
        <f>IF(N13=0,0,N13/TrRail_act!N6*1000)</f>
        <v>0</v>
      </c>
      <c r="O37" s="116">
        <f>IF(O13=0,0,O13/TrRail_act!O6*1000)</f>
        <v>0</v>
      </c>
      <c r="P37" s="116">
        <f>IF(P13=0,0,P13/TrRail_act!P6*1000)</f>
        <v>0</v>
      </c>
      <c r="Q37" s="116">
        <f>IF(Q13=0,0,Q13/TrRail_act!Q6*1000)</f>
        <v>0</v>
      </c>
      <c r="R37" s="116">
        <f>IF(R13=0,0,R13/TrRail_act!R6*1000)</f>
        <v>0</v>
      </c>
      <c r="S37" s="116">
        <f>IF(S13=0,0,S13/TrRail_act!S6*1000)</f>
        <v>0</v>
      </c>
      <c r="T37" s="116">
        <f>IF(T13=0,0,T13/TrRail_act!T6*1000)</f>
        <v>0</v>
      </c>
      <c r="U37" s="116">
        <f>IF(U13=0,0,U13/TrRail_act!U6*1000)</f>
        <v>0</v>
      </c>
      <c r="V37" s="116">
        <f>IF(V13=0,0,V13/TrRail_act!V6*1000)</f>
        <v>0</v>
      </c>
      <c r="W37" s="116">
        <f>IF(W13=0,0,W13/TrRail_act!W6*1000)</f>
        <v>0</v>
      </c>
      <c r="X37" s="116">
        <f>IF(X13=0,0,X13/TrRail_act!X6*1000)</f>
        <v>0</v>
      </c>
      <c r="Y37" s="116">
        <f>IF(Y13=0,0,Y13/TrRail_act!Y6*1000)</f>
        <v>0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0</v>
      </c>
      <c r="C38" s="87">
        <f>IF(C14=0,0,C14/TrRail_act!C7*1000)</f>
        <v>0</v>
      </c>
      <c r="D38" s="87">
        <f>IF(D14=0,0,D14/TrRail_act!D7*1000)</f>
        <v>0</v>
      </c>
      <c r="E38" s="87">
        <f>IF(E14=0,0,E14/TrRail_act!E7*1000)</f>
        <v>0</v>
      </c>
      <c r="F38" s="87">
        <f>IF(F14=0,0,F14/TrRail_act!F7*1000)</f>
        <v>0</v>
      </c>
      <c r="G38" s="87">
        <f>IF(G14=0,0,G14/TrRail_act!G7*1000)</f>
        <v>0</v>
      </c>
      <c r="H38" s="87">
        <f>IF(H14=0,0,H14/TrRail_act!H7*1000)</f>
        <v>0</v>
      </c>
      <c r="I38" s="87">
        <f>IF(I14=0,0,I14/TrRail_act!I7*1000)</f>
        <v>0</v>
      </c>
      <c r="J38" s="87">
        <f>IF(J14=0,0,J14/TrRail_act!J7*1000)</f>
        <v>0</v>
      </c>
      <c r="K38" s="87">
        <f>IF(K14=0,0,K14/TrRail_act!K7*1000)</f>
        <v>0</v>
      </c>
      <c r="L38" s="87">
        <f>IF(L14=0,0,L14/TrRail_act!L7*1000)</f>
        <v>0</v>
      </c>
      <c r="M38" s="87">
        <f>IF(M14=0,0,M14/TrRail_act!M7*1000)</f>
        <v>0</v>
      </c>
      <c r="N38" s="87">
        <f>IF(N14=0,0,N14/TrRail_act!N7*1000)</f>
        <v>0</v>
      </c>
      <c r="O38" s="87">
        <f>IF(O14=0,0,O14/TrRail_act!O7*1000)</f>
        <v>0</v>
      </c>
      <c r="P38" s="87">
        <f>IF(P14=0,0,P14/TrRail_act!P7*1000)</f>
        <v>0</v>
      </c>
      <c r="Q38" s="87">
        <f>IF(Q14=0,0,Q14/TrRail_act!Q7*1000)</f>
        <v>0</v>
      </c>
      <c r="R38" s="87">
        <f>IF(R14=0,0,R14/TrRail_act!R7*1000)</f>
        <v>0</v>
      </c>
      <c r="S38" s="87">
        <f>IF(S14=0,0,S14/TrRail_act!S7*1000)</f>
        <v>0</v>
      </c>
      <c r="T38" s="87">
        <f>IF(T14=0,0,T14/TrRail_act!T7*1000)</f>
        <v>0</v>
      </c>
      <c r="U38" s="87">
        <f>IF(U14=0,0,U14/TrRail_act!U7*1000)</f>
        <v>0</v>
      </c>
      <c r="V38" s="87">
        <f>IF(V14=0,0,V14/TrRail_act!V7*1000)</f>
        <v>0</v>
      </c>
      <c r="W38" s="87">
        <f>IF(W14=0,0,W14/TrRail_act!W7*1000)</f>
        <v>0</v>
      </c>
      <c r="X38" s="87">
        <f>IF(X14=0,0,X14/TrRail_act!X7*1000)</f>
        <v>0</v>
      </c>
      <c r="Y38" s="87">
        <f>IF(Y14=0,0,Y14/TrRail_act!Y7*1000)</f>
        <v>0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0</v>
      </c>
      <c r="C39" s="87">
        <f>IF(C15=0,0,C15/TrRail_act!C8*1000)</f>
        <v>0</v>
      </c>
      <c r="D39" s="87">
        <f>IF(D15=0,0,D15/TrRail_act!D8*1000)</f>
        <v>0</v>
      </c>
      <c r="E39" s="87">
        <f>IF(E15=0,0,E15/TrRail_act!E8*1000)</f>
        <v>0</v>
      </c>
      <c r="F39" s="87">
        <f>IF(F15=0,0,F15/TrRail_act!F8*1000)</f>
        <v>0</v>
      </c>
      <c r="G39" s="87">
        <f>IF(G15=0,0,G15/TrRail_act!G8*1000)</f>
        <v>0</v>
      </c>
      <c r="H39" s="87">
        <f>IF(H15=0,0,H15/TrRail_act!H8*1000)</f>
        <v>0</v>
      </c>
      <c r="I39" s="87">
        <f>IF(I15=0,0,I15/TrRail_act!I8*1000)</f>
        <v>0</v>
      </c>
      <c r="J39" s="87">
        <f>IF(J15=0,0,J15/TrRail_act!J8*1000)</f>
        <v>0</v>
      </c>
      <c r="K39" s="87">
        <f>IF(K15=0,0,K15/TrRail_act!K8*1000)</f>
        <v>0</v>
      </c>
      <c r="L39" s="87">
        <f>IF(L15=0,0,L15/TrRail_act!L8*1000)</f>
        <v>0</v>
      </c>
      <c r="M39" s="87">
        <f>IF(M15=0,0,M15/TrRail_act!M8*1000)</f>
        <v>0</v>
      </c>
      <c r="N39" s="87">
        <f>IF(N15=0,0,N15/TrRail_act!N8*1000)</f>
        <v>0</v>
      </c>
      <c r="O39" s="87">
        <f>IF(O15=0,0,O15/TrRail_act!O8*1000)</f>
        <v>0</v>
      </c>
      <c r="P39" s="87">
        <f>IF(P15=0,0,P15/TrRail_act!P8*1000)</f>
        <v>0</v>
      </c>
      <c r="Q39" s="87">
        <f>IF(Q15=0,0,Q15/TrRail_act!Q8*1000)</f>
        <v>0</v>
      </c>
      <c r="R39" s="87">
        <f>IF(R15=0,0,R15/TrRail_act!R8*1000)</f>
        <v>0</v>
      </c>
      <c r="S39" s="87">
        <f>IF(S15=0,0,S15/TrRail_act!S8*1000)</f>
        <v>0</v>
      </c>
      <c r="T39" s="87">
        <f>IF(T15=0,0,T15/TrRail_act!T8*1000)</f>
        <v>0</v>
      </c>
      <c r="U39" s="87">
        <f>IF(U15=0,0,U15/TrRail_act!U8*1000)</f>
        <v>0</v>
      </c>
      <c r="V39" s="87">
        <f>IF(V15=0,0,V15/TrRail_act!V8*1000)</f>
        <v>0</v>
      </c>
      <c r="W39" s="87">
        <f>IF(W15=0,0,W15/TrRail_act!W8*1000)</f>
        <v>0</v>
      </c>
      <c r="X39" s="87">
        <f>IF(X15=0,0,X15/TrRail_act!X8*1000)</f>
        <v>0</v>
      </c>
      <c r="Y39" s="87">
        <f>IF(Y15=0,0,Y15/TrRail_act!Y8*1000)</f>
        <v>0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0</v>
      </c>
      <c r="C41" s="29">
        <f>IF(C17=0,0,C17/TrRail_act!C10*1000)</f>
        <v>0</v>
      </c>
      <c r="D41" s="29">
        <f>IF(D17=0,0,D17/TrRail_act!D10*1000)</f>
        <v>0</v>
      </c>
      <c r="E41" s="29">
        <f>IF(E17=0,0,E17/TrRail_act!E10*1000)</f>
        <v>0</v>
      </c>
      <c r="F41" s="29">
        <f>IF(F17=0,0,F17/TrRail_act!F10*1000)</f>
        <v>0</v>
      </c>
      <c r="G41" s="29">
        <f>IF(G17=0,0,G17/TrRail_act!G10*1000)</f>
        <v>0</v>
      </c>
      <c r="H41" s="29">
        <f>IF(H17=0,0,H17/TrRail_act!H10*1000)</f>
        <v>0</v>
      </c>
      <c r="I41" s="29">
        <f>IF(I17=0,0,I17/TrRail_act!I10*1000)</f>
        <v>0</v>
      </c>
      <c r="J41" s="29">
        <f>IF(J17=0,0,J17/TrRail_act!J10*1000)</f>
        <v>0</v>
      </c>
      <c r="K41" s="29">
        <f>IF(K17=0,0,K17/TrRail_act!K10*1000)</f>
        <v>0</v>
      </c>
      <c r="L41" s="29">
        <f>IF(L17=0,0,L17/TrRail_act!L10*1000)</f>
        <v>0</v>
      </c>
      <c r="M41" s="29">
        <f>IF(M17=0,0,M17/TrRail_act!M10*1000)</f>
        <v>0</v>
      </c>
      <c r="N41" s="29">
        <f>IF(N17=0,0,N17/TrRail_act!N10*1000)</f>
        <v>0</v>
      </c>
      <c r="O41" s="29">
        <f>IF(O17=0,0,O17/TrRail_act!O10*1000)</f>
        <v>0</v>
      </c>
      <c r="P41" s="29">
        <f>IF(P17=0,0,P17/TrRail_act!P10*1000)</f>
        <v>0</v>
      </c>
      <c r="Q41" s="29">
        <f>IF(Q17=0,0,Q17/TrRail_act!Q10*1000)</f>
        <v>0</v>
      </c>
      <c r="R41" s="29">
        <f>IF(R17=0,0,R17/TrRail_act!R10*1000)</f>
        <v>0</v>
      </c>
      <c r="S41" s="29">
        <f>IF(S17=0,0,S17/TrRail_act!S10*1000)</f>
        <v>0</v>
      </c>
      <c r="T41" s="29">
        <f>IF(T17=0,0,T17/TrRail_act!T10*1000)</f>
        <v>0</v>
      </c>
      <c r="U41" s="29">
        <f>IF(U17=0,0,U17/TrRail_act!U10*1000)</f>
        <v>0</v>
      </c>
      <c r="V41" s="29">
        <f>IF(V17=0,0,V17/TrRail_act!V10*1000)</f>
        <v>0</v>
      </c>
      <c r="W41" s="29">
        <f>IF(W17=0,0,W17/TrRail_act!W10*1000)</f>
        <v>0</v>
      </c>
      <c r="X41" s="29">
        <f>IF(X17=0,0,X17/TrRail_act!X10*1000)</f>
        <v>0</v>
      </c>
      <c r="Y41" s="29">
        <f>IF(Y17=0,0,Y17/TrRail_act!Y10*1000)</f>
        <v>0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0</v>
      </c>
      <c r="C42" s="87">
        <f>IF(C18=0,0,C18/TrRail_act!C11*1000)</f>
        <v>0</v>
      </c>
      <c r="D42" s="87">
        <f>IF(D18=0,0,D18/TrRail_act!D11*1000)</f>
        <v>0</v>
      </c>
      <c r="E42" s="87">
        <f>IF(E18=0,0,E18/TrRail_act!E11*1000)</f>
        <v>0</v>
      </c>
      <c r="F42" s="87">
        <f>IF(F18=0,0,F18/TrRail_act!F11*1000)</f>
        <v>0</v>
      </c>
      <c r="G42" s="87">
        <f>IF(G18=0,0,G18/TrRail_act!G11*1000)</f>
        <v>0</v>
      </c>
      <c r="H42" s="87">
        <f>IF(H18=0,0,H18/TrRail_act!H11*1000)</f>
        <v>0</v>
      </c>
      <c r="I42" s="87">
        <f>IF(I18=0,0,I18/TrRail_act!I11*1000)</f>
        <v>0</v>
      </c>
      <c r="J42" s="87">
        <f>IF(J18=0,0,J18/TrRail_act!J11*1000)</f>
        <v>0</v>
      </c>
      <c r="K42" s="87">
        <f>IF(K18=0,0,K18/TrRail_act!K11*1000)</f>
        <v>0</v>
      </c>
      <c r="L42" s="87">
        <f>IF(L18=0,0,L18/TrRail_act!L11*1000)</f>
        <v>0</v>
      </c>
      <c r="M42" s="87">
        <f>IF(M18=0,0,M18/TrRail_act!M11*1000)</f>
        <v>0</v>
      </c>
      <c r="N42" s="87">
        <f>IF(N18=0,0,N18/TrRail_act!N11*1000)</f>
        <v>0</v>
      </c>
      <c r="O42" s="87">
        <f>IF(O18=0,0,O18/TrRail_act!O11*1000)</f>
        <v>0</v>
      </c>
      <c r="P42" s="87">
        <f>IF(P18=0,0,P18/TrRail_act!P11*1000)</f>
        <v>0</v>
      </c>
      <c r="Q42" s="87">
        <f>IF(Q18=0,0,Q18/TrRail_act!Q11*1000)</f>
        <v>0</v>
      </c>
      <c r="R42" s="87">
        <f>IF(R18=0,0,R18/TrRail_act!R11*1000)</f>
        <v>0</v>
      </c>
      <c r="S42" s="87">
        <f>IF(S18=0,0,S18/TrRail_act!S11*1000)</f>
        <v>0</v>
      </c>
      <c r="T42" s="87">
        <f>IF(T18=0,0,T18/TrRail_act!T11*1000)</f>
        <v>0</v>
      </c>
      <c r="U42" s="87">
        <f>IF(U18=0,0,U18/TrRail_act!U11*1000)</f>
        <v>0</v>
      </c>
      <c r="V42" s="87">
        <f>IF(V18=0,0,V18/TrRail_act!V11*1000)</f>
        <v>0</v>
      </c>
      <c r="W42" s="87">
        <f>IF(W18=0,0,W18/TrRail_act!W11*1000)</f>
        <v>0</v>
      </c>
      <c r="X42" s="87">
        <f>IF(X18=0,0,X18/TrRail_act!X11*1000)</f>
        <v>0</v>
      </c>
      <c r="Y42" s="87">
        <f>IF(Y18=0,0,Y18/TrRail_act!Y11*1000)</f>
        <v>0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X43" s="88">
        <f>IF(X19=0,0,X19/TrRail_act!X12*1000)</f>
        <v>0</v>
      </c>
      <c r="Y43" s="88">
        <f>IF(Y19=0,0,Y19/TrRail_act!Y12*1000)</f>
        <v>0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0</v>
      </c>
      <c r="C45" s="54">
        <f>IF(C10=0,0,1000000*C10/TrRail_act!C25)</f>
        <v>0</v>
      </c>
      <c r="D45" s="54">
        <f>IF(D10=0,0,1000000*D10/TrRail_act!D25)</f>
        <v>0</v>
      </c>
      <c r="E45" s="54">
        <f>IF(E10=0,0,1000000*E10/TrRail_act!E25)</f>
        <v>0</v>
      </c>
      <c r="F45" s="54">
        <f>IF(F10=0,0,1000000*F10/TrRail_act!F25)</f>
        <v>0</v>
      </c>
      <c r="G45" s="54">
        <f>IF(G10=0,0,1000000*G10/TrRail_act!G25)</f>
        <v>0</v>
      </c>
      <c r="H45" s="54">
        <f>IF(H10=0,0,1000000*H10/TrRail_act!H25)</f>
        <v>0</v>
      </c>
      <c r="I45" s="54">
        <f>IF(I10=0,0,1000000*I10/TrRail_act!I25)</f>
        <v>0</v>
      </c>
      <c r="J45" s="54">
        <f>IF(J10=0,0,1000000*J10/TrRail_act!J25)</f>
        <v>0</v>
      </c>
      <c r="K45" s="54">
        <f>IF(K10=0,0,1000000*K10/TrRail_act!K25)</f>
        <v>0</v>
      </c>
      <c r="L45" s="54">
        <f>IF(L10=0,0,1000000*L10/TrRail_act!L25)</f>
        <v>0</v>
      </c>
      <c r="M45" s="54">
        <f>IF(M10=0,0,1000000*M10/TrRail_act!M25)</f>
        <v>0</v>
      </c>
      <c r="N45" s="54">
        <f>IF(N10=0,0,1000000*N10/TrRail_act!N25)</f>
        <v>0</v>
      </c>
      <c r="O45" s="54">
        <f>IF(O10=0,0,1000000*O10/TrRail_act!O25)</f>
        <v>0</v>
      </c>
      <c r="P45" s="54">
        <f>IF(P10=0,0,1000000*P10/TrRail_act!P25)</f>
        <v>0</v>
      </c>
      <c r="Q45" s="54">
        <f>IF(Q10=0,0,1000000*Q10/TrRail_act!Q25)</f>
        <v>0</v>
      </c>
      <c r="R45" s="54">
        <f>IF(R10=0,0,1000000*R10/TrRail_act!R25)</f>
        <v>0</v>
      </c>
      <c r="S45" s="54">
        <f>IF(S10=0,0,1000000*S10/TrRail_act!S25)</f>
        <v>0</v>
      </c>
      <c r="T45" s="54">
        <f>IF(T10=0,0,1000000*T10/TrRail_act!T25)</f>
        <v>0</v>
      </c>
      <c r="U45" s="54">
        <f>IF(U10=0,0,1000000*U10/TrRail_act!U25)</f>
        <v>0</v>
      </c>
      <c r="V45" s="54">
        <f>IF(V10=0,0,1000000*V10/TrRail_act!V25)</f>
        <v>0</v>
      </c>
      <c r="W45" s="54">
        <f>IF(W10=0,0,1000000*W10/TrRail_act!W25)</f>
        <v>0</v>
      </c>
      <c r="X45" s="54">
        <f>IF(X10=0,0,1000000*X10/TrRail_act!X25)</f>
        <v>0</v>
      </c>
      <c r="Y45" s="54">
        <f>IF(Y10=0,0,1000000*Y10/TrRail_act!Y25)</f>
        <v>0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0</v>
      </c>
      <c r="C46" s="28">
        <f>IF(C11=0,0,1000000*C11/TrRail_act!C26)</f>
        <v>0</v>
      </c>
      <c r="D46" s="28">
        <f>IF(D11=0,0,1000000*D11/TrRail_act!D26)</f>
        <v>0</v>
      </c>
      <c r="E46" s="28">
        <f>IF(E11=0,0,1000000*E11/TrRail_act!E26)</f>
        <v>0</v>
      </c>
      <c r="F46" s="28">
        <f>IF(F11=0,0,1000000*F11/TrRail_act!F26)</f>
        <v>0</v>
      </c>
      <c r="G46" s="28">
        <f>IF(G11=0,0,1000000*G11/TrRail_act!G26)</f>
        <v>0</v>
      </c>
      <c r="H46" s="28">
        <f>IF(H11=0,0,1000000*H11/TrRail_act!H26)</f>
        <v>0</v>
      </c>
      <c r="I46" s="28">
        <f>IF(I11=0,0,1000000*I11/TrRail_act!I26)</f>
        <v>0</v>
      </c>
      <c r="J46" s="28">
        <f>IF(J11=0,0,1000000*J11/TrRail_act!J26)</f>
        <v>0</v>
      </c>
      <c r="K46" s="28">
        <f>IF(K11=0,0,1000000*K11/TrRail_act!K26)</f>
        <v>0</v>
      </c>
      <c r="L46" s="28">
        <f>IF(L11=0,0,1000000*L11/TrRail_act!L26)</f>
        <v>0</v>
      </c>
      <c r="M46" s="28">
        <f>IF(M11=0,0,1000000*M11/TrRail_act!M26)</f>
        <v>0</v>
      </c>
      <c r="N46" s="28">
        <f>IF(N11=0,0,1000000*N11/TrRail_act!N26)</f>
        <v>0</v>
      </c>
      <c r="O46" s="28">
        <f>IF(O11=0,0,1000000*O11/TrRail_act!O26)</f>
        <v>0</v>
      </c>
      <c r="P46" s="28">
        <f>IF(P11=0,0,1000000*P11/TrRail_act!P26)</f>
        <v>0</v>
      </c>
      <c r="Q46" s="28">
        <f>IF(Q11=0,0,1000000*Q11/TrRail_act!Q26)</f>
        <v>0</v>
      </c>
      <c r="R46" s="28">
        <f>IF(R11=0,0,1000000*R11/TrRail_act!R26)</f>
        <v>0</v>
      </c>
      <c r="S46" s="28">
        <f>IF(S11=0,0,1000000*S11/TrRail_act!S26)</f>
        <v>0</v>
      </c>
      <c r="T46" s="28">
        <f>IF(T11=0,0,1000000*T11/TrRail_act!T26)</f>
        <v>0</v>
      </c>
      <c r="U46" s="28">
        <f>IF(U11=0,0,1000000*U11/TrRail_act!U26)</f>
        <v>0</v>
      </c>
      <c r="V46" s="28">
        <f>IF(V11=0,0,1000000*V11/TrRail_act!V26)</f>
        <v>0</v>
      </c>
      <c r="W46" s="28">
        <f>IF(W11=0,0,1000000*W11/TrRail_act!W26)</f>
        <v>0</v>
      </c>
      <c r="X46" s="28">
        <f>IF(X11=0,0,1000000*X11/TrRail_act!X26)</f>
        <v>0</v>
      </c>
      <c r="Y46" s="28">
        <f>IF(Y11=0,0,1000000*Y11/TrRail_act!Y26)</f>
        <v>0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X47" s="108">
        <f>IF(X12=0,0,1000000*X12/TrRail_act!X27)</f>
        <v>0</v>
      </c>
      <c r="Y47" s="108">
        <f>IF(Y12=0,0,1000000*Y12/TrRail_act!Y27)</f>
        <v>0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0</v>
      </c>
      <c r="C48" s="110">
        <f>IF(C13=0,0,1000000*C13/TrRail_act!C28)</f>
        <v>0</v>
      </c>
      <c r="D48" s="110">
        <f>IF(D13=0,0,1000000*D13/TrRail_act!D28)</f>
        <v>0</v>
      </c>
      <c r="E48" s="110">
        <f>IF(E13=0,0,1000000*E13/TrRail_act!E28)</f>
        <v>0</v>
      </c>
      <c r="F48" s="110">
        <f>IF(F13=0,0,1000000*F13/TrRail_act!F28)</f>
        <v>0</v>
      </c>
      <c r="G48" s="110">
        <f>IF(G13=0,0,1000000*G13/TrRail_act!G28)</f>
        <v>0</v>
      </c>
      <c r="H48" s="110">
        <f>IF(H13=0,0,1000000*H13/TrRail_act!H28)</f>
        <v>0</v>
      </c>
      <c r="I48" s="110">
        <f>IF(I13=0,0,1000000*I13/TrRail_act!I28)</f>
        <v>0</v>
      </c>
      <c r="J48" s="110">
        <f>IF(J13=0,0,1000000*J13/TrRail_act!J28)</f>
        <v>0</v>
      </c>
      <c r="K48" s="110">
        <f>IF(K13=0,0,1000000*K13/TrRail_act!K28)</f>
        <v>0</v>
      </c>
      <c r="L48" s="110">
        <f>IF(L13=0,0,1000000*L13/TrRail_act!L28)</f>
        <v>0</v>
      </c>
      <c r="M48" s="110">
        <f>IF(M13=0,0,1000000*M13/TrRail_act!M28)</f>
        <v>0</v>
      </c>
      <c r="N48" s="110">
        <f>IF(N13=0,0,1000000*N13/TrRail_act!N28)</f>
        <v>0</v>
      </c>
      <c r="O48" s="110">
        <f>IF(O13=0,0,1000000*O13/TrRail_act!O28)</f>
        <v>0</v>
      </c>
      <c r="P48" s="110">
        <f>IF(P13=0,0,1000000*P13/TrRail_act!P28)</f>
        <v>0</v>
      </c>
      <c r="Q48" s="110">
        <f>IF(Q13=0,0,1000000*Q13/TrRail_act!Q28)</f>
        <v>0</v>
      </c>
      <c r="R48" s="110">
        <f>IF(R13=0,0,1000000*R13/TrRail_act!R28)</f>
        <v>0</v>
      </c>
      <c r="S48" s="110">
        <f>IF(S13=0,0,1000000*S13/TrRail_act!S28)</f>
        <v>0</v>
      </c>
      <c r="T48" s="110">
        <f>IF(T13=0,0,1000000*T13/TrRail_act!T28)</f>
        <v>0</v>
      </c>
      <c r="U48" s="110">
        <f>IF(U13=0,0,1000000*U13/TrRail_act!U28)</f>
        <v>0</v>
      </c>
      <c r="V48" s="110">
        <f>IF(V13=0,0,1000000*V13/TrRail_act!V28)</f>
        <v>0</v>
      </c>
      <c r="W48" s="110">
        <f>IF(W13=0,0,1000000*W13/TrRail_act!W28)</f>
        <v>0</v>
      </c>
      <c r="X48" s="110">
        <f>IF(X13=0,0,1000000*X13/TrRail_act!X28)</f>
        <v>0</v>
      </c>
      <c r="Y48" s="110">
        <f>IF(Y13=0,0,1000000*Y13/TrRail_act!Y28)</f>
        <v>0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0</v>
      </c>
      <c r="C49" s="84">
        <f>IF(C14=0,0,1000000*C14/TrRail_act!C29)</f>
        <v>0</v>
      </c>
      <c r="D49" s="84">
        <f>IF(D14=0,0,1000000*D14/TrRail_act!D29)</f>
        <v>0</v>
      </c>
      <c r="E49" s="84">
        <f>IF(E14=0,0,1000000*E14/TrRail_act!E29)</f>
        <v>0</v>
      </c>
      <c r="F49" s="84">
        <f>IF(F14=0,0,1000000*F14/TrRail_act!F29)</f>
        <v>0</v>
      </c>
      <c r="G49" s="84">
        <f>IF(G14=0,0,1000000*G14/TrRail_act!G29)</f>
        <v>0</v>
      </c>
      <c r="H49" s="84">
        <f>IF(H14=0,0,1000000*H14/TrRail_act!H29)</f>
        <v>0</v>
      </c>
      <c r="I49" s="84">
        <f>IF(I14=0,0,1000000*I14/TrRail_act!I29)</f>
        <v>0</v>
      </c>
      <c r="J49" s="84">
        <f>IF(J14=0,0,1000000*J14/TrRail_act!J29)</f>
        <v>0</v>
      </c>
      <c r="K49" s="84">
        <f>IF(K14=0,0,1000000*K14/TrRail_act!K29)</f>
        <v>0</v>
      </c>
      <c r="L49" s="84">
        <f>IF(L14=0,0,1000000*L14/TrRail_act!L29)</f>
        <v>0</v>
      </c>
      <c r="M49" s="84">
        <f>IF(M14=0,0,1000000*M14/TrRail_act!M29)</f>
        <v>0</v>
      </c>
      <c r="N49" s="84">
        <f>IF(N14=0,0,1000000*N14/TrRail_act!N29)</f>
        <v>0</v>
      </c>
      <c r="O49" s="84">
        <f>IF(O14=0,0,1000000*O14/TrRail_act!O29)</f>
        <v>0</v>
      </c>
      <c r="P49" s="84">
        <f>IF(P14=0,0,1000000*P14/TrRail_act!P29)</f>
        <v>0</v>
      </c>
      <c r="Q49" s="84">
        <f>IF(Q14=0,0,1000000*Q14/TrRail_act!Q29)</f>
        <v>0</v>
      </c>
      <c r="R49" s="84">
        <f>IF(R14=0,0,1000000*R14/TrRail_act!R29)</f>
        <v>0</v>
      </c>
      <c r="S49" s="84">
        <f>IF(S14=0,0,1000000*S14/TrRail_act!S29)</f>
        <v>0</v>
      </c>
      <c r="T49" s="84">
        <f>IF(T14=0,0,1000000*T14/TrRail_act!T29)</f>
        <v>0</v>
      </c>
      <c r="U49" s="84">
        <f>IF(U14=0,0,1000000*U14/TrRail_act!U29)</f>
        <v>0</v>
      </c>
      <c r="V49" s="84">
        <f>IF(V14=0,0,1000000*V14/TrRail_act!V29)</f>
        <v>0</v>
      </c>
      <c r="W49" s="84">
        <f>IF(W14=0,0,1000000*W14/TrRail_act!W29)</f>
        <v>0</v>
      </c>
      <c r="X49" s="84">
        <f>IF(X14=0,0,1000000*X14/TrRail_act!X29)</f>
        <v>0</v>
      </c>
      <c r="Y49" s="84">
        <f>IF(Y14=0,0,1000000*Y14/TrRail_act!Y29)</f>
        <v>0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0</v>
      </c>
      <c r="C50" s="84">
        <f>IF(C15=0,0,1000000*C15/TrRail_act!C30)</f>
        <v>0</v>
      </c>
      <c r="D50" s="84">
        <f>IF(D15=0,0,1000000*D15/TrRail_act!D30)</f>
        <v>0</v>
      </c>
      <c r="E50" s="84">
        <f>IF(E15=0,0,1000000*E15/TrRail_act!E30)</f>
        <v>0</v>
      </c>
      <c r="F50" s="84">
        <f>IF(F15=0,0,1000000*F15/TrRail_act!F30)</f>
        <v>0</v>
      </c>
      <c r="G50" s="84">
        <f>IF(G15=0,0,1000000*G15/TrRail_act!G30)</f>
        <v>0</v>
      </c>
      <c r="H50" s="84">
        <f>IF(H15=0,0,1000000*H15/TrRail_act!H30)</f>
        <v>0</v>
      </c>
      <c r="I50" s="84">
        <f>IF(I15=0,0,1000000*I15/TrRail_act!I30)</f>
        <v>0</v>
      </c>
      <c r="J50" s="84">
        <f>IF(J15=0,0,1000000*J15/TrRail_act!J30)</f>
        <v>0</v>
      </c>
      <c r="K50" s="84">
        <f>IF(K15=0,0,1000000*K15/TrRail_act!K30)</f>
        <v>0</v>
      </c>
      <c r="L50" s="84">
        <f>IF(L15=0,0,1000000*L15/TrRail_act!L30)</f>
        <v>0</v>
      </c>
      <c r="M50" s="84">
        <f>IF(M15=0,0,1000000*M15/TrRail_act!M30)</f>
        <v>0</v>
      </c>
      <c r="N50" s="84">
        <f>IF(N15=0,0,1000000*N15/TrRail_act!N30)</f>
        <v>0</v>
      </c>
      <c r="O50" s="84">
        <f>IF(O15=0,0,1000000*O15/TrRail_act!O30)</f>
        <v>0</v>
      </c>
      <c r="P50" s="84">
        <f>IF(P15=0,0,1000000*P15/TrRail_act!P30)</f>
        <v>0</v>
      </c>
      <c r="Q50" s="84">
        <f>IF(Q15=0,0,1000000*Q15/TrRail_act!Q30)</f>
        <v>0</v>
      </c>
      <c r="R50" s="84">
        <f>IF(R15=0,0,1000000*R15/TrRail_act!R30)</f>
        <v>0</v>
      </c>
      <c r="S50" s="84">
        <f>IF(S15=0,0,1000000*S15/TrRail_act!S30)</f>
        <v>0</v>
      </c>
      <c r="T50" s="84">
        <f>IF(T15=0,0,1000000*T15/TrRail_act!T30)</f>
        <v>0</v>
      </c>
      <c r="U50" s="84">
        <f>IF(U15=0,0,1000000*U15/TrRail_act!U30)</f>
        <v>0</v>
      </c>
      <c r="V50" s="84">
        <f>IF(V15=0,0,1000000*V15/TrRail_act!V30)</f>
        <v>0</v>
      </c>
      <c r="W50" s="84">
        <f>IF(W15=0,0,1000000*W15/TrRail_act!W30)</f>
        <v>0</v>
      </c>
      <c r="X50" s="84">
        <f>IF(X15=0,0,1000000*X15/TrRail_act!X30)</f>
        <v>0</v>
      </c>
      <c r="Y50" s="84">
        <f>IF(Y15=0,0,1000000*Y15/TrRail_act!Y30)</f>
        <v>0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0</v>
      </c>
      <c r="C52" s="28">
        <f>IF(C17=0,0,1000000*C17/TrRail_act!C32)</f>
        <v>0</v>
      </c>
      <c r="D52" s="28">
        <f>IF(D17=0,0,1000000*D17/TrRail_act!D32)</f>
        <v>0</v>
      </c>
      <c r="E52" s="28">
        <f>IF(E17=0,0,1000000*E17/TrRail_act!E32)</f>
        <v>0</v>
      </c>
      <c r="F52" s="28">
        <f>IF(F17=0,0,1000000*F17/TrRail_act!F32)</f>
        <v>0</v>
      </c>
      <c r="G52" s="28">
        <f>IF(G17=0,0,1000000*G17/TrRail_act!G32)</f>
        <v>0</v>
      </c>
      <c r="H52" s="28">
        <f>IF(H17=0,0,1000000*H17/TrRail_act!H32)</f>
        <v>0</v>
      </c>
      <c r="I52" s="28">
        <f>IF(I17=0,0,1000000*I17/TrRail_act!I32)</f>
        <v>0</v>
      </c>
      <c r="J52" s="28">
        <f>IF(J17=0,0,1000000*J17/TrRail_act!J32)</f>
        <v>0</v>
      </c>
      <c r="K52" s="28">
        <f>IF(K17=0,0,1000000*K17/TrRail_act!K32)</f>
        <v>0</v>
      </c>
      <c r="L52" s="28">
        <f>IF(L17=0,0,1000000*L17/TrRail_act!L32)</f>
        <v>0</v>
      </c>
      <c r="M52" s="28">
        <f>IF(M17=0,0,1000000*M17/TrRail_act!M32)</f>
        <v>0</v>
      </c>
      <c r="N52" s="28">
        <f>IF(N17=0,0,1000000*N17/TrRail_act!N32)</f>
        <v>0</v>
      </c>
      <c r="O52" s="28">
        <f>IF(O17=0,0,1000000*O17/TrRail_act!O32)</f>
        <v>0</v>
      </c>
      <c r="P52" s="28">
        <f>IF(P17=0,0,1000000*P17/TrRail_act!P32)</f>
        <v>0</v>
      </c>
      <c r="Q52" s="28">
        <f>IF(Q17=0,0,1000000*Q17/TrRail_act!Q32)</f>
        <v>0</v>
      </c>
      <c r="R52" s="28">
        <f>IF(R17=0,0,1000000*R17/TrRail_act!R32)</f>
        <v>0</v>
      </c>
      <c r="S52" s="28">
        <f>IF(S17=0,0,1000000*S17/TrRail_act!S32)</f>
        <v>0</v>
      </c>
      <c r="T52" s="28">
        <f>IF(T17=0,0,1000000*T17/TrRail_act!T32)</f>
        <v>0</v>
      </c>
      <c r="U52" s="28">
        <f>IF(U17=0,0,1000000*U17/TrRail_act!U32)</f>
        <v>0</v>
      </c>
      <c r="V52" s="28">
        <f>IF(V17=0,0,1000000*V17/TrRail_act!V32)</f>
        <v>0</v>
      </c>
      <c r="W52" s="28">
        <f>IF(W17=0,0,1000000*W17/TrRail_act!W32)</f>
        <v>0</v>
      </c>
      <c r="X52" s="28">
        <f>IF(X17=0,0,1000000*X17/TrRail_act!X32)</f>
        <v>0</v>
      </c>
      <c r="Y52" s="28">
        <f>IF(Y17=0,0,1000000*Y17/TrRail_act!Y32)</f>
        <v>0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0</v>
      </c>
      <c r="C53" s="84">
        <f>IF(C18=0,0,1000000*C18/TrRail_act!C33)</f>
        <v>0</v>
      </c>
      <c r="D53" s="84">
        <f>IF(D18=0,0,1000000*D18/TrRail_act!D33)</f>
        <v>0</v>
      </c>
      <c r="E53" s="84">
        <f>IF(E18=0,0,1000000*E18/TrRail_act!E33)</f>
        <v>0</v>
      </c>
      <c r="F53" s="84">
        <f>IF(F18=0,0,1000000*F18/TrRail_act!F33)</f>
        <v>0</v>
      </c>
      <c r="G53" s="84">
        <f>IF(G18=0,0,1000000*G18/TrRail_act!G33)</f>
        <v>0</v>
      </c>
      <c r="H53" s="84">
        <f>IF(H18=0,0,1000000*H18/TrRail_act!H33)</f>
        <v>0</v>
      </c>
      <c r="I53" s="84">
        <f>IF(I18=0,0,1000000*I18/TrRail_act!I33)</f>
        <v>0</v>
      </c>
      <c r="J53" s="84">
        <f>IF(J18=0,0,1000000*J18/TrRail_act!J33)</f>
        <v>0</v>
      </c>
      <c r="K53" s="84">
        <f>IF(K18=0,0,1000000*K18/TrRail_act!K33)</f>
        <v>0</v>
      </c>
      <c r="L53" s="84">
        <f>IF(L18=0,0,1000000*L18/TrRail_act!L33)</f>
        <v>0</v>
      </c>
      <c r="M53" s="84">
        <f>IF(M18=0,0,1000000*M18/TrRail_act!M33)</f>
        <v>0</v>
      </c>
      <c r="N53" s="84">
        <f>IF(N18=0,0,1000000*N18/TrRail_act!N33)</f>
        <v>0</v>
      </c>
      <c r="O53" s="84">
        <f>IF(O18=0,0,1000000*O18/TrRail_act!O33)</f>
        <v>0</v>
      </c>
      <c r="P53" s="84">
        <f>IF(P18=0,0,1000000*P18/TrRail_act!P33)</f>
        <v>0</v>
      </c>
      <c r="Q53" s="84">
        <f>IF(Q18=0,0,1000000*Q18/TrRail_act!Q33)</f>
        <v>0</v>
      </c>
      <c r="R53" s="84">
        <f>IF(R18=0,0,1000000*R18/TrRail_act!R33)</f>
        <v>0</v>
      </c>
      <c r="S53" s="84">
        <f>IF(S18=0,0,1000000*S18/TrRail_act!S33)</f>
        <v>0</v>
      </c>
      <c r="T53" s="84">
        <f>IF(T18=0,0,1000000*T18/TrRail_act!T33)</f>
        <v>0</v>
      </c>
      <c r="U53" s="84">
        <f>IF(U18=0,0,1000000*U18/TrRail_act!U33)</f>
        <v>0</v>
      </c>
      <c r="V53" s="84">
        <f>IF(V18=0,0,1000000*V18/TrRail_act!V33)</f>
        <v>0</v>
      </c>
      <c r="W53" s="84">
        <f>IF(W18=0,0,1000000*W18/TrRail_act!W33)</f>
        <v>0</v>
      </c>
      <c r="X53" s="84">
        <f>IF(X18=0,0,1000000*X18/TrRail_act!X33)</f>
        <v>0</v>
      </c>
      <c r="Y53" s="84">
        <f>IF(Y18=0,0,1000000*Y18/TrRail_act!Y33)</f>
        <v>0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X54" s="86">
        <f>IF(X19=0,0,1000000*X19/TrRail_act!X34)</f>
        <v>0</v>
      </c>
      <c r="Y54" s="86">
        <f>IF(Y19=0,0,1000000*Y19/TrRail_act!Y34)</f>
        <v>0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0</v>
      </c>
      <c r="C56" s="65">
        <f t="shared" ref="C56:V56" si="16">IF(C10=0,0,C10/C$10)</f>
        <v>0</v>
      </c>
      <c r="D56" s="65">
        <f t="shared" si="16"/>
        <v>0</v>
      </c>
      <c r="E56" s="65">
        <f t="shared" si="16"/>
        <v>0</v>
      </c>
      <c r="F56" s="65">
        <f t="shared" si="16"/>
        <v>0</v>
      </c>
      <c r="G56" s="65">
        <f t="shared" si="16"/>
        <v>0</v>
      </c>
      <c r="H56" s="65">
        <f t="shared" si="16"/>
        <v>0</v>
      </c>
      <c r="I56" s="65">
        <f t="shared" si="16"/>
        <v>0</v>
      </c>
      <c r="J56" s="65">
        <f t="shared" si="16"/>
        <v>0</v>
      </c>
      <c r="K56" s="65">
        <f t="shared" si="16"/>
        <v>0</v>
      </c>
      <c r="L56" s="65">
        <f t="shared" si="16"/>
        <v>0</v>
      </c>
      <c r="M56" s="65">
        <f t="shared" si="16"/>
        <v>0</v>
      </c>
      <c r="N56" s="65">
        <f t="shared" si="16"/>
        <v>0</v>
      </c>
      <c r="O56" s="65">
        <f t="shared" si="16"/>
        <v>0</v>
      </c>
      <c r="P56" s="65">
        <f t="shared" si="16"/>
        <v>0</v>
      </c>
      <c r="Q56" s="65">
        <f t="shared" si="16"/>
        <v>0</v>
      </c>
      <c r="R56" s="65">
        <f t="shared" si="16"/>
        <v>0</v>
      </c>
      <c r="S56" s="65">
        <f t="shared" si="16"/>
        <v>0</v>
      </c>
      <c r="T56" s="65">
        <f t="shared" si="16"/>
        <v>0</v>
      </c>
      <c r="U56" s="65">
        <f t="shared" si="16"/>
        <v>0</v>
      </c>
      <c r="V56" s="65">
        <f t="shared" si="16"/>
        <v>0</v>
      </c>
      <c r="W56" s="65">
        <f t="shared" ref="W56:Y56" si="17">IF(W10=0,0,W10/W$10)</f>
        <v>0</v>
      </c>
      <c r="X56" s="65">
        <f t="shared" si="17"/>
        <v>0</v>
      </c>
      <c r="Y56" s="65">
        <f t="shared" si="17"/>
        <v>0</v>
      </c>
      <c r="DA56" s="172"/>
    </row>
    <row r="57" spans="1:105" ht="11.45" customHeight="1" x14ac:dyDescent="0.25">
      <c r="A57" s="27" t="s">
        <v>33</v>
      </c>
      <c r="B57" s="31">
        <f t="shared" si="15"/>
        <v>0</v>
      </c>
      <c r="C57" s="31">
        <f t="shared" ref="C57:V57" si="18">IF(C11=0,0,C11/C$10)</f>
        <v>0</v>
      </c>
      <c r="D57" s="31">
        <f t="shared" si="18"/>
        <v>0</v>
      </c>
      <c r="E57" s="31">
        <f t="shared" si="18"/>
        <v>0</v>
      </c>
      <c r="F57" s="31">
        <f t="shared" si="18"/>
        <v>0</v>
      </c>
      <c r="G57" s="31">
        <f t="shared" si="18"/>
        <v>0</v>
      </c>
      <c r="H57" s="31">
        <f t="shared" si="18"/>
        <v>0</v>
      </c>
      <c r="I57" s="31">
        <f t="shared" si="18"/>
        <v>0</v>
      </c>
      <c r="J57" s="31">
        <f t="shared" si="18"/>
        <v>0</v>
      </c>
      <c r="K57" s="31">
        <f t="shared" si="18"/>
        <v>0</v>
      </c>
      <c r="L57" s="31">
        <f t="shared" si="18"/>
        <v>0</v>
      </c>
      <c r="M57" s="31">
        <f t="shared" si="18"/>
        <v>0</v>
      </c>
      <c r="N57" s="31">
        <f t="shared" si="18"/>
        <v>0</v>
      </c>
      <c r="O57" s="31">
        <f t="shared" si="18"/>
        <v>0</v>
      </c>
      <c r="P57" s="31">
        <f t="shared" si="18"/>
        <v>0</v>
      </c>
      <c r="Q57" s="31">
        <f t="shared" si="18"/>
        <v>0</v>
      </c>
      <c r="R57" s="31">
        <f t="shared" si="18"/>
        <v>0</v>
      </c>
      <c r="S57" s="31">
        <f t="shared" si="18"/>
        <v>0</v>
      </c>
      <c r="T57" s="31">
        <f t="shared" si="18"/>
        <v>0</v>
      </c>
      <c r="U57" s="31">
        <f t="shared" si="18"/>
        <v>0</v>
      </c>
      <c r="V57" s="31">
        <f t="shared" si="18"/>
        <v>0</v>
      </c>
      <c r="W57" s="31">
        <f t="shared" ref="W57:Y57" si="19">IF(W11=0,0,W11/W$10)</f>
        <v>0</v>
      </c>
      <c r="X57" s="31">
        <f t="shared" si="19"/>
        <v>0</v>
      </c>
      <c r="Y57" s="31">
        <f t="shared" si="19"/>
        <v>0</v>
      </c>
      <c r="DA57" s="173"/>
    </row>
    <row r="58" spans="1:105" ht="11.45" customHeight="1" x14ac:dyDescent="0.25">
      <c r="A58" s="107" t="s">
        <v>23</v>
      </c>
      <c r="B58" s="123">
        <f t="shared" si="15"/>
        <v>0</v>
      </c>
      <c r="C58" s="123">
        <f t="shared" ref="C58:V58" si="20">IF(C12=0,0,C12/C$10)</f>
        <v>0</v>
      </c>
      <c r="D58" s="123">
        <f t="shared" si="20"/>
        <v>0</v>
      </c>
      <c r="E58" s="123">
        <f t="shared" si="20"/>
        <v>0</v>
      </c>
      <c r="F58" s="123">
        <f t="shared" si="20"/>
        <v>0</v>
      </c>
      <c r="G58" s="123">
        <f t="shared" si="20"/>
        <v>0</v>
      </c>
      <c r="H58" s="123">
        <f t="shared" si="20"/>
        <v>0</v>
      </c>
      <c r="I58" s="123">
        <f t="shared" si="20"/>
        <v>0</v>
      </c>
      <c r="J58" s="123">
        <f t="shared" si="20"/>
        <v>0</v>
      </c>
      <c r="K58" s="123">
        <f t="shared" si="20"/>
        <v>0</v>
      </c>
      <c r="L58" s="123">
        <f t="shared" si="20"/>
        <v>0</v>
      </c>
      <c r="M58" s="123">
        <f t="shared" si="20"/>
        <v>0</v>
      </c>
      <c r="N58" s="123">
        <f t="shared" si="20"/>
        <v>0</v>
      </c>
      <c r="O58" s="123">
        <f t="shared" si="20"/>
        <v>0</v>
      </c>
      <c r="P58" s="123">
        <f t="shared" si="20"/>
        <v>0</v>
      </c>
      <c r="Q58" s="123">
        <f t="shared" si="20"/>
        <v>0</v>
      </c>
      <c r="R58" s="123">
        <f t="shared" si="20"/>
        <v>0</v>
      </c>
      <c r="S58" s="123">
        <f t="shared" si="20"/>
        <v>0</v>
      </c>
      <c r="T58" s="123">
        <f t="shared" si="20"/>
        <v>0</v>
      </c>
      <c r="U58" s="123">
        <f t="shared" si="20"/>
        <v>0</v>
      </c>
      <c r="V58" s="123">
        <f t="shared" si="20"/>
        <v>0</v>
      </c>
      <c r="W58" s="123">
        <f t="shared" ref="W58:Y58" si="21">IF(W12=0,0,W12/W$10)</f>
        <v>0</v>
      </c>
      <c r="X58" s="123">
        <f t="shared" si="21"/>
        <v>0</v>
      </c>
      <c r="Y58" s="123">
        <f t="shared" si="21"/>
        <v>0</v>
      </c>
      <c r="DA58" s="203"/>
    </row>
    <row r="59" spans="1:105" ht="11.45" customHeight="1" x14ac:dyDescent="0.25">
      <c r="A59" s="109" t="s">
        <v>24</v>
      </c>
      <c r="B59" s="124">
        <f t="shared" si="15"/>
        <v>0</v>
      </c>
      <c r="C59" s="124">
        <f t="shared" ref="C59:V59" si="22">IF(C13=0,0,C13/C$10)</f>
        <v>0</v>
      </c>
      <c r="D59" s="124">
        <f t="shared" si="22"/>
        <v>0</v>
      </c>
      <c r="E59" s="124">
        <f t="shared" si="22"/>
        <v>0</v>
      </c>
      <c r="F59" s="124">
        <f t="shared" si="22"/>
        <v>0</v>
      </c>
      <c r="G59" s="124">
        <f t="shared" si="22"/>
        <v>0</v>
      </c>
      <c r="H59" s="124">
        <f t="shared" si="22"/>
        <v>0</v>
      </c>
      <c r="I59" s="124">
        <f t="shared" si="22"/>
        <v>0</v>
      </c>
      <c r="J59" s="124">
        <f t="shared" si="22"/>
        <v>0</v>
      </c>
      <c r="K59" s="124">
        <f t="shared" si="22"/>
        <v>0</v>
      </c>
      <c r="L59" s="124">
        <f t="shared" si="22"/>
        <v>0</v>
      </c>
      <c r="M59" s="124">
        <f t="shared" si="22"/>
        <v>0</v>
      </c>
      <c r="N59" s="124">
        <f t="shared" si="22"/>
        <v>0</v>
      </c>
      <c r="O59" s="124">
        <f t="shared" si="22"/>
        <v>0</v>
      </c>
      <c r="P59" s="124">
        <f t="shared" si="22"/>
        <v>0</v>
      </c>
      <c r="Q59" s="124">
        <f t="shared" si="22"/>
        <v>0</v>
      </c>
      <c r="R59" s="124">
        <f t="shared" si="22"/>
        <v>0</v>
      </c>
      <c r="S59" s="124">
        <f t="shared" si="22"/>
        <v>0</v>
      </c>
      <c r="T59" s="124">
        <f t="shared" si="22"/>
        <v>0</v>
      </c>
      <c r="U59" s="124">
        <f t="shared" si="22"/>
        <v>0</v>
      </c>
      <c r="V59" s="124">
        <f t="shared" si="22"/>
        <v>0</v>
      </c>
      <c r="W59" s="124">
        <f t="shared" ref="W59:Y59" si="23">IF(W13=0,0,W13/W$10)</f>
        <v>0</v>
      </c>
      <c r="X59" s="124">
        <f t="shared" si="23"/>
        <v>0</v>
      </c>
      <c r="Y59" s="124">
        <f t="shared" si="23"/>
        <v>0</v>
      </c>
      <c r="DA59" s="176"/>
    </row>
    <row r="60" spans="1:105" ht="11.45" customHeight="1" x14ac:dyDescent="0.25">
      <c r="A60" s="111" t="s">
        <v>92</v>
      </c>
      <c r="B60" s="125">
        <f t="shared" si="15"/>
        <v>0</v>
      </c>
      <c r="C60" s="125">
        <f t="shared" ref="C60:V60" si="24">IF(C14=0,0,C14/C$10)</f>
        <v>0</v>
      </c>
      <c r="D60" s="125">
        <f t="shared" si="24"/>
        <v>0</v>
      </c>
      <c r="E60" s="125">
        <f t="shared" si="24"/>
        <v>0</v>
      </c>
      <c r="F60" s="125">
        <f t="shared" si="24"/>
        <v>0</v>
      </c>
      <c r="G60" s="125">
        <f t="shared" si="24"/>
        <v>0</v>
      </c>
      <c r="H60" s="125">
        <f t="shared" si="24"/>
        <v>0</v>
      </c>
      <c r="I60" s="125">
        <f t="shared" si="24"/>
        <v>0</v>
      </c>
      <c r="J60" s="125">
        <f t="shared" si="24"/>
        <v>0</v>
      </c>
      <c r="K60" s="125">
        <f t="shared" si="24"/>
        <v>0</v>
      </c>
      <c r="L60" s="125">
        <f t="shared" si="24"/>
        <v>0</v>
      </c>
      <c r="M60" s="125">
        <f t="shared" si="24"/>
        <v>0</v>
      </c>
      <c r="N60" s="125">
        <f t="shared" si="24"/>
        <v>0</v>
      </c>
      <c r="O60" s="125">
        <f t="shared" si="24"/>
        <v>0</v>
      </c>
      <c r="P60" s="125">
        <f t="shared" si="24"/>
        <v>0</v>
      </c>
      <c r="Q60" s="125">
        <f t="shared" si="24"/>
        <v>0</v>
      </c>
      <c r="R60" s="125">
        <f t="shared" si="24"/>
        <v>0</v>
      </c>
      <c r="S60" s="125">
        <f t="shared" si="24"/>
        <v>0</v>
      </c>
      <c r="T60" s="125">
        <f t="shared" si="24"/>
        <v>0</v>
      </c>
      <c r="U60" s="125">
        <f t="shared" si="24"/>
        <v>0</v>
      </c>
      <c r="V60" s="125">
        <f t="shared" si="24"/>
        <v>0</v>
      </c>
      <c r="W60" s="125">
        <f t="shared" ref="W60:Y60" si="25">IF(W14=0,0,W14/W$10)</f>
        <v>0</v>
      </c>
      <c r="X60" s="125">
        <f t="shared" si="25"/>
        <v>0</v>
      </c>
      <c r="Y60" s="125">
        <f t="shared" si="25"/>
        <v>0</v>
      </c>
      <c r="DA60" s="171"/>
    </row>
    <row r="61" spans="1:105" ht="11.45" customHeight="1" x14ac:dyDescent="0.25">
      <c r="A61" s="111" t="s">
        <v>93</v>
      </c>
      <c r="B61" s="125">
        <f t="shared" si="15"/>
        <v>0</v>
      </c>
      <c r="C61" s="125">
        <f t="shared" ref="C61:V61" si="26">IF(C15=0,0,C15/C$10)</f>
        <v>0</v>
      </c>
      <c r="D61" s="125">
        <f t="shared" si="26"/>
        <v>0</v>
      </c>
      <c r="E61" s="125">
        <f t="shared" si="26"/>
        <v>0</v>
      </c>
      <c r="F61" s="125">
        <f t="shared" si="26"/>
        <v>0</v>
      </c>
      <c r="G61" s="125">
        <f t="shared" si="26"/>
        <v>0</v>
      </c>
      <c r="H61" s="125">
        <f t="shared" si="26"/>
        <v>0</v>
      </c>
      <c r="I61" s="125">
        <f t="shared" si="26"/>
        <v>0</v>
      </c>
      <c r="J61" s="125">
        <f t="shared" si="26"/>
        <v>0</v>
      </c>
      <c r="K61" s="125">
        <f t="shared" si="26"/>
        <v>0</v>
      </c>
      <c r="L61" s="125">
        <f t="shared" si="26"/>
        <v>0</v>
      </c>
      <c r="M61" s="125">
        <f t="shared" si="26"/>
        <v>0</v>
      </c>
      <c r="N61" s="125">
        <f t="shared" si="26"/>
        <v>0</v>
      </c>
      <c r="O61" s="125">
        <f t="shared" si="26"/>
        <v>0</v>
      </c>
      <c r="P61" s="125">
        <f t="shared" si="26"/>
        <v>0</v>
      </c>
      <c r="Q61" s="125">
        <f t="shared" si="26"/>
        <v>0</v>
      </c>
      <c r="R61" s="125">
        <f t="shared" si="26"/>
        <v>0</v>
      </c>
      <c r="S61" s="125">
        <f t="shared" si="26"/>
        <v>0</v>
      </c>
      <c r="T61" s="125">
        <f t="shared" si="26"/>
        <v>0</v>
      </c>
      <c r="U61" s="125">
        <f t="shared" si="26"/>
        <v>0</v>
      </c>
      <c r="V61" s="125">
        <f t="shared" si="26"/>
        <v>0</v>
      </c>
      <c r="W61" s="125">
        <f t="shared" ref="W61:Y61" si="27">IF(W15=0,0,W15/W$10)</f>
        <v>0</v>
      </c>
      <c r="X61" s="125">
        <f t="shared" si="27"/>
        <v>0</v>
      </c>
      <c r="Y61" s="125">
        <f t="shared" si="27"/>
        <v>0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</v>
      </c>
      <c r="C63" s="31">
        <f t="shared" ref="C63:V63" si="30">IF(C17=0,0,C17/C$10)</f>
        <v>0</v>
      </c>
      <c r="D63" s="31">
        <f t="shared" si="30"/>
        <v>0</v>
      </c>
      <c r="E63" s="31">
        <f t="shared" si="30"/>
        <v>0</v>
      </c>
      <c r="F63" s="31">
        <f t="shared" si="30"/>
        <v>0</v>
      </c>
      <c r="G63" s="31">
        <f t="shared" si="30"/>
        <v>0</v>
      </c>
      <c r="H63" s="31">
        <f t="shared" si="30"/>
        <v>0</v>
      </c>
      <c r="I63" s="31">
        <f t="shared" si="30"/>
        <v>0</v>
      </c>
      <c r="J63" s="31">
        <f t="shared" si="30"/>
        <v>0</v>
      </c>
      <c r="K63" s="31">
        <f t="shared" si="30"/>
        <v>0</v>
      </c>
      <c r="L63" s="31">
        <f t="shared" si="30"/>
        <v>0</v>
      </c>
      <c r="M63" s="31">
        <f t="shared" si="30"/>
        <v>0</v>
      </c>
      <c r="N63" s="31">
        <f t="shared" si="30"/>
        <v>0</v>
      </c>
      <c r="O63" s="31">
        <f t="shared" si="30"/>
        <v>0</v>
      </c>
      <c r="P63" s="31">
        <f t="shared" si="30"/>
        <v>0</v>
      </c>
      <c r="Q63" s="31">
        <f t="shared" si="30"/>
        <v>0</v>
      </c>
      <c r="R63" s="31">
        <f t="shared" si="30"/>
        <v>0</v>
      </c>
      <c r="S63" s="31">
        <f t="shared" si="30"/>
        <v>0</v>
      </c>
      <c r="T63" s="31">
        <f t="shared" si="30"/>
        <v>0</v>
      </c>
      <c r="U63" s="31">
        <f t="shared" si="30"/>
        <v>0</v>
      </c>
      <c r="V63" s="31">
        <f t="shared" si="30"/>
        <v>0</v>
      </c>
      <c r="W63" s="31">
        <f t="shared" ref="W63:Y63" si="31">IF(W17=0,0,W17/W$10)</f>
        <v>0</v>
      </c>
      <c r="X63" s="31">
        <f t="shared" si="31"/>
        <v>0</v>
      </c>
      <c r="Y63" s="31">
        <f t="shared" si="31"/>
        <v>0</v>
      </c>
      <c r="DA63" s="173"/>
    </row>
    <row r="64" spans="1:105" ht="11.45" customHeight="1" x14ac:dyDescent="0.25">
      <c r="A64" s="83" t="s">
        <v>92</v>
      </c>
      <c r="B64" s="125">
        <f t="shared" si="15"/>
        <v>0</v>
      </c>
      <c r="C64" s="125">
        <f t="shared" ref="C64:V64" si="32">IF(C18=0,0,C18/C$10)</f>
        <v>0</v>
      </c>
      <c r="D64" s="125">
        <f t="shared" si="32"/>
        <v>0</v>
      </c>
      <c r="E64" s="125">
        <f t="shared" si="32"/>
        <v>0</v>
      </c>
      <c r="F64" s="125">
        <f t="shared" si="32"/>
        <v>0</v>
      </c>
      <c r="G64" s="125">
        <f t="shared" si="32"/>
        <v>0</v>
      </c>
      <c r="H64" s="125">
        <f t="shared" si="32"/>
        <v>0</v>
      </c>
      <c r="I64" s="125">
        <f t="shared" si="32"/>
        <v>0</v>
      </c>
      <c r="J64" s="125">
        <f t="shared" si="32"/>
        <v>0</v>
      </c>
      <c r="K64" s="125">
        <f t="shared" si="32"/>
        <v>0</v>
      </c>
      <c r="L64" s="125">
        <f t="shared" si="32"/>
        <v>0</v>
      </c>
      <c r="M64" s="125">
        <f t="shared" si="32"/>
        <v>0</v>
      </c>
      <c r="N64" s="125">
        <f t="shared" si="32"/>
        <v>0</v>
      </c>
      <c r="O64" s="125">
        <f t="shared" si="32"/>
        <v>0</v>
      </c>
      <c r="P64" s="125">
        <f t="shared" si="32"/>
        <v>0</v>
      </c>
      <c r="Q64" s="125">
        <f t="shared" si="32"/>
        <v>0</v>
      </c>
      <c r="R64" s="125">
        <f t="shared" si="32"/>
        <v>0</v>
      </c>
      <c r="S64" s="125">
        <f t="shared" si="32"/>
        <v>0</v>
      </c>
      <c r="T64" s="125">
        <f t="shared" si="32"/>
        <v>0</v>
      </c>
      <c r="U64" s="125">
        <f t="shared" si="32"/>
        <v>0</v>
      </c>
      <c r="V64" s="125">
        <f t="shared" si="32"/>
        <v>0</v>
      </c>
      <c r="W64" s="125">
        <f t="shared" ref="W64:Y64" si="33">IF(W18=0,0,W18/W$10)</f>
        <v>0</v>
      </c>
      <c r="X64" s="125">
        <f t="shared" si="33"/>
        <v>0</v>
      </c>
      <c r="Y64" s="125">
        <f t="shared" si="33"/>
        <v>0</v>
      </c>
      <c r="DA64" s="171"/>
    </row>
    <row r="65" spans="1:105" ht="11.45" customHeight="1" x14ac:dyDescent="0.25">
      <c r="A65" s="85" t="s">
        <v>93</v>
      </c>
      <c r="B65" s="127">
        <f t="shared" si="15"/>
        <v>0</v>
      </c>
      <c r="C65" s="127">
        <f t="shared" ref="C65:V65" si="34">IF(C19=0,0,C19/C$10)</f>
        <v>0</v>
      </c>
      <c r="D65" s="127">
        <f t="shared" si="34"/>
        <v>0</v>
      </c>
      <c r="E65" s="127">
        <f t="shared" si="34"/>
        <v>0</v>
      </c>
      <c r="F65" s="127">
        <f t="shared" si="34"/>
        <v>0</v>
      </c>
      <c r="G65" s="127">
        <f t="shared" si="34"/>
        <v>0</v>
      </c>
      <c r="H65" s="127">
        <f t="shared" si="34"/>
        <v>0</v>
      </c>
      <c r="I65" s="127">
        <f t="shared" si="34"/>
        <v>0</v>
      </c>
      <c r="J65" s="127">
        <f t="shared" si="34"/>
        <v>0</v>
      </c>
      <c r="K65" s="127">
        <f t="shared" si="34"/>
        <v>0</v>
      </c>
      <c r="L65" s="127">
        <f t="shared" si="34"/>
        <v>0</v>
      </c>
      <c r="M65" s="127">
        <f t="shared" si="34"/>
        <v>0</v>
      </c>
      <c r="N65" s="127">
        <f t="shared" si="34"/>
        <v>0</v>
      </c>
      <c r="O65" s="127">
        <f t="shared" si="34"/>
        <v>0</v>
      </c>
      <c r="P65" s="127">
        <f t="shared" si="34"/>
        <v>0</v>
      </c>
      <c r="Q65" s="127">
        <f t="shared" si="34"/>
        <v>0</v>
      </c>
      <c r="R65" s="127">
        <f t="shared" si="34"/>
        <v>0</v>
      </c>
      <c r="S65" s="127">
        <f t="shared" si="34"/>
        <v>0</v>
      </c>
      <c r="T65" s="127">
        <f t="shared" si="34"/>
        <v>0</v>
      </c>
      <c r="U65" s="127">
        <f t="shared" si="34"/>
        <v>0</v>
      </c>
      <c r="V65" s="127">
        <f t="shared" si="34"/>
        <v>0</v>
      </c>
      <c r="W65" s="127">
        <f t="shared" ref="W65:Y65" si="35">IF(W19=0,0,W19/W$10)</f>
        <v>0</v>
      </c>
      <c r="X65" s="127">
        <f t="shared" si="35"/>
        <v>0</v>
      </c>
      <c r="Y65" s="127">
        <f t="shared" si="35"/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0</v>
      </c>
      <c r="C4" s="26">
        <f t="shared" ref="C4:W4" si="0">SUM(C5:C6)</f>
        <v>0</v>
      </c>
      <c r="D4" s="26">
        <f t="shared" si="0"/>
        <v>0</v>
      </c>
      <c r="E4" s="26">
        <f t="shared" si="0"/>
        <v>0</v>
      </c>
      <c r="F4" s="26">
        <f t="shared" si="0"/>
        <v>0</v>
      </c>
      <c r="G4" s="26">
        <f t="shared" si="0"/>
        <v>0</v>
      </c>
      <c r="H4" s="26">
        <f t="shared" si="0"/>
        <v>0</v>
      </c>
      <c r="I4" s="26">
        <f t="shared" si="0"/>
        <v>0</v>
      </c>
      <c r="J4" s="26">
        <f t="shared" si="0"/>
        <v>0</v>
      </c>
      <c r="K4" s="26">
        <f t="shared" si="0"/>
        <v>0</v>
      </c>
      <c r="L4" s="26">
        <f t="shared" si="0"/>
        <v>0</v>
      </c>
      <c r="M4" s="26">
        <f t="shared" si="0"/>
        <v>0</v>
      </c>
      <c r="N4" s="26">
        <f t="shared" si="0"/>
        <v>0</v>
      </c>
      <c r="O4" s="26">
        <f t="shared" si="0"/>
        <v>0</v>
      </c>
      <c r="P4" s="26">
        <f t="shared" si="0"/>
        <v>0</v>
      </c>
      <c r="Q4" s="26">
        <f t="shared" si="0"/>
        <v>0</v>
      </c>
      <c r="R4" s="26">
        <f t="shared" si="0"/>
        <v>0</v>
      </c>
      <c r="S4" s="26">
        <f t="shared" si="0"/>
        <v>0</v>
      </c>
      <c r="T4" s="26">
        <f t="shared" si="0"/>
        <v>0</v>
      </c>
      <c r="U4" s="26">
        <f t="shared" si="0"/>
        <v>0</v>
      </c>
      <c r="V4" s="26">
        <f t="shared" si="0"/>
        <v>0</v>
      </c>
      <c r="W4" s="26">
        <f t="shared" si="0"/>
        <v>0</v>
      </c>
      <c r="X4" s="26">
        <f t="shared" ref="X4:Y4" si="1">SUM(X5:X6)</f>
        <v>0</v>
      </c>
      <c r="Y4" s="26">
        <f t="shared" si="1"/>
        <v>0</v>
      </c>
      <c r="DA4" s="202" t="s">
        <v>1137</v>
      </c>
    </row>
    <row r="5" spans="1:105" ht="11.45" customHeight="1" x14ac:dyDescent="0.25">
      <c r="A5" s="107" t="s">
        <v>92</v>
      </c>
      <c r="B5" s="129">
        <v>0</v>
      </c>
      <c r="C5" s="129">
        <v>0</v>
      </c>
      <c r="D5" s="129">
        <v>0</v>
      </c>
      <c r="E5" s="129">
        <v>0</v>
      </c>
      <c r="F5" s="129">
        <v>0</v>
      </c>
      <c r="G5" s="129">
        <v>0</v>
      </c>
      <c r="H5" s="129">
        <v>0</v>
      </c>
      <c r="I5" s="129">
        <v>0</v>
      </c>
      <c r="J5" s="129">
        <v>0</v>
      </c>
      <c r="K5" s="129">
        <v>0</v>
      </c>
      <c r="L5" s="129">
        <v>0</v>
      </c>
      <c r="M5" s="129">
        <v>0</v>
      </c>
      <c r="N5" s="129">
        <v>0</v>
      </c>
      <c r="O5" s="129">
        <v>0</v>
      </c>
      <c r="P5" s="129">
        <v>0</v>
      </c>
      <c r="Q5" s="129">
        <v>0</v>
      </c>
      <c r="R5" s="129">
        <v>0</v>
      </c>
      <c r="S5" s="129">
        <v>0</v>
      </c>
      <c r="T5" s="129">
        <v>0</v>
      </c>
      <c r="U5" s="129">
        <v>0</v>
      </c>
      <c r="V5" s="129">
        <v>0</v>
      </c>
      <c r="W5" s="129">
        <v>0</v>
      </c>
      <c r="X5" s="129">
        <v>0</v>
      </c>
      <c r="Y5" s="129">
        <v>0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0</v>
      </c>
      <c r="C8" s="79">
        <f t="shared" si="2"/>
        <v>0</v>
      </c>
      <c r="D8" s="79">
        <f t="shared" si="2"/>
        <v>0</v>
      </c>
      <c r="E8" s="79">
        <f t="shared" si="2"/>
        <v>0</v>
      </c>
      <c r="F8" s="79">
        <f t="shared" si="2"/>
        <v>0</v>
      </c>
      <c r="G8" s="79">
        <f t="shared" si="2"/>
        <v>0</v>
      </c>
      <c r="H8" s="79">
        <f t="shared" si="2"/>
        <v>0</v>
      </c>
      <c r="I8" s="79">
        <f t="shared" si="2"/>
        <v>0</v>
      </c>
      <c r="J8" s="79">
        <f t="shared" si="2"/>
        <v>0</v>
      </c>
      <c r="K8" s="79">
        <f t="shared" si="2"/>
        <v>0</v>
      </c>
      <c r="L8" s="79">
        <f t="shared" si="2"/>
        <v>0</v>
      </c>
      <c r="M8" s="79">
        <f t="shared" si="2"/>
        <v>0</v>
      </c>
      <c r="N8" s="79">
        <f t="shared" si="2"/>
        <v>0</v>
      </c>
      <c r="O8" s="79">
        <f t="shared" si="2"/>
        <v>0</v>
      </c>
      <c r="P8" s="79">
        <f t="shared" si="2"/>
        <v>0</v>
      </c>
      <c r="Q8" s="79">
        <f t="shared" si="2"/>
        <v>0</v>
      </c>
      <c r="R8" s="79">
        <f t="shared" si="2"/>
        <v>0</v>
      </c>
      <c r="S8" s="79">
        <f t="shared" si="2"/>
        <v>0</v>
      </c>
      <c r="T8" s="79">
        <f t="shared" si="2"/>
        <v>0</v>
      </c>
      <c r="U8" s="79">
        <f t="shared" si="2"/>
        <v>0</v>
      </c>
      <c r="V8" s="79">
        <f t="shared" si="2"/>
        <v>0</v>
      </c>
      <c r="W8" s="79">
        <f t="shared" si="2"/>
        <v>0</v>
      </c>
      <c r="X8" s="79">
        <f t="shared" ref="X8:Y8" si="3">SUM(X9,X15)</f>
        <v>0</v>
      </c>
      <c r="Y8" s="79">
        <f t="shared" si="3"/>
        <v>0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0</v>
      </c>
      <c r="C9" s="32">
        <f t="shared" si="4"/>
        <v>0</v>
      </c>
      <c r="D9" s="32">
        <f t="shared" si="4"/>
        <v>0</v>
      </c>
      <c r="E9" s="32">
        <f t="shared" si="4"/>
        <v>0</v>
      </c>
      <c r="F9" s="32">
        <f t="shared" si="4"/>
        <v>0</v>
      </c>
      <c r="G9" s="32">
        <f t="shared" si="4"/>
        <v>0</v>
      </c>
      <c r="H9" s="32">
        <f t="shared" si="4"/>
        <v>0</v>
      </c>
      <c r="I9" s="32">
        <f t="shared" si="4"/>
        <v>0</v>
      </c>
      <c r="J9" s="32">
        <f t="shared" si="4"/>
        <v>0</v>
      </c>
      <c r="K9" s="32">
        <f t="shared" si="4"/>
        <v>0</v>
      </c>
      <c r="L9" s="32">
        <f t="shared" si="4"/>
        <v>0</v>
      </c>
      <c r="M9" s="32">
        <f t="shared" si="4"/>
        <v>0</v>
      </c>
      <c r="N9" s="32">
        <f t="shared" si="4"/>
        <v>0</v>
      </c>
      <c r="O9" s="32">
        <f t="shared" si="4"/>
        <v>0</v>
      </c>
      <c r="P9" s="32">
        <f t="shared" si="4"/>
        <v>0</v>
      </c>
      <c r="Q9" s="32">
        <f t="shared" si="4"/>
        <v>0</v>
      </c>
      <c r="R9" s="32">
        <f t="shared" si="4"/>
        <v>0</v>
      </c>
      <c r="S9" s="32">
        <f t="shared" si="4"/>
        <v>0</v>
      </c>
      <c r="T9" s="32">
        <f t="shared" si="4"/>
        <v>0</v>
      </c>
      <c r="U9" s="32">
        <f t="shared" si="4"/>
        <v>0</v>
      </c>
      <c r="V9" s="32">
        <f t="shared" si="4"/>
        <v>0</v>
      </c>
      <c r="W9" s="32">
        <f t="shared" si="4"/>
        <v>0</v>
      </c>
      <c r="X9" s="32">
        <f t="shared" ref="X9:Y9" si="5">SUM(X10,X11,X14)</f>
        <v>0</v>
      </c>
      <c r="Y9" s="32">
        <f t="shared" si="5"/>
        <v>0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0</v>
      </c>
      <c r="C11" s="130">
        <f t="shared" si="6"/>
        <v>0</v>
      </c>
      <c r="D11" s="130">
        <f t="shared" si="6"/>
        <v>0</v>
      </c>
      <c r="E11" s="130">
        <f t="shared" si="6"/>
        <v>0</v>
      </c>
      <c r="F11" s="130">
        <f t="shared" si="6"/>
        <v>0</v>
      </c>
      <c r="G11" s="130">
        <f t="shared" si="6"/>
        <v>0</v>
      </c>
      <c r="H11" s="130">
        <f t="shared" si="6"/>
        <v>0</v>
      </c>
      <c r="I11" s="130">
        <f t="shared" si="6"/>
        <v>0</v>
      </c>
      <c r="J11" s="130">
        <f t="shared" si="6"/>
        <v>0</v>
      </c>
      <c r="K11" s="130">
        <f t="shared" si="6"/>
        <v>0</v>
      </c>
      <c r="L11" s="130">
        <f t="shared" si="6"/>
        <v>0</v>
      </c>
      <c r="M11" s="130">
        <f t="shared" si="6"/>
        <v>0</v>
      </c>
      <c r="N11" s="130">
        <f t="shared" si="6"/>
        <v>0</v>
      </c>
      <c r="O11" s="130">
        <f t="shared" si="6"/>
        <v>0</v>
      </c>
      <c r="P11" s="130">
        <f t="shared" si="6"/>
        <v>0</v>
      </c>
      <c r="Q11" s="130">
        <f t="shared" si="6"/>
        <v>0</v>
      </c>
      <c r="R11" s="130">
        <f t="shared" si="6"/>
        <v>0</v>
      </c>
      <c r="S11" s="130">
        <f t="shared" si="6"/>
        <v>0</v>
      </c>
      <c r="T11" s="130">
        <f t="shared" si="6"/>
        <v>0</v>
      </c>
      <c r="U11" s="130">
        <f t="shared" si="6"/>
        <v>0</v>
      </c>
      <c r="V11" s="130">
        <f t="shared" si="6"/>
        <v>0</v>
      </c>
      <c r="W11" s="130">
        <f t="shared" si="6"/>
        <v>0</v>
      </c>
      <c r="X11" s="130">
        <f t="shared" ref="X11:Y11" si="7">SUM(X12:X13)</f>
        <v>0</v>
      </c>
      <c r="Y11" s="130">
        <f t="shared" si="7"/>
        <v>0</v>
      </c>
      <c r="DA11" s="176" t="s">
        <v>409</v>
      </c>
    </row>
    <row r="12" spans="1:105" ht="11.45" customHeight="1" x14ac:dyDescent="0.25">
      <c r="A12" s="111" t="s">
        <v>92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X12" s="96">
        <v>0</v>
      </c>
      <c r="Y12" s="96">
        <v>0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0</v>
      </c>
      <c r="C15" s="32">
        <f t="shared" si="8"/>
        <v>0</v>
      </c>
      <c r="D15" s="32">
        <f t="shared" si="8"/>
        <v>0</v>
      </c>
      <c r="E15" s="32">
        <f t="shared" si="8"/>
        <v>0</v>
      </c>
      <c r="F15" s="32">
        <f t="shared" si="8"/>
        <v>0</v>
      </c>
      <c r="G15" s="32">
        <f t="shared" si="8"/>
        <v>0</v>
      </c>
      <c r="H15" s="32">
        <f t="shared" si="8"/>
        <v>0</v>
      </c>
      <c r="I15" s="32">
        <f t="shared" si="8"/>
        <v>0</v>
      </c>
      <c r="J15" s="32">
        <f t="shared" si="8"/>
        <v>0</v>
      </c>
      <c r="K15" s="32">
        <f t="shared" si="8"/>
        <v>0</v>
      </c>
      <c r="L15" s="32">
        <f t="shared" si="8"/>
        <v>0</v>
      </c>
      <c r="M15" s="32">
        <f t="shared" si="8"/>
        <v>0</v>
      </c>
      <c r="N15" s="32">
        <f t="shared" si="8"/>
        <v>0</v>
      </c>
      <c r="O15" s="32">
        <f t="shared" si="8"/>
        <v>0</v>
      </c>
      <c r="P15" s="32">
        <f t="shared" si="8"/>
        <v>0</v>
      </c>
      <c r="Q15" s="32">
        <f t="shared" si="8"/>
        <v>0</v>
      </c>
      <c r="R15" s="32">
        <f t="shared" si="8"/>
        <v>0</v>
      </c>
      <c r="S15" s="32">
        <f t="shared" si="8"/>
        <v>0</v>
      </c>
      <c r="T15" s="32">
        <f t="shared" si="8"/>
        <v>0</v>
      </c>
      <c r="U15" s="32">
        <f t="shared" si="8"/>
        <v>0</v>
      </c>
      <c r="V15" s="32">
        <f t="shared" si="8"/>
        <v>0</v>
      </c>
      <c r="W15" s="32">
        <f t="shared" si="8"/>
        <v>0</v>
      </c>
      <c r="X15" s="32">
        <f t="shared" ref="X15:Y15" si="9">SUM(X16:X17)</f>
        <v>0</v>
      </c>
      <c r="Y15" s="32">
        <f t="shared" si="9"/>
        <v>0</v>
      </c>
      <c r="DA15" s="173" t="s">
        <v>414</v>
      </c>
    </row>
    <row r="16" spans="1:105" ht="11.45" customHeight="1" x14ac:dyDescent="0.25">
      <c r="A16" s="83" t="s">
        <v>92</v>
      </c>
      <c r="B16" s="96">
        <v>0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96">
        <v>0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</v>
      </c>
      <c r="C22" s="134">
        <f>IF(C4=0,0,C4/TrRail_ene!C4)</f>
        <v>0</v>
      </c>
      <c r="D22" s="134">
        <f>IF(D4=0,0,D4/TrRail_ene!D4)</f>
        <v>0</v>
      </c>
      <c r="E22" s="134">
        <f>IF(E4=0,0,E4/TrRail_ene!E4)</f>
        <v>0</v>
      </c>
      <c r="F22" s="134">
        <f>IF(F4=0,0,F4/TrRail_ene!F4)</f>
        <v>0</v>
      </c>
      <c r="G22" s="134">
        <f>IF(G4=0,0,G4/TrRail_ene!G4)</f>
        <v>0</v>
      </c>
      <c r="H22" s="134">
        <f>IF(H4=0,0,H4/TrRail_ene!H4)</f>
        <v>0</v>
      </c>
      <c r="I22" s="134">
        <f>IF(I4=0,0,I4/TrRail_ene!I4)</f>
        <v>0</v>
      </c>
      <c r="J22" s="134">
        <f>IF(J4=0,0,J4/TrRail_ene!J4)</f>
        <v>0</v>
      </c>
      <c r="K22" s="134">
        <f>IF(K4=0,0,K4/TrRail_ene!K4)</f>
        <v>0</v>
      </c>
      <c r="L22" s="134">
        <f>IF(L4=0,0,L4/TrRail_ene!L4)</f>
        <v>0</v>
      </c>
      <c r="M22" s="134">
        <f>IF(M4=0,0,M4/TrRail_ene!M4)</f>
        <v>0</v>
      </c>
      <c r="N22" s="134">
        <f>IF(N4=0,0,N4/TrRail_ene!N4)</f>
        <v>0</v>
      </c>
      <c r="O22" s="134">
        <f>IF(O4=0,0,O4/TrRail_ene!O4)</f>
        <v>0</v>
      </c>
      <c r="P22" s="134">
        <f>IF(P4=0,0,P4/TrRail_ene!P4)</f>
        <v>0</v>
      </c>
      <c r="Q22" s="134">
        <f>IF(Q4=0,0,Q4/TrRail_ene!Q4)</f>
        <v>0</v>
      </c>
      <c r="R22" s="134">
        <f>IF(R4=0,0,R4/TrRail_ene!R4)</f>
        <v>0</v>
      </c>
      <c r="S22" s="134">
        <f>IF(S4=0,0,S4/TrRail_ene!S4)</f>
        <v>0</v>
      </c>
      <c r="T22" s="134">
        <f>IF(T4=0,0,T4/TrRail_ene!T4)</f>
        <v>0</v>
      </c>
      <c r="U22" s="134">
        <f>IF(U4=0,0,U4/TrRail_ene!U4)</f>
        <v>0</v>
      </c>
      <c r="V22" s="134">
        <f>IF(V4=0,0,V4/TrRail_ene!V4)</f>
        <v>0</v>
      </c>
      <c r="W22" s="134">
        <f>IF(W4=0,0,W4/TrRail_ene!W4)</f>
        <v>0</v>
      </c>
      <c r="X22" s="134">
        <f>IF(X4=0,0,X4/TrRail_ene!X4)</f>
        <v>0</v>
      </c>
      <c r="Y22" s="134">
        <f>IF(Y4=0,0,Y4/TrRail_ene!Y4)</f>
        <v>0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0</v>
      </c>
      <c r="C23" s="129">
        <f>IF(C5=0,0,C5/SUM(TrRail_ene!C5:C7))</f>
        <v>0</v>
      </c>
      <c r="D23" s="129">
        <f>IF(D5=0,0,D5/SUM(TrRail_ene!D5:D7))</f>
        <v>0</v>
      </c>
      <c r="E23" s="129">
        <f>IF(E5=0,0,E5/SUM(TrRail_ene!E5:E7))</f>
        <v>0</v>
      </c>
      <c r="F23" s="129">
        <f>IF(F5=0,0,F5/SUM(TrRail_ene!F5:F7))</f>
        <v>0</v>
      </c>
      <c r="G23" s="129">
        <f>IF(G5=0,0,G5/SUM(TrRail_ene!G5:G7))</f>
        <v>0</v>
      </c>
      <c r="H23" s="129">
        <f>IF(H5=0,0,H5/SUM(TrRail_ene!H5:H7))</f>
        <v>0</v>
      </c>
      <c r="I23" s="129">
        <f>IF(I5=0,0,I5/SUM(TrRail_ene!I5:I7))</f>
        <v>0</v>
      </c>
      <c r="J23" s="129">
        <f>IF(J5=0,0,J5/SUM(TrRail_ene!J5:J7))</f>
        <v>0</v>
      </c>
      <c r="K23" s="129">
        <f>IF(K5=0,0,K5/SUM(TrRail_ene!K5:K7))</f>
        <v>0</v>
      </c>
      <c r="L23" s="129">
        <f>IF(L5=0,0,L5/SUM(TrRail_ene!L5:L7))</f>
        <v>0</v>
      </c>
      <c r="M23" s="129">
        <f>IF(M5=0,0,M5/SUM(TrRail_ene!M5:M7))</f>
        <v>0</v>
      </c>
      <c r="N23" s="129">
        <f>IF(N5=0,0,N5/SUM(TrRail_ene!N5:N7))</f>
        <v>0</v>
      </c>
      <c r="O23" s="129">
        <f>IF(O5=0,0,O5/SUM(TrRail_ene!O5:O7))</f>
        <v>0</v>
      </c>
      <c r="P23" s="129">
        <f>IF(P5=0,0,P5/SUM(TrRail_ene!P5:P7))</f>
        <v>0</v>
      </c>
      <c r="Q23" s="129">
        <f>IF(Q5=0,0,Q5/SUM(TrRail_ene!Q5:Q7))</f>
        <v>0</v>
      </c>
      <c r="R23" s="129">
        <f>IF(R5=0,0,R5/SUM(TrRail_ene!R5:R7))</f>
        <v>0</v>
      </c>
      <c r="S23" s="129">
        <f>IF(S5=0,0,S5/SUM(TrRail_ene!S5:S7))</f>
        <v>0</v>
      </c>
      <c r="T23" s="129">
        <f>IF(T5=0,0,T5/SUM(TrRail_ene!T5:T7))</f>
        <v>0</v>
      </c>
      <c r="U23" s="129">
        <f>IF(U5=0,0,U5/SUM(TrRail_ene!U5:U7))</f>
        <v>0</v>
      </c>
      <c r="V23" s="129">
        <f>IF(V5=0,0,V5/SUM(TrRail_ene!V5:V7))</f>
        <v>0</v>
      </c>
      <c r="W23" s="129">
        <f>IF(W5=0,0,W5/SUM(TrRail_ene!W5:W7))</f>
        <v>0</v>
      </c>
      <c r="X23" s="129">
        <f>IF(X5=0,0,X5/SUM(TrRail_ene!X5:X7))</f>
        <v>0</v>
      </c>
      <c r="Y23" s="129">
        <f>IF(Y5=0,0,Y5/SUM(TrRail_ene!Y5:Y7))</f>
        <v>0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0</v>
      </c>
      <c r="C26" s="54">
        <f>IF(C8=0,0,C8/TrRail_act!C14*1000)</f>
        <v>0</v>
      </c>
      <c r="D26" s="54">
        <f>IF(D8=0,0,D8/TrRail_act!D14*1000)</f>
        <v>0</v>
      </c>
      <c r="E26" s="54">
        <f>IF(E8=0,0,E8/TrRail_act!E14*1000)</f>
        <v>0</v>
      </c>
      <c r="F26" s="54">
        <f>IF(F8=0,0,F8/TrRail_act!F14*1000)</f>
        <v>0</v>
      </c>
      <c r="G26" s="54">
        <f>IF(G8=0,0,G8/TrRail_act!G14*1000)</f>
        <v>0</v>
      </c>
      <c r="H26" s="54">
        <f>IF(H8=0,0,H8/TrRail_act!H14*1000)</f>
        <v>0</v>
      </c>
      <c r="I26" s="54">
        <f>IF(I8=0,0,I8/TrRail_act!I14*1000)</f>
        <v>0</v>
      </c>
      <c r="J26" s="54">
        <f>IF(J8=0,0,J8/TrRail_act!J14*1000)</f>
        <v>0</v>
      </c>
      <c r="K26" s="54">
        <f>IF(K8=0,0,K8/TrRail_act!K14*1000)</f>
        <v>0</v>
      </c>
      <c r="L26" s="54">
        <f>IF(L8=0,0,L8/TrRail_act!L14*1000)</f>
        <v>0</v>
      </c>
      <c r="M26" s="54">
        <f>IF(M8=0,0,M8/TrRail_act!M14*1000)</f>
        <v>0</v>
      </c>
      <c r="N26" s="54">
        <f>IF(N8=0,0,N8/TrRail_act!N14*1000)</f>
        <v>0</v>
      </c>
      <c r="O26" s="54">
        <f>IF(O8=0,0,O8/TrRail_act!O14*1000)</f>
        <v>0</v>
      </c>
      <c r="P26" s="54">
        <f>IF(P8=0,0,P8/TrRail_act!P14*1000)</f>
        <v>0</v>
      </c>
      <c r="Q26" s="54">
        <f>IF(Q8=0,0,Q8/TrRail_act!Q14*1000)</f>
        <v>0</v>
      </c>
      <c r="R26" s="54">
        <f>IF(R8=0,0,R8/TrRail_act!R14*1000)</f>
        <v>0</v>
      </c>
      <c r="S26" s="54">
        <f>IF(S8=0,0,S8/TrRail_act!S14*1000)</f>
        <v>0</v>
      </c>
      <c r="T26" s="54">
        <f>IF(T8=0,0,T8/TrRail_act!T14*1000)</f>
        <v>0</v>
      </c>
      <c r="U26" s="54">
        <f>IF(U8=0,0,U8/TrRail_act!U14*1000)</f>
        <v>0</v>
      </c>
      <c r="V26" s="54">
        <f>IF(V8=0,0,V8/TrRail_act!V14*1000)</f>
        <v>0</v>
      </c>
      <c r="W26" s="54">
        <f>IF(W8=0,0,W8/TrRail_act!W14*1000)</f>
        <v>0</v>
      </c>
      <c r="X26" s="54">
        <f>IF(X8=0,0,X8/TrRail_act!X14*1000)</f>
        <v>0</v>
      </c>
      <c r="Y26" s="54">
        <f>IF(Y8=0,0,Y8/TrRail_act!Y14*1000)</f>
        <v>0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0</v>
      </c>
      <c r="C27" s="28">
        <f>IF(C9=0,0,C9/TrRail_act!C15*1000)</f>
        <v>0</v>
      </c>
      <c r="D27" s="28">
        <f>IF(D9=0,0,D9/TrRail_act!D15*1000)</f>
        <v>0</v>
      </c>
      <c r="E27" s="28">
        <f>IF(E9=0,0,E9/TrRail_act!E15*1000)</f>
        <v>0</v>
      </c>
      <c r="F27" s="28">
        <f>IF(F9=0,0,F9/TrRail_act!F15*1000)</f>
        <v>0</v>
      </c>
      <c r="G27" s="28">
        <f>IF(G9=0,0,G9/TrRail_act!G15*1000)</f>
        <v>0</v>
      </c>
      <c r="H27" s="28">
        <f>IF(H9=0,0,H9/TrRail_act!H15*1000)</f>
        <v>0</v>
      </c>
      <c r="I27" s="28">
        <f>IF(I9=0,0,I9/TrRail_act!I15*1000)</f>
        <v>0</v>
      </c>
      <c r="J27" s="28">
        <f>IF(J9=0,0,J9/TrRail_act!J15*1000)</f>
        <v>0</v>
      </c>
      <c r="K27" s="28">
        <f>IF(K9=0,0,K9/TrRail_act!K15*1000)</f>
        <v>0</v>
      </c>
      <c r="L27" s="28">
        <f>IF(L9=0,0,L9/TrRail_act!L15*1000)</f>
        <v>0</v>
      </c>
      <c r="M27" s="28">
        <f>IF(M9=0,0,M9/TrRail_act!M15*1000)</f>
        <v>0</v>
      </c>
      <c r="N27" s="28">
        <f>IF(N9=0,0,N9/TrRail_act!N15*1000)</f>
        <v>0</v>
      </c>
      <c r="O27" s="28">
        <f>IF(O9=0,0,O9/TrRail_act!O15*1000)</f>
        <v>0</v>
      </c>
      <c r="P27" s="28">
        <f>IF(P9=0,0,P9/TrRail_act!P15*1000)</f>
        <v>0</v>
      </c>
      <c r="Q27" s="28">
        <f>IF(Q9=0,0,Q9/TrRail_act!Q15*1000)</f>
        <v>0</v>
      </c>
      <c r="R27" s="28">
        <f>IF(R9=0,0,R9/TrRail_act!R15*1000)</f>
        <v>0</v>
      </c>
      <c r="S27" s="28">
        <f>IF(S9=0,0,S9/TrRail_act!S15*1000)</f>
        <v>0</v>
      </c>
      <c r="T27" s="28">
        <f>IF(T9=0,0,T9/TrRail_act!T15*1000)</f>
        <v>0</v>
      </c>
      <c r="U27" s="28">
        <f>IF(U9=0,0,U9/TrRail_act!U15*1000)</f>
        <v>0</v>
      </c>
      <c r="V27" s="28">
        <f>IF(V9=0,0,V9/TrRail_act!V15*1000)</f>
        <v>0</v>
      </c>
      <c r="W27" s="28">
        <f>IF(W9=0,0,W9/TrRail_act!W15*1000)</f>
        <v>0</v>
      </c>
      <c r="X27" s="28">
        <f>IF(X9=0,0,X9/TrRail_act!X15*1000)</f>
        <v>0</v>
      </c>
      <c r="Y27" s="28">
        <f>IF(Y9=0,0,Y9/TrRail_act!Y15*1000)</f>
        <v>0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0</v>
      </c>
      <c r="C29" s="110">
        <f>IF(C11=0,0,C11/TrRail_act!C17*1000)</f>
        <v>0</v>
      </c>
      <c r="D29" s="110">
        <f>IF(D11=0,0,D11/TrRail_act!D17*1000)</f>
        <v>0</v>
      </c>
      <c r="E29" s="110">
        <f>IF(E11=0,0,E11/TrRail_act!E17*1000)</f>
        <v>0</v>
      </c>
      <c r="F29" s="110">
        <f>IF(F11=0,0,F11/TrRail_act!F17*1000)</f>
        <v>0</v>
      </c>
      <c r="G29" s="110">
        <f>IF(G11=0,0,G11/TrRail_act!G17*1000)</f>
        <v>0</v>
      </c>
      <c r="H29" s="110">
        <f>IF(H11=0,0,H11/TrRail_act!H17*1000)</f>
        <v>0</v>
      </c>
      <c r="I29" s="110">
        <f>IF(I11=0,0,I11/TrRail_act!I17*1000)</f>
        <v>0</v>
      </c>
      <c r="J29" s="110">
        <f>IF(J11=0,0,J11/TrRail_act!J17*1000)</f>
        <v>0</v>
      </c>
      <c r="K29" s="110">
        <f>IF(K11=0,0,K11/TrRail_act!K17*1000)</f>
        <v>0</v>
      </c>
      <c r="L29" s="110">
        <f>IF(L11=0,0,L11/TrRail_act!L17*1000)</f>
        <v>0</v>
      </c>
      <c r="M29" s="110">
        <f>IF(M11=0,0,M11/TrRail_act!M17*1000)</f>
        <v>0</v>
      </c>
      <c r="N29" s="110">
        <f>IF(N11=0,0,N11/TrRail_act!N17*1000)</f>
        <v>0</v>
      </c>
      <c r="O29" s="110">
        <f>IF(O11=0,0,O11/TrRail_act!O17*1000)</f>
        <v>0</v>
      </c>
      <c r="P29" s="110">
        <f>IF(P11=0,0,P11/TrRail_act!P17*1000)</f>
        <v>0</v>
      </c>
      <c r="Q29" s="110">
        <f>IF(Q11=0,0,Q11/TrRail_act!Q17*1000)</f>
        <v>0</v>
      </c>
      <c r="R29" s="110">
        <f>IF(R11=0,0,R11/TrRail_act!R17*1000)</f>
        <v>0</v>
      </c>
      <c r="S29" s="110">
        <f>IF(S11=0,0,S11/TrRail_act!S17*1000)</f>
        <v>0</v>
      </c>
      <c r="T29" s="110">
        <f>IF(T11=0,0,T11/TrRail_act!T17*1000)</f>
        <v>0</v>
      </c>
      <c r="U29" s="110">
        <f>IF(U11=0,0,U11/TrRail_act!U17*1000)</f>
        <v>0</v>
      </c>
      <c r="V29" s="110">
        <f>IF(V11=0,0,V11/TrRail_act!V17*1000)</f>
        <v>0</v>
      </c>
      <c r="W29" s="110">
        <f>IF(W11=0,0,W11/TrRail_act!W17*1000)</f>
        <v>0</v>
      </c>
      <c r="X29" s="110">
        <f>IF(X11=0,0,X11/TrRail_act!X17*1000)</f>
        <v>0</v>
      </c>
      <c r="Y29" s="110">
        <f>IF(Y11=0,0,Y11/TrRail_act!Y17*1000)</f>
        <v>0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0</v>
      </c>
      <c r="C30" s="84">
        <f>IF(C12=0,0,C12/TrRail_act!C18*1000)</f>
        <v>0</v>
      </c>
      <c r="D30" s="84">
        <f>IF(D12=0,0,D12/TrRail_act!D18*1000)</f>
        <v>0</v>
      </c>
      <c r="E30" s="84">
        <f>IF(E12=0,0,E12/TrRail_act!E18*1000)</f>
        <v>0</v>
      </c>
      <c r="F30" s="84">
        <f>IF(F12=0,0,F12/TrRail_act!F18*1000)</f>
        <v>0</v>
      </c>
      <c r="G30" s="84">
        <f>IF(G12=0,0,G12/TrRail_act!G18*1000)</f>
        <v>0</v>
      </c>
      <c r="H30" s="84">
        <f>IF(H12=0,0,H12/TrRail_act!H18*1000)</f>
        <v>0</v>
      </c>
      <c r="I30" s="84">
        <f>IF(I12=0,0,I12/TrRail_act!I18*1000)</f>
        <v>0</v>
      </c>
      <c r="J30" s="84">
        <f>IF(J12=0,0,J12/TrRail_act!J18*1000)</f>
        <v>0</v>
      </c>
      <c r="K30" s="84">
        <f>IF(K12=0,0,K12/TrRail_act!K18*1000)</f>
        <v>0</v>
      </c>
      <c r="L30" s="84">
        <f>IF(L12=0,0,L12/TrRail_act!L18*1000)</f>
        <v>0</v>
      </c>
      <c r="M30" s="84">
        <f>IF(M12=0,0,M12/TrRail_act!M18*1000)</f>
        <v>0</v>
      </c>
      <c r="N30" s="84">
        <f>IF(N12=0,0,N12/TrRail_act!N18*1000)</f>
        <v>0</v>
      </c>
      <c r="O30" s="84">
        <f>IF(O12=0,0,O12/TrRail_act!O18*1000)</f>
        <v>0</v>
      </c>
      <c r="P30" s="84">
        <f>IF(P12=0,0,P12/TrRail_act!P18*1000)</f>
        <v>0</v>
      </c>
      <c r="Q30" s="84">
        <f>IF(Q12=0,0,Q12/TrRail_act!Q18*1000)</f>
        <v>0</v>
      </c>
      <c r="R30" s="84">
        <f>IF(R12=0,0,R12/TrRail_act!R18*1000)</f>
        <v>0</v>
      </c>
      <c r="S30" s="84">
        <f>IF(S12=0,0,S12/TrRail_act!S18*1000)</f>
        <v>0</v>
      </c>
      <c r="T30" s="84">
        <f>IF(T12=0,0,T12/TrRail_act!T18*1000)</f>
        <v>0</v>
      </c>
      <c r="U30" s="84">
        <f>IF(U12=0,0,U12/TrRail_act!U18*1000)</f>
        <v>0</v>
      </c>
      <c r="V30" s="84">
        <f>IF(V12=0,0,V12/TrRail_act!V18*1000)</f>
        <v>0</v>
      </c>
      <c r="W30" s="84">
        <f>IF(W12=0,0,W12/TrRail_act!W18*1000)</f>
        <v>0</v>
      </c>
      <c r="X30" s="84">
        <f>IF(X12=0,0,X12/TrRail_act!X18*1000)</f>
        <v>0</v>
      </c>
      <c r="Y30" s="84">
        <f>IF(Y12=0,0,Y12/TrRail_act!Y18*1000)</f>
        <v>0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0</v>
      </c>
      <c r="C33" s="28">
        <f>IF(C15=0,0,C15/TrRail_act!C21*1000)</f>
        <v>0</v>
      </c>
      <c r="D33" s="28">
        <f>IF(D15=0,0,D15/TrRail_act!D21*1000)</f>
        <v>0</v>
      </c>
      <c r="E33" s="28">
        <f>IF(E15=0,0,E15/TrRail_act!E21*1000)</f>
        <v>0</v>
      </c>
      <c r="F33" s="28">
        <f>IF(F15=0,0,F15/TrRail_act!F21*1000)</f>
        <v>0</v>
      </c>
      <c r="G33" s="28">
        <f>IF(G15=0,0,G15/TrRail_act!G21*1000)</f>
        <v>0</v>
      </c>
      <c r="H33" s="28">
        <f>IF(H15=0,0,H15/TrRail_act!H21*1000)</f>
        <v>0</v>
      </c>
      <c r="I33" s="28">
        <f>IF(I15=0,0,I15/TrRail_act!I21*1000)</f>
        <v>0</v>
      </c>
      <c r="J33" s="28">
        <f>IF(J15=0,0,J15/TrRail_act!J21*1000)</f>
        <v>0</v>
      </c>
      <c r="K33" s="28">
        <f>IF(K15=0,0,K15/TrRail_act!K21*1000)</f>
        <v>0</v>
      </c>
      <c r="L33" s="28">
        <f>IF(L15=0,0,L15/TrRail_act!L21*1000)</f>
        <v>0</v>
      </c>
      <c r="M33" s="28">
        <f>IF(M15=0,0,M15/TrRail_act!M21*1000)</f>
        <v>0</v>
      </c>
      <c r="N33" s="28">
        <f>IF(N15=0,0,N15/TrRail_act!N21*1000)</f>
        <v>0</v>
      </c>
      <c r="O33" s="28">
        <f>IF(O15=0,0,O15/TrRail_act!O21*1000)</f>
        <v>0</v>
      </c>
      <c r="P33" s="28">
        <f>IF(P15=0,0,P15/TrRail_act!P21*1000)</f>
        <v>0</v>
      </c>
      <c r="Q33" s="28">
        <f>IF(Q15=0,0,Q15/TrRail_act!Q21*1000)</f>
        <v>0</v>
      </c>
      <c r="R33" s="28">
        <f>IF(R15=0,0,R15/TrRail_act!R21*1000)</f>
        <v>0</v>
      </c>
      <c r="S33" s="28">
        <f>IF(S15=0,0,S15/TrRail_act!S21*1000)</f>
        <v>0</v>
      </c>
      <c r="T33" s="28">
        <f>IF(T15=0,0,T15/TrRail_act!T21*1000)</f>
        <v>0</v>
      </c>
      <c r="U33" s="28">
        <f>IF(U15=0,0,U15/TrRail_act!U21*1000)</f>
        <v>0</v>
      </c>
      <c r="V33" s="28">
        <f>IF(V15=0,0,V15/TrRail_act!V21*1000)</f>
        <v>0</v>
      </c>
      <c r="W33" s="28">
        <f>IF(W15=0,0,W15/TrRail_act!W21*1000)</f>
        <v>0</v>
      </c>
      <c r="X33" s="28">
        <f>IF(X15=0,0,X15/TrRail_act!X21*1000)</f>
        <v>0</v>
      </c>
      <c r="Y33" s="28">
        <f>IF(Y15=0,0,Y15/TrRail_act!Y21*1000)</f>
        <v>0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0</v>
      </c>
      <c r="C34" s="84">
        <f>IF(C16=0,0,C16/TrRail_act!C22*1000)</f>
        <v>0</v>
      </c>
      <c r="D34" s="84">
        <f>IF(D16=0,0,D16/TrRail_act!D22*1000)</f>
        <v>0</v>
      </c>
      <c r="E34" s="84">
        <f>IF(E16=0,0,E16/TrRail_act!E22*1000)</f>
        <v>0</v>
      </c>
      <c r="F34" s="84">
        <f>IF(F16=0,0,F16/TrRail_act!F22*1000)</f>
        <v>0</v>
      </c>
      <c r="G34" s="84">
        <f>IF(G16=0,0,G16/TrRail_act!G22*1000)</f>
        <v>0</v>
      </c>
      <c r="H34" s="84">
        <f>IF(H16=0,0,H16/TrRail_act!H22*1000)</f>
        <v>0</v>
      </c>
      <c r="I34" s="84">
        <f>IF(I16=0,0,I16/TrRail_act!I22*1000)</f>
        <v>0</v>
      </c>
      <c r="J34" s="84">
        <f>IF(J16=0,0,J16/TrRail_act!J22*1000)</f>
        <v>0</v>
      </c>
      <c r="K34" s="84">
        <f>IF(K16=0,0,K16/TrRail_act!K22*1000)</f>
        <v>0</v>
      </c>
      <c r="L34" s="84">
        <f>IF(L16=0,0,L16/TrRail_act!L22*1000)</f>
        <v>0</v>
      </c>
      <c r="M34" s="84">
        <f>IF(M16=0,0,M16/TrRail_act!M22*1000)</f>
        <v>0</v>
      </c>
      <c r="N34" s="84">
        <f>IF(N16=0,0,N16/TrRail_act!N22*1000)</f>
        <v>0</v>
      </c>
      <c r="O34" s="84">
        <f>IF(O16=0,0,O16/TrRail_act!O22*1000)</f>
        <v>0</v>
      </c>
      <c r="P34" s="84">
        <f>IF(P16=0,0,P16/TrRail_act!P22*1000)</f>
        <v>0</v>
      </c>
      <c r="Q34" s="84">
        <f>IF(Q16=0,0,Q16/TrRail_act!Q22*1000)</f>
        <v>0</v>
      </c>
      <c r="R34" s="84">
        <f>IF(R16=0,0,R16/TrRail_act!R22*1000)</f>
        <v>0</v>
      </c>
      <c r="S34" s="84">
        <f>IF(S16=0,0,S16/TrRail_act!S22*1000)</f>
        <v>0</v>
      </c>
      <c r="T34" s="84">
        <f>IF(T16=0,0,T16/TrRail_act!T22*1000)</f>
        <v>0</v>
      </c>
      <c r="U34" s="84">
        <f>IF(U16=0,0,U16/TrRail_act!U22*1000)</f>
        <v>0</v>
      </c>
      <c r="V34" s="84">
        <f>IF(V16=0,0,V16/TrRail_act!V22*1000)</f>
        <v>0</v>
      </c>
      <c r="W34" s="84">
        <f>IF(W16=0,0,W16/TrRail_act!W22*1000)</f>
        <v>0</v>
      </c>
      <c r="X34" s="84">
        <f>IF(X16=0,0,X16/TrRail_act!X22*1000)</f>
        <v>0</v>
      </c>
      <c r="Y34" s="84">
        <f>IF(Y16=0,0,Y16/TrRail_act!Y22*1000)</f>
        <v>0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0</v>
      </c>
      <c r="C38" s="29">
        <f>IF(C9=0,0,C9/TrRail_act!C4*1000)</f>
        <v>0</v>
      </c>
      <c r="D38" s="29">
        <f>IF(D9=0,0,D9/TrRail_act!D4*1000)</f>
        <v>0</v>
      </c>
      <c r="E38" s="29">
        <f>IF(E9=0,0,E9/TrRail_act!E4*1000)</f>
        <v>0</v>
      </c>
      <c r="F38" s="29">
        <f>IF(F9=0,0,F9/TrRail_act!F4*1000)</f>
        <v>0</v>
      </c>
      <c r="G38" s="29">
        <f>IF(G9=0,0,G9/TrRail_act!G4*1000)</f>
        <v>0</v>
      </c>
      <c r="H38" s="29">
        <f>IF(H9=0,0,H9/TrRail_act!H4*1000)</f>
        <v>0</v>
      </c>
      <c r="I38" s="29">
        <f>IF(I9=0,0,I9/TrRail_act!I4*1000)</f>
        <v>0</v>
      </c>
      <c r="J38" s="29">
        <f>IF(J9=0,0,J9/TrRail_act!J4*1000)</f>
        <v>0</v>
      </c>
      <c r="K38" s="29">
        <f>IF(K9=0,0,K9/TrRail_act!K4*1000)</f>
        <v>0</v>
      </c>
      <c r="L38" s="29">
        <f>IF(L9=0,0,L9/TrRail_act!L4*1000)</f>
        <v>0</v>
      </c>
      <c r="M38" s="29">
        <f>IF(M9=0,0,M9/TrRail_act!M4*1000)</f>
        <v>0</v>
      </c>
      <c r="N38" s="29">
        <f>IF(N9=0,0,N9/TrRail_act!N4*1000)</f>
        <v>0</v>
      </c>
      <c r="O38" s="29">
        <f>IF(O9=0,0,O9/TrRail_act!O4*1000)</f>
        <v>0</v>
      </c>
      <c r="P38" s="29">
        <f>IF(P9=0,0,P9/TrRail_act!P4*1000)</f>
        <v>0</v>
      </c>
      <c r="Q38" s="29">
        <f>IF(Q9=0,0,Q9/TrRail_act!Q4*1000)</f>
        <v>0</v>
      </c>
      <c r="R38" s="29">
        <f>IF(R9=0,0,R9/TrRail_act!R4*1000)</f>
        <v>0</v>
      </c>
      <c r="S38" s="29">
        <f>IF(S9=0,0,S9/TrRail_act!S4*1000)</f>
        <v>0</v>
      </c>
      <c r="T38" s="29">
        <f>IF(T9=0,0,T9/TrRail_act!T4*1000)</f>
        <v>0</v>
      </c>
      <c r="U38" s="29">
        <f>IF(U9=0,0,U9/TrRail_act!U4*1000)</f>
        <v>0</v>
      </c>
      <c r="V38" s="29">
        <f>IF(V9=0,0,V9/TrRail_act!V4*1000)</f>
        <v>0</v>
      </c>
      <c r="W38" s="29">
        <f>IF(W9=0,0,W9/TrRail_act!W4*1000)</f>
        <v>0</v>
      </c>
      <c r="X38" s="29">
        <f>IF(X9=0,0,X9/TrRail_act!X4*1000)</f>
        <v>0</v>
      </c>
      <c r="Y38" s="29">
        <f>IF(Y9=0,0,Y9/TrRail_act!Y4*1000)</f>
        <v>0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0</v>
      </c>
      <c r="C40" s="116">
        <f>IF(C11=0,0,C11/TrRail_act!C6*1000)</f>
        <v>0</v>
      </c>
      <c r="D40" s="116">
        <f>IF(D11=0,0,D11/TrRail_act!D6*1000)</f>
        <v>0</v>
      </c>
      <c r="E40" s="116">
        <f>IF(E11=0,0,E11/TrRail_act!E6*1000)</f>
        <v>0</v>
      </c>
      <c r="F40" s="116">
        <f>IF(F11=0,0,F11/TrRail_act!F6*1000)</f>
        <v>0</v>
      </c>
      <c r="G40" s="116">
        <f>IF(G11=0,0,G11/TrRail_act!G6*1000)</f>
        <v>0</v>
      </c>
      <c r="H40" s="116">
        <f>IF(H11=0,0,H11/TrRail_act!H6*1000)</f>
        <v>0</v>
      </c>
      <c r="I40" s="116">
        <f>IF(I11=0,0,I11/TrRail_act!I6*1000)</f>
        <v>0</v>
      </c>
      <c r="J40" s="116">
        <f>IF(J11=0,0,J11/TrRail_act!J6*1000)</f>
        <v>0</v>
      </c>
      <c r="K40" s="116">
        <f>IF(K11=0,0,K11/TrRail_act!K6*1000)</f>
        <v>0</v>
      </c>
      <c r="L40" s="116">
        <f>IF(L11=0,0,L11/TrRail_act!L6*1000)</f>
        <v>0</v>
      </c>
      <c r="M40" s="116">
        <f>IF(M11=0,0,M11/TrRail_act!M6*1000)</f>
        <v>0</v>
      </c>
      <c r="N40" s="116">
        <f>IF(N11=0,0,N11/TrRail_act!N6*1000)</f>
        <v>0</v>
      </c>
      <c r="O40" s="116">
        <f>IF(O11=0,0,O11/TrRail_act!O6*1000)</f>
        <v>0</v>
      </c>
      <c r="P40" s="116">
        <f>IF(P11=0,0,P11/TrRail_act!P6*1000)</f>
        <v>0</v>
      </c>
      <c r="Q40" s="116">
        <f>IF(Q11=0,0,Q11/TrRail_act!Q6*1000)</f>
        <v>0</v>
      </c>
      <c r="R40" s="116">
        <f>IF(R11=0,0,R11/TrRail_act!R6*1000)</f>
        <v>0</v>
      </c>
      <c r="S40" s="116">
        <f>IF(S11=0,0,S11/TrRail_act!S6*1000)</f>
        <v>0</v>
      </c>
      <c r="T40" s="116">
        <f>IF(T11=0,0,T11/TrRail_act!T6*1000)</f>
        <v>0</v>
      </c>
      <c r="U40" s="116">
        <f>IF(U11=0,0,U11/TrRail_act!U6*1000)</f>
        <v>0</v>
      </c>
      <c r="V40" s="116">
        <f>IF(V11=0,0,V11/TrRail_act!V6*1000)</f>
        <v>0</v>
      </c>
      <c r="W40" s="116">
        <f>IF(W11=0,0,W11/TrRail_act!W6*1000)</f>
        <v>0</v>
      </c>
      <c r="X40" s="116">
        <f>IF(X11=0,0,X11/TrRail_act!X6*1000)</f>
        <v>0</v>
      </c>
      <c r="Y40" s="116">
        <f>IF(Y11=0,0,Y11/TrRail_act!Y6*1000)</f>
        <v>0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0</v>
      </c>
      <c r="C41" s="87">
        <f>IF(C12=0,0,C12/TrRail_act!C7*1000)</f>
        <v>0</v>
      </c>
      <c r="D41" s="87">
        <f>IF(D12=0,0,D12/TrRail_act!D7*1000)</f>
        <v>0</v>
      </c>
      <c r="E41" s="87">
        <f>IF(E12=0,0,E12/TrRail_act!E7*1000)</f>
        <v>0</v>
      </c>
      <c r="F41" s="87">
        <f>IF(F12=0,0,F12/TrRail_act!F7*1000)</f>
        <v>0</v>
      </c>
      <c r="G41" s="87">
        <f>IF(G12=0,0,G12/TrRail_act!G7*1000)</f>
        <v>0</v>
      </c>
      <c r="H41" s="87">
        <f>IF(H12=0,0,H12/TrRail_act!H7*1000)</f>
        <v>0</v>
      </c>
      <c r="I41" s="87">
        <f>IF(I12=0,0,I12/TrRail_act!I7*1000)</f>
        <v>0</v>
      </c>
      <c r="J41" s="87">
        <f>IF(J12=0,0,J12/TrRail_act!J7*1000)</f>
        <v>0</v>
      </c>
      <c r="K41" s="87">
        <f>IF(K12=0,0,K12/TrRail_act!K7*1000)</f>
        <v>0</v>
      </c>
      <c r="L41" s="87">
        <f>IF(L12=0,0,L12/TrRail_act!L7*1000)</f>
        <v>0</v>
      </c>
      <c r="M41" s="87">
        <f>IF(M12=0,0,M12/TrRail_act!M7*1000)</f>
        <v>0</v>
      </c>
      <c r="N41" s="87">
        <f>IF(N12=0,0,N12/TrRail_act!N7*1000)</f>
        <v>0</v>
      </c>
      <c r="O41" s="87">
        <f>IF(O12=0,0,O12/TrRail_act!O7*1000)</f>
        <v>0</v>
      </c>
      <c r="P41" s="87">
        <f>IF(P12=0,0,P12/TrRail_act!P7*1000)</f>
        <v>0</v>
      </c>
      <c r="Q41" s="87">
        <f>IF(Q12=0,0,Q12/TrRail_act!Q7*1000)</f>
        <v>0</v>
      </c>
      <c r="R41" s="87">
        <f>IF(R12=0,0,R12/TrRail_act!R7*1000)</f>
        <v>0</v>
      </c>
      <c r="S41" s="87">
        <f>IF(S12=0,0,S12/TrRail_act!S7*1000)</f>
        <v>0</v>
      </c>
      <c r="T41" s="87">
        <f>IF(T12=0,0,T12/TrRail_act!T7*1000)</f>
        <v>0</v>
      </c>
      <c r="U41" s="87">
        <f>IF(U12=0,0,U12/TrRail_act!U7*1000)</f>
        <v>0</v>
      </c>
      <c r="V41" s="87">
        <f>IF(V12=0,0,V12/TrRail_act!V7*1000)</f>
        <v>0</v>
      </c>
      <c r="W41" s="87">
        <f>IF(W12=0,0,W12/TrRail_act!W7*1000)</f>
        <v>0</v>
      </c>
      <c r="X41" s="87">
        <f>IF(X12=0,0,X12/TrRail_act!X7*1000)</f>
        <v>0</v>
      </c>
      <c r="Y41" s="87">
        <f>IF(Y12=0,0,Y12/TrRail_act!Y7*1000)</f>
        <v>0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0</v>
      </c>
      <c r="C44" s="29">
        <f>IF(C15=0,0,C15/TrRail_act!C10*1000)</f>
        <v>0</v>
      </c>
      <c r="D44" s="29">
        <f>IF(D15=0,0,D15/TrRail_act!D10*1000)</f>
        <v>0</v>
      </c>
      <c r="E44" s="29">
        <f>IF(E15=0,0,E15/TrRail_act!E10*1000)</f>
        <v>0</v>
      </c>
      <c r="F44" s="29">
        <f>IF(F15=0,0,F15/TrRail_act!F10*1000)</f>
        <v>0</v>
      </c>
      <c r="G44" s="29">
        <f>IF(G15=0,0,G15/TrRail_act!G10*1000)</f>
        <v>0</v>
      </c>
      <c r="H44" s="29">
        <f>IF(H15=0,0,H15/TrRail_act!H10*1000)</f>
        <v>0</v>
      </c>
      <c r="I44" s="29">
        <f>IF(I15=0,0,I15/TrRail_act!I10*1000)</f>
        <v>0</v>
      </c>
      <c r="J44" s="29">
        <f>IF(J15=0,0,J15/TrRail_act!J10*1000)</f>
        <v>0</v>
      </c>
      <c r="K44" s="29">
        <f>IF(K15=0,0,K15/TrRail_act!K10*1000)</f>
        <v>0</v>
      </c>
      <c r="L44" s="29">
        <f>IF(L15=0,0,L15/TrRail_act!L10*1000)</f>
        <v>0</v>
      </c>
      <c r="M44" s="29">
        <f>IF(M15=0,0,M15/TrRail_act!M10*1000)</f>
        <v>0</v>
      </c>
      <c r="N44" s="29">
        <f>IF(N15=0,0,N15/TrRail_act!N10*1000)</f>
        <v>0</v>
      </c>
      <c r="O44" s="29">
        <f>IF(O15=0,0,O15/TrRail_act!O10*1000)</f>
        <v>0</v>
      </c>
      <c r="P44" s="29">
        <f>IF(P15=0,0,P15/TrRail_act!P10*1000)</f>
        <v>0</v>
      </c>
      <c r="Q44" s="29">
        <f>IF(Q15=0,0,Q15/TrRail_act!Q10*1000)</f>
        <v>0</v>
      </c>
      <c r="R44" s="29">
        <f>IF(R15=0,0,R15/TrRail_act!R10*1000)</f>
        <v>0</v>
      </c>
      <c r="S44" s="29">
        <f>IF(S15=0,0,S15/TrRail_act!S10*1000)</f>
        <v>0</v>
      </c>
      <c r="T44" s="29">
        <f>IF(T15=0,0,T15/TrRail_act!T10*1000)</f>
        <v>0</v>
      </c>
      <c r="U44" s="29">
        <f>IF(U15=0,0,U15/TrRail_act!U10*1000)</f>
        <v>0</v>
      </c>
      <c r="V44" s="29">
        <f>IF(V15=0,0,V15/TrRail_act!V10*1000)</f>
        <v>0</v>
      </c>
      <c r="W44" s="29">
        <f>IF(W15=0,0,W15/TrRail_act!W10*1000)</f>
        <v>0</v>
      </c>
      <c r="X44" s="29">
        <f>IF(X15=0,0,X15/TrRail_act!X10*1000)</f>
        <v>0</v>
      </c>
      <c r="Y44" s="29">
        <f>IF(Y15=0,0,Y15/TrRail_act!Y10*1000)</f>
        <v>0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0</v>
      </c>
      <c r="C45" s="87">
        <f>IF(C16=0,0,C16/TrRail_act!C11*1000)</f>
        <v>0</v>
      </c>
      <c r="D45" s="87">
        <f>IF(D16=0,0,D16/TrRail_act!D11*1000)</f>
        <v>0</v>
      </c>
      <c r="E45" s="87">
        <f>IF(E16=0,0,E16/TrRail_act!E11*1000)</f>
        <v>0</v>
      </c>
      <c r="F45" s="87">
        <f>IF(F16=0,0,F16/TrRail_act!F11*1000)</f>
        <v>0</v>
      </c>
      <c r="G45" s="87">
        <f>IF(G16=0,0,G16/TrRail_act!G11*1000)</f>
        <v>0</v>
      </c>
      <c r="H45" s="87">
        <f>IF(H16=0,0,H16/TrRail_act!H11*1000)</f>
        <v>0</v>
      </c>
      <c r="I45" s="87">
        <f>IF(I16=0,0,I16/TrRail_act!I11*1000)</f>
        <v>0</v>
      </c>
      <c r="J45" s="87">
        <f>IF(J16=0,0,J16/TrRail_act!J11*1000)</f>
        <v>0</v>
      </c>
      <c r="K45" s="87">
        <f>IF(K16=0,0,K16/TrRail_act!K11*1000)</f>
        <v>0</v>
      </c>
      <c r="L45" s="87">
        <f>IF(L16=0,0,L16/TrRail_act!L11*1000)</f>
        <v>0</v>
      </c>
      <c r="M45" s="87">
        <f>IF(M16=0,0,M16/TrRail_act!M11*1000)</f>
        <v>0</v>
      </c>
      <c r="N45" s="87">
        <f>IF(N16=0,0,N16/TrRail_act!N11*1000)</f>
        <v>0</v>
      </c>
      <c r="O45" s="87">
        <f>IF(O16=0,0,O16/TrRail_act!O11*1000)</f>
        <v>0</v>
      </c>
      <c r="P45" s="87">
        <f>IF(P16=0,0,P16/TrRail_act!P11*1000)</f>
        <v>0</v>
      </c>
      <c r="Q45" s="87">
        <f>IF(Q16=0,0,Q16/TrRail_act!Q11*1000)</f>
        <v>0</v>
      </c>
      <c r="R45" s="87">
        <f>IF(R16=0,0,R16/TrRail_act!R11*1000)</f>
        <v>0</v>
      </c>
      <c r="S45" s="87">
        <f>IF(S16=0,0,S16/TrRail_act!S11*1000)</f>
        <v>0</v>
      </c>
      <c r="T45" s="87">
        <f>IF(T16=0,0,T16/TrRail_act!T11*1000)</f>
        <v>0</v>
      </c>
      <c r="U45" s="87">
        <f>IF(U16=0,0,U16/TrRail_act!U11*1000)</f>
        <v>0</v>
      </c>
      <c r="V45" s="87">
        <f>IF(V16=0,0,V16/TrRail_act!V11*1000)</f>
        <v>0</v>
      </c>
      <c r="W45" s="87">
        <f>IF(W16=0,0,W16/TrRail_act!W11*1000)</f>
        <v>0</v>
      </c>
      <c r="X45" s="87">
        <f>IF(X16=0,0,X16/TrRail_act!X11*1000)</f>
        <v>0</v>
      </c>
      <c r="Y45" s="87">
        <f>IF(Y16=0,0,Y16/TrRail_act!Y11*1000)</f>
        <v>0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0</v>
      </c>
      <c r="C48" s="62">
        <f>IF(C8=0,0,1000000*C8/TrRail_act!C25/1000)</f>
        <v>0</v>
      </c>
      <c r="D48" s="62">
        <f>IF(D8=0,0,1000000*D8/TrRail_act!D25/1000)</f>
        <v>0</v>
      </c>
      <c r="E48" s="62">
        <f>IF(E8=0,0,1000000*E8/TrRail_act!E25/1000)</f>
        <v>0</v>
      </c>
      <c r="F48" s="62">
        <f>IF(F8=0,0,1000000*F8/TrRail_act!F25/1000)</f>
        <v>0</v>
      </c>
      <c r="G48" s="62">
        <f>IF(G8=0,0,1000000*G8/TrRail_act!G25/1000)</f>
        <v>0</v>
      </c>
      <c r="H48" s="62">
        <f>IF(H8=0,0,1000000*H8/TrRail_act!H25/1000)</f>
        <v>0</v>
      </c>
      <c r="I48" s="62">
        <f>IF(I8=0,0,1000000*I8/TrRail_act!I25/1000)</f>
        <v>0</v>
      </c>
      <c r="J48" s="62">
        <f>IF(J8=0,0,1000000*J8/TrRail_act!J25/1000)</f>
        <v>0</v>
      </c>
      <c r="K48" s="62">
        <f>IF(K8=0,0,1000000*K8/TrRail_act!K25/1000)</f>
        <v>0</v>
      </c>
      <c r="L48" s="62">
        <f>IF(L8=0,0,1000000*L8/TrRail_act!L25/1000)</f>
        <v>0</v>
      </c>
      <c r="M48" s="62">
        <f>IF(M8=0,0,1000000*M8/TrRail_act!M25/1000)</f>
        <v>0</v>
      </c>
      <c r="N48" s="62">
        <f>IF(N8=0,0,1000000*N8/TrRail_act!N25/1000)</f>
        <v>0</v>
      </c>
      <c r="O48" s="62">
        <f>IF(O8=0,0,1000000*O8/TrRail_act!O25/1000)</f>
        <v>0</v>
      </c>
      <c r="P48" s="62">
        <f>IF(P8=0,0,1000000*P8/TrRail_act!P25/1000)</f>
        <v>0</v>
      </c>
      <c r="Q48" s="62">
        <f>IF(Q8=0,0,1000000*Q8/TrRail_act!Q25/1000)</f>
        <v>0</v>
      </c>
      <c r="R48" s="62">
        <f>IF(R8=0,0,1000000*R8/TrRail_act!R25/1000)</f>
        <v>0</v>
      </c>
      <c r="S48" s="62">
        <f>IF(S8=0,0,1000000*S8/TrRail_act!S25/1000)</f>
        <v>0</v>
      </c>
      <c r="T48" s="62">
        <f>IF(T8=0,0,1000000*T8/TrRail_act!T25/1000)</f>
        <v>0</v>
      </c>
      <c r="U48" s="62">
        <f>IF(U8=0,0,1000000*U8/TrRail_act!U25/1000)</f>
        <v>0</v>
      </c>
      <c r="V48" s="62">
        <f>IF(V8=0,0,1000000*V8/TrRail_act!V25/1000)</f>
        <v>0</v>
      </c>
      <c r="W48" s="62">
        <f>IF(W8=0,0,1000000*W8/TrRail_act!W25/1000)</f>
        <v>0</v>
      </c>
      <c r="X48" s="62">
        <f>IF(X8=0,0,1000000*X8/TrRail_act!X25/1000)</f>
        <v>0</v>
      </c>
      <c r="Y48" s="62">
        <f>IF(Y8=0,0,1000000*Y8/TrRail_act!Y25/1000)</f>
        <v>0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0</v>
      </c>
      <c r="C49" s="29">
        <f>IF(C9=0,0,1000000*C9/TrRail_act!C26/1000)</f>
        <v>0</v>
      </c>
      <c r="D49" s="29">
        <f>IF(D9=0,0,1000000*D9/TrRail_act!D26/1000)</f>
        <v>0</v>
      </c>
      <c r="E49" s="29">
        <f>IF(E9=0,0,1000000*E9/TrRail_act!E26/1000)</f>
        <v>0</v>
      </c>
      <c r="F49" s="29">
        <f>IF(F9=0,0,1000000*F9/TrRail_act!F26/1000)</f>
        <v>0</v>
      </c>
      <c r="G49" s="29">
        <f>IF(G9=0,0,1000000*G9/TrRail_act!G26/1000)</f>
        <v>0</v>
      </c>
      <c r="H49" s="29">
        <f>IF(H9=0,0,1000000*H9/TrRail_act!H26/1000)</f>
        <v>0</v>
      </c>
      <c r="I49" s="29">
        <f>IF(I9=0,0,1000000*I9/TrRail_act!I26/1000)</f>
        <v>0</v>
      </c>
      <c r="J49" s="29">
        <f>IF(J9=0,0,1000000*J9/TrRail_act!J26/1000)</f>
        <v>0</v>
      </c>
      <c r="K49" s="29">
        <f>IF(K9=0,0,1000000*K9/TrRail_act!K26/1000)</f>
        <v>0</v>
      </c>
      <c r="L49" s="29">
        <f>IF(L9=0,0,1000000*L9/TrRail_act!L26/1000)</f>
        <v>0</v>
      </c>
      <c r="M49" s="29">
        <f>IF(M9=0,0,1000000*M9/TrRail_act!M26/1000)</f>
        <v>0</v>
      </c>
      <c r="N49" s="29">
        <f>IF(N9=0,0,1000000*N9/TrRail_act!N26/1000)</f>
        <v>0</v>
      </c>
      <c r="O49" s="29">
        <f>IF(O9=0,0,1000000*O9/TrRail_act!O26/1000)</f>
        <v>0</v>
      </c>
      <c r="P49" s="29">
        <f>IF(P9=0,0,1000000*P9/TrRail_act!P26/1000)</f>
        <v>0</v>
      </c>
      <c r="Q49" s="29">
        <f>IF(Q9=0,0,1000000*Q9/TrRail_act!Q26/1000)</f>
        <v>0</v>
      </c>
      <c r="R49" s="29">
        <f>IF(R9=0,0,1000000*R9/TrRail_act!R26/1000)</f>
        <v>0</v>
      </c>
      <c r="S49" s="29">
        <f>IF(S9=0,0,1000000*S9/TrRail_act!S26/1000)</f>
        <v>0</v>
      </c>
      <c r="T49" s="29">
        <f>IF(T9=0,0,1000000*T9/TrRail_act!T26/1000)</f>
        <v>0</v>
      </c>
      <c r="U49" s="29">
        <f>IF(U9=0,0,1000000*U9/TrRail_act!U26/1000)</f>
        <v>0</v>
      </c>
      <c r="V49" s="29">
        <f>IF(V9=0,0,1000000*V9/TrRail_act!V26/1000)</f>
        <v>0</v>
      </c>
      <c r="W49" s="29">
        <f>IF(W9=0,0,1000000*W9/TrRail_act!W26/1000)</f>
        <v>0</v>
      </c>
      <c r="X49" s="29">
        <f>IF(X9=0,0,1000000*X9/TrRail_act!X26/1000)</f>
        <v>0</v>
      </c>
      <c r="Y49" s="29">
        <f>IF(Y9=0,0,1000000*Y9/TrRail_act!Y26/1000)</f>
        <v>0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0</v>
      </c>
      <c r="C51" s="116">
        <f>IF(C11=0,0,1000000*C11/TrRail_act!C28/1000)</f>
        <v>0</v>
      </c>
      <c r="D51" s="116">
        <f>IF(D11=0,0,1000000*D11/TrRail_act!D28/1000)</f>
        <v>0</v>
      </c>
      <c r="E51" s="116">
        <f>IF(E11=0,0,1000000*E11/TrRail_act!E28/1000)</f>
        <v>0</v>
      </c>
      <c r="F51" s="116">
        <f>IF(F11=0,0,1000000*F11/TrRail_act!F28/1000)</f>
        <v>0</v>
      </c>
      <c r="G51" s="116">
        <f>IF(G11=0,0,1000000*G11/TrRail_act!G28/1000)</f>
        <v>0</v>
      </c>
      <c r="H51" s="116">
        <f>IF(H11=0,0,1000000*H11/TrRail_act!H28/1000)</f>
        <v>0</v>
      </c>
      <c r="I51" s="116">
        <f>IF(I11=0,0,1000000*I11/TrRail_act!I28/1000)</f>
        <v>0</v>
      </c>
      <c r="J51" s="116">
        <f>IF(J11=0,0,1000000*J11/TrRail_act!J28/1000)</f>
        <v>0</v>
      </c>
      <c r="K51" s="116">
        <f>IF(K11=0,0,1000000*K11/TrRail_act!K28/1000)</f>
        <v>0</v>
      </c>
      <c r="L51" s="116">
        <f>IF(L11=0,0,1000000*L11/TrRail_act!L28/1000)</f>
        <v>0</v>
      </c>
      <c r="M51" s="116">
        <f>IF(M11=0,0,1000000*M11/TrRail_act!M28/1000)</f>
        <v>0</v>
      </c>
      <c r="N51" s="116">
        <f>IF(N11=0,0,1000000*N11/TrRail_act!N28/1000)</f>
        <v>0</v>
      </c>
      <c r="O51" s="116">
        <f>IF(O11=0,0,1000000*O11/TrRail_act!O28/1000)</f>
        <v>0</v>
      </c>
      <c r="P51" s="116">
        <f>IF(P11=0,0,1000000*P11/TrRail_act!P28/1000)</f>
        <v>0</v>
      </c>
      <c r="Q51" s="116">
        <f>IF(Q11=0,0,1000000*Q11/TrRail_act!Q28/1000)</f>
        <v>0</v>
      </c>
      <c r="R51" s="116">
        <f>IF(R11=0,0,1000000*R11/TrRail_act!R28/1000)</f>
        <v>0</v>
      </c>
      <c r="S51" s="116">
        <f>IF(S11=0,0,1000000*S11/TrRail_act!S28/1000)</f>
        <v>0</v>
      </c>
      <c r="T51" s="116">
        <f>IF(T11=0,0,1000000*T11/TrRail_act!T28/1000)</f>
        <v>0</v>
      </c>
      <c r="U51" s="116">
        <f>IF(U11=0,0,1000000*U11/TrRail_act!U28/1000)</f>
        <v>0</v>
      </c>
      <c r="V51" s="116">
        <f>IF(V11=0,0,1000000*V11/TrRail_act!V28/1000)</f>
        <v>0</v>
      </c>
      <c r="W51" s="116">
        <f>IF(W11=0,0,1000000*W11/TrRail_act!W28/1000)</f>
        <v>0</v>
      </c>
      <c r="X51" s="116">
        <f>IF(X11=0,0,1000000*X11/TrRail_act!X28/1000)</f>
        <v>0</v>
      </c>
      <c r="Y51" s="116">
        <f>IF(Y11=0,0,1000000*Y11/TrRail_act!Y28/1000)</f>
        <v>0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0</v>
      </c>
      <c r="C52" s="87">
        <f>IF(C12=0,0,1000000*C12/TrRail_act!C29/1000)</f>
        <v>0</v>
      </c>
      <c r="D52" s="87">
        <f>IF(D12=0,0,1000000*D12/TrRail_act!D29/1000)</f>
        <v>0</v>
      </c>
      <c r="E52" s="87">
        <f>IF(E12=0,0,1000000*E12/TrRail_act!E29/1000)</f>
        <v>0</v>
      </c>
      <c r="F52" s="87">
        <f>IF(F12=0,0,1000000*F12/TrRail_act!F29/1000)</f>
        <v>0</v>
      </c>
      <c r="G52" s="87">
        <f>IF(G12=0,0,1000000*G12/TrRail_act!G29/1000)</f>
        <v>0</v>
      </c>
      <c r="H52" s="87">
        <f>IF(H12=0,0,1000000*H12/TrRail_act!H29/1000)</f>
        <v>0</v>
      </c>
      <c r="I52" s="87">
        <f>IF(I12=0,0,1000000*I12/TrRail_act!I29/1000)</f>
        <v>0</v>
      </c>
      <c r="J52" s="87">
        <f>IF(J12=0,0,1000000*J12/TrRail_act!J29/1000)</f>
        <v>0</v>
      </c>
      <c r="K52" s="87">
        <f>IF(K12=0,0,1000000*K12/TrRail_act!K29/1000)</f>
        <v>0</v>
      </c>
      <c r="L52" s="87">
        <f>IF(L12=0,0,1000000*L12/TrRail_act!L29/1000)</f>
        <v>0</v>
      </c>
      <c r="M52" s="87">
        <f>IF(M12=0,0,1000000*M12/TrRail_act!M29/1000)</f>
        <v>0</v>
      </c>
      <c r="N52" s="87">
        <f>IF(N12=0,0,1000000*N12/TrRail_act!N29/1000)</f>
        <v>0</v>
      </c>
      <c r="O52" s="87">
        <f>IF(O12=0,0,1000000*O12/TrRail_act!O29/1000)</f>
        <v>0</v>
      </c>
      <c r="P52" s="87">
        <f>IF(P12=0,0,1000000*P12/TrRail_act!P29/1000)</f>
        <v>0</v>
      </c>
      <c r="Q52" s="87">
        <f>IF(Q12=0,0,1000000*Q12/TrRail_act!Q29/1000)</f>
        <v>0</v>
      </c>
      <c r="R52" s="87">
        <f>IF(R12=0,0,1000000*R12/TrRail_act!R29/1000)</f>
        <v>0</v>
      </c>
      <c r="S52" s="87">
        <f>IF(S12=0,0,1000000*S12/TrRail_act!S29/1000)</f>
        <v>0</v>
      </c>
      <c r="T52" s="87">
        <f>IF(T12=0,0,1000000*T12/TrRail_act!T29/1000)</f>
        <v>0</v>
      </c>
      <c r="U52" s="87">
        <f>IF(U12=0,0,1000000*U12/TrRail_act!U29/1000)</f>
        <v>0</v>
      </c>
      <c r="V52" s="87">
        <f>IF(V12=0,0,1000000*V12/TrRail_act!V29/1000)</f>
        <v>0</v>
      </c>
      <c r="W52" s="87">
        <f>IF(W12=0,0,1000000*W12/TrRail_act!W29/1000)</f>
        <v>0</v>
      </c>
      <c r="X52" s="87">
        <f>IF(X12=0,0,1000000*X12/TrRail_act!X29/1000)</f>
        <v>0</v>
      </c>
      <c r="Y52" s="87">
        <f>IF(Y12=0,0,1000000*Y12/TrRail_act!Y29/1000)</f>
        <v>0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0</v>
      </c>
      <c r="C55" s="29">
        <f>IF(C15=0,0,1000000*C15/TrRail_act!C32/1000)</f>
        <v>0</v>
      </c>
      <c r="D55" s="29">
        <f>IF(D15=0,0,1000000*D15/TrRail_act!D32/1000)</f>
        <v>0</v>
      </c>
      <c r="E55" s="29">
        <f>IF(E15=0,0,1000000*E15/TrRail_act!E32/1000)</f>
        <v>0</v>
      </c>
      <c r="F55" s="29">
        <f>IF(F15=0,0,1000000*F15/TrRail_act!F32/1000)</f>
        <v>0</v>
      </c>
      <c r="G55" s="29">
        <f>IF(G15=0,0,1000000*G15/TrRail_act!G32/1000)</f>
        <v>0</v>
      </c>
      <c r="H55" s="29">
        <f>IF(H15=0,0,1000000*H15/TrRail_act!H32/1000)</f>
        <v>0</v>
      </c>
      <c r="I55" s="29">
        <f>IF(I15=0,0,1000000*I15/TrRail_act!I32/1000)</f>
        <v>0</v>
      </c>
      <c r="J55" s="29">
        <f>IF(J15=0,0,1000000*J15/TrRail_act!J32/1000)</f>
        <v>0</v>
      </c>
      <c r="K55" s="29">
        <f>IF(K15=0,0,1000000*K15/TrRail_act!K32/1000)</f>
        <v>0</v>
      </c>
      <c r="L55" s="29">
        <f>IF(L15=0,0,1000000*L15/TrRail_act!L32/1000)</f>
        <v>0</v>
      </c>
      <c r="M55" s="29">
        <f>IF(M15=0,0,1000000*M15/TrRail_act!M32/1000)</f>
        <v>0</v>
      </c>
      <c r="N55" s="29">
        <f>IF(N15=0,0,1000000*N15/TrRail_act!N32/1000)</f>
        <v>0</v>
      </c>
      <c r="O55" s="29">
        <f>IF(O15=0,0,1000000*O15/TrRail_act!O32/1000)</f>
        <v>0</v>
      </c>
      <c r="P55" s="29">
        <f>IF(P15=0,0,1000000*P15/TrRail_act!P32/1000)</f>
        <v>0</v>
      </c>
      <c r="Q55" s="29">
        <f>IF(Q15=0,0,1000000*Q15/TrRail_act!Q32/1000)</f>
        <v>0</v>
      </c>
      <c r="R55" s="29">
        <f>IF(R15=0,0,1000000*R15/TrRail_act!R32/1000)</f>
        <v>0</v>
      </c>
      <c r="S55" s="29">
        <f>IF(S15=0,0,1000000*S15/TrRail_act!S32/1000)</f>
        <v>0</v>
      </c>
      <c r="T55" s="29">
        <f>IF(T15=0,0,1000000*T15/TrRail_act!T32/1000)</f>
        <v>0</v>
      </c>
      <c r="U55" s="29">
        <f>IF(U15=0,0,1000000*U15/TrRail_act!U32/1000)</f>
        <v>0</v>
      </c>
      <c r="V55" s="29">
        <f>IF(V15=0,0,1000000*V15/TrRail_act!V32/1000)</f>
        <v>0</v>
      </c>
      <c r="W55" s="29">
        <f>IF(W15=0,0,1000000*W15/TrRail_act!W32/1000)</f>
        <v>0</v>
      </c>
      <c r="X55" s="29">
        <f>IF(X15=0,0,1000000*X15/TrRail_act!X32/1000)</f>
        <v>0</v>
      </c>
      <c r="Y55" s="29">
        <f>IF(Y15=0,0,1000000*Y15/TrRail_act!Y32/1000)</f>
        <v>0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0</v>
      </c>
      <c r="C56" s="87">
        <f>IF(C16=0,0,1000000*C16/TrRail_act!C33/1000)</f>
        <v>0</v>
      </c>
      <c r="D56" s="87">
        <f>IF(D16=0,0,1000000*D16/TrRail_act!D33/1000)</f>
        <v>0</v>
      </c>
      <c r="E56" s="87">
        <f>IF(E16=0,0,1000000*E16/TrRail_act!E33/1000)</f>
        <v>0</v>
      </c>
      <c r="F56" s="87">
        <f>IF(F16=0,0,1000000*F16/TrRail_act!F33/1000)</f>
        <v>0</v>
      </c>
      <c r="G56" s="87">
        <f>IF(G16=0,0,1000000*G16/TrRail_act!G33/1000)</f>
        <v>0</v>
      </c>
      <c r="H56" s="87">
        <f>IF(H16=0,0,1000000*H16/TrRail_act!H33/1000)</f>
        <v>0</v>
      </c>
      <c r="I56" s="87">
        <f>IF(I16=0,0,1000000*I16/TrRail_act!I33/1000)</f>
        <v>0</v>
      </c>
      <c r="J56" s="87">
        <f>IF(J16=0,0,1000000*J16/TrRail_act!J33/1000)</f>
        <v>0</v>
      </c>
      <c r="K56" s="87">
        <f>IF(K16=0,0,1000000*K16/TrRail_act!K33/1000)</f>
        <v>0</v>
      </c>
      <c r="L56" s="87">
        <f>IF(L16=0,0,1000000*L16/TrRail_act!L33/1000)</f>
        <v>0</v>
      </c>
      <c r="M56" s="87">
        <f>IF(M16=0,0,1000000*M16/TrRail_act!M33/1000)</f>
        <v>0</v>
      </c>
      <c r="N56" s="87">
        <f>IF(N16=0,0,1000000*N16/TrRail_act!N33/1000)</f>
        <v>0</v>
      </c>
      <c r="O56" s="87">
        <f>IF(O16=0,0,1000000*O16/TrRail_act!O33/1000)</f>
        <v>0</v>
      </c>
      <c r="P56" s="87">
        <f>IF(P16=0,0,1000000*P16/TrRail_act!P33/1000)</f>
        <v>0</v>
      </c>
      <c r="Q56" s="87">
        <f>IF(Q16=0,0,1000000*Q16/TrRail_act!Q33/1000)</f>
        <v>0</v>
      </c>
      <c r="R56" s="87">
        <f>IF(R16=0,0,1000000*R16/TrRail_act!R33/1000)</f>
        <v>0</v>
      </c>
      <c r="S56" s="87">
        <f>IF(S16=0,0,1000000*S16/TrRail_act!S33/1000)</f>
        <v>0</v>
      </c>
      <c r="T56" s="87">
        <f>IF(T16=0,0,1000000*T16/TrRail_act!T33/1000)</f>
        <v>0</v>
      </c>
      <c r="U56" s="87">
        <f>IF(U16=0,0,1000000*U16/TrRail_act!U33/1000)</f>
        <v>0</v>
      </c>
      <c r="V56" s="87">
        <f>IF(V16=0,0,1000000*V16/TrRail_act!V33/1000)</f>
        <v>0</v>
      </c>
      <c r="W56" s="87">
        <f>IF(W16=0,0,1000000*W16/TrRail_act!W33/1000)</f>
        <v>0</v>
      </c>
      <c r="X56" s="87">
        <f>IF(X16=0,0,1000000*X16/TrRail_act!X33/1000)</f>
        <v>0</v>
      </c>
      <c r="Y56" s="87">
        <f>IF(Y16=0,0,1000000*Y16/TrRail_act!Y33/1000)</f>
        <v>0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0</v>
      </c>
      <c r="C59" s="65">
        <f t="shared" ref="C59:V59" si="11">IF(C8=0,0,C8/C$8)</f>
        <v>0</v>
      </c>
      <c r="D59" s="65">
        <f t="shared" si="11"/>
        <v>0</v>
      </c>
      <c r="E59" s="65">
        <f t="shared" si="11"/>
        <v>0</v>
      </c>
      <c r="F59" s="65">
        <f t="shared" si="11"/>
        <v>0</v>
      </c>
      <c r="G59" s="65">
        <f t="shared" si="11"/>
        <v>0</v>
      </c>
      <c r="H59" s="65">
        <f t="shared" si="11"/>
        <v>0</v>
      </c>
      <c r="I59" s="65">
        <f t="shared" si="11"/>
        <v>0</v>
      </c>
      <c r="J59" s="65">
        <f t="shared" si="11"/>
        <v>0</v>
      </c>
      <c r="K59" s="65">
        <f t="shared" si="11"/>
        <v>0</v>
      </c>
      <c r="L59" s="65">
        <f t="shared" si="11"/>
        <v>0</v>
      </c>
      <c r="M59" s="65">
        <f t="shared" si="11"/>
        <v>0</v>
      </c>
      <c r="N59" s="65">
        <f t="shared" si="11"/>
        <v>0</v>
      </c>
      <c r="O59" s="65">
        <f t="shared" si="11"/>
        <v>0</v>
      </c>
      <c r="P59" s="65">
        <f t="shared" si="11"/>
        <v>0</v>
      </c>
      <c r="Q59" s="65">
        <f t="shared" si="11"/>
        <v>0</v>
      </c>
      <c r="R59" s="65">
        <f t="shared" si="11"/>
        <v>0</v>
      </c>
      <c r="S59" s="65">
        <f t="shared" si="11"/>
        <v>0</v>
      </c>
      <c r="T59" s="65">
        <f t="shared" si="11"/>
        <v>0</v>
      </c>
      <c r="U59" s="65">
        <f t="shared" si="11"/>
        <v>0</v>
      </c>
      <c r="V59" s="65">
        <f t="shared" si="11"/>
        <v>0</v>
      </c>
      <c r="W59" s="65">
        <f t="shared" ref="W59:Y59" si="12">IF(W8=0,0,W8/W$8)</f>
        <v>0</v>
      </c>
      <c r="X59" s="65">
        <f t="shared" si="12"/>
        <v>0</v>
      </c>
      <c r="Y59" s="65">
        <f t="shared" si="12"/>
        <v>0</v>
      </c>
      <c r="DA59" s="172"/>
    </row>
    <row r="60" spans="1:105" ht="11.45" customHeight="1" x14ac:dyDescent="0.25">
      <c r="A60" s="27" t="s">
        <v>33</v>
      </c>
      <c r="B60" s="31">
        <f t="shared" si="10"/>
        <v>0</v>
      </c>
      <c r="C60" s="31">
        <f t="shared" ref="C60:V60" si="13">IF(C9=0,0,C9/C$8)</f>
        <v>0</v>
      </c>
      <c r="D60" s="31">
        <f t="shared" si="13"/>
        <v>0</v>
      </c>
      <c r="E60" s="31">
        <f t="shared" si="13"/>
        <v>0</v>
      </c>
      <c r="F60" s="31">
        <f t="shared" si="13"/>
        <v>0</v>
      </c>
      <c r="G60" s="31">
        <f t="shared" si="13"/>
        <v>0</v>
      </c>
      <c r="H60" s="31">
        <f t="shared" si="13"/>
        <v>0</v>
      </c>
      <c r="I60" s="31">
        <f t="shared" si="13"/>
        <v>0</v>
      </c>
      <c r="J60" s="31">
        <f t="shared" si="13"/>
        <v>0</v>
      </c>
      <c r="K60" s="31">
        <f t="shared" si="13"/>
        <v>0</v>
      </c>
      <c r="L60" s="31">
        <f t="shared" si="13"/>
        <v>0</v>
      </c>
      <c r="M60" s="31">
        <f t="shared" si="13"/>
        <v>0</v>
      </c>
      <c r="N60" s="31">
        <f t="shared" si="13"/>
        <v>0</v>
      </c>
      <c r="O60" s="31">
        <f t="shared" si="13"/>
        <v>0</v>
      </c>
      <c r="P60" s="31">
        <f t="shared" si="13"/>
        <v>0</v>
      </c>
      <c r="Q60" s="31">
        <f t="shared" si="13"/>
        <v>0</v>
      </c>
      <c r="R60" s="31">
        <f t="shared" si="13"/>
        <v>0</v>
      </c>
      <c r="S60" s="31">
        <f t="shared" si="13"/>
        <v>0</v>
      </c>
      <c r="T60" s="31">
        <f t="shared" si="13"/>
        <v>0</v>
      </c>
      <c r="U60" s="31">
        <f t="shared" si="13"/>
        <v>0</v>
      </c>
      <c r="V60" s="31">
        <f t="shared" si="13"/>
        <v>0</v>
      </c>
      <c r="W60" s="31">
        <f t="shared" ref="W60:Y60" si="14">IF(W9=0,0,W9/W$8)</f>
        <v>0</v>
      </c>
      <c r="X60" s="31">
        <f t="shared" si="14"/>
        <v>0</v>
      </c>
      <c r="Y60" s="31">
        <f t="shared" si="14"/>
        <v>0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</v>
      </c>
      <c r="C62" s="124">
        <f t="shared" ref="C62:V62" si="17">IF(C11=0,0,C11/C$8)</f>
        <v>0</v>
      </c>
      <c r="D62" s="124">
        <f t="shared" si="17"/>
        <v>0</v>
      </c>
      <c r="E62" s="124">
        <f t="shared" si="17"/>
        <v>0</v>
      </c>
      <c r="F62" s="124">
        <f t="shared" si="17"/>
        <v>0</v>
      </c>
      <c r="G62" s="124">
        <f t="shared" si="17"/>
        <v>0</v>
      </c>
      <c r="H62" s="124">
        <f t="shared" si="17"/>
        <v>0</v>
      </c>
      <c r="I62" s="124">
        <f t="shared" si="17"/>
        <v>0</v>
      </c>
      <c r="J62" s="124">
        <f t="shared" si="17"/>
        <v>0</v>
      </c>
      <c r="K62" s="124">
        <f t="shared" si="17"/>
        <v>0</v>
      </c>
      <c r="L62" s="124">
        <f t="shared" si="17"/>
        <v>0</v>
      </c>
      <c r="M62" s="124">
        <f t="shared" si="17"/>
        <v>0</v>
      </c>
      <c r="N62" s="124">
        <f t="shared" si="17"/>
        <v>0</v>
      </c>
      <c r="O62" s="124">
        <f t="shared" si="17"/>
        <v>0</v>
      </c>
      <c r="P62" s="124">
        <f t="shared" si="17"/>
        <v>0</v>
      </c>
      <c r="Q62" s="124">
        <f t="shared" si="17"/>
        <v>0</v>
      </c>
      <c r="R62" s="124">
        <f t="shared" si="17"/>
        <v>0</v>
      </c>
      <c r="S62" s="124">
        <f t="shared" si="17"/>
        <v>0</v>
      </c>
      <c r="T62" s="124">
        <f t="shared" si="17"/>
        <v>0</v>
      </c>
      <c r="U62" s="124">
        <f t="shared" si="17"/>
        <v>0</v>
      </c>
      <c r="V62" s="124">
        <f t="shared" si="17"/>
        <v>0</v>
      </c>
      <c r="W62" s="124">
        <f t="shared" ref="W62:Y62" si="18">IF(W11=0,0,W11/W$8)</f>
        <v>0</v>
      </c>
      <c r="X62" s="124">
        <f t="shared" si="18"/>
        <v>0</v>
      </c>
      <c r="Y62" s="124">
        <f t="shared" si="18"/>
        <v>0</v>
      </c>
      <c r="DA62" s="176"/>
    </row>
    <row r="63" spans="1:105" ht="11.45" customHeight="1" x14ac:dyDescent="0.25">
      <c r="A63" s="111" t="s">
        <v>92</v>
      </c>
      <c r="B63" s="125">
        <f t="shared" si="10"/>
        <v>0</v>
      </c>
      <c r="C63" s="125">
        <f t="shared" ref="C63:V63" si="19">IF(C12=0,0,C12/C$8)</f>
        <v>0</v>
      </c>
      <c r="D63" s="125">
        <f t="shared" si="19"/>
        <v>0</v>
      </c>
      <c r="E63" s="125">
        <f t="shared" si="19"/>
        <v>0</v>
      </c>
      <c r="F63" s="125">
        <f t="shared" si="19"/>
        <v>0</v>
      </c>
      <c r="G63" s="125">
        <f t="shared" si="19"/>
        <v>0</v>
      </c>
      <c r="H63" s="125">
        <f t="shared" si="19"/>
        <v>0</v>
      </c>
      <c r="I63" s="125">
        <f t="shared" si="19"/>
        <v>0</v>
      </c>
      <c r="J63" s="125">
        <f t="shared" si="19"/>
        <v>0</v>
      </c>
      <c r="K63" s="125">
        <f t="shared" si="19"/>
        <v>0</v>
      </c>
      <c r="L63" s="125">
        <f t="shared" si="19"/>
        <v>0</v>
      </c>
      <c r="M63" s="125">
        <f t="shared" si="19"/>
        <v>0</v>
      </c>
      <c r="N63" s="125">
        <f t="shared" si="19"/>
        <v>0</v>
      </c>
      <c r="O63" s="125">
        <f t="shared" si="19"/>
        <v>0</v>
      </c>
      <c r="P63" s="125">
        <f t="shared" si="19"/>
        <v>0</v>
      </c>
      <c r="Q63" s="125">
        <f t="shared" si="19"/>
        <v>0</v>
      </c>
      <c r="R63" s="125">
        <f t="shared" si="19"/>
        <v>0</v>
      </c>
      <c r="S63" s="125">
        <f t="shared" si="19"/>
        <v>0</v>
      </c>
      <c r="T63" s="125">
        <f t="shared" si="19"/>
        <v>0</v>
      </c>
      <c r="U63" s="125">
        <f t="shared" si="19"/>
        <v>0</v>
      </c>
      <c r="V63" s="125">
        <f t="shared" si="19"/>
        <v>0</v>
      </c>
      <c r="W63" s="125">
        <f t="shared" ref="W63:Y63" si="20">IF(W12=0,0,W12/W$8)</f>
        <v>0</v>
      </c>
      <c r="X63" s="125">
        <f t="shared" si="20"/>
        <v>0</v>
      </c>
      <c r="Y63" s="125">
        <f t="shared" si="20"/>
        <v>0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</v>
      </c>
      <c r="C66" s="31">
        <f t="shared" ref="C66:V66" si="25">IF(C15=0,0,C15/C$8)</f>
        <v>0</v>
      </c>
      <c r="D66" s="31">
        <f t="shared" si="25"/>
        <v>0</v>
      </c>
      <c r="E66" s="31">
        <f t="shared" si="25"/>
        <v>0</v>
      </c>
      <c r="F66" s="31">
        <f t="shared" si="25"/>
        <v>0</v>
      </c>
      <c r="G66" s="31">
        <f t="shared" si="25"/>
        <v>0</v>
      </c>
      <c r="H66" s="31">
        <f t="shared" si="25"/>
        <v>0</v>
      </c>
      <c r="I66" s="31">
        <f t="shared" si="25"/>
        <v>0</v>
      </c>
      <c r="J66" s="31">
        <f t="shared" si="25"/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1">
        <f t="shared" si="25"/>
        <v>0</v>
      </c>
      <c r="S66" s="31">
        <f t="shared" si="25"/>
        <v>0</v>
      </c>
      <c r="T66" s="31">
        <f t="shared" si="25"/>
        <v>0</v>
      </c>
      <c r="U66" s="31">
        <f t="shared" si="25"/>
        <v>0</v>
      </c>
      <c r="V66" s="31">
        <f t="shared" si="25"/>
        <v>0</v>
      </c>
      <c r="W66" s="31">
        <f t="shared" ref="W66:Y66" si="26">IF(W15=0,0,W15/W$8)</f>
        <v>0</v>
      </c>
      <c r="X66" s="31">
        <f t="shared" si="26"/>
        <v>0</v>
      </c>
      <c r="Y66" s="31">
        <f t="shared" si="26"/>
        <v>0</v>
      </c>
      <c r="DA66" s="173"/>
    </row>
    <row r="67" spans="1:105" ht="11.45" customHeight="1" x14ac:dyDescent="0.25">
      <c r="A67" s="83" t="s">
        <v>92</v>
      </c>
      <c r="B67" s="125">
        <f t="shared" si="10"/>
        <v>0</v>
      </c>
      <c r="C67" s="125">
        <f t="shared" ref="C67:V67" si="27">IF(C16=0,0,C16/C$8)</f>
        <v>0</v>
      </c>
      <c r="D67" s="125">
        <f t="shared" si="27"/>
        <v>0</v>
      </c>
      <c r="E67" s="125">
        <f t="shared" si="27"/>
        <v>0</v>
      </c>
      <c r="F67" s="125">
        <f t="shared" si="27"/>
        <v>0</v>
      </c>
      <c r="G67" s="125">
        <f t="shared" si="27"/>
        <v>0</v>
      </c>
      <c r="H67" s="125">
        <f t="shared" si="27"/>
        <v>0</v>
      </c>
      <c r="I67" s="125">
        <f t="shared" si="27"/>
        <v>0</v>
      </c>
      <c r="J67" s="125">
        <f t="shared" si="27"/>
        <v>0</v>
      </c>
      <c r="K67" s="125">
        <f t="shared" si="27"/>
        <v>0</v>
      </c>
      <c r="L67" s="125">
        <f t="shared" si="27"/>
        <v>0</v>
      </c>
      <c r="M67" s="125">
        <f t="shared" si="27"/>
        <v>0</v>
      </c>
      <c r="N67" s="125">
        <f t="shared" si="27"/>
        <v>0</v>
      </c>
      <c r="O67" s="125">
        <f t="shared" si="27"/>
        <v>0</v>
      </c>
      <c r="P67" s="125">
        <f t="shared" si="27"/>
        <v>0</v>
      </c>
      <c r="Q67" s="125">
        <f t="shared" si="27"/>
        <v>0</v>
      </c>
      <c r="R67" s="125">
        <f t="shared" si="27"/>
        <v>0</v>
      </c>
      <c r="S67" s="125">
        <f t="shared" si="27"/>
        <v>0</v>
      </c>
      <c r="T67" s="125">
        <f t="shared" si="27"/>
        <v>0</v>
      </c>
      <c r="U67" s="125">
        <f t="shared" si="27"/>
        <v>0</v>
      </c>
      <c r="V67" s="125">
        <f t="shared" si="27"/>
        <v>0</v>
      </c>
      <c r="W67" s="125">
        <f t="shared" ref="W67:Y67" si="28">IF(W16=0,0,W16/W$8)</f>
        <v>0</v>
      </c>
      <c r="X67" s="125">
        <f t="shared" si="28"/>
        <v>0</v>
      </c>
      <c r="Y67" s="125">
        <f t="shared" si="28"/>
        <v>0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2923.9944417219699</v>
      </c>
      <c r="C4" s="11">
        <f t="shared" si="0"/>
        <v>2725.7936405719897</v>
      </c>
      <c r="D4" s="11">
        <f t="shared" ref="D4:V4" si="1">SUM(D5:D7)</f>
        <v>2462.6219713012747</v>
      </c>
      <c r="E4" s="11">
        <f t="shared" si="1"/>
        <v>2418.7277363708104</v>
      </c>
      <c r="F4" s="11">
        <f t="shared" si="1"/>
        <v>2502.4270301639076</v>
      </c>
      <c r="G4" s="11">
        <f t="shared" si="1"/>
        <v>2518.971493455706</v>
      </c>
      <c r="H4" s="11">
        <f t="shared" si="1"/>
        <v>2388.5601507257097</v>
      </c>
      <c r="I4" s="11">
        <f t="shared" si="1"/>
        <v>2571.7676002274557</v>
      </c>
      <c r="J4" s="11">
        <f t="shared" si="1"/>
        <v>2661.7914835202751</v>
      </c>
      <c r="K4" s="11">
        <f t="shared" si="1"/>
        <v>2458.9996112835347</v>
      </c>
      <c r="L4" s="11">
        <f t="shared" si="1"/>
        <v>2745.9530126389604</v>
      </c>
      <c r="M4" s="11">
        <f t="shared" si="1"/>
        <v>3044.6587587265117</v>
      </c>
      <c r="N4" s="11">
        <f t="shared" si="1"/>
        <v>3115.5887172877192</v>
      </c>
      <c r="O4" s="11">
        <f t="shared" si="1"/>
        <v>3435.7196587184535</v>
      </c>
      <c r="P4" s="11">
        <f t="shared" si="1"/>
        <v>3560.6001271241566</v>
      </c>
      <c r="Q4" s="11">
        <f t="shared" si="1"/>
        <v>3762.0820667718594</v>
      </c>
      <c r="R4" s="11">
        <f t="shared" si="1"/>
        <v>4243.9431561689507</v>
      </c>
      <c r="S4" s="11">
        <f t="shared" si="1"/>
        <v>4876.3193656751891</v>
      </c>
      <c r="T4" s="11">
        <f t="shared" si="1"/>
        <v>5541.4024312865668</v>
      </c>
      <c r="U4" s="11">
        <f t="shared" si="1"/>
        <v>6061.7946879748633</v>
      </c>
      <c r="V4" s="11">
        <f t="shared" si="1"/>
        <v>1512.6821809473065</v>
      </c>
      <c r="W4" s="11">
        <f t="shared" ref="W4:Y4" si="2">SUM(W5:W7)</f>
        <v>2056.055066214743</v>
      </c>
      <c r="X4" s="11">
        <f t="shared" si="2"/>
        <v>4518.4568735894482</v>
      </c>
      <c r="Y4" s="11">
        <f t="shared" si="2"/>
        <v>5865.3500709471527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2769.7336377311171</v>
      </c>
      <c r="C6" s="84">
        <v>2580.7053885311452</v>
      </c>
      <c r="D6" s="84">
        <v>2345.9910023833841</v>
      </c>
      <c r="E6" s="84">
        <v>2304.1347572183513</v>
      </c>
      <c r="F6" s="84">
        <v>2389.1348275423379</v>
      </c>
      <c r="G6" s="84">
        <v>2410.2054285983704</v>
      </c>
      <c r="H6" s="84">
        <v>2289.5079739743624</v>
      </c>
      <c r="I6" s="84">
        <v>2478.6318630779783</v>
      </c>
      <c r="J6" s="84">
        <v>2564.3055776925517</v>
      </c>
      <c r="K6" s="84">
        <v>2376.2471202942952</v>
      </c>
      <c r="L6" s="84">
        <v>2638.5259500260004</v>
      </c>
      <c r="M6" s="84">
        <v>2885.9380061419288</v>
      </c>
      <c r="N6" s="84">
        <v>2969.9517582190028</v>
      </c>
      <c r="O6" s="84">
        <v>3206.5524900081186</v>
      </c>
      <c r="P6" s="84">
        <v>3385.8540587216175</v>
      </c>
      <c r="Q6" s="84">
        <v>3609.2313762433491</v>
      </c>
      <c r="R6" s="84">
        <v>3964.993497956415</v>
      </c>
      <c r="S6" s="84">
        <v>4666.5530616754704</v>
      </c>
      <c r="T6" s="84">
        <v>5259.4467544205199</v>
      </c>
      <c r="U6" s="84">
        <v>5555.7540255335571</v>
      </c>
      <c r="V6" s="84">
        <v>1380.6556735191132</v>
      </c>
      <c r="W6" s="84">
        <v>1913.5375609966027</v>
      </c>
      <c r="X6" s="84">
        <v>4236.8300091478004</v>
      </c>
      <c r="Y6" s="84">
        <v>5488.4900577335102</v>
      </c>
      <c r="DA6" s="171" t="s">
        <v>192</v>
      </c>
    </row>
    <row r="7" spans="1:105" ht="11.45" customHeight="1" x14ac:dyDescent="0.25">
      <c r="A7" s="83" t="s">
        <v>182</v>
      </c>
      <c r="B7" s="84">
        <v>154.26080399085288</v>
      </c>
      <c r="C7" s="84">
        <v>145.08825204084431</v>
      </c>
      <c r="D7" s="84">
        <v>116.63096891789084</v>
      </c>
      <c r="E7" s="84">
        <v>114.59297915245919</v>
      </c>
      <c r="F7" s="84">
        <v>113.29220262156947</v>
      </c>
      <c r="G7" s="84">
        <v>108.76606485733559</v>
      </c>
      <c r="H7" s="84">
        <v>99.052176751347517</v>
      </c>
      <c r="I7" s="84">
        <v>93.135737149477151</v>
      </c>
      <c r="J7" s="84">
        <v>97.48590582772357</v>
      </c>
      <c r="K7" s="84">
        <v>82.752490989239647</v>
      </c>
      <c r="L7" s="84">
        <v>107.42706261295997</v>
      </c>
      <c r="M7" s="84">
        <v>158.72075258458304</v>
      </c>
      <c r="N7" s="84">
        <v>145.63695906871615</v>
      </c>
      <c r="O7" s="84">
        <v>229.16716871033503</v>
      </c>
      <c r="P7" s="84">
        <v>174.74606840253932</v>
      </c>
      <c r="Q7" s="84">
        <v>152.85069052851034</v>
      </c>
      <c r="R7" s="84">
        <v>278.94965821253578</v>
      </c>
      <c r="S7" s="84">
        <v>209.7663039997189</v>
      </c>
      <c r="T7" s="84">
        <v>281.95567686604664</v>
      </c>
      <c r="U7" s="84">
        <v>506.04066244130655</v>
      </c>
      <c r="V7" s="84">
        <v>132.0265074281933</v>
      </c>
      <c r="W7" s="84">
        <v>142.5175052181404</v>
      </c>
      <c r="X7" s="84">
        <v>281.6268644416478</v>
      </c>
      <c r="Y7" s="84">
        <v>376.86001321364267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11.065060032053665</v>
      </c>
      <c r="C8" s="13">
        <f t="shared" si="3"/>
        <v>10.761246834099296</v>
      </c>
      <c r="D8" s="13">
        <f t="shared" ref="D8:V8" si="4">SUM(D9:D11)</f>
        <v>9.8137330638954037</v>
      </c>
      <c r="E8" s="13">
        <f t="shared" si="4"/>
        <v>14.145091493254007</v>
      </c>
      <c r="F8" s="13">
        <f t="shared" si="4"/>
        <v>11.838415236182525</v>
      </c>
      <c r="G8" s="13">
        <f t="shared" si="4"/>
        <v>12.35606092773347</v>
      </c>
      <c r="H8" s="13">
        <f t="shared" si="4"/>
        <v>14.18265604659593</v>
      </c>
      <c r="I8" s="13">
        <f t="shared" si="4"/>
        <v>16.275224788792968</v>
      </c>
      <c r="J8" s="13">
        <f t="shared" si="4"/>
        <v>17.594889009468787</v>
      </c>
      <c r="K8" s="13">
        <f t="shared" si="4"/>
        <v>19.41617681379374</v>
      </c>
      <c r="L8" s="13">
        <f t="shared" si="4"/>
        <v>16.196528723673218</v>
      </c>
      <c r="M8" s="13">
        <f t="shared" si="4"/>
        <v>15.132555592446366</v>
      </c>
      <c r="N8" s="13">
        <f t="shared" si="4"/>
        <v>17.240966677645392</v>
      </c>
      <c r="O8" s="13">
        <f t="shared" si="4"/>
        <v>14.969101495106869</v>
      </c>
      <c r="P8" s="13">
        <f t="shared" si="4"/>
        <v>11.8839014262016</v>
      </c>
      <c r="Q8" s="13">
        <f t="shared" si="4"/>
        <v>12.180842313485755</v>
      </c>
      <c r="R8" s="13">
        <f t="shared" si="4"/>
        <v>9.7147738606564644</v>
      </c>
      <c r="S8" s="13">
        <f t="shared" si="4"/>
        <v>7.7215191394038278</v>
      </c>
      <c r="T8" s="13">
        <f t="shared" si="4"/>
        <v>7.6222099743434981</v>
      </c>
      <c r="U8" s="13">
        <f t="shared" si="4"/>
        <v>5.5843556614841239</v>
      </c>
      <c r="V8" s="13">
        <f t="shared" si="4"/>
        <v>10.142750630951575</v>
      </c>
      <c r="W8" s="13">
        <f t="shared" ref="W8:Y8" si="5">SUM(W9:W11)</f>
        <v>9.1831600263587596</v>
      </c>
      <c r="X8" s="13">
        <f t="shared" si="5"/>
        <v>11.307673871880837</v>
      </c>
      <c r="Y8" s="13">
        <f t="shared" si="5"/>
        <v>15.00594062414141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9.3195235273539758</v>
      </c>
      <c r="C10" s="102">
        <v>8.9874930271222233</v>
      </c>
      <c r="D10" s="102">
        <v>8.0866567294388467</v>
      </c>
      <c r="E10" s="102">
        <v>12.338055279246545</v>
      </c>
      <c r="F10" s="102">
        <v>9.7153106347012272</v>
      </c>
      <c r="G10" s="102">
        <v>9.7686149402961995</v>
      </c>
      <c r="H10" s="102">
        <v>10.583066638335382</v>
      </c>
      <c r="I10" s="102">
        <v>11.309337381012442</v>
      </c>
      <c r="J10" s="102">
        <v>10.983781961919332</v>
      </c>
      <c r="K10" s="102">
        <v>10.76360693695842</v>
      </c>
      <c r="L10" s="102">
        <v>11.733228180283723</v>
      </c>
      <c r="M10" s="102">
        <v>12.007299936345007</v>
      </c>
      <c r="N10" s="102">
        <v>12.305355493756363</v>
      </c>
      <c r="O10" s="102">
        <v>9.4703667563997467</v>
      </c>
      <c r="P10" s="102">
        <v>9.2044308175538241</v>
      </c>
      <c r="Q10" s="102">
        <v>10.524968091101114</v>
      </c>
      <c r="R10" s="102">
        <v>6.3149625177716011</v>
      </c>
      <c r="S10" s="102">
        <v>6.0647850083083021</v>
      </c>
      <c r="T10" s="102">
        <v>6.4089424350066784</v>
      </c>
      <c r="U10" s="102">
        <v>4.4349215250380496</v>
      </c>
      <c r="V10" s="102">
        <v>5.1837784855880775</v>
      </c>
      <c r="W10" s="102">
        <v>5.2583154148306379</v>
      </c>
      <c r="X10" s="102">
        <v>5.0235664752875824</v>
      </c>
      <c r="Y10" s="102">
        <v>5.4248044567739422</v>
      </c>
      <c r="DA10" s="175" t="s">
        <v>196</v>
      </c>
    </row>
    <row r="11" spans="1:105" ht="11.45" customHeight="1" x14ac:dyDescent="0.25">
      <c r="A11" s="85" t="s">
        <v>182</v>
      </c>
      <c r="B11" s="86">
        <v>1.7455365046996898</v>
      </c>
      <c r="C11" s="86">
        <v>1.7737538069770724</v>
      </c>
      <c r="D11" s="86">
        <v>1.7270763344565574</v>
      </c>
      <c r="E11" s="86">
        <v>1.8070362140074618</v>
      </c>
      <c r="F11" s="86">
        <v>2.1231046014812986</v>
      </c>
      <c r="G11" s="86">
        <v>2.5874459874372695</v>
      </c>
      <c r="H11" s="86">
        <v>3.5995894082605489</v>
      </c>
      <c r="I11" s="86">
        <v>4.9658874077805244</v>
      </c>
      <c r="J11" s="86">
        <v>6.6111070475494564</v>
      </c>
      <c r="K11" s="86">
        <v>8.6525698768353223</v>
      </c>
      <c r="L11" s="86">
        <v>4.4633005433894937</v>
      </c>
      <c r="M11" s="86">
        <v>3.1252556561013591</v>
      </c>
      <c r="N11" s="86">
        <v>4.93561118388903</v>
      </c>
      <c r="O11" s="86">
        <v>5.4987347387071228</v>
      </c>
      <c r="P11" s="86">
        <v>2.679470608647776</v>
      </c>
      <c r="Q11" s="86">
        <v>1.6558742223846412</v>
      </c>
      <c r="R11" s="86">
        <v>3.3998113428848624</v>
      </c>
      <c r="S11" s="86">
        <v>1.6567341310955257</v>
      </c>
      <c r="T11" s="86">
        <v>1.2132675393368202</v>
      </c>
      <c r="U11" s="86">
        <v>1.1494341364460745</v>
      </c>
      <c r="V11" s="86">
        <v>4.9589721453634983</v>
      </c>
      <c r="W11" s="86">
        <v>3.9248446115281221</v>
      </c>
      <c r="X11" s="86">
        <v>6.2841073965932548</v>
      </c>
      <c r="Y11" s="86">
        <v>9.5811361673674664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24.495403791275525</v>
      </c>
      <c r="C13" s="54">
        <f t="shared" si="6"/>
        <v>22.964325595178696</v>
      </c>
      <c r="D13" s="54">
        <f t="shared" ref="D13:V13" si="7">SUM(D14,D18)</f>
        <v>21.517499683871549</v>
      </c>
      <c r="E13" s="54">
        <f t="shared" si="7"/>
        <v>22.136976081771099</v>
      </c>
      <c r="F13" s="54">
        <f t="shared" si="7"/>
        <v>22.449989569971553</v>
      </c>
      <c r="G13" s="54">
        <f t="shared" si="7"/>
        <v>22.888182955949421</v>
      </c>
      <c r="H13" s="54">
        <f t="shared" si="7"/>
        <v>21.686347953875185</v>
      </c>
      <c r="I13" s="54">
        <f t="shared" si="7"/>
        <v>23.936646849602319</v>
      </c>
      <c r="J13" s="54">
        <f t="shared" si="7"/>
        <v>23.659657340861944</v>
      </c>
      <c r="K13" s="54">
        <f t="shared" si="7"/>
        <v>22.606978146680238</v>
      </c>
      <c r="L13" s="54">
        <f t="shared" si="7"/>
        <v>24.654627116495892</v>
      </c>
      <c r="M13" s="54">
        <f t="shared" si="7"/>
        <v>24.684138309457794</v>
      </c>
      <c r="N13" s="54">
        <f t="shared" si="7"/>
        <v>24.529951102372266</v>
      </c>
      <c r="O13" s="54">
        <f t="shared" si="7"/>
        <v>26.736432638383867</v>
      </c>
      <c r="P13" s="54">
        <f t="shared" si="7"/>
        <v>27.494254045202673</v>
      </c>
      <c r="Q13" s="54">
        <f t="shared" si="7"/>
        <v>28.931734959124579</v>
      </c>
      <c r="R13" s="54">
        <f t="shared" si="7"/>
        <v>30.112565540486081</v>
      </c>
      <c r="S13" s="54">
        <f t="shared" si="7"/>
        <v>34.08712707736187</v>
      </c>
      <c r="T13" s="54">
        <f t="shared" si="7"/>
        <v>38.971247103556657</v>
      </c>
      <c r="U13" s="54">
        <f t="shared" si="7"/>
        <v>43.868633773752343</v>
      </c>
      <c r="V13" s="54">
        <f t="shared" si="7"/>
        <v>16.054327134652091</v>
      </c>
      <c r="W13" s="54">
        <f t="shared" ref="W13:Y13" si="8">SUM(W14,W18)</f>
        <v>21.230801763124663</v>
      </c>
      <c r="X13" s="54">
        <f t="shared" si="8"/>
        <v>33.49748265008671</v>
      </c>
      <c r="Y13" s="54">
        <f t="shared" si="8"/>
        <v>41.268051539466434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23.99072652693572</v>
      </c>
      <c r="C14" s="11">
        <f t="shared" si="9"/>
        <v>22.514167570026224</v>
      </c>
      <c r="D14" s="11">
        <f t="shared" ref="D14:V14" si="10">SUM(D15:D17)</f>
        <v>21.086637625514292</v>
      </c>
      <c r="E14" s="11">
        <f t="shared" si="10"/>
        <v>21.500784913233943</v>
      </c>
      <c r="F14" s="11">
        <f t="shared" si="10"/>
        <v>21.876262296247276</v>
      </c>
      <c r="G14" s="11">
        <f t="shared" si="10"/>
        <v>22.287556614177269</v>
      </c>
      <c r="H14" s="11">
        <f t="shared" si="10"/>
        <v>20.963482416682876</v>
      </c>
      <c r="I14" s="11">
        <f t="shared" si="10"/>
        <v>23.140248945318451</v>
      </c>
      <c r="J14" s="11">
        <f t="shared" si="10"/>
        <v>22.839024456596345</v>
      </c>
      <c r="K14" s="11">
        <f t="shared" si="10"/>
        <v>21.792160463142626</v>
      </c>
      <c r="L14" s="11">
        <f t="shared" si="10"/>
        <v>23.882486160390282</v>
      </c>
      <c r="M14" s="11">
        <f t="shared" si="10"/>
        <v>23.964902463871947</v>
      </c>
      <c r="N14" s="11">
        <f t="shared" si="10"/>
        <v>23.834214934176547</v>
      </c>
      <c r="O14" s="11">
        <f t="shared" si="10"/>
        <v>26.177047742394677</v>
      </c>
      <c r="P14" s="11">
        <f t="shared" si="10"/>
        <v>27.047724719448745</v>
      </c>
      <c r="Q14" s="11">
        <f t="shared" si="10"/>
        <v>28.444494912321378</v>
      </c>
      <c r="R14" s="11">
        <f t="shared" si="10"/>
        <v>29.82797363771796</v>
      </c>
      <c r="S14" s="11">
        <f t="shared" si="10"/>
        <v>33.80515003445155</v>
      </c>
      <c r="T14" s="11">
        <f t="shared" si="10"/>
        <v>38.678191580519865</v>
      </c>
      <c r="U14" s="11">
        <f t="shared" si="10"/>
        <v>43.666776299707429</v>
      </c>
      <c r="V14" s="11">
        <f t="shared" si="10"/>
        <v>15.725076601730279</v>
      </c>
      <c r="W14" s="11">
        <f t="shared" ref="W14:Y14" si="11">SUM(W15:W17)</f>
        <v>20.923840194379689</v>
      </c>
      <c r="X14" s="11">
        <f t="shared" si="11"/>
        <v>33.165971684774348</v>
      </c>
      <c r="Y14" s="11">
        <f t="shared" si="11"/>
        <v>40.86077291771403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21.469048358073845</v>
      </c>
      <c r="C16" s="84">
        <v>20.14762154284908</v>
      </c>
      <c r="D16" s="84">
        <v>19.072002094239423</v>
      </c>
      <c r="E16" s="84">
        <v>19.668351561790136</v>
      </c>
      <c r="F16" s="84">
        <v>20.11046288485597</v>
      </c>
      <c r="G16" s="84">
        <v>20.870875989177268</v>
      </c>
      <c r="H16" s="84">
        <v>19.530372251192787</v>
      </c>
      <c r="I16" s="84">
        <v>21.661469979512123</v>
      </c>
      <c r="J16" s="84">
        <v>21.256678000019573</v>
      </c>
      <c r="K16" s="84">
        <v>20.331902125493677</v>
      </c>
      <c r="L16" s="84">
        <v>22.183695132156533</v>
      </c>
      <c r="M16" s="84">
        <v>22.293757950865938</v>
      </c>
      <c r="N16" s="84">
        <v>22.088988067251481</v>
      </c>
      <c r="O16" s="84">
        <v>23.584948756040507</v>
      </c>
      <c r="P16" s="84">
        <v>24.889175795732427</v>
      </c>
      <c r="Q16" s="84">
        <v>26.882189152368031</v>
      </c>
      <c r="R16" s="84">
        <v>27.833570451045134</v>
      </c>
      <c r="S16" s="84">
        <v>32.074809710601571</v>
      </c>
      <c r="T16" s="84">
        <v>36.104180670372692</v>
      </c>
      <c r="U16" s="84">
        <v>38.365151060947738</v>
      </c>
      <c r="V16" s="84">
        <v>13.978807515441863</v>
      </c>
      <c r="W16" s="84">
        <v>18.807719222004</v>
      </c>
      <c r="X16" s="84">
        <v>30.246278160442611</v>
      </c>
      <c r="Y16" s="84">
        <v>36.915849580201979</v>
      </c>
      <c r="DA16" s="171" t="s">
        <v>201</v>
      </c>
    </row>
    <row r="17" spans="1:105" ht="11.45" customHeight="1" x14ac:dyDescent="0.25">
      <c r="A17" s="83" t="s">
        <v>182</v>
      </c>
      <c r="B17" s="84">
        <v>2.5216781688618766</v>
      </c>
      <c r="C17" s="84">
        <v>2.366546027177145</v>
      </c>
      <c r="D17" s="84">
        <v>2.0146355312748683</v>
      </c>
      <c r="E17" s="84">
        <v>1.8324333514438078</v>
      </c>
      <c r="F17" s="84">
        <v>1.7657994113913058</v>
      </c>
      <c r="G17" s="84">
        <v>1.4166806249999999</v>
      </c>
      <c r="H17" s="84">
        <v>1.4331101654900869</v>
      </c>
      <c r="I17" s="84">
        <v>1.4787789658063271</v>
      </c>
      <c r="J17" s="84">
        <v>1.5823464565767709</v>
      </c>
      <c r="K17" s="84">
        <v>1.46025833764895</v>
      </c>
      <c r="L17" s="84">
        <v>1.6987910282337493</v>
      </c>
      <c r="M17" s="84">
        <v>1.6711445130060085</v>
      </c>
      <c r="N17" s="84">
        <v>1.7452268669250646</v>
      </c>
      <c r="O17" s="84">
        <v>2.5920989863541717</v>
      </c>
      <c r="P17" s="84">
        <v>2.1585489237163173</v>
      </c>
      <c r="Q17" s="84">
        <v>1.5623057599533472</v>
      </c>
      <c r="R17" s="84">
        <v>1.9944031866728269</v>
      </c>
      <c r="S17" s="84">
        <v>1.730340323849979</v>
      </c>
      <c r="T17" s="84">
        <v>2.5740109101471726</v>
      </c>
      <c r="U17" s="84">
        <v>5.3016252387596898</v>
      </c>
      <c r="V17" s="84">
        <v>1.746269086288416</v>
      </c>
      <c r="W17" s="84">
        <v>2.1161209723756906</v>
      </c>
      <c r="X17" s="84">
        <v>2.9196935243317341</v>
      </c>
      <c r="Y17" s="84">
        <v>3.944923337512054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0.50467726433980276</v>
      </c>
      <c r="C18" s="13">
        <f t="shared" si="12"/>
        <v>0.45015802515247139</v>
      </c>
      <c r="D18" s="13">
        <f t="shared" ref="D18:V18" si="13">SUM(D19:D21)</f>
        <v>0.43086205835725766</v>
      </c>
      <c r="E18" s="13">
        <f t="shared" si="13"/>
        <v>0.63619116853715507</v>
      </c>
      <c r="F18" s="13">
        <f t="shared" si="13"/>
        <v>0.5737272737242759</v>
      </c>
      <c r="G18" s="13">
        <f t="shared" si="13"/>
        <v>0.60062634177215202</v>
      </c>
      <c r="H18" s="13">
        <f t="shared" si="13"/>
        <v>0.72286553719230895</v>
      </c>
      <c r="I18" s="13">
        <f t="shared" si="13"/>
        <v>0.7963979042838697</v>
      </c>
      <c r="J18" s="13">
        <f t="shared" si="13"/>
        <v>0.82063288426559966</v>
      </c>
      <c r="K18" s="13">
        <f t="shared" si="13"/>
        <v>0.81481768353761241</v>
      </c>
      <c r="L18" s="13">
        <f t="shared" si="13"/>
        <v>0.77214095610561051</v>
      </c>
      <c r="M18" s="13">
        <f t="shared" si="13"/>
        <v>0.71923584558584597</v>
      </c>
      <c r="N18" s="13">
        <f t="shared" si="13"/>
        <v>0.69573616819571871</v>
      </c>
      <c r="O18" s="13">
        <f t="shared" si="13"/>
        <v>0.55938489598918983</v>
      </c>
      <c r="P18" s="13">
        <f t="shared" si="13"/>
        <v>0.4465293257539284</v>
      </c>
      <c r="Q18" s="13">
        <f t="shared" si="13"/>
        <v>0.4872400468032026</v>
      </c>
      <c r="R18" s="13">
        <f t="shared" si="13"/>
        <v>0.28459190276812124</v>
      </c>
      <c r="S18" s="13">
        <f t="shared" si="13"/>
        <v>0.2819770429103185</v>
      </c>
      <c r="T18" s="13">
        <f t="shared" si="13"/>
        <v>0.29305552303678928</v>
      </c>
      <c r="U18" s="13">
        <f t="shared" si="13"/>
        <v>0.20185747404491106</v>
      </c>
      <c r="V18" s="13">
        <f t="shared" si="13"/>
        <v>0.32925053292181072</v>
      </c>
      <c r="W18" s="13">
        <f t="shared" ref="W18:Y18" si="14">SUM(W19:W21)</f>
        <v>0.3069615687449756</v>
      </c>
      <c r="X18" s="13">
        <f t="shared" si="14"/>
        <v>0.33151096531236346</v>
      </c>
      <c r="Y18" s="13">
        <f t="shared" si="14"/>
        <v>0.40727862175240648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0.4784721098335647</v>
      </c>
      <c r="C20" s="102">
        <v>0.42474696623733144</v>
      </c>
      <c r="D20" s="102">
        <v>0.4046569038510196</v>
      </c>
      <c r="E20" s="102">
        <v>0.60601553607542635</v>
      </c>
      <c r="F20" s="102">
        <v>0.53719887653376219</v>
      </c>
      <c r="G20" s="102">
        <v>0.55328867510548529</v>
      </c>
      <c r="H20" s="102">
        <v>0.6547426727545459</v>
      </c>
      <c r="I20" s="102">
        <v>0.70082323021946091</v>
      </c>
      <c r="J20" s="102">
        <v>0.69077757820467711</v>
      </c>
      <c r="K20" s="102">
        <v>0.66412297595008252</v>
      </c>
      <c r="L20" s="102">
        <v>0.69567555610561049</v>
      </c>
      <c r="M20" s="102">
        <v>0.66985163976950579</v>
      </c>
      <c r="N20" s="102">
        <v>0.61978583486238537</v>
      </c>
      <c r="O20" s="102">
        <v>0.47740591207806565</v>
      </c>
      <c r="P20" s="102">
        <v>0.40832450713318341</v>
      </c>
      <c r="Q20" s="102">
        <v>0.46634760243732043</v>
      </c>
      <c r="R20" s="102">
        <v>0.25374003773414655</v>
      </c>
      <c r="S20" s="102">
        <v>0.2640935577379761</v>
      </c>
      <c r="T20" s="102">
        <v>0.2789078110367893</v>
      </c>
      <c r="U20" s="102">
        <v>0.18815353703703705</v>
      </c>
      <c r="V20" s="102">
        <v>0.24741396502057614</v>
      </c>
      <c r="W20" s="102">
        <v>0.25311036591478692</v>
      </c>
      <c r="X20" s="102">
        <v>0.24476056531236345</v>
      </c>
      <c r="Y20" s="102">
        <v>0.26191108796862267</v>
      </c>
      <c r="DA20" s="175" t="s">
        <v>205</v>
      </c>
    </row>
    <row r="21" spans="1:105" ht="11.45" customHeight="1" x14ac:dyDescent="0.25">
      <c r="A21" s="85" t="s">
        <v>182</v>
      </c>
      <c r="B21" s="86">
        <v>2.6205154506238063E-2</v>
      </c>
      <c r="C21" s="86">
        <v>2.541105891513994E-2</v>
      </c>
      <c r="D21" s="86">
        <v>2.6205154506238063E-2</v>
      </c>
      <c r="E21" s="86">
        <v>3.0175632461728677E-2</v>
      </c>
      <c r="F21" s="86">
        <v>3.6528397190513665E-2</v>
      </c>
      <c r="G21" s="86">
        <v>4.7337666666666674E-2</v>
      </c>
      <c r="H21" s="86">
        <v>6.8122864437763109E-2</v>
      </c>
      <c r="I21" s="86">
        <v>9.5574674064408796E-2</v>
      </c>
      <c r="J21" s="86">
        <v>0.12985530606092249</v>
      </c>
      <c r="K21" s="86">
        <v>0.15069470758752984</v>
      </c>
      <c r="L21" s="86">
        <v>7.6465400000000003E-2</v>
      </c>
      <c r="M21" s="86">
        <v>4.938420581634019E-2</v>
      </c>
      <c r="N21" s="86">
        <v>7.5950333333333342E-2</v>
      </c>
      <c r="O21" s="86">
        <v>8.1978983911124126E-2</v>
      </c>
      <c r="P21" s="86">
        <v>3.8204818620744971E-2</v>
      </c>
      <c r="Q21" s="86">
        <v>2.0892444365882192E-2</v>
      </c>
      <c r="R21" s="86">
        <v>3.0851865033974704E-2</v>
      </c>
      <c r="S21" s="86">
        <v>1.7883485172342416E-2</v>
      </c>
      <c r="T21" s="86">
        <v>1.4147712E-2</v>
      </c>
      <c r="U21" s="86">
        <v>1.3703937007874013E-2</v>
      </c>
      <c r="V21" s="86">
        <v>8.1836567901234558E-2</v>
      </c>
      <c r="W21" s="86">
        <v>5.3851202830188676E-2</v>
      </c>
      <c r="X21" s="86">
        <v>8.6750400000000005E-2</v>
      </c>
      <c r="Y21" s="86">
        <v>0.14536753378378378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14847</v>
      </c>
      <c r="C23" s="54">
        <f t="shared" si="15"/>
        <v>13917</v>
      </c>
      <c r="D23" s="54">
        <f t="shared" ref="D23:V23" si="16">SUM(D24,D28)</f>
        <v>12927</v>
      </c>
      <c r="E23" s="54">
        <f t="shared" si="16"/>
        <v>13239</v>
      </c>
      <c r="F23" s="54">
        <f t="shared" si="16"/>
        <v>13432</v>
      </c>
      <c r="G23" s="54">
        <f t="shared" si="16"/>
        <v>13409</v>
      </c>
      <c r="H23" s="54">
        <f t="shared" si="16"/>
        <v>12882</v>
      </c>
      <c r="I23" s="54">
        <f t="shared" si="16"/>
        <v>14223</v>
      </c>
      <c r="J23" s="54">
        <f t="shared" si="16"/>
        <v>14043</v>
      </c>
      <c r="K23" s="54">
        <f t="shared" si="16"/>
        <v>13627</v>
      </c>
      <c r="L23" s="54">
        <f t="shared" si="16"/>
        <v>14931</v>
      </c>
      <c r="M23" s="54">
        <f t="shared" si="16"/>
        <v>14418</v>
      </c>
      <c r="N23" s="54">
        <f t="shared" si="16"/>
        <v>14480</v>
      </c>
      <c r="O23" s="54">
        <f t="shared" si="16"/>
        <v>15689</v>
      </c>
      <c r="P23" s="54">
        <f t="shared" si="16"/>
        <v>16366</v>
      </c>
      <c r="Q23" s="54">
        <f t="shared" si="16"/>
        <v>17352</v>
      </c>
      <c r="R23" s="54">
        <f t="shared" si="16"/>
        <v>18078</v>
      </c>
      <c r="S23" s="54">
        <f t="shared" si="16"/>
        <v>20820</v>
      </c>
      <c r="T23" s="54">
        <f t="shared" si="16"/>
        <v>23795</v>
      </c>
      <c r="U23" s="54">
        <f t="shared" si="16"/>
        <v>26029</v>
      </c>
      <c r="V23" s="54">
        <f t="shared" si="16"/>
        <v>9678</v>
      </c>
      <c r="W23" s="54">
        <f t="shared" ref="W23:Y23" si="17">SUM(W24,W28)</f>
        <v>13129</v>
      </c>
      <c r="X23" s="54">
        <f t="shared" si="17"/>
        <v>21249</v>
      </c>
      <c r="Y23" s="54">
        <f t="shared" si="17"/>
        <v>26648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14477</v>
      </c>
      <c r="C24" s="11">
        <f t="shared" si="18"/>
        <v>13586</v>
      </c>
      <c r="D24" s="11">
        <f t="shared" ref="D24:V24" si="19">SUM(D25:D27)</f>
        <v>12609</v>
      </c>
      <c r="E24" s="11">
        <f t="shared" si="19"/>
        <v>12763</v>
      </c>
      <c r="F24" s="11">
        <f t="shared" si="19"/>
        <v>13007</v>
      </c>
      <c r="G24" s="11">
        <f t="shared" si="19"/>
        <v>12955</v>
      </c>
      <c r="H24" s="11">
        <f t="shared" si="19"/>
        <v>12348</v>
      </c>
      <c r="I24" s="11">
        <f t="shared" si="19"/>
        <v>13675</v>
      </c>
      <c r="J24" s="11">
        <f t="shared" si="19"/>
        <v>13521</v>
      </c>
      <c r="K24" s="11">
        <f t="shared" si="19"/>
        <v>13143</v>
      </c>
      <c r="L24" s="11">
        <f t="shared" si="19"/>
        <v>14466</v>
      </c>
      <c r="M24" s="11">
        <f t="shared" si="19"/>
        <v>14006</v>
      </c>
      <c r="N24" s="11">
        <f t="shared" si="19"/>
        <v>14100</v>
      </c>
      <c r="O24" s="11">
        <f t="shared" si="19"/>
        <v>15372</v>
      </c>
      <c r="P24" s="11">
        <f t="shared" si="19"/>
        <v>16093</v>
      </c>
      <c r="Q24" s="11">
        <f t="shared" si="19"/>
        <v>17033</v>
      </c>
      <c r="R24" s="11">
        <f t="shared" si="19"/>
        <v>17881</v>
      </c>
      <c r="S24" s="11">
        <f t="shared" si="19"/>
        <v>20605</v>
      </c>
      <c r="T24" s="11">
        <f t="shared" si="19"/>
        <v>23561</v>
      </c>
      <c r="U24" s="11">
        <f t="shared" si="19"/>
        <v>25868</v>
      </c>
      <c r="V24" s="11">
        <f t="shared" si="19"/>
        <v>9463</v>
      </c>
      <c r="W24" s="11">
        <f t="shared" ref="W24:Y24" si="20">SUM(W25:W27)</f>
        <v>12890</v>
      </c>
      <c r="X24" s="11">
        <f t="shared" si="20"/>
        <v>21024</v>
      </c>
      <c r="Y24" s="11">
        <f t="shared" si="20"/>
        <v>26385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12055</v>
      </c>
      <c r="C26" s="84">
        <v>11313</v>
      </c>
      <c r="D26" s="84">
        <v>10674</v>
      </c>
      <c r="E26" s="84">
        <v>11003</v>
      </c>
      <c r="F26" s="84">
        <v>11311</v>
      </c>
      <c r="G26" s="84">
        <v>11605</v>
      </c>
      <c r="H26" s="84">
        <v>11131</v>
      </c>
      <c r="I26" s="84">
        <v>12423</v>
      </c>
      <c r="J26" s="84">
        <v>12283</v>
      </c>
      <c r="K26" s="84">
        <v>11972</v>
      </c>
      <c r="L26" s="84">
        <v>13138</v>
      </c>
      <c r="M26" s="84">
        <v>12985</v>
      </c>
      <c r="N26" s="84">
        <v>12794</v>
      </c>
      <c r="O26" s="84">
        <v>13597</v>
      </c>
      <c r="P26" s="84">
        <v>14481</v>
      </c>
      <c r="Q26" s="84">
        <v>15757</v>
      </c>
      <c r="R26" s="84">
        <v>16603</v>
      </c>
      <c r="S26" s="84">
        <v>19287</v>
      </c>
      <c r="T26" s="84">
        <v>21734</v>
      </c>
      <c r="U26" s="84">
        <v>22896</v>
      </c>
      <c r="V26" s="84">
        <v>8540</v>
      </c>
      <c r="W26" s="84">
        <v>11774</v>
      </c>
      <c r="X26" s="84">
        <v>19023</v>
      </c>
      <c r="Y26" s="84">
        <v>23647</v>
      </c>
      <c r="DA26" s="171" t="s">
        <v>210</v>
      </c>
    </row>
    <row r="27" spans="1:105" ht="11.45" customHeight="1" x14ac:dyDescent="0.25">
      <c r="A27" s="83" t="s">
        <v>182</v>
      </c>
      <c r="B27" s="84">
        <v>2422</v>
      </c>
      <c r="C27" s="84">
        <v>2273</v>
      </c>
      <c r="D27" s="84">
        <v>1935</v>
      </c>
      <c r="E27" s="84">
        <v>1760</v>
      </c>
      <c r="F27" s="84">
        <v>1696</v>
      </c>
      <c r="G27" s="84">
        <v>1350</v>
      </c>
      <c r="H27" s="84">
        <v>1217</v>
      </c>
      <c r="I27" s="84">
        <v>1252</v>
      </c>
      <c r="J27" s="84">
        <v>1238</v>
      </c>
      <c r="K27" s="84">
        <v>1171</v>
      </c>
      <c r="L27" s="84">
        <v>1328</v>
      </c>
      <c r="M27" s="84">
        <v>1021</v>
      </c>
      <c r="N27" s="84">
        <v>1306</v>
      </c>
      <c r="O27" s="84">
        <v>1775</v>
      </c>
      <c r="P27" s="84">
        <v>1612</v>
      </c>
      <c r="Q27" s="84">
        <v>1276</v>
      </c>
      <c r="R27" s="84">
        <v>1278</v>
      </c>
      <c r="S27" s="84">
        <v>1318</v>
      </c>
      <c r="T27" s="84">
        <v>1827</v>
      </c>
      <c r="U27" s="84">
        <v>2972</v>
      </c>
      <c r="V27" s="84">
        <v>923</v>
      </c>
      <c r="W27" s="84">
        <v>1116</v>
      </c>
      <c r="X27" s="84">
        <v>2001</v>
      </c>
      <c r="Y27" s="84">
        <v>2738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370</v>
      </c>
      <c r="C28" s="13">
        <f t="shared" si="21"/>
        <v>331</v>
      </c>
      <c r="D28" s="13">
        <f t="shared" ref="D28:V28" si="22">SUM(D29:D31)</f>
        <v>318</v>
      </c>
      <c r="E28" s="13">
        <f t="shared" si="22"/>
        <v>476</v>
      </c>
      <c r="F28" s="13">
        <f t="shared" si="22"/>
        <v>425</v>
      </c>
      <c r="G28" s="13">
        <f t="shared" si="22"/>
        <v>454</v>
      </c>
      <c r="H28" s="13">
        <f t="shared" si="22"/>
        <v>534</v>
      </c>
      <c r="I28" s="13">
        <f t="shared" si="22"/>
        <v>548</v>
      </c>
      <c r="J28" s="13">
        <f t="shared" si="22"/>
        <v>522</v>
      </c>
      <c r="K28" s="13">
        <f t="shared" si="22"/>
        <v>484</v>
      </c>
      <c r="L28" s="13">
        <f t="shared" si="22"/>
        <v>465</v>
      </c>
      <c r="M28" s="13">
        <f t="shared" si="22"/>
        <v>412</v>
      </c>
      <c r="N28" s="13">
        <f t="shared" si="22"/>
        <v>380</v>
      </c>
      <c r="O28" s="13">
        <f t="shared" si="22"/>
        <v>317</v>
      </c>
      <c r="P28" s="13">
        <f t="shared" si="22"/>
        <v>273</v>
      </c>
      <c r="Q28" s="13">
        <f t="shared" si="22"/>
        <v>319</v>
      </c>
      <c r="R28" s="13">
        <f t="shared" si="22"/>
        <v>197</v>
      </c>
      <c r="S28" s="13">
        <f t="shared" si="22"/>
        <v>215</v>
      </c>
      <c r="T28" s="13">
        <f t="shared" si="22"/>
        <v>234</v>
      </c>
      <c r="U28" s="13">
        <f t="shared" si="22"/>
        <v>161</v>
      </c>
      <c r="V28" s="13">
        <f t="shared" si="22"/>
        <v>215</v>
      </c>
      <c r="W28" s="13">
        <f t="shared" ref="W28:Y28" si="23">SUM(W29:W31)</f>
        <v>239</v>
      </c>
      <c r="X28" s="13">
        <f t="shared" si="23"/>
        <v>225</v>
      </c>
      <c r="Y28" s="13">
        <f t="shared" si="23"/>
        <v>263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337</v>
      </c>
      <c r="C30" s="102">
        <v>299</v>
      </c>
      <c r="D30" s="102">
        <v>285</v>
      </c>
      <c r="E30" s="102">
        <v>438</v>
      </c>
      <c r="F30" s="102">
        <v>379</v>
      </c>
      <c r="G30" s="102">
        <v>395</v>
      </c>
      <c r="H30" s="102">
        <v>486</v>
      </c>
      <c r="I30" s="102">
        <v>498</v>
      </c>
      <c r="J30" s="102">
        <v>470</v>
      </c>
      <c r="K30" s="102">
        <v>433</v>
      </c>
      <c r="L30" s="102">
        <v>443</v>
      </c>
      <c r="M30" s="102">
        <v>398</v>
      </c>
      <c r="N30" s="102">
        <v>354</v>
      </c>
      <c r="O30" s="102">
        <v>286</v>
      </c>
      <c r="P30" s="102">
        <v>255</v>
      </c>
      <c r="Q30" s="102">
        <v>306</v>
      </c>
      <c r="R30" s="102">
        <v>177</v>
      </c>
      <c r="S30" s="102">
        <v>195</v>
      </c>
      <c r="T30" s="102">
        <v>210</v>
      </c>
      <c r="U30" s="102">
        <v>136</v>
      </c>
      <c r="V30" s="102">
        <v>157</v>
      </c>
      <c r="W30" s="102">
        <v>178</v>
      </c>
      <c r="X30" s="102">
        <v>177</v>
      </c>
      <c r="Y30" s="102">
        <v>202</v>
      </c>
      <c r="DA30" s="175" t="s">
        <v>214</v>
      </c>
    </row>
    <row r="31" spans="1:105" ht="11.45" customHeight="1" x14ac:dyDescent="0.25">
      <c r="A31" s="85" t="s">
        <v>182</v>
      </c>
      <c r="B31" s="86">
        <v>33</v>
      </c>
      <c r="C31" s="86">
        <v>32</v>
      </c>
      <c r="D31" s="86">
        <v>33</v>
      </c>
      <c r="E31" s="86">
        <v>38</v>
      </c>
      <c r="F31" s="86">
        <v>46</v>
      </c>
      <c r="G31" s="86">
        <v>59</v>
      </c>
      <c r="H31" s="86">
        <v>48</v>
      </c>
      <c r="I31" s="86">
        <v>50</v>
      </c>
      <c r="J31" s="86">
        <v>52</v>
      </c>
      <c r="K31" s="86">
        <v>51</v>
      </c>
      <c r="L31" s="86">
        <v>22</v>
      </c>
      <c r="M31" s="86">
        <v>14</v>
      </c>
      <c r="N31" s="86">
        <v>26</v>
      </c>
      <c r="O31" s="86">
        <v>31</v>
      </c>
      <c r="P31" s="86">
        <v>18</v>
      </c>
      <c r="Q31" s="86">
        <v>13</v>
      </c>
      <c r="R31" s="86">
        <v>20</v>
      </c>
      <c r="S31" s="86">
        <v>20</v>
      </c>
      <c r="T31" s="86">
        <v>24</v>
      </c>
      <c r="U31" s="86">
        <v>25</v>
      </c>
      <c r="V31" s="86">
        <v>58</v>
      </c>
      <c r="W31" s="86">
        <v>61</v>
      </c>
      <c r="X31" s="86">
        <v>48</v>
      </c>
      <c r="Y31" s="86">
        <v>61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1508811</v>
      </c>
      <c r="C34" s="11">
        <f t="shared" si="24"/>
        <v>1420208</v>
      </c>
      <c r="D34" s="11">
        <f t="shared" ref="D34:V34" si="25">SUM(D35:D37)</f>
        <v>1295920</v>
      </c>
      <c r="E34" s="11">
        <f t="shared" si="25"/>
        <v>1302190</v>
      </c>
      <c r="F34" s="11">
        <f t="shared" si="25"/>
        <v>1363050</v>
      </c>
      <c r="G34" s="11">
        <f t="shared" si="25"/>
        <v>1375616</v>
      </c>
      <c r="H34" s="11">
        <f t="shared" si="25"/>
        <v>1346552</v>
      </c>
      <c r="I34" s="11">
        <f t="shared" si="25"/>
        <v>1485616</v>
      </c>
      <c r="J34" s="11">
        <f t="shared" si="25"/>
        <v>1558032</v>
      </c>
      <c r="K34" s="11">
        <f t="shared" si="25"/>
        <v>1461797</v>
      </c>
      <c r="L34" s="11">
        <f t="shared" si="25"/>
        <v>1646798</v>
      </c>
      <c r="M34" s="11">
        <f t="shared" si="25"/>
        <v>1761643</v>
      </c>
      <c r="N34" s="11">
        <f t="shared" si="25"/>
        <v>1825934</v>
      </c>
      <c r="O34" s="11">
        <f t="shared" si="25"/>
        <v>2015441</v>
      </c>
      <c r="P34" s="11">
        <f t="shared" si="25"/>
        <v>2142423</v>
      </c>
      <c r="Q34" s="11">
        <f t="shared" si="25"/>
        <v>2308492</v>
      </c>
      <c r="R34" s="11">
        <f t="shared" si="25"/>
        <v>2538175</v>
      </c>
      <c r="S34" s="11">
        <f t="shared" si="25"/>
        <v>2999108</v>
      </c>
      <c r="T34" s="11">
        <f t="shared" si="25"/>
        <v>3401828</v>
      </c>
      <c r="U34" s="11">
        <f t="shared" si="25"/>
        <v>3655851</v>
      </c>
      <c r="V34" s="11">
        <f t="shared" si="25"/>
        <v>883730</v>
      </c>
      <c r="W34" s="11">
        <f t="shared" ref="W34:Y34" si="26">SUM(W35:W37)</f>
        <v>1270343</v>
      </c>
      <c r="X34" s="11">
        <f t="shared" si="26"/>
        <v>2921960</v>
      </c>
      <c r="Y34" s="11">
        <f t="shared" si="26"/>
        <v>3898391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1364011</v>
      </c>
      <c r="C36" s="84">
        <v>1284018</v>
      </c>
      <c r="D36" s="84">
        <v>1186442</v>
      </c>
      <c r="E36" s="84">
        <v>1194625</v>
      </c>
      <c r="F36" s="84">
        <v>1256706</v>
      </c>
      <c r="G36" s="84">
        <v>1274322</v>
      </c>
      <c r="H36" s="84">
        <v>1264346</v>
      </c>
      <c r="I36" s="84">
        <v>1408553</v>
      </c>
      <c r="J36" s="84">
        <v>1483492</v>
      </c>
      <c r="K36" s="84">
        <v>1396943</v>
      </c>
      <c r="L36" s="84">
        <v>1564725</v>
      </c>
      <c r="M36" s="84">
        <v>1670488</v>
      </c>
      <c r="N36" s="84">
        <v>1717149</v>
      </c>
      <c r="O36" s="84">
        <v>1862285</v>
      </c>
      <c r="P36" s="84">
        <v>2002493</v>
      </c>
      <c r="Q36" s="84">
        <v>2190293</v>
      </c>
      <c r="R36" s="84">
        <v>2405695</v>
      </c>
      <c r="S36" s="84">
        <v>2858970</v>
      </c>
      <c r="T36" s="84">
        <v>3208779</v>
      </c>
      <c r="U36" s="84">
        <v>3364099</v>
      </c>
      <c r="V36" s="84">
        <v>818666</v>
      </c>
      <c r="W36" s="84">
        <v>1209952</v>
      </c>
      <c r="X36" s="84">
        <v>2747832</v>
      </c>
      <c r="Y36" s="84">
        <v>3629384</v>
      </c>
      <c r="DA36" s="171" t="s">
        <v>218</v>
      </c>
    </row>
    <row r="37" spans="1:105" ht="11.45" customHeight="1" x14ac:dyDescent="0.25">
      <c r="A37" s="83" t="s">
        <v>182</v>
      </c>
      <c r="B37" s="84">
        <v>144800</v>
      </c>
      <c r="C37" s="84">
        <v>136190</v>
      </c>
      <c r="D37" s="84">
        <v>109478</v>
      </c>
      <c r="E37" s="84">
        <v>107565</v>
      </c>
      <c r="F37" s="84">
        <v>106344</v>
      </c>
      <c r="G37" s="84">
        <v>101294</v>
      </c>
      <c r="H37" s="84">
        <v>82206</v>
      </c>
      <c r="I37" s="84">
        <v>77063</v>
      </c>
      <c r="J37" s="84">
        <v>74540</v>
      </c>
      <c r="K37" s="84">
        <v>64854</v>
      </c>
      <c r="L37" s="84">
        <v>82073</v>
      </c>
      <c r="M37" s="84">
        <v>91155</v>
      </c>
      <c r="N37" s="84">
        <v>108785</v>
      </c>
      <c r="O37" s="84">
        <v>153156</v>
      </c>
      <c r="P37" s="84">
        <v>139930</v>
      </c>
      <c r="Q37" s="84">
        <v>118199</v>
      </c>
      <c r="R37" s="84">
        <v>132480</v>
      </c>
      <c r="S37" s="84">
        <v>140138</v>
      </c>
      <c r="T37" s="84">
        <v>193049</v>
      </c>
      <c r="U37" s="84">
        <v>291752</v>
      </c>
      <c r="V37" s="84">
        <v>65064</v>
      </c>
      <c r="W37" s="84">
        <v>60391</v>
      </c>
      <c r="X37" s="84">
        <v>174128</v>
      </c>
      <c r="Y37" s="84">
        <v>269007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7169.1158679012906</v>
      </c>
      <c r="C38" s="13">
        <f t="shared" si="27"/>
        <v>6611.6682269348294</v>
      </c>
      <c r="D38" s="13">
        <f t="shared" ref="D38:V38" si="28">SUM(D39:D41)</f>
        <v>6409.871239872864</v>
      </c>
      <c r="E38" s="13">
        <f t="shared" si="28"/>
        <v>9394.7141353534462</v>
      </c>
      <c r="F38" s="13">
        <f t="shared" si="28"/>
        <v>8299.7373959101678</v>
      </c>
      <c r="G38" s="13">
        <f t="shared" si="28"/>
        <v>8613.694914881411</v>
      </c>
      <c r="H38" s="13">
        <f t="shared" si="28"/>
        <v>8980.552420843138</v>
      </c>
      <c r="I38" s="13">
        <f t="shared" si="28"/>
        <v>9125.1393006161888</v>
      </c>
      <c r="J38" s="13">
        <f t="shared" si="28"/>
        <v>8777.3255000607314</v>
      </c>
      <c r="K38" s="13">
        <f t="shared" si="28"/>
        <v>8476.5178184272136</v>
      </c>
      <c r="L38" s="13">
        <f t="shared" si="28"/>
        <v>7581.2294402190837</v>
      </c>
      <c r="M38" s="13">
        <f t="shared" si="28"/>
        <v>6977.338198372001</v>
      </c>
      <c r="N38" s="13">
        <f t="shared" si="28"/>
        <v>7436.7019020706539</v>
      </c>
      <c r="O38" s="13">
        <f t="shared" si="28"/>
        <v>6642.1093069099497</v>
      </c>
      <c r="P38" s="13">
        <f t="shared" si="28"/>
        <v>5900.9127760166857</v>
      </c>
      <c r="Q38" s="13">
        <f t="shared" si="28"/>
        <v>6515.5851862094833</v>
      </c>
      <c r="R38" s="13">
        <f t="shared" si="28"/>
        <v>5158.9280704256653</v>
      </c>
      <c r="S38" s="13">
        <f t="shared" si="28"/>
        <v>5245.1360294875831</v>
      </c>
      <c r="T38" s="13">
        <f t="shared" si="28"/>
        <v>5803.5726306065153</v>
      </c>
      <c r="U38" s="13">
        <f t="shared" si="28"/>
        <v>4564.5914901494907</v>
      </c>
      <c r="V38" s="13">
        <f t="shared" si="28"/>
        <v>5700.1971044956608</v>
      </c>
      <c r="W38" s="13">
        <f t="shared" ref="W38:Y38" si="29">SUM(W39:W41)</f>
        <v>6431.5821790832815</v>
      </c>
      <c r="X38" s="13">
        <f t="shared" si="29"/>
        <v>6070.6942759867852</v>
      </c>
      <c r="Y38" s="13">
        <f t="shared" si="29"/>
        <v>7477.0614130417616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5448.5512169504409</v>
      </c>
      <c r="C40" s="102">
        <v>4887.9120022933284</v>
      </c>
      <c r="D40" s="102">
        <v>4664.0660214967593</v>
      </c>
      <c r="E40" s="102">
        <v>7543.1031446612096</v>
      </c>
      <c r="F40" s="102">
        <v>6088.9939987748758</v>
      </c>
      <c r="G40" s="102">
        <v>6004.977978147117</v>
      </c>
      <c r="H40" s="102">
        <v>6812.674051341357</v>
      </c>
      <c r="I40" s="102">
        <v>6865.8481936286989</v>
      </c>
      <c r="J40" s="102">
        <v>6441.8432723560973</v>
      </c>
      <c r="K40" s="102">
        <v>5931.6212121133785</v>
      </c>
      <c r="L40" s="102">
        <v>6425.6150762892203</v>
      </c>
      <c r="M40" s="102">
        <v>6206.4084088330746</v>
      </c>
      <c r="N40" s="102">
        <v>5900.5684454236116</v>
      </c>
      <c r="O40" s="102">
        <v>4792.5038833245617</v>
      </c>
      <c r="P40" s="102">
        <v>4704.6002330594501</v>
      </c>
      <c r="Q40" s="102">
        <v>5654.1476068990387</v>
      </c>
      <c r="R40" s="102">
        <v>3690.0817343350805</v>
      </c>
      <c r="S40" s="102">
        <v>3778.6174110900106</v>
      </c>
      <c r="T40" s="102">
        <v>4037.3468512247591</v>
      </c>
      <c r="U40" s="102">
        <v>2679.5534119979461</v>
      </c>
      <c r="V40" s="102">
        <v>2769.5594599747319</v>
      </c>
      <c r="W40" s="102">
        <v>3162.774444473624</v>
      </c>
      <c r="X40" s="102">
        <v>3166.6139210349615</v>
      </c>
      <c r="Y40" s="102">
        <v>3629.947523155226</v>
      </c>
      <c r="DA40" s="175" t="s">
        <v>222</v>
      </c>
    </row>
    <row r="41" spans="1:105" ht="11.45" customHeight="1" x14ac:dyDescent="0.25">
      <c r="A41" s="85" t="s">
        <v>182</v>
      </c>
      <c r="B41" s="86">
        <v>1720.5646509508499</v>
      </c>
      <c r="C41" s="86">
        <v>1723.7562246415009</v>
      </c>
      <c r="D41" s="86">
        <v>1745.8052183761051</v>
      </c>
      <c r="E41" s="86">
        <v>1851.6109906922366</v>
      </c>
      <c r="F41" s="86">
        <v>2210.7433971352925</v>
      </c>
      <c r="G41" s="86">
        <v>2608.716936734294</v>
      </c>
      <c r="H41" s="86">
        <v>2167.8783695017801</v>
      </c>
      <c r="I41" s="86">
        <v>2259.291106987489</v>
      </c>
      <c r="J41" s="86">
        <v>2335.4822277046337</v>
      </c>
      <c r="K41" s="86">
        <v>2544.8966063138346</v>
      </c>
      <c r="L41" s="86">
        <v>1155.6143639298637</v>
      </c>
      <c r="M41" s="86">
        <v>770.92978953892589</v>
      </c>
      <c r="N41" s="86">
        <v>1536.1334566470421</v>
      </c>
      <c r="O41" s="86">
        <v>1849.6054235853883</v>
      </c>
      <c r="P41" s="86">
        <v>1196.3125429572353</v>
      </c>
      <c r="Q41" s="86">
        <v>861.43757931044445</v>
      </c>
      <c r="R41" s="86">
        <v>1468.8463360905848</v>
      </c>
      <c r="S41" s="86">
        <v>1466.5186183975725</v>
      </c>
      <c r="T41" s="86">
        <v>1766.225779381756</v>
      </c>
      <c r="U41" s="86">
        <v>1885.0380781515448</v>
      </c>
      <c r="V41" s="86">
        <v>2930.6376445209289</v>
      </c>
      <c r="W41" s="86">
        <v>3268.807734609657</v>
      </c>
      <c r="X41" s="86">
        <v>2904.0803549518232</v>
      </c>
      <c r="Y41" s="86">
        <v>3847.1138898865356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14.144078477444376</v>
      </c>
      <c r="C43" s="54">
        <f t="shared" si="30"/>
        <v>13.261945999045022</v>
      </c>
      <c r="D43" s="54">
        <f t="shared" ref="D43:V43" si="31">SUM(D44,D48)</f>
        <v>12.559024012042061</v>
      </c>
      <c r="E43" s="54">
        <f t="shared" si="31"/>
        <v>12.735010488215707</v>
      </c>
      <c r="F43" s="54">
        <f t="shared" si="31"/>
        <v>12.856085759297619</v>
      </c>
      <c r="G43" s="54">
        <f t="shared" si="31"/>
        <v>12.981831975414819</v>
      </c>
      <c r="H43" s="54">
        <f t="shared" si="31"/>
        <v>12.335599446311585</v>
      </c>
      <c r="I43" s="54">
        <f t="shared" si="31"/>
        <v>13.606531988494728</v>
      </c>
      <c r="J43" s="54">
        <f t="shared" si="31"/>
        <v>13.45045788244118</v>
      </c>
      <c r="K43" s="54">
        <f t="shared" si="31"/>
        <v>13.056824513567078</v>
      </c>
      <c r="L43" s="54">
        <f t="shared" si="31"/>
        <v>14.200285110721811</v>
      </c>
      <c r="M43" s="54">
        <f t="shared" si="31"/>
        <v>13.958538979241762</v>
      </c>
      <c r="N43" s="54">
        <f t="shared" si="31"/>
        <v>13.932276610091156</v>
      </c>
      <c r="O43" s="54">
        <f t="shared" si="31"/>
        <v>15.280336466046764</v>
      </c>
      <c r="P43" s="54">
        <f t="shared" si="31"/>
        <v>15.817644448512139</v>
      </c>
      <c r="Q43" s="54">
        <f t="shared" si="31"/>
        <v>16.73840384915351</v>
      </c>
      <c r="R43" s="54">
        <f t="shared" si="31"/>
        <v>17.292111638746878</v>
      </c>
      <c r="S43" s="54">
        <f t="shared" si="31"/>
        <v>19.527498476287953</v>
      </c>
      <c r="T43" s="54">
        <f t="shared" si="31"/>
        <v>22.353124826257478</v>
      </c>
      <c r="U43" s="54">
        <f t="shared" si="31"/>
        <v>25.210991504218537</v>
      </c>
      <c r="V43" s="54">
        <f t="shared" si="31"/>
        <v>24.524654963047187</v>
      </c>
      <c r="W43" s="54">
        <f t="shared" ref="W43:Y43" si="32">SUM(W44,W48)</f>
        <v>23.817451039174969</v>
      </c>
      <c r="X43" s="54">
        <f t="shared" si="32"/>
        <v>23.214692629176991</v>
      </c>
      <c r="Y43" s="54">
        <f t="shared" si="32"/>
        <v>24.898458399375418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13.746955124690007</v>
      </c>
      <c r="C44" s="11">
        <f t="shared" si="33"/>
        <v>12.900889845165459</v>
      </c>
      <c r="D44" s="11">
        <f t="shared" ref="D44:V44" si="34">SUM(D45:D47)</f>
        <v>12.21824639092455</v>
      </c>
      <c r="E44" s="11">
        <f t="shared" si="34"/>
        <v>12.22919153282478</v>
      </c>
      <c r="F44" s="11">
        <f t="shared" si="34"/>
        <v>12.371072563836767</v>
      </c>
      <c r="G44" s="11">
        <f t="shared" si="34"/>
        <v>12.498235493746638</v>
      </c>
      <c r="H44" s="11">
        <f t="shared" si="34"/>
        <v>11.761371462846141</v>
      </c>
      <c r="I44" s="11">
        <f t="shared" si="34"/>
        <v>12.987422904040905</v>
      </c>
      <c r="J44" s="11">
        <f t="shared" si="34"/>
        <v>12.827486177794558</v>
      </c>
      <c r="K44" s="11">
        <f t="shared" si="34"/>
        <v>12.46183205824819</v>
      </c>
      <c r="L44" s="11">
        <f t="shared" si="34"/>
        <v>13.583503583515336</v>
      </c>
      <c r="M44" s="11">
        <f t="shared" si="34"/>
        <v>13.381469787310724</v>
      </c>
      <c r="N44" s="11">
        <f t="shared" si="34"/>
        <v>13.390834135678706</v>
      </c>
      <c r="O44" s="11">
        <f t="shared" si="34"/>
        <v>14.778606326909751</v>
      </c>
      <c r="P44" s="11">
        <f t="shared" si="34"/>
        <v>15.355626644650563</v>
      </c>
      <c r="Q44" s="11">
        <f t="shared" si="34"/>
        <v>16.303442375762561</v>
      </c>
      <c r="R44" s="11">
        <f t="shared" si="34"/>
        <v>16.896862500631368</v>
      </c>
      <c r="S44" s="11">
        <f t="shared" si="34"/>
        <v>19.161556298867726</v>
      </c>
      <c r="T44" s="11">
        <f t="shared" si="34"/>
        <v>21.997521950573105</v>
      </c>
      <c r="U44" s="11">
        <f t="shared" si="34"/>
        <v>24.884813284372211</v>
      </c>
      <c r="V44" s="11">
        <f t="shared" si="34"/>
        <v>24.197465528137705</v>
      </c>
      <c r="W44" s="11">
        <f t="shared" ref="W44:Y44" si="35">SUM(W45:W47)</f>
        <v>23.510117771903204</v>
      </c>
      <c r="X44" s="11">
        <f t="shared" si="35"/>
        <v>22.927215529542945</v>
      </c>
      <c r="Y44" s="11">
        <f t="shared" si="35"/>
        <v>24.583055849543015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11.529006406741289</v>
      </c>
      <c r="C46" s="84">
        <v>10.819388013663627</v>
      </c>
      <c r="D46" s="84">
        <v>10.35853943121759</v>
      </c>
      <c r="E46" s="84">
        <v>10.591279444912692</v>
      </c>
      <c r="F46" s="84">
        <v>10.817959010723214</v>
      </c>
      <c r="G46" s="84">
        <v>11.166916812427957</v>
      </c>
      <c r="H46" s="84">
        <v>10.569402804667885</v>
      </c>
      <c r="I46" s="84">
        <v>11.759971923648747</v>
      </c>
      <c r="J46" s="84">
        <v>11.557742588050969</v>
      </c>
      <c r="K46" s="84">
        <v>11.27780779131189</v>
      </c>
      <c r="L46" s="84">
        <v>12.22005389152355</v>
      </c>
      <c r="M46" s="84">
        <v>12.164544876702857</v>
      </c>
      <c r="N46" s="84">
        <v>12.016097293573441</v>
      </c>
      <c r="O46" s="84">
        <v>12.808573030572347</v>
      </c>
      <c r="P46" s="84">
        <v>13.607388220108032</v>
      </c>
      <c r="Q46" s="84">
        <v>14.776998823014901</v>
      </c>
      <c r="R46" s="84">
        <v>15.419405853232524</v>
      </c>
      <c r="S46" s="84">
        <v>17.788639632201061</v>
      </c>
      <c r="T46" s="84">
        <v>20.013808595524246</v>
      </c>
      <c r="U46" s="84">
        <v>21.141740236513268</v>
      </c>
      <c r="V46" s="84">
        <v>20.565289916176198</v>
      </c>
      <c r="W46" s="84">
        <v>19.988839595839135</v>
      </c>
      <c r="X46" s="84">
        <v>19.516834789376311</v>
      </c>
      <c r="Y46" s="84">
        <v>21.283572545273817</v>
      </c>
      <c r="DA46" s="171" t="s">
        <v>227</v>
      </c>
    </row>
    <row r="47" spans="1:105" ht="11.45" customHeight="1" x14ac:dyDescent="0.25">
      <c r="A47" s="83" t="s">
        <v>182</v>
      </c>
      <c r="B47" s="84">
        <v>2.2179487179487181</v>
      </c>
      <c r="C47" s="84">
        <v>2.0815018315018317</v>
      </c>
      <c r="D47" s="84">
        <v>1.8597069597069598</v>
      </c>
      <c r="E47" s="84">
        <v>1.6379120879120879</v>
      </c>
      <c r="F47" s="84">
        <v>1.5531135531135531</v>
      </c>
      <c r="G47" s="84">
        <v>1.3313186813186813</v>
      </c>
      <c r="H47" s="84">
        <v>1.1919686581782567</v>
      </c>
      <c r="I47" s="84">
        <v>1.2274509803921569</v>
      </c>
      <c r="J47" s="84">
        <v>1.2697435897435898</v>
      </c>
      <c r="K47" s="84">
        <v>1.1840242669362993</v>
      </c>
      <c r="L47" s="84">
        <v>1.3634496919917864</v>
      </c>
      <c r="M47" s="84">
        <v>1.2169249106078666</v>
      </c>
      <c r="N47" s="84">
        <v>1.3747368421052633</v>
      </c>
      <c r="O47" s="84">
        <v>1.970033296337403</v>
      </c>
      <c r="P47" s="84">
        <v>1.7482384245425311</v>
      </c>
      <c r="Q47" s="84">
        <v>1.5264435527476592</v>
      </c>
      <c r="R47" s="84">
        <v>1.477456647398844</v>
      </c>
      <c r="S47" s="84">
        <v>1.3729166666666666</v>
      </c>
      <c r="T47" s="84">
        <v>1.9837133550488599</v>
      </c>
      <c r="U47" s="84">
        <v>3.743073047858942</v>
      </c>
      <c r="V47" s="84">
        <v>3.6321756119615061</v>
      </c>
      <c r="W47" s="84">
        <v>3.5212781760640701</v>
      </c>
      <c r="X47" s="84">
        <v>3.4103807401666342</v>
      </c>
      <c r="Y47" s="84">
        <v>3.2994833042691982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0.397123352754369</v>
      </c>
      <c r="C48" s="13">
        <f t="shared" si="36"/>
        <v>0.36105615387956208</v>
      </c>
      <c r="D48" s="13">
        <f t="shared" ref="D48:V48" si="37">SUM(D49:D51)</f>
        <v>0.34077762111751048</v>
      </c>
      <c r="E48" s="13">
        <f t="shared" si="37"/>
        <v>0.50581895539092736</v>
      </c>
      <c r="F48" s="13">
        <f t="shared" si="37"/>
        <v>0.48501319546085192</v>
      </c>
      <c r="G48" s="13">
        <f t="shared" si="37"/>
        <v>0.48359648166818048</v>
      </c>
      <c r="H48" s="13">
        <f t="shared" si="37"/>
        <v>0.57422798346544501</v>
      </c>
      <c r="I48" s="13">
        <f t="shared" si="37"/>
        <v>0.6191090844538234</v>
      </c>
      <c r="J48" s="13">
        <f t="shared" si="37"/>
        <v>0.62297170464662233</v>
      </c>
      <c r="K48" s="13">
        <f t="shared" si="37"/>
        <v>0.59499245531888723</v>
      </c>
      <c r="L48" s="13">
        <f t="shared" si="37"/>
        <v>0.61678152720647528</v>
      </c>
      <c r="M48" s="13">
        <f t="shared" si="37"/>
        <v>0.57706919193103845</v>
      </c>
      <c r="N48" s="13">
        <f t="shared" si="37"/>
        <v>0.54144247441245008</v>
      </c>
      <c r="O48" s="13">
        <f t="shared" si="37"/>
        <v>0.50173013913701325</v>
      </c>
      <c r="P48" s="13">
        <f t="shared" si="37"/>
        <v>0.46201780386157643</v>
      </c>
      <c r="Q48" s="13">
        <f t="shared" si="37"/>
        <v>0.43496147339094815</v>
      </c>
      <c r="R48" s="13">
        <f t="shared" si="37"/>
        <v>0.39524913811551121</v>
      </c>
      <c r="S48" s="13">
        <f t="shared" si="37"/>
        <v>0.36594217742022578</v>
      </c>
      <c r="T48" s="13">
        <f t="shared" si="37"/>
        <v>0.35560287568437055</v>
      </c>
      <c r="U48" s="13">
        <f t="shared" si="37"/>
        <v>0.32617821984632611</v>
      </c>
      <c r="V48" s="13">
        <f t="shared" si="37"/>
        <v>0.32718943490948249</v>
      </c>
      <c r="W48" s="13">
        <f t="shared" ref="W48:Y48" si="38">SUM(W49:W51)</f>
        <v>0.30733326727176402</v>
      </c>
      <c r="X48" s="13">
        <f t="shared" si="38"/>
        <v>0.28747709963404561</v>
      </c>
      <c r="Y48" s="13">
        <f t="shared" si="38"/>
        <v>0.31540254983240401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0.36520845913734773</v>
      </c>
      <c r="C50" s="102">
        <v>0.33010837825093536</v>
      </c>
      <c r="D50" s="102">
        <v>0.30886272750048921</v>
      </c>
      <c r="E50" s="102">
        <v>0.46906847183193312</v>
      </c>
      <c r="F50" s="102">
        <v>0.44052576799470106</v>
      </c>
      <c r="G50" s="102">
        <v>0.42631492827012224</v>
      </c>
      <c r="H50" s="102">
        <v>0.51452649092813163</v>
      </c>
      <c r="I50" s="102">
        <v>0.54611638372389637</v>
      </c>
      <c r="J50" s="102">
        <v>0.53362462560882162</v>
      </c>
      <c r="K50" s="102">
        <v>0.49710377969508679</v>
      </c>
      <c r="L50" s="102">
        <v>0.52208434094437706</v>
      </c>
      <c r="M50" s="102">
        <v>0.48556349503064228</v>
      </c>
      <c r="N50" s="102">
        <v>0.45312826687375612</v>
      </c>
      <c r="O50" s="102">
        <v>0.4166074209600214</v>
      </c>
      <c r="P50" s="102">
        <v>0.38008657504628668</v>
      </c>
      <c r="Q50" s="102">
        <v>0.35622173393736056</v>
      </c>
      <c r="R50" s="102">
        <v>0.31970088802362578</v>
      </c>
      <c r="S50" s="102">
        <v>0.29358541669004246</v>
      </c>
      <c r="T50" s="102">
        <v>0.28643760431588933</v>
      </c>
      <c r="U50" s="102">
        <v>0.26020443783954705</v>
      </c>
      <c r="V50" s="102">
        <v>0.25531830727627308</v>
      </c>
      <c r="W50" s="102">
        <v>0.23705788431940569</v>
      </c>
      <c r="X50" s="102">
        <v>0.21879746136253833</v>
      </c>
      <c r="Y50" s="102">
        <v>0.21373588316573736</v>
      </c>
      <c r="DA50" s="175" t="s">
        <v>231</v>
      </c>
    </row>
    <row r="51" spans="1:105" ht="11.45" customHeight="1" x14ac:dyDescent="0.25">
      <c r="A51" s="85" t="s">
        <v>182</v>
      </c>
      <c r="B51" s="86">
        <v>3.1914893617021274E-2</v>
      </c>
      <c r="C51" s="86">
        <v>3.0947775628626693E-2</v>
      </c>
      <c r="D51" s="86">
        <v>3.1914893617021274E-2</v>
      </c>
      <c r="E51" s="86">
        <v>3.6750483558994199E-2</v>
      </c>
      <c r="F51" s="86">
        <v>4.4487427466150871E-2</v>
      </c>
      <c r="G51" s="86">
        <v>5.7281553398058252E-2</v>
      </c>
      <c r="H51" s="86">
        <v>5.9701492537313432E-2</v>
      </c>
      <c r="I51" s="86">
        <v>7.2992700729927001E-2</v>
      </c>
      <c r="J51" s="86">
        <v>8.9347079037800689E-2</v>
      </c>
      <c r="K51" s="86">
        <v>9.7888675623800381E-2</v>
      </c>
      <c r="L51" s="86">
        <v>9.4697186262098249E-2</v>
      </c>
      <c r="M51" s="86">
        <v>9.1505696900396116E-2</v>
      </c>
      <c r="N51" s="86">
        <v>8.8314207538693984E-2</v>
      </c>
      <c r="O51" s="86">
        <v>8.5122718176991852E-2</v>
      </c>
      <c r="P51" s="86">
        <v>8.1931228815289719E-2</v>
      </c>
      <c r="Q51" s="86">
        <v>7.8739739453587587E-2</v>
      </c>
      <c r="R51" s="86">
        <v>7.5548250091885455E-2</v>
      </c>
      <c r="S51" s="86">
        <v>7.2356760730183323E-2</v>
      </c>
      <c r="T51" s="86">
        <v>6.916527136848119E-2</v>
      </c>
      <c r="U51" s="86">
        <v>6.5973782006779058E-2</v>
      </c>
      <c r="V51" s="86">
        <v>7.1871127633209422E-2</v>
      </c>
      <c r="W51" s="86">
        <v>7.0275382952358356E-2</v>
      </c>
      <c r="X51" s="86">
        <v>6.867963827150729E-2</v>
      </c>
      <c r="Y51" s="86">
        <v>0.10166666666666667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6.3468863057193854</v>
      </c>
      <c r="C53" s="54">
        <f t="shared" si="39"/>
        <v>5.3806287460541995E-4</v>
      </c>
      <c r="D53" s="54">
        <f t="shared" ref="D53:V53" si="40">SUM(D54,D58)</f>
        <v>4.0424996559863119E-2</v>
      </c>
      <c r="E53" s="54">
        <f t="shared" si="40"/>
        <v>0.79938820195343641</v>
      </c>
      <c r="F53" s="54">
        <f t="shared" si="40"/>
        <v>0.63205071648577882</v>
      </c>
      <c r="G53" s="54">
        <f t="shared" si="40"/>
        <v>0.7284438717864955</v>
      </c>
      <c r="H53" s="54">
        <f t="shared" si="40"/>
        <v>0.19189864419820371</v>
      </c>
      <c r="I53" s="54">
        <f t="shared" si="40"/>
        <v>1.726768419699396</v>
      </c>
      <c r="J53" s="54">
        <f t="shared" si="40"/>
        <v>0.57292101375424098</v>
      </c>
      <c r="K53" s="54">
        <f t="shared" si="40"/>
        <v>0.10310849368685204</v>
      </c>
      <c r="L53" s="54">
        <f t="shared" si="40"/>
        <v>1.6115514483476956</v>
      </c>
      <c r="M53" s="54">
        <f t="shared" si="40"/>
        <v>0.3179610864982389</v>
      </c>
      <c r="N53" s="54">
        <f t="shared" si="40"/>
        <v>0.43939400987298161</v>
      </c>
      <c r="O53" s="54">
        <f t="shared" si="40"/>
        <v>1.8178018527360447</v>
      </c>
      <c r="P53" s="54">
        <f t="shared" si="40"/>
        <v>1.1722852908546153</v>
      </c>
      <c r="Q53" s="54">
        <f t="shared" si="40"/>
        <v>1.5446944555092881</v>
      </c>
      <c r="R53" s="54">
        <f t="shared" si="40"/>
        <v>1.0362736205707412</v>
      </c>
      <c r="S53" s="54">
        <f t="shared" si="40"/>
        <v>2.7427038802874701</v>
      </c>
      <c r="T53" s="54">
        <f t="shared" si="40"/>
        <v>3.3024725814054854</v>
      </c>
      <c r="U53" s="54">
        <f t="shared" si="40"/>
        <v>3.3173209953040996</v>
      </c>
      <c r="V53" s="54">
        <f t="shared" si="40"/>
        <v>1.7148300963361784E-2</v>
      </c>
      <c r="W53" s="54">
        <f t="shared" ref="W53:Y53" si="41">SUM(W54,W58)</f>
        <v>0</v>
      </c>
      <c r="X53" s="54">
        <f t="shared" si="41"/>
        <v>9.6565940264780159E-2</v>
      </c>
      <c r="Y53" s="54">
        <f t="shared" si="41"/>
        <v>2.2597139426023913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6.1577872597679546</v>
      </c>
      <c r="C54" s="11">
        <f t="shared" si="42"/>
        <v>0</v>
      </c>
      <c r="D54" s="11">
        <f t="shared" ref="D54:V54" si="43">SUM(D55:D57)</f>
        <v>3.7952697708468541E-2</v>
      </c>
      <c r="E54" s="11">
        <f t="shared" si="43"/>
        <v>0.62231166255101966</v>
      </c>
      <c r="F54" s="11">
        <f t="shared" si="43"/>
        <v>0.61625121466644184</v>
      </c>
      <c r="G54" s="11">
        <f t="shared" si="43"/>
        <v>0.7096040688267431</v>
      </c>
      <c r="H54" s="11">
        <f t="shared" si="43"/>
        <v>8.6922078116812462E-2</v>
      </c>
      <c r="I54" s="11">
        <f t="shared" si="43"/>
        <v>1.6689049368966953</v>
      </c>
      <c r="J54" s="11">
        <f t="shared" si="43"/>
        <v>0.54503375822579581</v>
      </c>
      <c r="K54" s="11">
        <f t="shared" si="43"/>
        <v>9.3535304579852346E-2</v>
      </c>
      <c r="L54" s="11">
        <f t="shared" si="43"/>
        <v>1.5645250209690813</v>
      </c>
      <c r="M54" s="11">
        <f t="shared" si="43"/>
        <v>0.3179610864982389</v>
      </c>
      <c r="N54" s="11">
        <f t="shared" si="43"/>
        <v>0.43939400987298161</v>
      </c>
      <c r="O54" s="11">
        <f t="shared" si="43"/>
        <v>1.8178018527360447</v>
      </c>
      <c r="P54" s="11">
        <f t="shared" si="43"/>
        <v>1.1722852908546153</v>
      </c>
      <c r="Q54" s="11">
        <f t="shared" si="43"/>
        <v>1.5430807042258035</v>
      </c>
      <c r="R54" s="11">
        <f t="shared" si="43"/>
        <v>1.0362736205707412</v>
      </c>
      <c r="S54" s="11">
        <f t="shared" si="43"/>
        <v>2.7427038802874701</v>
      </c>
      <c r="T54" s="11">
        <f t="shared" si="43"/>
        <v>3.2841418013872277</v>
      </c>
      <c r="U54" s="11">
        <f t="shared" si="43"/>
        <v>3.3173209953040996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9.6565940264780159E-2</v>
      </c>
      <c r="Y54" s="11">
        <f t="shared" si="44"/>
        <v>2.2165983576973711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5.164411191392281</v>
      </c>
      <c r="C56" s="84">
        <v>0</v>
      </c>
      <c r="D56" s="84">
        <v>3.7952697708468541E-2</v>
      </c>
      <c r="E56" s="84">
        <v>0.62231166255101966</v>
      </c>
      <c r="F56" s="84">
        <v>0.61625121466644184</v>
      </c>
      <c r="G56" s="84">
        <v>0.7096040688267431</v>
      </c>
      <c r="H56" s="84">
        <v>8.6922078116812462E-2</v>
      </c>
      <c r="I56" s="84">
        <v>1.564039220299795</v>
      </c>
      <c r="J56" s="84">
        <v>0.43335775449136299</v>
      </c>
      <c r="K56" s="84">
        <v>9.3535304579852346E-2</v>
      </c>
      <c r="L56" s="84">
        <v>1.3157162015305941</v>
      </c>
      <c r="M56" s="84">
        <v>0.3179610864982389</v>
      </c>
      <c r="N56" s="84">
        <v>0.2121986839925849</v>
      </c>
      <c r="O56" s="84">
        <v>1.1531220041209052</v>
      </c>
      <c r="P56" s="84">
        <v>1.1722852908546153</v>
      </c>
      <c r="Q56" s="84">
        <v>1.5430807042258035</v>
      </c>
      <c r="R56" s="84">
        <v>1.0158771315365565</v>
      </c>
      <c r="S56" s="84">
        <v>2.7427038802874701</v>
      </c>
      <c r="T56" s="84">
        <v>2.6039617186220347</v>
      </c>
      <c r="U56" s="84">
        <v>1.4885779081110178</v>
      </c>
      <c r="V56" s="84">
        <v>0</v>
      </c>
      <c r="W56" s="84">
        <v>0</v>
      </c>
      <c r="X56" s="84">
        <v>9.6565940264780159E-2</v>
      </c>
      <c r="Y56" s="84">
        <v>2.2165983576973711</v>
      </c>
      <c r="DA56" s="171" t="s">
        <v>236</v>
      </c>
    </row>
    <row r="57" spans="1:105" ht="11.45" customHeight="1" x14ac:dyDescent="0.25">
      <c r="A57" s="83" t="s">
        <v>182</v>
      </c>
      <c r="B57" s="84">
        <v>0.99337606837567383</v>
      </c>
      <c r="C57" s="84">
        <v>0</v>
      </c>
      <c r="D57" s="84">
        <v>0</v>
      </c>
      <c r="E57" s="84">
        <v>0</v>
      </c>
      <c r="F57" s="84">
        <v>0</v>
      </c>
      <c r="G57" s="84">
        <v>0</v>
      </c>
      <c r="H57" s="84">
        <v>0</v>
      </c>
      <c r="I57" s="84">
        <v>0.10486571659690025</v>
      </c>
      <c r="J57" s="84">
        <v>0.11167600373443287</v>
      </c>
      <c r="K57" s="84">
        <v>0</v>
      </c>
      <c r="L57" s="84">
        <v>0.24880881943848721</v>
      </c>
      <c r="M57" s="84">
        <v>0</v>
      </c>
      <c r="N57" s="84">
        <v>0.2271953258803967</v>
      </c>
      <c r="O57" s="84">
        <v>0.66467984861513951</v>
      </c>
      <c r="P57" s="84">
        <v>0</v>
      </c>
      <c r="Q57" s="84">
        <v>0</v>
      </c>
      <c r="R57" s="84">
        <v>2.0396489034184784E-2</v>
      </c>
      <c r="S57" s="84">
        <v>0</v>
      </c>
      <c r="T57" s="84">
        <v>0.68018008276519315</v>
      </c>
      <c r="U57" s="84">
        <v>1.8287430871930819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0.18909904595143079</v>
      </c>
      <c r="C58" s="13">
        <f t="shared" si="45"/>
        <v>5.3806287460541995E-4</v>
      </c>
      <c r="D58" s="13">
        <f t="shared" ref="D58:V58" si="46">SUM(D59:D61)</f>
        <v>2.4722988513945793E-3</v>
      </c>
      <c r="E58" s="13">
        <f t="shared" si="46"/>
        <v>0.1770765394024168</v>
      </c>
      <c r="F58" s="13">
        <f t="shared" si="46"/>
        <v>1.5799501819336998E-2</v>
      </c>
      <c r="G58" s="13">
        <f t="shared" si="46"/>
        <v>1.8839802959752447E-2</v>
      </c>
      <c r="H58" s="13">
        <f t="shared" si="46"/>
        <v>0.10497656608139125</v>
      </c>
      <c r="I58" s="13">
        <f t="shared" si="46"/>
        <v>5.7863482802700809E-2</v>
      </c>
      <c r="J58" s="13">
        <f t="shared" si="46"/>
        <v>2.7887255528445204E-2</v>
      </c>
      <c r="K58" s="13">
        <f t="shared" si="46"/>
        <v>9.5731891069996966E-3</v>
      </c>
      <c r="L58" s="13">
        <f t="shared" si="46"/>
        <v>4.7026427378614254E-2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1.6137512834846907E-3</v>
      </c>
      <c r="R58" s="13">
        <f t="shared" si="46"/>
        <v>0</v>
      </c>
      <c r="S58" s="13">
        <f t="shared" si="46"/>
        <v>0</v>
      </c>
      <c r="T58" s="13">
        <f t="shared" si="46"/>
        <v>1.8330780018257706E-2</v>
      </c>
      <c r="U58" s="13">
        <f t="shared" si="46"/>
        <v>0</v>
      </c>
      <c r="V58" s="13">
        <f t="shared" si="46"/>
        <v>1.7148300963361784E-2</v>
      </c>
      <c r="W58" s="13">
        <f t="shared" ref="W58:Y58" si="47">SUM(W59:W61)</f>
        <v>0</v>
      </c>
      <c r="X58" s="13">
        <f t="shared" si="47"/>
        <v>0</v>
      </c>
      <c r="Y58" s="13">
        <f t="shared" si="47"/>
        <v>4.3115584905020377E-2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0.1754949195813012</v>
      </c>
      <c r="C60" s="102">
        <v>4.7358834199999998E-4</v>
      </c>
      <c r="D60" s="102">
        <v>4.7358834199999998E-4</v>
      </c>
      <c r="E60" s="102">
        <v>0.17120935693944389</v>
      </c>
      <c r="F60" s="102">
        <v>7.0309653911803278E-3</v>
      </c>
      <c r="G60" s="102">
        <v>5.0140845068450679E-3</v>
      </c>
      <c r="H60" s="102">
        <v>0.10152503442113607</v>
      </c>
      <c r="I60" s="102">
        <v>4.3540682089087235E-2</v>
      </c>
      <c r="J60" s="102">
        <v>1.0501284699571511E-2</v>
      </c>
      <c r="K60" s="102">
        <v>0</v>
      </c>
      <c r="L60" s="102">
        <v>4.7026427378614254E-2</v>
      </c>
      <c r="M60" s="102">
        <v>0</v>
      </c>
      <c r="N60" s="102">
        <v>0</v>
      </c>
      <c r="O60" s="102">
        <v>0</v>
      </c>
      <c r="P60" s="102">
        <v>0</v>
      </c>
      <c r="Q60" s="102">
        <v>1.6137512834846907E-3</v>
      </c>
      <c r="R60" s="102">
        <v>0</v>
      </c>
      <c r="S60" s="102">
        <v>0</v>
      </c>
      <c r="T60" s="102">
        <v>1.8330780018257706E-2</v>
      </c>
      <c r="U60" s="102">
        <v>0</v>
      </c>
      <c r="V60" s="102">
        <v>1.0219362815931415E-2</v>
      </c>
      <c r="W60" s="102">
        <v>0</v>
      </c>
      <c r="X60" s="102">
        <v>0</v>
      </c>
      <c r="Y60" s="102">
        <v>9.0969639888609892E-3</v>
      </c>
      <c r="DA60" s="175" t="s">
        <v>240</v>
      </c>
    </row>
    <row r="61" spans="1:105" ht="11.45" customHeight="1" x14ac:dyDescent="0.25">
      <c r="A61" s="85" t="s">
        <v>182</v>
      </c>
      <c r="B61" s="86">
        <v>1.3604126370129588E-2</v>
      </c>
      <c r="C61" s="86">
        <v>6.4474532605419965E-5</v>
      </c>
      <c r="D61" s="86">
        <v>1.9987105093945794E-3</v>
      </c>
      <c r="E61" s="86">
        <v>5.8671824629729225E-3</v>
      </c>
      <c r="F61" s="86">
        <v>8.7685364281566702E-3</v>
      </c>
      <c r="G61" s="86">
        <v>1.3825718452907379E-2</v>
      </c>
      <c r="H61" s="86">
        <v>3.4515316602551777E-3</v>
      </c>
      <c r="I61" s="86">
        <v>1.4322800713613575E-2</v>
      </c>
      <c r="J61" s="86">
        <v>1.7385970828873692E-2</v>
      </c>
      <c r="K61" s="86">
        <v>9.5731891069996966E-3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6.9289381474303691E-3</v>
      </c>
      <c r="W61" s="86">
        <v>0</v>
      </c>
      <c r="X61" s="86">
        <v>0</v>
      </c>
      <c r="Y61" s="86">
        <v>3.4018620916159384E-2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104.22124749602818</v>
      </c>
      <c r="C66" s="14">
        <f t="shared" si="48"/>
        <v>104.53466804063007</v>
      </c>
      <c r="D66" s="14">
        <f t="shared" ref="D66:V66" si="49">IF(D34=0,0,D34/D24)</f>
        <v>102.77738123562534</v>
      </c>
      <c r="E66" s="14">
        <f t="shared" si="49"/>
        <v>102.02851994045287</v>
      </c>
      <c r="F66" s="14">
        <f t="shared" si="49"/>
        <v>104.79357269162759</v>
      </c>
      <c r="G66" s="14">
        <f t="shared" si="49"/>
        <v>106.18417599382478</v>
      </c>
      <c r="H66" s="14">
        <f t="shared" si="49"/>
        <v>109.05021056041464</v>
      </c>
      <c r="I66" s="14">
        <f t="shared" si="49"/>
        <v>108.63736745886655</v>
      </c>
      <c r="J66" s="14">
        <f t="shared" si="49"/>
        <v>115.23053028622144</v>
      </c>
      <c r="K66" s="14">
        <f t="shared" si="49"/>
        <v>111.22247584265388</v>
      </c>
      <c r="L66" s="14">
        <f t="shared" si="49"/>
        <v>113.83920918014655</v>
      </c>
      <c r="M66" s="14">
        <f t="shared" si="49"/>
        <v>125.77773811223761</v>
      </c>
      <c r="N66" s="14">
        <f t="shared" si="49"/>
        <v>129.49886524822696</v>
      </c>
      <c r="O66" s="14">
        <f t="shared" si="49"/>
        <v>131.11117616445486</v>
      </c>
      <c r="P66" s="14">
        <f t="shared" si="49"/>
        <v>133.12763313241783</v>
      </c>
      <c r="Q66" s="14">
        <f t="shared" si="49"/>
        <v>135.53055832795161</v>
      </c>
      <c r="R66" s="14">
        <f t="shared" si="49"/>
        <v>141.9481572618981</v>
      </c>
      <c r="S66" s="14">
        <f t="shared" si="49"/>
        <v>145.55243872846395</v>
      </c>
      <c r="T66" s="14">
        <f t="shared" si="49"/>
        <v>144.38385467509869</v>
      </c>
      <c r="U66" s="14">
        <f t="shared" si="49"/>
        <v>141.32716097108397</v>
      </c>
      <c r="V66" s="14">
        <f t="shared" si="49"/>
        <v>93.387931945471834</v>
      </c>
      <c r="W66" s="14">
        <f t="shared" ref="W66:Y66" si="50">IF(W34=0,0,W34/W24)</f>
        <v>98.55259891388674</v>
      </c>
      <c r="X66" s="14">
        <f t="shared" si="50"/>
        <v>138.98211567732116</v>
      </c>
      <c r="Y66" s="14">
        <f t="shared" si="50"/>
        <v>147.75027477733562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113.14898382413936</v>
      </c>
      <c r="C68" s="87">
        <f t="shared" si="48"/>
        <v>113.49933704587643</v>
      </c>
      <c r="D68" s="87">
        <f t="shared" ref="D68:V68" si="53">IF(D36=0,0,D36/D26)</f>
        <v>111.1525201424021</v>
      </c>
      <c r="E68" s="87">
        <f t="shared" si="53"/>
        <v>108.57266200127238</v>
      </c>
      <c r="F68" s="87">
        <f t="shared" si="53"/>
        <v>111.10476527274335</v>
      </c>
      <c r="G68" s="87">
        <f t="shared" si="53"/>
        <v>109.8080137871607</v>
      </c>
      <c r="H68" s="87">
        <f t="shared" si="53"/>
        <v>113.58781780612703</v>
      </c>
      <c r="I68" s="87">
        <f t="shared" si="53"/>
        <v>113.38267729211945</v>
      </c>
      <c r="J68" s="87">
        <f t="shared" si="53"/>
        <v>120.77603191402751</v>
      </c>
      <c r="K68" s="87">
        <f t="shared" si="53"/>
        <v>116.68417975275644</v>
      </c>
      <c r="L68" s="87">
        <f t="shared" si="53"/>
        <v>119.09917795707109</v>
      </c>
      <c r="M68" s="87">
        <f t="shared" si="53"/>
        <v>128.64751636503658</v>
      </c>
      <c r="N68" s="87">
        <f t="shared" si="53"/>
        <v>134.21517899015163</v>
      </c>
      <c r="O68" s="87">
        <f t="shared" si="53"/>
        <v>136.96293299992647</v>
      </c>
      <c r="P68" s="87">
        <f t="shared" si="53"/>
        <v>138.28416545818658</v>
      </c>
      <c r="Q68" s="87">
        <f t="shared" si="53"/>
        <v>139.00444247001332</v>
      </c>
      <c r="R68" s="87">
        <f t="shared" si="53"/>
        <v>144.89519966271155</v>
      </c>
      <c r="S68" s="87">
        <f t="shared" si="53"/>
        <v>148.233006688443</v>
      </c>
      <c r="T68" s="87">
        <f t="shared" si="53"/>
        <v>147.63867672770775</v>
      </c>
      <c r="U68" s="87">
        <f t="shared" si="53"/>
        <v>146.92955101327743</v>
      </c>
      <c r="V68" s="87">
        <f t="shared" si="53"/>
        <v>95.862529274004686</v>
      </c>
      <c r="W68" s="87">
        <f t="shared" ref="W68:Y68" si="54">IF(W36=0,0,W36/W26)</f>
        <v>102.76473585867166</v>
      </c>
      <c r="X68" s="87">
        <f t="shared" si="54"/>
        <v>144.44787888345687</v>
      </c>
      <c r="Y68" s="87">
        <f t="shared" si="54"/>
        <v>153.48179473083266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59.785301403798513</v>
      </c>
      <c r="C69" s="87">
        <f t="shared" si="48"/>
        <v>59.916410030796307</v>
      </c>
      <c r="D69" s="87">
        <f t="shared" ref="D69:V69" si="55">IF(D37=0,0,D37/D27)</f>
        <v>56.577777777777776</v>
      </c>
      <c r="E69" s="87">
        <f t="shared" si="55"/>
        <v>61.116477272727273</v>
      </c>
      <c r="F69" s="87">
        <f t="shared" si="55"/>
        <v>62.702830188679243</v>
      </c>
      <c r="G69" s="87">
        <f t="shared" si="55"/>
        <v>75.032592592592593</v>
      </c>
      <c r="H69" s="87">
        <f t="shared" si="55"/>
        <v>67.5480690221857</v>
      </c>
      <c r="I69" s="87">
        <f t="shared" si="55"/>
        <v>61.551916932907346</v>
      </c>
      <c r="J69" s="87">
        <f t="shared" si="55"/>
        <v>60.210016155088852</v>
      </c>
      <c r="K69" s="87">
        <f t="shared" si="55"/>
        <v>55.383432963279247</v>
      </c>
      <c r="L69" s="87">
        <f t="shared" si="55"/>
        <v>61.801957831325304</v>
      </c>
      <c r="M69" s="87">
        <f t="shared" si="55"/>
        <v>89.280117531831536</v>
      </c>
      <c r="N69" s="87">
        <f t="shared" si="55"/>
        <v>83.29632465543645</v>
      </c>
      <c r="O69" s="87">
        <f t="shared" si="55"/>
        <v>86.285070422535213</v>
      </c>
      <c r="P69" s="87">
        <f t="shared" si="55"/>
        <v>86.805210918114142</v>
      </c>
      <c r="Q69" s="87">
        <f t="shared" si="55"/>
        <v>92.63244514106583</v>
      </c>
      <c r="R69" s="87">
        <f t="shared" si="55"/>
        <v>103.66197183098592</v>
      </c>
      <c r="S69" s="87">
        <f t="shared" si="55"/>
        <v>106.32625189681336</v>
      </c>
      <c r="T69" s="87">
        <f t="shared" si="55"/>
        <v>105.66447728516694</v>
      </c>
      <c r="U69" s="87">
        <f t="shared" si="55"/>
        <v>98.166890982503361</v>
      </c>
      <c r="V69" s="87">
        <f t="shared" si="55"/>
        <v>70.491874322860241</v>
      </c>
      <c r="W69" s="87">
        <f t="shared" ref="W69:Y69" si="56">IF(W37=0,0,W37/W27)</f>
        <v>54.113799283154123</v>
      </c>
      <c r="X69" s="87">
        <f t="shared" si="56"/>
        <v>87.020489755122441</v>
      </c>
      <c r="Y69" s="87">
        <f t="shared" si="56"/>
        <v>98.249452154857565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19.37598883216565</v>
      </c>
      <c r="C70" s="15">
        <f t="shared" si="48"/>
        <v>19.974828480165648</v>
      </c>
      <c r="D70" s="15">
        <f t="shared" ref="D70:V70" si="57">IF(D38=0,0,D38/D28)</f>
        <v>20.156827798342338</v>
      </c>
      <c r="E70" s="15">
        <f t="shared" si="57"/>
        <v>19.736794402003039</v>
      </c>
      <c r="F70" s="15">
        <f t="shared" si="57"/>
        <v>19.528793872729807</v>
      </c>
      <c r="G70" s="15">
        <f t="shared" si="57"/>
        <v>18.972896288285046</v>
      </c>
      <c r="H70" s="15">
        <f t="shared" si="57"/>
        <v>16.817513896709997</v>
      </c>
      <c r="I70" s="15">
        <f t="shared" si="57"/>
        <v>16.651714052219322</v>
      </c>
      <c r="J70" s="15">
        <f t="shared" si="57"/>
        <v>16.814799808545462</v>
      </c>
      <c r="K70" s="15">
        <f t="shared" si="57"/>
        <v>17.513466566998375</v>
      </c>
      <c r="L70" s="15">
        <f t="shared" si="57"/>
        <v>16.3037192262776</v>
      </c>
      <c r="M70" s="15">
        <f t="shared" si="57"/>
        <v>16.935286889252431</v>
      </c>
      <c r="N70" s="15">
        <f t="shared" si="57"/>
        <v>19.570268163343826</v>
      </c>
      <c r="O70" s="15">
        <f t="shared" si="57"/>
        <v>20.953026204763248</v>
      </c>
      <c r="P70" s="15">
        <f t="shared" si="57"/>
        <v>21.615065113614232</v>
      </c>
      <c r="Q70" s="15">
        <f t="shared" si="57"/>
        <v>20.425031931691169</v>
      </c>
      <c r="R70" s="15">
        <f t="shared" si="57"/>
        <v>26.187452134140432</v>
      </c>
      <c r="S70" s="15">
        <f t="shared" si="57"/>
        <v>24.395981532500386</v>
      </c>
      <c r="T70" s="15">
        <f t="shared" si="57"/>
        <v>24.801592438489383</v>
      </c>
      <c r="U70" s="15">
        <f t="shared" si="57"/>
        <v>28.351499938816712</v>
      </c>
      <c r="V70" s="15">
        <f t="shared" si="57"/>
        <v>26.512544672072842</v>
      </c>
      <c r="W70" s="15">
        <f t="shared" ref="W70:Y70" si="58">IF(W38=0,0,W38/W28)</f>
        <v>26.910385686540927</v>
      </c>
      <c r="X70" s="15">
        <f t="shared" si="58"/>
        <v>26.980863448830156</v>
      </c>
      <c r="Y70" s="15">
        <f t="shared" si="58"/>
        <v>28.4298913043413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16.347531780245244</v>
      </c>
      <c r="D72" s="41">
        <f t="shared" ref="D72:V72" si="61">IF(D40=0,0,D40/D30)</f>
        <v>16.365143935076347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15.202475894043335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13.706049515651271</v>
      </c>
      <c r="K72" s="41">
        <f t="shared" si="61"/>
        <v>13.698894254303415</v>
      </c>
      <c r="L72" s="41">
        <f t="shared" si="61"/>
        <v>14.504774438576119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18.449412678664512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44.215541300581258</v>
      </c>
      <c r="H73" s="40">
        <f t="shared" si="63"/>
        <v>45.164132697953754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1649.855444956929</v>
      </c>
      <c r="C75" s="62">
        <f t="shared" si="65"/>
        <v>1650.0916573384131</v>
      </c>
      <c r="D75" s="62">
        <f t="shared" ref="D75:V75" si="66">IF(D13=0,0,D13*1000000/D23)</f>
        <v>1664.5393118180202</v>
      </c>
      <c r="E75" s="62">
        <f t="shared" si="66"/>
        <v>1672.1033372438326</v>
      </c>
      <c r="F75" s="62">
        <f t="shared" si="66"/>
        <v>1671.3809983600024</v>
      </c>
      <c r="G75" s="62">
        <f t="shared" si="66"/>
        <v>1706.9269114735939</v>
      </c>
      <c r="H75" s="62">
        <f t="shared" si="66"/>
        <v>1683.4612601983531</v>
      </c>
      <c r="I75" s="62">
        <f t="shared" si="66"/>
        <v>1682.9534450961344</v>
      </c>
      <c r="J75" s="62">
        <f t="shared" si="66"/>
        <v>1684.8007790971974</v>
      </c>
      <c r="K75" s="62">
        <f t="shared" si="66"/>
        <v>1658.9842332633914</v>
      </c>
      <c r="L75" s="62">
        <f t="shared" si="66"/>
        <v>1651.237500267624</v>
      </c>
      <c r="M75" s="62">
        <f t="shared" si="66"/>
        <v>1712.0362262073654</v>
      </c>
      <c r="N75" s="62">
        <f t="shared" si="66"/>
        <v>1694.0573965726703</v>
      </c>
      <c r="O75" s="62">
        <f t="shared" si="66"/>
        <v>1704.1514843765613</v>
      </c>
      <c r="P75" s="62">
        <f t="shared" si="66"/>
        <v>1679.9617527314354</v>
      </c>
      <c r="Q75" s="62">
        <f t="shared" si="66"/>
        <v>1667.3429552284797</v>
      </c>
      <c r="R75" s="62">
        <f t="shared" si="66"/>
        <v>1665.7022646579312</v>
      </c>
      <c r="S75" s="62">
        <f t="shared" si="66"/>
        <v>1637.2299268665643</v>
      </c>
      <c r="T75" s="62">
        <f t="shared" si="66"/>
        <v>1637.7914311223642</v>
      </c>
      <c r="U75" s="62">
        <f t="shared" si="66"/>
        <v>1685.375303459693</v>
      </c>
      <c r="V75" s="62">
        <f t="shared" si="66"/>
        <v>1658.8476063909993</v>
      </c>
      <c r="W75" s="62">
        <f t="shared" ref="W75:Y75" si="67">IF(W13=0,0,W13*1000000/W23)</f>
        <v>1617.0920681791958</v>
      </c>
      <c r="X75" s="62">
        <f t="shared" si="67"/>
        <v>1576.4263094774676</v>
      </c>
      <c r="Y75" s="62">
        <f t="shared" si="67"/>
        <v>1548.6359779145314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1657.1614648708792</v>
      </c>
      <c r="C76" s="14">
        <f t="shared" si="65"/>
        <v>1657.1593971754912</v>
      </c>
      <c r="D76" s="14">
        <f t="shared" ref="D76:V76" si="68">IF(D14=0,0,D14*1000000/D24)</f>
        <v>1672.3481343099604</v>
      </c>
      <c r="E76" s="14">
        <f t="shared" si="68"/>
        <v>1684.6184214709663</v>
      </c>
      <c r="F76" s="14">
        <f t="shared" si="68"/>
        <v>1681.8837776771952</v>
      </c>
      <c r="G76" s="14">
        <f t="shared" si="68"/>
        <v>1720.3826024065818</v>
      </c>
      <c r="H76" s="14">
        <f t="shared" si="68"/>
        <v>1697.72290384539</v>
      </c>
      <c r="I76" s="14">
        <f t="shared" si="68"/>
        <v>1692.1571440817879</v>
      </c>
      <c r="J76" s="14">
        <f t="shared" si="68"/>
        <v>1689.1520195692881</v>
      </c>
      <c r="K76" s="14">
        <f t="shared" si="68"/>
        <v>1658.0811430527754</v>
      </c>
      <c r="L76" s="14">
        <f t="shared" si="68"/>
        <v>1650.9391787909776</v>
      </c>
      <c r="M76" s="14">
        <f t="shared" si="68"/>
        <v>1711.0454422298978</v>
      </c>
      <c r="N76" s="14">
        <f t="shared" si="68"/>
        <v>1690.3698534876983</v>
      </c>
      <c r="O76" s="14">
        <f t="shared" si="68"/>
        <v>1702.9044849332995</v>
      </c>
      <c r="P76" s="14">
        <f t="shared" si="68"/>
        <v>1680.7136468929812</v>
      </c>
      <c r="Q76" s="14">
        <f t="shared" si="68"/>
        <v>1669.9638884706967</v>
      </c>
      <c r="R76" s="14">
        <f t="shared" si="68"/>
        <v>1668.1378914891761</v>
      </c>
      <c r="S76" s="14">
        <f t="shared" si="68"/>
        <v>1640.6284899030115</v>
      </c>
      <c r="T76" s="14">
        <f t="shared" si="68"/>
        <v>1641.6192683043955</v>
      </c>
      <c r="U76" s="14">
        <f t="shared" si="68"/>
        <v>1688.0615548054518</v>
      </c>
      <c r="V76" s="14">
        <f t="shared" si="68"/>
        <v>1661.7432739860806</v>
      </c>
      <c r="W76" s="14">
        <f t="shared" ref="W76:Y76" si="69">IF(W14=0,0,W14*1000000/W24)</f>
        <v>1623.2614580589366</v>
      </c>
      <c r="X76" s="14">
        <f t="shared" si="69"/>
        <v>1577.5290945954312</v>
      </c>
      <c r="Y76" s="14">
        <f t="shared" si="69"/>
        <v>1548.6364569912462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1780.9247912130938</v>
      </c>
      <c r="C78" s="39">
        <f t="shared" si="65"/>
        <v>1780.9265042737629</v>
      </c>
      <c r="D78" s="39">
        <f t="shared" ref="D78:V78" si="72">IF(D16=0,0,D16*1000000/D26)</f>
        <v>1786.7717907288197</v>
      </c>
      <c r="E78" s="39">
        <f t="shared" si="72"/>
        <v>1787.5444480405467</v>
      </c>
      <c r="F78" s="39">
        <f t="shared" si="72"/>
        <v>1777.956227111305</v>
      </c>
      <c r="G78" s="39">
        <f t="shared" si="72"/>
        <v>1798.4382584383686</v>
      </c>
      <c r="H78" s="39">
        <f t="shared" si="72"/>
        <v>1754.5927815284149</v>
      </c>
      <c r="I78" s="39">
        <f t="shared" si="72"/>
        <v>1743.6585349361765</v>
      </c>
      <c r="J78" s="39">
        <f t="shared" si="72"/>
        <v>1730.5770577236483</v>
      </c>
      <c r="K78" s="39">
        <f t="shared" si="72"/>
        <v>1698.2878487716066</v>
      </c>
      <c r="L78" s="39">
        <f t="shared" si="72"/>
        <v>1688.5138630047597</v>
      </c>
      <c r="M78" s="39">
        <f t="shared" si="72"/>
        <v>1716.8854794659946</v>
      </c>
      <c r="N78" s="39">
        <f t="shared" si="72"/>
        <v>1726.5114950173113</v>
      </c>
      <c r="O78" s="39">
        <f t="shared" si="72"/>
        <v>1734.570034275245</v>
      </c>
      <c r="P78" s="39">
        <f t="shared" si="72"/>
        <v>1718.7470337499087</v>
      </c>
      <c r="Q78" s="39">
        <f t="shared" si="72"/>
        <v>1706.047417171291</v>
      </c>
      <c r="R78" s="39">
        <f t="shared" si="72"/>
        <v>1676.4181443742175</v>
      </c>
      <c r="S78" s="39">
        <f t="shared" si="72"/>
        <v>1663.0274127962655</v>
      </c>
      <c r="T78" s="39">
        <f t="shared" si="72"/>
        <v>1661.1843503438251</v>
      </c>
      <c r="U78" s="39">
        <f t="shared" si="72"/>
        <v>1675.6267933677384</v>
      </c>
      <c r="V78" s="39">
        <f t="shared" si="72"/>
        <v>1636.8627067262134</v>
      </c>
      <c r="W78" s="39">
        <f t="shared" ref="W78:Y78" si="73">IF(W16=0,0,W16*1000000/W26)</f>
        <v>1597.394192458298</v>
      </c>
      <c r="X78" s="39">
        <f t="shared" si="73"/>
        <v>1589.9846585944704</v>
      </c>
      <c r="Y78" s="39">
        <f t="shared" si="73"/>
        <v>1561.12190046103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1041.1553133203454</v>
      </c>
      <c r="C79" s="39">
        <f t="shared" si="65"/>
        <v>1041.1553133203454</v>
      </c>
      <c r="D79" s="39">
        <f t="shared" ref="D79:V79" si="74">IF(D17=0,0,D17*1000000/D27)</f>
        <v>1041.1553133203454</v>
      </c>
      <c r="E79" s="39">
        <f t="shared" si="74"/>
        <v>1041.1553133203454</v>
      </c>
      <c r="F79" s="39">
        <f t="shared" si="74"/>
        <v>1041.1553133203454</v>
      </c>
      <c r="G79" s="39">
        <f t="shared" si="74"/>
        <v>1049.3930555555555</v>
      </c>
      <c r="H79" s="39">
        <f t="shared" si="74"/>
        <v>1177.5761425555356</v>
      </c>
      <c r="I79" s="39">
        <f t="shared" si="74"/>
        <v>1181.1333592702292</v>
      </c>
      <c r="J79" s="39">
        <f t="shared" si="74"/>
        <v>1278.1473801104773</v>
      </c>
      <c r="K79" s="39">
        <f t="shared" si="74"/>
        <v>1247.0182217326644</v>
      </c>
      <c r="L79" s="39">
        <f t="shared" si="74"/>
        <v>1279.2101116217991</v>
      </c>
      <c r="M79" s="39">
        <f t="shared" si="74"/>
        <v>1636.7722948148958</v>
      </c>
      <c r="N79" s="39">
        <f t="shared" si="74"/>
        <v>1336.3145994832041</v>
      </c>
      <c r="O79" s="39">
        <f t="shared" si="74"/>
        <v>1460.3374571009419</v>
      </c>
      <c r="P79" s="39">
        <f t="shared" si="74"/>
        <v>1339.050200816574</v>
      </c>
      <c r="Q79" s="39">
        <f t="shared" si="74"/>
        <v>1224.3775548223725</v>
      </c>
      <c r="R79" s="39">
        <f t="shared" si="74"/>
        <v>1560.5658737659053</v>
      </c>
      <c r="S79" s="39">
        <f t="shared" si="74"/>
        <v>1312.8530529969491</v>
      </c>
      <c r="T79" s="39">
        <f t="shared" si="74"/>
        <v>1408.8729666924864</v>
      </c>
      <c r="U79" s="39">
        <f t="shared" si="74"/>
        <v>1783.8577519379844</v>
      </c>
      <c r="V79" s="39">
        <f t="shared" si="74"/>
        <v>1891.9491725768321</v>
      </c>
      <c r="W79" s="39">
        <f t="shared" ref="W79:Y79" si="75">IF(W17=0,0,W17*1000000/W27)</f>
        <v>1896.1657458563534</v>
      </c>
      <c r="X79" s="39">
        <f t="shared" si="75"/>
        <v>1459.117203564085</v>
      </c>
      <c r="Y79" s="39">
        <f t="shared" si="75"/>
        <v>1440.804725168756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1363.9926063237911</v>
      </c>
      <c r="C80" s="15">
        <f t="shared" si="65"/>
        <v>1359.9940336932671</v>
      </c>
      <c r="D80" s="15">
        <f t="shared" ref="D80:V80" si="76">IF(D18=0,0,D18*1000000/D28)</f>
        <v>1354.9121331989236</v>
      </c>
      <c r="E80" s="15">
        <f t="shared" si="76"/>
        <v>1336.5360683553677</v>
      </c>
      <c r="F80" s="15">
        <f t="shared" si="76"/>
        <v>1349.9465264100609</v>
      </c>
      <c r="G80" s="15">
        <f t="shared" si="76"/>
        <v>1322.9655105113479</v>
      </c>
      <c r="H80" s="15">
        <f t="shared" si="76"/>
        <v>1353.6807812590055</v>
      </c>
      <c r="I80" s="15">
        <f t="shared" si="76"/>
        <v>1453.2808472333388</v>
      </c>
      <c r="J80" s="15">
        <f t="shared" si="76"/>
        <v>1572.0936480183902</v>
      </c>
      <c r="K80" s="15">
        <f t="shared" si="76"/>
        <v>1683.5076106149018</v>
      </c>
      <c r="L80" s="15">
        <f t="shared" si="76"/>
        <v>1660.518185173356</v>
      </c>
      <c r="M80" s="15">
        <f t="shared" si="76"/>
        <v>1745.7180718103059</v>
      </c>
      <c r="N80" s="15">
        <f t="shared" si="76"/>
        <v>1830.8846531466281</v>
      </c>
      <c r="O80" s="15">
        <f t="shared" si="76"/>
        <v>1764.6211229942899</v>
      </c>
      <c r="P80" s="15">
        <f t="shared" si="76"/>
        <v>1635.6385558751956</v>
      </c>
      <c r="Q80" s="15">
        <f t="shared" si="76"/>
        <v>1527.3982658407606</v>
      </c>
      <c r="R80" s="15">
        <f t="shared" si="76"/>
        <v>1444.6289480615289</v>
      </c>
      <c r="S80" s="15">
        <f t="shared" si="76"/>
        <v>1311.5211298154347</v>
      </c>
      <c r="T80" s="15">
        <f t="shared" si="76"/>
        <v>1252.3740300717491</v>
      </c>
      <c r="U80" s="15">
        <f t="shared" si="76"/>
        <v>1253.7731307137333</v>
      </c>
      <c r="V80" s="15">
        <f t="shared" si="76"/>
        <v>1531.3978275433058</v>
      </c>
      <c r="W80" s="15">
        <f t="shared" ref="W80:Y80" si="77">IF(W18=0,0,W18*1000000/W28)</f>
        <v>1284.3580282216553</v>
      </c>
      <c r="X80" s="15">
        <f t="shared" si="77"/>
        <v>1473.3820680549488</v>
      </c>
      <c r="Y80" s="15">
        <f t="shared" si="77"/>
        <v>1548.5879154083896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1419.7985455001919</v>
      </c>
      <c r="C82" s="41">
        <f t="shared" si="65"/>
        <v>1420.5584155094698</v>
      </c>
      <c r="D82" s="41">
        <f t="shared" ref="D82:V82" si="80">IF(D20=0,0,D20*1000000/D30)</f>
        <v>1419.8487854421742</v>
      </c>
      <c r="E82" s="41">
        <f t="shared" si="80"/>
        <v>1383.5971143274576</v>
      </c>
      <c r="F82" s="41">
        <f t="shared" si="80"/>
        <v>1417.4112837302432</v>
      </c>
      <c r="G82" s="41">
        <f t="shared" si="80"/>
        <v>1400.7308230518613</v>
      </c>
      <c r="H82" s="41">
        <f t="shared" si="80"/>
        <v>1347.2071455854855</v>
      </c>
      <c r="I82" s="41">
        <f t="shared" si="80"/>
        <v>1407.2755626896806</v>
      </c>
      <c r="J82" s="41">
        <f t="shared" si="80"/>
        <v>1469.7395280950577</v>
      </c>
      <c r="K82" s="41">
        <f t="shared" si="80"/>
        <v>1533.7713070440705</v>
      </c>
      <c r="L82" s="41">
        <f t="shared" si="80"/>
        <v>1570.3737158140191</v>
      </c>
      <c r="M82" s="41">
        <f t="shared" si="80"/>
        <v>1683.0443210289091</v>
      </c>
      <c r="N82" s="41">
        <f t="shared" si="80"/>
        <v>1750.8074431140831</v>
      </c>
      <c r="O82" s="41">
        <f t="shared" si="80"/>
        <v>1669.2514408323975</v>
      </c>
      <c r="P82" s="41">
        <f t="shared" si="80"/>
        <v>1601.2725769928761</v>
      </c>
      <c r="Q82" s="41">
        <f t="shared" si="80"/>
        <v>1524.0117726709818</v>
      </c>
      <c r="R82" s="41">
        <f t="shared" si="80"/>
        <v>1433.5595352211669</v>
      </c>
      <c r="S82" s="41">
        <f t="shared" si="80"/>
        <v>1354.325937117826</v>
      </c>
      <c r="T82" s="41">
        <f t="shared" si="80"/>
        <v>1328.1324335085205</v>
      </c>
      <c r="U82" s="41">
        <f t="shared" si="80"/>
        <v>1383.4818899782135</v>
      </c>
      <c r="V82" s="41">
        <f t="shared" si="80"/>
        <v>1575.8851275195932</v>
      </c>
      <c r="W82" s="41">
        <f t="shared" ref="W82:Y82" si="81">IF(W20=0,0,W20*1000000/W30)</f>
        <v>1421.9683478358816</v>
      </c>
      <c r="X82" s="41">
        <f t="shared" si="81"/>
        <v>1382.8280526122228</v>
      </c>
      <c r="Y82" s="41">
        <f t="shared" si="81"/>
        <v>1296.5895443991221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794.09559109812312</v>
      </c>
      <c r="C83" s="40">
        <f t="shared" si="65"/>
        <v>794.09559109812312</v>
      </c>
      <c r="D83" s="40">
        <f t="shared" ref="D83:V83" si="82">IF(D21=0,0,D21*1000000/D31)</f>
        <v>794.09559109812312</v>
      </c>
      <c r="E83" s="40">
        <f t="shared" si="82"/>
        <v>794.09559109812312</v>
      </c>
      <c r="F83" s="40">
        <f t="shared" si="82"/>
        <v>794.09559109812312</v>
      </c>
      <c r="G83" s="40">
        <f t="shared" si="82"/>
        <v>802.33333333333337</v>
      </c>
      <c r="H83" s="40">
        <f t="shared" si="82"/>
        <v>1419.2263424533983</v>
      </c>
      <c r="I83" s="40">
        <f t="shared" si="82"/>
        <v>1911.4934812881759</v>
      </c>
      <c r="J83" s="40">
        <f t="shared" si="82"/>
        <v>2497.2174242485094</v>
      </c>
      <c r="K83" s="40">
        <f t="shared" si="82"/>
        <v>2954.7981879907811</v>
      </c>
      <c r="L83" s="40">
        <f t="shared" si="82"/>
        <v>3475.7000000000003</v>
      </c>
      <c r="M83" s="40">
        <f t="shared" si="82"/>
        <v>3527.4432725957276</v>
      </c>
      <c r="N83" s="40">
        <f t="shared" si="82"/>
        <v>2921.166666666667</v>
      </c>
      <c r="O83" s="40">
        <f t="shared" si="82"/>
        <v>2644.4833519717463</v>
      </c>
      <c r="P83" s="40">
        <f t="shared" si="82"/>
        <v>2122.4899233747205</v>
      </c>
      <c r="Q83" s="40">
        <f t="shared" si="82"/>
        <v>1607.1111050678608</v>
      </c>
      <c r="R83" s="40">
        <f t="shared" si="82"/>
        <v>1542.5932516987352</v>
      </c>
      <c r="S83" s="40">
        <f t="shared" si="82"/>
        <v>894.1742586171207</v>
      </c>
      <c r="T83" s="40">
        <f t="shared" si="82"/>
        <v>589.48799999999994</v>
      </c>
      <c r="U83" s="40">
        <f t="shared" si="82"/>
        <v>548.15748031496059</v>
      </c>
      <c r="V83" s="40">
        <f t="shared" si="82"/>
        <v>1410.9753086419753</v>
      </c>
      <c r="W83" s="40">
        <f t="shared" ref="W83:Y83" si="83">IF(W21=0,0,W21*1000000/W31)</f>
        <v>882.80660377358481</v>
      </c>
      <c r="X83" s="40">
        <f t="shared" si="83"/>
        <v>1807.3000000000002</v>
      </c>
      <c r="Y83" s="40">
        <f t="shared" si="83"/>
        <v>2383.0743243243242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201975.16348152034</v>
      </c>
      <c r="C86" s="11">
        <f t="shared" si="84"/>
        <v>200632.5364766664</v>
      </c>
      <c r="D86" s="11">
        <f t="shared" ref="D86:V86" si="85">IF(D4=0,0,D4*1000000/D24)</f>
        <v>195306.68342463914</v>
      </c>
      <c r="E86" s="11">
        <f t="shared" si="85"/>
        <v>189510.90937638568</v>
      </c>
      <c r="F86" s="11">
        <f t="shared" si="85"/>
        <v>192390.79189389618</v>
      </c>
      <c r="G86" s="11">
        <f t="shared" si="85"/>
        <v>194440.0998422004</v>
      </c>
      <c r="H86" s="11">
        <f t="shared" si="85"/>
        <v>193437.0060516448</v>
      </c>
      <c r="I86" s="11">
        <f t="shared" si="85"/>
        <v>188063.44425794922</v>
      </c>
      <c r="J86" s="11">
        <f t="shared" si="85"/>
        <v>196863.50739740219</v>
      </c>
      <c r="K86" s="11">
        <f t="shared" si="85"/>
        <v>187095.76286110739</v>
      </c>
      <c r="L86" s="11">
        <f t="shared" si="85"/>
        <v>189821.16774775062</v>
      </c>
      <c r="M86" s="11">
        <f t="shared" si="85"/>
        <v>217382.46171116031</v>
      </c>
      <c r="N86" s="11">
        <f t="shared" si="85"/>
        <v>220963.73881473186</v>
      </c>
      <c r="O86" s="11">
        <f t="shared" si="85"/>
        <v>223505.05195930609</v>
      </c>
      <c r="P86" s="11">
        <f t="shared" si="85"/>
        <v>221251.48369627519</v>
      </c>
      <c r="Q86" s="11">
        <f t="shared" si="85"/>
        <v>220870.19707461161</v>
      </c>
      <c r="R86" s="11">
        <f t="shared" si="85"/>
        <v>237343.72552815563</v>
      </c>
      <c r="S86" s="11">
        <f t="shared" si="85"/>
        <v>236657.09127275849</v>
      </c>
      <c r="T86" s="11">
        <f t="shared" si="85"/>
        <v>235193.85557856486</v>
      </c>
      <c r="U86" s="11">
        <f t="shared" si="85"/>
        <v>234335.65362513001</v>
      </c>
      <c r="V86" s="11">
        <f t="shared" si="85"/>
        <v>159852.28584458484</v>
      </c>
      <c r="W86" s="11">
        <f t="shared" ref="W86:Y86" si="86">IF(W4=0,0,W4*1000000/W24)</f>
        <v>159507.7630888086</v>
      </c>
      <c r="X86" s="11">
        <f t="shared" si="86"/>
        <v>214918.99132369901</v>
      </c>
      <c r="Y86" s="11">
        <f t="shared" si="86"/>
        <v>222298.65722748355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229758.07861726396</v>
      </c>
      <c r="C88" s="36">
        <f t="shared" si="84"/>
        <v>228118.57054107179</v>
      </c>
      <c r="D88" s="36">
        <f t="shared" ref="D88:V88" si="89">IF(D6=0,0,D6*1000000/D26)</f>
        <v>219785.55390513249</v>
      </c>
      <c r="E88" s="36">
        <f t="shared" si="89"/>
        <v>209409.68437865595</v>
      </c>
      <c r="F88" s="36">
        <f t="shared" si="89"/>
        <v>211222.24626844114</v>
      </c>
      <c r="G88" s="36">
        <f t="shared" si="89"/>
        <v>207686.80987491345</v>
      </c>
      <c r="H88" s="36">
        <f t="shared" si="89"/>
        <v>205687.53696652254</v>
      </c>
      <c r="I88" s="36">
        <f t="shared" si="89"/>
        <v>199519.5897189067</v>
      </c>
      <c r="J88" s="36">
        <f t="shared" si="89"/>
        <v>208768.67033237414</v>
      </c>
      <c r="K88" s="36">
        <f t="shared" si="89"/>
        <v>198483.72204262405</v>
      </c>
      <c r="L88" s="36">
        <f t="shared" si="89"/>
        <v>200831.6296259705</v>
      </c>
      <c r="M88" s="36">
        <f t="shared" si="89"/>
        <v>222251.67548262831</v>
      </c>
      <c r="N88" s="36">
        <f t="shared" si="89"/>
        <v>232136.29499914043</v>
      </c>
      <c r="O88" s="36">
        <f t="shared" si="89"/>
        <v>235827.93925190251</v>
      </c>
      <c r="P88" s="36">
        <f t="shared" si="89"/>
        <v>233813.55284314742</v>
      </c>
      <c r="Q88" s="36">
        <f t="shared" si="89"/>
        <v>229055.74514459283</v>
      </c>
      <c r="R88" s="36">
        <f t="shared" si="89"/>
        <v>238811.8712254662</v>
      </c>
      <c r="S88" s="36">
        <f t="shared" si="89"/>
        <v>241953.28779361592</v>
      </c>
      <c r="T88" s="36">
        <f t="shared" si="89"/>
        <v>241991.66073527743</v>
      </c>
      <c r="U88" s="36">
        <f t="shared" si="89"/>
        <v>242651.73067494572</v>
      </c>
      <c r="V88" s="36">
        <f t="shared" si="89"/>
        <v>161669.28261347927</v>
      </c>
      <c r="W88" s="36">
        <f t="shared" ref="W88:Y88" si="90">IF(W6=0,0,W6*1000000/W26)</f>
        <v>162522.30006765778</v>
      </c>
      <c r="X88" s="36">
        <f t="shared" si="90"/>
        <v>222721.44294526629</v>
      </c>
      <c r="Y88" s="36">
        <f t="shared" si="90"/>
        <v>232100.90318998223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63691.496280286083</v>
      </c>
      <c r="C89" s="36">
        <f t="shared" si="84"/>
        <v>63831.171157432611</v>
      </c>
      <c r="D89" s="36">
        <f t="shared" ref="D89:V89" si="91">IF(D7=0,0,D7*1000000/D27)</f>
        <v>60274.402541545656</v>
      </c>
      <c r="E89" s="36">
        <f t="shared" si="91"/>
        <v>65109.647245715445</v>
      </c>
      <c r="F89" s="36">
        <f t="shared" si="91"/>
        <v>66799.647772151817</v>
      </c>
      <c r="G89" s="36">
        <f t="shared" si="91"/>
        <v>80567.455449878224</v>
      </c>
      <c r="H89" s="36">
        <f t="shared" si="91"/>
        <v>81390.449261583824</v>
      </c>
      <c r="I89" s="36">
        <f t="shared" si="91"/>
        <v>74389.566413320412</v>
      </c>
      <c r="J89" s="36">
        <f t="shared" si="91"/>
        <v>78744.673528048123</v>
      </c>
      <c r="K89" s="36">
        <f t="shared" si="91"/>
        <v>70668.224585174758</v>
      </c>
      <c r="L89" s="36">
        <f t="shared" si="91"/>
        <v>80893.87244951805</v>
      </c>
      <c r="M89" s="36">
        <f t="shared" si="91"/>
        <v>155456.1729525789</v>
      </c>
      <c r="N89" s="36">
        <f t="shared" si="91"/>
        <v>111513.75120116091</v>
      </c>
      <c r="O89" s="36">
        <f t="shared" si="91"/>
        <v>129108.26406216058</v>
      </c>
      <c r="P89" s="36">
        <f t="shared" si="91"/>
        <v>108403.26823978865</v>
      </c>
      <c r="Q89" s="36">
        <f t="shared" si="91"/>
        <v>119788.94242046264</v>
      </c>
      <c r="R89" s="36">
        <f t="shared" si="91"/>
        <v>218270.46808492628</v>
      </c>
      <c r="S89" s="36">
        <f t="shared" si="91"/>
        <v>159155.0106219415</v>
      </c>
      <c r="T89" s="36">
        <f t="shared" si="91"/>
        <v>154327.13566833426</v>
      </c>
      <c r="U89" s="36">
        <f t="shared" si="91"/>
        <v>170269.40189815158</v>
      </c>
      <c r="V89" s="36">
        <f t="shared" si="91"/>
        <v>143040.63643357888</v>
      </c>
      <c r="W89" s="36">
        <f t="shared" ref="W89:Y89" si="92">IF(W7=0,0,W7*1000000/W27)</f>
        <v>127703.85772234802</v>
      </c>
      <c r="X89" s="36">
        <f t="shared" si="92"/>
        <v>140743.06069047865</v>
      </c>
      <c r="Y89" s="36">
        <f t="shared" si="92"/>
        <v>137640.6184125795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29905.567654199098</v>
      </c>
      <c r="C90" s="13">
        <f t="shared" si="84"/>
        <v>32511.31974048126</v>
      </c>
      <c r="D90" s="13">
        <f t="shared" ref="D90:V90" si="93">IF(D8=0,0,D8*1000000/D28)</f>
        <v>30860.795798413223</v>
      </c>
      <c r="E90" s="13">
        <f t="shared" si="93"/>
        <v>29716.578767340354</v>
      </c>
      <c r="F90" s="13">
        <f t="shared" si="93"/>
        <v>27855.094673370648</v>
      </c>
      <c r="G90" s="13">
        <f t="shared" si="93"/>
        <v>27215.993232893106</v>
      </c>
      <c r="H90" s="13">
        <f t="shared" si="93"/>
        <v>26559.280986134701</v>
      </c>
      <c r="I90" s="13">
        <f t="shared" si="93"/>
        <v>29699.315308016365</v>
      </c>
      <c r="J90" s="13">
        <f t="shared" si="93"/>
        <v>33706.683926185411</v>
      </c>
      <c r="K90" s="13">
        <f t="shared" si="93"/>
        <v>40116.067797094503</v>
      </c>
      <c r="L90" s="13">
        <f t="shared" si="93"/>
        <v>34831.244567039183</v>
      </c>
      <c r="M90" s="13">
        <f t="shared" si="93"/>
        <v>36729.503865161081</v>
      </c>
      <c r="N90" s="13">
        <f t="shared" si="93"/>
        <v>45370.964941172089</v>
      </c>
      <c r="O90" s="13">
        <f t="shared" si="93"/>
        <v>47221.140363113154</v>
      </c>
      <c r="P90" s="13">
        <f t="shared" si="93"/>
        <v>43530.774454950915</v>
      </c>
      <c r="Q90" s="13">
        <f t="shared" si="93"/>
        <v>38184.458662964746</v>
      </c>
      <c r="R90" s="13">
        <f t="shared" si="93"/>
        <v>49313.57289673332</v>
      </c>
      <c r="S90" s="13">
        <f t="shared" si="93"/>
        <v>35914.042508855011</v>
      </c>
      <c r="T90" s="13">
        <f t="shared" si="93"/>
        <v>32573.546898903838</v>
      </c>
      <c r="U90" s="13">
        <f t="shared" si="93"/>
        <v>34685.43889120574</v>
      </c>
      <c r="V90" s="13">
        <f t="shared" si="93"/>
        <v>47175.584330007325</v>
      </c>
      <c r="W90" s="13">
        <f t="shared" ref="W90:Y90" si="94">IF(W8=0,0,W8*1000000/W28)</f>
        <v>38423.263708614053</v>
      </c>
      <c r="X90" s="13">
        <f t="shared" si="94"/>
        <v>50256.328319470384</v>
      </c>
      <c r="Y90" s="13">
        <f t="shared" si="94"/>
        <v>57056.808456811443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27654.372484729898</v>
      </c>
      <c r="C92" s="34">
        <f t="shared" si="84"/>
        <v>30058.505107432185</v>
      </c>
      <c r="D92" s="34">
        <f t="shared" ref="D92:V92" si="97">IF(D10=0,0,D10*1000000/D30)</f>
        <v>28374.234138381918</v>
      </c>
      <c r="E92" s="34">
        <f t="shared" si="97"/>
        <v>28169.075980014943</v>
      </c>
      <c r="F92" s="34">
        <f t="shared" si="97"/>
        <v>25634.064999211681</v>
      </c>
      <c r="G92" s="34">
        <f t="shared" si="97"/>
        <v>24730.670734927087</v>
      </c>
      <c r="H92" s="34">
        <f t="shared" si="97"/>
        <v>21775.857280525473</v>
      </c>
      <c r="I92" s="34">
        <f t="shared" si="97"/>
        <v>22709.512813277994</v>
      </c>
      <c r="J92" s="34">
        <f t="shared" si="97"/>
        <v>23369.748855147514</v>
      </c>
      <c r="K92" s="34">
        <f t="shared" si="97"/>
        <v>24858.214635007895</v>
      </c>
      <c r="L92" s="34">
        <f t="shared" si="97"/>
        <v>26485.842393416984</v>
      </c>
      <c r="M92" s="34">
        <f t="shared" si="97"/>
        <v>30169.095317449766</v>
      </c>
      <c r="N92" s="34">
        <f t="shared" si="97"/>
        <v>34760.89122530046</v>
      </c>
      <c r="O92" s="34">
        <f t="shared" si="97"/>
        <v>33113.170476922191</v>
      </c>
      <c r="P92" s="34">
        <f t="shared" si="97"/>
        <v>36095.807127662054</v>
      </c>
      <c r="Q92" s="34">
        <f t="shared" si="97"/>
        <v>34395.320559153966</v>
      </c>
      <c r="R92" s="34">
        <f t="shared" si="97"/>
        <v>35677.754337692662</v>
      </c>
      <c r="S92" s="34">
        <f t="shared" si="97"/>
        <v>31101.461581068215</v>
      </c>
      <c r="T92" s="34">
        <f t="shared" si="97"/>
        <v>30518.773500031799</v>
      </c>
      <c r="U92" s="34">
        <f t="shared" si="97"/>
        <v>32609.717095868011</v>
      </c>
      <c r="V92" s="34">
        <f t="shared" si="97"/>
        <v>33017.697360433616</v>
      </c>
      <c r="W92" s="34">
        <f t="shared" ref="W92:Y92" si="98">IF(W10=0,0,W10*1000000/W30)</f>
        <v>29541.097836127181</v>
      </c>
      <c r="X92" s="34">
        <f t="shared" si="98"/>
        <v>28381.731498799902</v>
      </c>
      <c r="Y92" s="34">
        <f t="shared" si="98"/>
        <v>26855.467607791794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52895.045596960299</v>
      </c>
      <c r="C93" s="35">
        <f t="shared" si="84"/>
        <v>55429.806468033516</v>
      </c>
      <c r="D93" s="35">
        <f t="shared" ref="D93:V93" si="99">IF(D11=0,0,D11*1000000/D31)</f>
        <v>52335.646498683556</v>
      </c>
      <c r="E93" s="35">
        <f t="shared" si="99"/>
        <v>47553.584579143731</v>
      </c>
      <c r="F93" s="35">
        <f t="shared" si="99"/>
        <v>46154.447858289095</v>
      </c>
      <c r="G93" s="35">
        <f t="shared" si="99"/>
        <v>43855.016736224912</v>
      </c>
      <c r="H93" s="35">
        <f t="shared" si="99"/>
        <v>74991.446005428108</v>
      </c>
      <c r="I93" s="35">
        <f t="shared" si="99"/>
        <v>99317.74815561049</v>
      </c>
      <c r="J93" s="35">
        <f t="shared" si="99"/>
        <v>127136.6739913357</v>
      </c>
      <c r="K93" s="35">
        <f t="shared" si="99"/>
        <v>169658.23287912397</v>
      </c>
      <c r="L93" s="35">
        <f t="shared" si="99"/>
        <v>202877.29742679515</v>
      </c>
      <c r="M93" s="35">
        <f t="shared" si="99"/>
        <v>223232.54686438278</v>
      </c>
      <c r="N93" s="35">
        <f t="shared" si="99"/>
        <v>189831.1993803473</v>
      </c>
      <c r="O93" s="35">
        <f t="shared" si="99"/>
        <v>177378.53995829428</v>
      </c>
      <c r="P93" s="35">
        <f t="shared" si="99"/>
        <v>148859.47825820977</v>
      </c>
      <c r="Q93" s="35">
        <f t="shared" si="99"/>
        <v>127374.94018343394</v>
      </c>
      <c r="R93" s="35">
        <f t="shared" si="99"/>
        <v>169990.5671442431</v>
      </c>
      <c r="S93" s="35">
        <f t="shared" si="99"/>
        <v>82836.70655477629</v>
      </c>
      <c r="T93" s="35">
        <f t="shared" si="99"/>
        <v>50552.81413903417</v>
      </c>
      <c r="U93" s="35">
        <f t="shared" si="99"/>
        <v>45977.365457842985</v>
      </c>
      <c r="V93" s="35">
        <f t="shared" si="99"/>
        <v>85499.519747646526</v>
      </c>
      <c r="W93" s="35">
        <f t="shared" ref="W93:Y93" si="100">IF(W11=0,0,W11*1000000/W31)</f>
        <v>64341.714943083971</v>
      </c>
      <c r="X93" s="35">
        <f t="shared" si="100"/>
        <v>130918.90409569281</v>
      </c>
      <c r="Y93" s="35">
        <f t="shared" si="100"/>
        <v>157067.80602241747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1049.6972300936095</v>
      </c>
      <c r="C95" s="62">
        <f t="shared" si="101"/>
        <v>1049.3935053726013</v>
      </c>
      <c r="D95" s="62">
        <f t="shared" ref="D95:V95" si="102">IF(D23=0,0,D23/D43)</f>
        <v>1029.2997280365983</v>
      </c>
      <c r="E95" s="62">
        <f t="shared" si="102"/>
        <v>1039.5751155643459</v>
      </c>
      <c r="F95" s="62">
        <f t="shared" si="102"/>
        <v>1044.797012985533</v>
      </c>
      <c r="G95" s="62">
        <f t="shared" si="102"/>
        <v>1032.9050649703493</v>
      </c>
      <c r="H95" s="62">
        <f t="shared" si="102"/>
        <v>1044.2946089540701</v>
      </c>
      <c r="I95" s="62">
        <f t="shared" si="102"/>
        <v>1045.3067697210824</v>
      </c>
      <c r="J95" s="62">
        <f t="shared" si="102"/>
        <v>1044.053676293976</v>
      </c>
      <c r="K95" s="62">
        <f t="shared" si="102"/>
        <v>1043.6687715179494</v>
      </c>
      <c r="L95" s="62">
        <f t="shared" si="102"/>
        <v>1051.4577618393357</v>
      </c>
      <c r="M95" s="62">
        <f t="shared" si="102"/>
        <v>1032.9161254943313</v>
      </c>
      <c r="N95" s="62">
        <f t="shared" si="102"/>
        <v>1039.3132727146781</v>
      </c>
      <c r="O95" s="62">
        <f t="shared" si="102"/>
        <v>1026.744406764949</v>
      </c>
      <c r="P95" s="62">
        <f t="shared" si="102"/>
        <v>1034.6673332601961</v>
      </c>
      <c r="Q95" s="62">
        <f t="shared" si="102"/>
        <v>1036.6579846188572</v>
      </c>
      <c r="R95" s="62">
        <f t="shared" si="102"/>
        <v>1045.447795947151</v>
      </c>
      <c r="S95" s="62">
        <f t="shared" si="102"/>
        <v>1066.1887914256668</v>
      </c>
      <c r="T95" s="62">
        <f t="shared" si="102"/>
        <v>1064.5044120206765</v>
      </c>
      <c r="U95" s="62">
        <f t="shared" si="102"/>
        <v>1032.4465023775278</v>
      </c>
      <c r="V95" s="62">
        <f t="shared" si="102"/>
        <v>394.62328887327635</v>
      </c>
      <c r="W95" s="62">
        <f t="shared" ref="W95:Y95" si="103">IF(W23=0,0,W23/W43)</f>
        <v>551.23446998612098</v>
      </c>
      <c r="X95" s="62">
        <f t="shared" si="103"/>
        <v>915.32549404912459</v>
      </c>
      <c r="Y95" s="62">
        <f t="shared" si="103"/>
        <v>1070.2670652359934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1053.1059328184469</v>
      </c>
      <c r="C96" s="11">
        <f t="shared" si="104"/>
        <v>1053.1056510874157</v>
      </c>
      <c r="D96" s="11">
        <f t="shared" ref="D96:V96" si="105">IF(D24=0,0,D24/D44)</f>
        <v>1031.9811531518708</v>
      </c>
      <c r="E96" s="11">
        <f t="shared" si="105"/>
        <v>1043.6503480824883</v>
      </c>
      <c r="F96" s="11">
        <f t="shared" si="105"/>
        <v>1051.4043897876875</v>
      </c>
      <c r="G96" s="11">
        <f t="shared" si="105"/>
        <v>1036.5463193969981</v>
      </c>
      <c r="H96" s="11">
        <f t="shared" si="105"/>
        <v>1049.877562238979</v>
      </c>
      <c r="I96" s="11">
        <f t="shared" si="105"/>
        <v>1052.9417653555552</v>
      </c>
      <c r="J96" s="11">
        <f t="shared" si="105"/>
        <v>1054.0646711750874</v>
      </c>
      <c r="K96" s="11">
        <f t="shared" si="105"/>
        <v>1054.6603371452884</v>
      </c>
      <c r="L96" s="11">
        <f t="shared" si="105"/>
        <v>1064.9682470401556</v>
      </c>
      <c r="M96" s="11">
        <f t="shared" si="105"/>
        <v>1046.6712717373916</v>
      </c>
      <c r="N96" s="11">
        <f t="shared" si="105"/>
        <v>1052.9590507309611</v>
      </c>
      <c r="O96" s="11">
        <f t="shared" si="105"/>
        <v>1040.1522078580417</v>
      </c>
      <c r="P96" s="11">
        <f t="shared" si="105"/>
        <v>1048.0197501810396</v>
      </c>
      <c r="Q96" s="11">
        <f t="shared" si="105"/>
        <v>1044.7486860395834</v>
      </c>
      <c r="R96" s="11">
        <f t="shared" si="105"/>
        <v>1058.2438011395227</v>
      </c>
      <c r="S96" s="11">
        <f t="shared" si="105"/>
        <v>1075.3301912756203</v>
      </c>
      <c r="T96" s="11">
        <f t="shared" si="105"/>
        <v>1071.0751898754743</v>
      </c>
      <c r="U96" s="11">
        <f t="shared" si="105"/>
        <v>1039.5095074410399</v>
      </c>
      <c r="V96" s="11">
        <f t="shared" si="105"/>
        <v>391.07401512757917</v>
      </c>
      <c r="W96" s="11">
        <f t="shared" ref="W96:Y96" si="106">IF(W24=0,0,W24/W44)</f>
        <v>548.27458224836118</v>
      </c>
      <c r="X96" s="11">
        <f t="shared" si="106"/>
        <v>916.98880629047392</v>
      </c>
      <c r="Y96" s="11">
        <f t="shared" si="106"/>
        <v>1073.3002504442702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1045.6234973510943</v>
      </c>
      <c r="C98" s="36">
        <f t="shared" si="104"/>
        <v>1045.622911916367</v>
      </c>
      <c r="D98" s="36">
        <f t="shared" ref="D98:V98" si="109">IF(D26=0,0,D26/D46)</f>
        <v>1030.4541553253835</v>
      </c>
      <c r="E98" s="36">
        <f t="shared" si="109"/>
        <v>1038.8735428263174</v>
      </c>
      <c r="F98" s="36">
        <f t="shared" si="109"/>
        <v>1045.5761561666172</v>
      </c>
      <c r="G98" s="36">
        <f t="shared" si="109"/>
        <v>1039.2304514245589</v>
      </c>
      <c r="H98" s="36">
        <f t="shared" si="109"/>
        <v>1053.1342409510678</v>
      </c>
      <c r="I98" s="36">
        <f t="shared" si="109"/>
        <v>1056.3800730695568</v>
      </c>
      <c r="J98" s="36">
        <f t="shared" si="109"/>
        <v>1062.7507842836751</v>
      </c>
      <c r="K98" s="36">
        <f t="shared" si="109"/>
        <v>1061.5538251346061</v>
      </c>
      <c r="L98" s="36">
        <f t="shared" si="109"/>
        <v>1075.1180082039723</v>
      </c>
      <c r="M98" s="36">
        <f t="shared" si="109"/>
        <v>1067.4464299004273</v>
      </c>
      <c r="N98" s="36">
        <f t="shared" si="109"/>
        <v>1064.7383828060883</v>
      </c>
      <c r="O98" s="36">
        <f t="shared" si="109"/>
        <v>1061.5546296645055</v>
      </c>
      <c r="P98" s="36">
        <f t="shared" si="109"/>
        <v>1064.2012828443453</v>
      </c>
      <c r="Q98" s="36">
        <f t="shared" si="109"/>
        <v>1066.3193648942276</v>
      </c>
      <c r="R98" s="36">
        <f t="shared" si="109"/>
        <v>1076.7600358945963</v>
      </c>
      <c r="S98" s="36">
        <f t="shared" si="109"/>
        <v>1084.2313071026861</v>
      </c>
      <c r="T98" s="36">
        <f t="shared" si="109"/>
        <v>1085.9502276273615</v>
      </c>
      <c r="U98" s="36">
        <f t="shared" si="109"/>
        <v>1082.9761289213554</v>
      </c>
      <c r="V98" s="36">
        <f t="shared" si="109"/>
        <v>415.26280615585324</v>
      </c>
      <c r="W98" s="36">
        <f t="shared" ref="W98:Y98" si="110">IF(W26=0,0,W26/W46)</f>
        <v>589.02868991208823</v>
      </c>
      <c r="X98" s="36">
        <f t="shared" si="110"/>
        <v>974.6969836704709</v>
      </c>
      <c r="Y98" s="36">
        <f t="shared" si="110"/>
        <v>1111.0446777531718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1092</v>
      </c>
      <c r="C99" s="36">
        <f t="shared" si="104"/>
        <v>1092</v>
      </c>
      <c r="D99" s="36">
        <f t="shared" ref="D99:V99" si="111">IF(D27=0,0,D27/D47)</f>
        <v>1040.4865077801851</v>
      </c>
      <c r="E99" s="36">
        <f t="shared" si="111"/>
        <v>1074.5387453874539</v>
      </c>
      <c r="F99" s="36">
        <f t="shared" si="111"/>
        <v>1092</v>
      </c>
      <c r="G99" s="36">
        <f t="shared" si="111"/>
        <v>1014.0321914981429</v>
      </c>
      <c r="H99" s="36">
        <f t="shared" si="111"/>
        <v>1020.9999999999999</v>
      </c>
      <c r="I99" s="36">
        <f t="shared" si="111"/>
        <v>1019.9999999999999</v>
      </c>
      <c r="J99" s="36">
        <f t="shared" si="111"/>
        <v>975</v>
      </c>
      <c r="K99" s="36">
        <f t="shared" si="111"/>
        <v>989</v>
      </c>
      <c r="L99" s="36">
        <f t="shared" si="111"/>
        <v>974</v>
      </c>
      <c r="M99" s="36">
        <f t="shared" si="111"/>
        <v>839</v>
      </c>
      <c r="N99" s="36">
        <f t="shared" si="111"/>
        <v>949.99999999999989</v>
      </c>
      <c r="O99" s="36">
        <f t="shared" si="111"/>
        <v>901</v>
      </c>
      <c r="P99" s="36">
        <f t="shared" si="111"/>
        <v>922.07102725237201</v>
      </c>
      <c r="Q99" s="36">
        <f t="shared" si="111"/>
        <v>835.93002682814517</v>
      </c>
      <c r="R99" s="36">
        <f t="shared" si="111"/>
        <v>865</v>
      </c>
      <c r="S99" s="36">
        <f t="shared" si="111"/>
        <v>960.00000000000011</v>
      </c>
      <c r="T99" s="36">
        <f t="shared" si="111"/>
        <v>921</v>
      </c>
      <c r="U99" s="36">
        <f t="shared" si="111"/>
        <v>794</v>
      </c>
      <c r="V99" s="36">
        <f t="shared" si="111"/>
        <v>254.11766902469418</v>
      </c>
      <c r="W99" s="36">
        <f t="shared" ref="W99:Y99" si="112">IF(W27=0,0,W27/W47)</f>
        <v>316.93037135947486</v>
      </c>
      <c r="X99" s="36">
        <f t="shared" si="112"/>
        <v>586.73800741152127</v>
      </c>
      <c r="Y99" s="36">
        <f t="shared" si="112"/>
        <v>829.82689939885574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931.70043371600593</v>
      </c>
      <c r="C100" s="13">
        <f t="shared" si="104"/>
        <v>916.75490486283763</v>
      </c>
      <c r="D100" s="13">
        <f t="shared" ref="D100:V100" si="113">IF(D28=0,0,D28/D48)</f>
        <v>933.15986817791634</v>
      </c>
      <c r="E100" s="13">
        <f t="shared" si="113"/>
        <v>941.04816540953573</v>
      </c>
      <c r="F100" s="13">
        <f t="shared" si="113"/>
        <v>876.26481913790337</v>
      </c>
      <c r="G100" s="13">
        <f t="shared" si="113"/>
        <v>938.79922044493264</v>
      </c>
      <c r="H100" s="13">
        <f t="shared" si="113"/>
        <v>929.94423012499215</v>
      </c>
      <c r="I100" s="13">
        <f t="shared" si="113"/>
        <v>885.14288315353076</v>
      </c>
      <c r="J100" s="13">
        <f t="shared" si="113"/>
        <v>837.91927643985366</v>
      </c>
      <c r="K100" s="13">
        <f t="shared" si="113"/>
        <v>813.45569288033971</v>
      </c>
      <c r="L100" s="13">
        <f t="shared" si="113"/>
        <v>753.91362984892942</v>
      </c>
      <c r="M100" s="13">
        <f t="shared" si="113"/>
        <v>713.95251342621543</v>
      </c>
      <c r="N100" s="13">
        <f t="shared" si="113"/>
        <v>701.82894390093713</v>
      </c>
      <c r="O100" s="13">
        <f t="shared" si="113"/>
        <v>631.81374861244512</v>
      </c>
      <c r="P100" s="13">
        <f t="shared" si="113"/>
        <v>590.88632022023251</v>
      </c>
      <c r="Q100" s="13">
        <f t="shared" si="113"/>
        <v>733.39828815891315</v>
      </c>
      <c r="R100" s="13">
        <f t="shared" si="113"/>
        <v>498.41980918482591</v>
      </c>
      <c r="S100" s="13">
        <f t="shared" si="113"/>
        <v>587.52451416144652</v>
      </c>
      <c r="T100" s="13">
        <f t="shared" si="113"/>
        <v>658.03742320603726</v>
      </c>
      <c r="U100" s="13">
        <f t="shared" si="113"/>
        <v>493.59518877702101</v>
      </c>
      <c r="V100" s="13">
        <f t="shared" si="113"/>
        <v>657.11168228729673</v>
      </c>
      <c r="W100" s="13">
        <f t="shared" ref="W100:Y100" si="114">IF(W28=0,0,W28/W48)</f>
        <v>777.65743396942673</v>
      </c>
      <c r="X100" s="13">
        <f t="shared" si="114"/>
        <v>782.67103809806736</v>
      </c>
      <c r="Y100" s="13">
        <f t="shared" si="114"/>
        <v>833.85502158987219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922.76066330999447</v>
      </c>
      <c r="C102" s="34">
        <f t="shared" si="104"/>
        <v>905.76313628947639</v>
      </c>
      <c r="D102" s="34">
        <f t="shared" ref="D102:V102" si="117">IF(D30=0,0,D30/D50)</f>
        <v>922.74002210107597</v>
      </c>
      <c r="E102" s="34">
        <f t="shared" si="117"/>
        <v>933.76559351645164</v>
      </c>
      <c r="F102" s="34">
        <f t="shared" si="117"/>
        <v>860.33559790436334</v>
      </c>
      <c r="G102" s="34">
        <f t="shared" si="117"/>
        <v>926.5450815968602</v>
      </c>
      <c r="H102" s="34">
        <f t="shared" si="117"/>
        <v>944.55777995672497</v>
      </c>
      <c r="I102" s="34">
        <f t="shared" si="117"/>
        <v>911.89353559437825</v>
      </c>
      <c r="J102" s="34">
        <f t="shared" si="117"/>
        <v>880.76894776692291</v>
      </c>
      <c r="K102" s="34">
        <f t="shared" si="117"/>
        <v>871.04547920676293</v>
      </c>
      <c r="L102" s="34">
        <f t="shared" si="117"/>
        <v>848.52190586424285</v>
      </c>
      <c r="M102" s="34">
        <f t="shared" si="117"/>
        <v>819.66623124105229</v>
      </c>
      <c r="N102" s="34">
        <f t="shared" si="117"/>
        <v>781.23574687214614</v>
      </c>
      <c r="O102" s="34">
        <f t="shared" si="117"/>
        <v>686.4976128868459</v>
      </c>
      <c r="P102" s="34">
        <f t="shared" si="117"/>
        <v>670.89978110630784</v>
      </c>
      <c r="Q102" s="34">
        <f t="shared" si="117"/>
        <v>859.01552557657317</v>
      </c>
      <c r="R102" s="34">
        <f t="shared" si="117"/>
        <v>553.6425034481598</v>
      </c>
      <c r="S102" s="34">
        <f t="shared" si="117"/>
        <v>664.20192868733125</v>
      </c>
      <c r="T102" s="34">
        <f t="shared" si="117"/>
        <v>733.14396167204234</v>
      </c>
      <c r="U102" s="34">
        <f t="shared" si="117"/>
        <v>522.66595116207543</v>
      </c>
      <c r="V102" s="34">
        <f t="shared" si="117"/>
        <v>614.91869374691771</v>
      </c>
      <c r="W102" s="34">
        <f t="shared" ref="W102:Y102" si="118">IF(W30=0,0,W30/W50)</f>
        <v>750.87146125107313</v>
      </c>
      <c r="X102" s="34">
        <f t="shared" si="118"/>
        <v>808.96733855023263</v>
      </c>
      <c r="Y102" s="34">
        <f t="shared" si="118"/>
        <v>945.09165708671856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1034</v>
      </c>
      <c r="C103" s="35">
        <f t="shared" si="104"/>
        <v>1034</v>
      </c>
      <c r="D103" s="35">
        <f t="shared" ref="D103:V103" si="119">IF(D31=0,0,D31/D51)</f>
        <v>1034</v>
      </c>
      <c r="E103" s="35">
        <f t="shared" si="119"/>
        <v>1034</v>
      </c>
      <c r="F103" s="35">
        <f t="shared" si="119"/>
        <v>1034</v>
      </c>
      <c r="G103" s="35">
        <f t="shared" si="119"/>
        <v>1030</v>
      </c>
      <c r="H103" s="35">
        <f t="shared" si="119"/>
        <v>804</v>
      </c>
      <c r="I103" s="35">
        <f t="shared" si="119"/>
        <v>685</v>
      </c>
      <c r="J103" s="35">
        <f t="shared" si="119"/>
        <v>582</v>
      </c>
      <c r="K103" s="35">
        <f t="shared" si="119"/>
        <v>521</v>
      </c>
      <c r="L103" s="35">
        <f t="shared" si="119"/>
        <v>232.31946870215842</v>
      </c>
      <c r="M103" s="35">
        <f t="shared" si="119"/>
        <v>152.99593876913465</v>
      </c>
      <c r="N103" s="35">
        <f t="shared" si="119"/>
        <v>294.40336639615276</v>
      </c>
      <c r="O103" s="35">
        <f t="shared" si="119"/>
        <v>364.18009978890819</v>
      </c>
      <c r="P103" s="35">
        <f t="shared" si="119"/>
        <v>219.6964485981309</v>
      </c>
      <c r="Q103" s="35">
        <f t="shared" si="119"/>
        <v>165.10087651055449</v>
      </c>
      <c r="R103" s="35">
        <f t="shared" si="119"/>
        <v>264.73147922916849</v>
      </c>
      <c r="S103" s="35">
        <f t="shared" si="119"/>
        <v>276.40817247996404</v>
      </c>
      <c r="T103" s="35">
        <f t="shared" si="119"/>
        <v>346.99495173146778</v>
      </c>
      <c r="U103" s="35">
        <f t="shared" si="119"/>
        <v>378.93840916125066</v>
      </c>
      <c r="V103" s="35">
        <f t="shared" si="119"/>
        <v>807</v>
      </c>
      <c r="W103" s="35">
        <f t="shared" ref="W103:Y103" si="120">IF(W31=0,0,W31/W51)</f>
        <v>868.0137686528667</v>
      </c>
      <c r="X103" s="35">
        <f t="shared" si="120"/>
        <v>698.89709975239452</v>
      </c>
      <c r="Y103" s="35">
        <f t="shared" si="120"/>
        <v>600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0.94724312680293365</v>
      </c>
      <c r="C108" s="43">
        <f t="shared" si="127"/>
        <v>0.94677210707322701</v>
      </c>
      <c r="D108" s="43">
        <f t="shared" ref="D108:V108" si="128">IF(D6=0,0,D6/D$4)</f>
        <v>0.95263951581806861</v>
      </c>
      <c r="E108" s="43">
        <f t="shared" si="128"/>
        <v>0.95262262162487099</v>
      </c>
      <c r="F108" s="43">
        <f t="shared" si="128"/>
        <v>0.95472707045761529</v>
      </c>
      <c r="G108" s="43">
        <f t="shared" si="128"/>
        <v>0.95682124028004678</v>
      </c>
      <c r="H108" s="43">
        <f t="shared" si="128"/>
        <v>0.95853059144386521</v>
      </c>
      <c r="I108" s="43">
        <f t="shared" si="128"/>
        <v>0.96378532137147999</v>
      </c>
      <c r="J108" s="43">
        <f t="shared" si="128"/>
        <v>0.96337582923708354</v>
      </c>
      <c r="K108" s="43">
        <f t="shared" si="128"/>
        <v>0.96634709065852809</v>
      </c>
      <c r="L108" s="43">
        <f t="shared" si="128"/>
        <v>0.96087804047684022</v>
      </c>
      <c r="M108" s="43">
        <f t="shared" si="128"/>
        <v>0.94786911599545853</v>
      </c>
      <c r="N108" s="43">
        <f t="shared" si="128"/>
        <v>0.95325539656097458</v>
      </c>
      <c r="O108" s="43">
        <f t="shared" si="128"/>
        <v>0.93329864148583774</v>
      </c>
      <c r="P108" s="43">
        <f t="shared" si="128"/>
        <v>0.95092229900478076</v>
      </c>
      <c r="Q108" s="43">
        <f t="shared" si="128"/>
        <v>0.95937071870958213</v>
      </c>
      <c r="R108" s="43">
        <f t="shared" si="128"/>
        <v>0.93427111345564151</v>
      </c>
      <c r="S108" s="43">
        <f t="shared" si="128"/>
        <v>0.95698265673977778</v>
      </c>
      <c r="T108" s="43">
        <f t="shared" si="128"/>
        <v>0.94911835399751243</v>
      </c>
      <c r="U108" s="43">
        <f t="shared" si="128"/>
        <v>0.91651966315435118</v>
      </c>
      <c r="V108" s="43">
        <f t="shared" si="128"/>
        <v>0.91272026001819317</v>
      </c>
      <c r="W108" s="43">
        <f t="shared" ref="W108:Y108" si="129">IF(W6=0,0,W6/W$4)</f>
        <v>0.93068400377013294</v>
      </c>
      <c r="X108" s="43">
        <f t="shared" si="129"/>
        <v>0.93767189278982221</v>
      </c>
      <c r="Y108" s="43">
        <f t="shared" si="129"/>
        <v>0.93574807834909224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5.2756873197066387E-2</v>
      </c>
      <c r="C109" s="43">
        <f t="shared" si="130"/>
        <v>5.322789292677288E-2</v>
      </c>
      <c r="D109" s="43">
        <f t="shared" ref="D109:V109" si="131">IF(D7=0,0,D7/D$4)</f>
        <v>4.7360484181931436E-2</v>
      </c>
      <c r="E109" s="43">
        <f t="shared" si="131"/>
        <v>4.7377378375129016E-2</v>
      </c>
      <c r="F109" s="43">
        <f t="shared" si="131"/>
        <v>4.5272929542384654E-2</v>
      </c>
      <c r="G109" s="43">
        <f t="shared" si="131"/>
        <v>4.3178759719953198E-2</v>
      </c>
      <c r="H109" s="43">
        <f t="shared" si="131"/>
        <v>4.146940855613486E-2</v>
      </c>
      <c r="I109" s="43">
        <f t="shared" si="131"/>
        <v>3.6214678628519903E-2</v>
      </c>
      <c r="J109" s="43">
        <f t="shared" si="131"/>
        <v>3.6624170762916568E-2</v>
      </c>
      <c r="K109" s="43">
        <f t="shared" si="131"/>
        <v>3.3652909341471984E-2</v>
      </c>
      <c r="L109" s="43">
        <f t="shared" si="131"/>
        <v>3.9121959523159743E-2</v>
      </c>
      <c r="M109" s="43">
        <f t="shared" si="131"/>
        <v>5.2130884004541488E-2</v>
      </c>
      <c r="N109" s="43">
        <f t="shared" si="131"/>
        <v>4.6744603439025367E-2</v>
      </c>
      <c r="O109" s="43">
        <f t="shared" si="131"/>
        <v>6.670135851416234E-2</v>
      </c>
      <c r="P109" s="43">
        <f t="shared" si="131"/>
        <v>4.9077700995219339E-2</v>
      </c>
      <c r="Q109" s="43">
        <f t="shared" si="131"/>
        <v>4.0629281290417825E-2</v>
      </c>
      <c r="R109" s="43">
        <f t="shared" si="131"/>
        <v>6.5728886544358517E-2</v>
      </c>
      <c r="S109" s="43">
        <f t="shared" si="131"/>
        <v>4.301734326022226E-2</v>
      </c>
      <c r="T109" s="43">
        <f t="shared" si="131"/>
        <v>5.0881646002487499E-2</v>
      </c>
      <c r="U109" s="43">
        <f t="shared" si="131"/>
        <v>8.3480336845648859E-2</v>
      </c>
      <c r="V109" s="43">
        <f t="shared" si="131"/>
        <v>8.727973998180677E-2</v>
      </c>
      <c r="W109" s="43">
        <f t="shared" ref="W109:Y109" si="132">IF(W7=0,0,W7/W$4)</f>
        <v>6.9315996229867158E-2</v>
      </c>
      <c r="X109" s="43">
        <f t="shared" si="132"/>
        <v>6.2328107210177772E-2</v>
      </c>
      <c r="Y109" s="43">
        <f t="shared" si="132"/>
        <v>6.4251921650907748E-2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0.84224789566047031</v>
      </c>
      <c r="C112" s="44">
        <f t="shared" si="139"/>
        <v>0.83517209164308381</v>
      </c>
      <c r="D112" s="44">
        <f t="shared" ref="D112:V112" si="140">IF(D10=0,0,D10/D$8)</f>
        <v>0.82401433550190517</v>
      </c>
      <c r="E112" s="44">
        <f t="shared" si="140"/>
        <v>0.87224994515805976</v>
      </c>
      <c r="F112" s="44">
        <f t="shared" si="140"/>
        <v>0.82065972859337499</v>
      </c>
      <c r="G112" s="44">
        <f t="shared" si="140"/>
        <v>0.79059297274670381</v>
      </c>
      <c r="H112" s="44">
        <f t="shared" si="140"/>
        <v>0.74619779282283949</v>
      </c>
      <c r="I112" s="44">
        <f t="shared" si="140"/>
        <v>0.69488056403374476</v>
      </c>
      <c r="J112" s="44">
        <f t="shared" si="140"/>
        <v>0.62425980385601465</v>
      </c>
      <c r="K112" s="44">
        <f t="shared" si="140"/>
        <v>0.5543628408509178</v>
      </c>
      <c r="L112" s="44">
        <f t="shared" si="140"/>
        <v>0.72442857234798508</v>
      </c>
      <c r="M112" s="44">
        <f t="shared" si="140"/>
        <v>0.79347469520208636</v>
      </c>
      <c r="N112" s="44">
        <f t="shared" si="140"/>
        <v>0.71372770006634634</v>
      </c>
      <c r="O112" s="44">
        <f t="shared" si="140"/>
        <v>0.63266100236513456</v>
      </c>
      <c r="P112" s="44">
        <f t="shared" si="140"/>
        <v>0.77452938117274472</v>
      </c>
      <c r="Q112" s="44">
        <f t="shared" si="140"/>
        <v>0.86405913648915922</v>
      </c>
      <c r="R112" s="44">
        <f t="shared" si="140"/>
        <v>0.65003700635239237</v>
      </c>
      <c r="S112" s="44">
        <f t="shared" si="140"/>
        <v>0.785439354460573</v>
      </c>
      <c r="T112" s="44">
        <f t="shared" si="140"/>
        <v>0.84082470262290054</v>
      </c>
      <c r="U112" s="44">
        <f t="shared" si="140"/>
        <v>0.79416888784970485</v>
      </c>
      <c r="V112" s="44">
        <f t="shared" si="140"/>
        <v>0.51108211906238543</v>
      </c>
      <c r="W112" s="44">
        <f t="shared" ref="W112:Y112" si="141">IF(W10=0,0,W10/W$8)</f>
        <v>0.57260413623823425</v>
      </c>
      <c r="X112" s="44">
        <f t="shared" si="141"/>
        <v>0.44426170512220464</v>
      </c>
      <c r="Y112" s="44">
        <f t="shared" si="141"/>
        <v>0.3615104572682748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0.15775210433952971</v>
      </c>
      <c r="C113" s="45">
        <f t="shared" si="142"/>
        <v>0.1648279083569161</v>
      </c>
      <c r="D113" s="45">
        <f t="shared" ref="D113:V113" si="143">IF(D11=0,0,D11/D$8)</f>
        <v>0.17598566449809488</v>
      </c>
      <c r="E113" s="45">
        <f t="shared" si="143"/>
        <v>0.12775005484194024</v>
      </c>
      <c r="F113" s="45">
        <f t="shared" si="143"/>
        <v>0.17934027140662501</v>
      </c>
      <c r="G113" s="45">
        <f t="shared" si="143"/>
        <v>0.20940702725329607</v>
      </c>
      <c r="H113" s="45">
        <f t="shared" si="143"/>
        <v>0.25380220717716051</v>
      </c>
      <c r="I113" s="45">
        <f t="shared" si="143"/>
        <v>0.30511943596625513</v>
      </c>
      <c r="J113" s="45">
        <f t="shared" si="143"/>
        <v>0.37574019614398546</v>
      </c>
      <c r="K113" s="45">
        <f t="shared" si="143"/>
        <v>0.44563715914908231</v>
      </c>
      <c r="L113" s="45">
        <f t="shared" si="143"/>
        <v>0.27557142765201481</v>
      </c>
      <c r="M113" s="45">
        <f t="shared" si="143"/>
        <v>0.2065253047979137</v>
      </c>
      <c r="N113" s="45">
        <f t="shared" si="143"/>
        <v>0.28627229993365366</v>
      </c>
      <c r="O113" s="45">
        <f t="shared" si="143"/>
        <v>0.36733899763486544</v>
      </c>
      <c r="P113" s="45">
        <f t="shared" si="143"/>
        <v>0.22547061882725525</v>
      </c>
      <c r="Q113" s="45">
        <f t="shared" si="143"/>
        <v>0.13594086351084078</v>
      </c>
      <c r="R113" s="45">
        <f t="shared" si="143"/>
        <v>0.34996299364760758</v>
      </c>
      <c r="S113" s="45">
        <f t="shared" si="143"/>
        <v>0.21456064553942694</v>
      </c>
      <c r="T113" s="45">
        <f t="shared" si="143"/>
        <v>0.15917529737709948</v>
      </c>
      <c r="U113" s="45">
        <f t="shared" si="143"/>
        <v>0.20583111215029518</v>
      </c>
      <c r="V113" s="45">
        <f t="shared" si="143"/>
        <v>0.48891788093761468</v>
      </c>
      <c r="W113" s="45">
        <f t="shared" ref="W113:Y113" si="144">IF(W11=0,0,W11/W$8)</f>
        <v>0.4273958637617658</v>
      </c>
      <c r="X113" s="45">
        <f t="shared" si="144"/>
        <v>0.55573829487779536</v>
      </c>
      <c r="Y113" s="45">
        <f t="shared" si="144"/>
        <v>0.63848954273172509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0.89488946214152176</v>
      </c>
      <c r="C118" s="43">
        <f t="shared" si="151"/>
        <v>0.89488636345019501</v>
      </c>
      <c r="D118" s="43">
        <f t="shared" ref="D118:V118" si="152">IF(D16=0,0,D16/D$14)</f>
        <v>0.90445913819673118</v>
      </c>
      <c r="E118" s="43">
        <f t="shared" si="152"/>
        <v>0.91477365320203141</v>
      </c>
      <c r="F118" s="43">
        <f t="shared" si="152"/>
        <v>0.91928239900038966</v>
      </c>
      <c r="G118" s="43">
        <f t="shared" si="152"/>
        <v>0.93643625232122385</v>
      </c>
      <c r="H118" s="43">
        <f t="shared" si="152"/>
        <v>0.93163778150000454</v>
      </c>
      <c r="I118" s="43">
        <f t="shared" si="152"/>
        <v>0.93609494135950067</v>
      </c>
      <c r="J118" s="43">
        <f t="shared" si="152"/>
        <v>0.93071742361045717</v>
      </c>
      <c r="K118" s="43">
        <f t="shared" si="152"/>
        <v>0.9329915755659608</v>
      </c>
      <c r="L118" s="43">
        <f t="shared" si="152"/>
        <v>0.92886875274102587</v>
      </c>
      <c r="M118" s="43">
        <f t="shared" si="152"/>
        <v>0.93026700127299389</v>
      </c>
      <c r="N118" s="43">
        <f t="shared" si="152"/>
        <v>0.92677640644993364</v>
      </c>
      <c r="O118" s="43">
        <f t="shared" si="152"/>
        <v>0.90097817707089356</v>
      </c>
      <c r="P118" s="43">
        <f t="shared" si="152"/>
        <v>0.92019480580692958</v>
      </c>
      <c r="Q118" s="43">
        <f t="shared" si="152"/>
        <v>0.94507528557743525</v>
      </c>
      <c r="R118" s="43">
        <f t="shared" si="152"/>
        <v>0.93313648419781114</v>
      </c>
      <c r="S118" s="43">
        <f t="shared" si="152"/>
        <v>0.94881429835138864</v>
      </c>
      <c r="T118" s="43">
        <f t="shared" si="152"/>
        <v>0.93345058791622604</v>
      </c>
      <c r="U118" s="43">
        <f t="shared" si="152"/>
        <v>0.87858903981434477</v>
      </c>
      <c r="V118" s="43">
        <f t="shared" si="152"/>
        <v>0.88895004262832855</v>
      </c>
      <c r="W118" s="43">
        <f t="shared" ref="W118:Y118" si="153">IF(W16=0,0,W16/W$14)</f>
        <v>0.89886555466313989</v>
      </c>
      <c r="X118" s="43">
        <f t="shared" si="153"/>
        <v>0.91196719480792132</v>
      </c>
      <c r="Y118" s="43">
        <f t="shared" si="153"/>
        <v>0.90345451013723133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0.10511053785847829</v>
      </c>
      <c r="C119" s="43">
        <f t="shared" si="154"/>
        <v>0.10511363654980509</v>
      </c>
      <c r="D119" s="43">
        <f t="shared" ref="D119:V119" si="155">IF(D17=0,0,D17/D$14)</f>
        <v>9.5540861803268762E-2</v>
      </c>
      <c r="E119" s="43">
        <f t="shared" si="155"/>
        <v>8.522634679796863E-2</v>
      </c>
      <c r="F119" s="43">
        <f t="shared" si="155"/>
        <v>8.0717600999610284E-2</v>
      </c>
      <c r="G119" s="43">
        <f t="shared" si="155"/>
        <v>6.3563747678776039E-2</v>
      </c>
      <c r="H119" s="43">
        <f t="shared" si="155"/>
        <v>6.8362218499995422E-2</v>
      </c>
      <c r="I119" s="43">
        <f t="shared" si="155"/>
        <v>6.3905058640499279E-2</v>
      </c>
      <c r="J119" s="43">
        <f t="shared" si="155"/>
        <v>6.928257638954273E-2</v>
      </c>
      <c r="K119" s="43">
        <f t="shared" si="155"/>
        <v>6.7008424434039232E-2</v>
      </c>
      <c r="L119" s="43">
        <f t="shared" si="155"/>
        <v>7.1131247258974142E-2</v>
      </c>
      <c r="M119" s="43">
        <f t="shared" si="155"/>
        <v>6.9732998727006126E-2</v>
      </c>
      <c r="N119" s="43">
        <f t="shared" si="155"/>
        <v>7.3223593550066343E-2</v>
      </c>
      <c r="O119" s="43">
        <f t="shared" si="155"/>
        <v>9.9021822929106454E-2</v>
      </c>
      <c r="P119" s="43">
        <f t="shared" si="155"/>
        <v>7.9805194193070389E-2</v>
      </c>
      <c r="Q119" s="43">
        <f t="shared" si="155"/>
        <v>5.4924714422564733E-2</v>
      </c>
      <c r="R119" s="43">
        <f t="shared" si="155"/>
        <v>6.6863515802188841E-2</v>
      </c>
      <c r="S119" s="43">
        <f t="shared" si="155"/>
        <v>5.1185701648611297E-2</v>
      </c>
      <c r="T119" s="43">
        <f t="shared" si="155"/>
        <v>6.6549412083773948E-2</v>
      </c>
      <c r="U119" s="43">
        <f t="shared" si="155"/>
        <v>0.12141096018565518</v>
      </c>
      <c r="V119" s="43">
        <f t="shared" si="155"/>
        <v>0.11104995737167148</v>
      </c>
      <c r="W119" s="43">
        <f t="shared" ref="W119:Y119" si="156">IF(W17=0,0,W17/W$14)</f>
        <v>0.10113444533686018</v>
      </c>
      <c r="X119" s="43">
        <f t="shared" si="156"/>
        <v>8.8032805192078567E-2</v>
      </c>
      <c r="Y119" s="43">
        <f t="shared" si="156"/>
        <v>9.6545489862768702E-2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0.9480754209514104</v>
      </c>
      <c r="C122" s="44">
        <f t="shared" si="163"/>
        <v>0.94355080328395113</v>
      </c>
      <c r="D122" s="44">
        <f t="shared" ref="D122:V122" si="164">IF(D20=0,0,D20/D$18)</f>
        <v>0.93917971193344307</v>
      </c>
      <c r="E122" s="44">
        <f t="shared" si="164"/>
        <v>0.95256829400647924</v>
      </c>
      <c r="F122" s="44">
        <f t="shared" si="164"/>
        <v>0.93633142633538347</v>
      </c>
      <c r="G122" s="44">
        <f t="shared" si="164"/>
        <v>0.92118616288623534</v>
      </c>
      <c r="H122" s="44">
        <f t="shared" si="164"/>
        <v>0.90575997757154125</v>
      </c>
      <c r="I122" s="44">
        <f t="shared" si="164"/>
        <v>0.87999130390686975</v>
      </c>
      <c r="J122" s="44">
        <f t="shared" si="164"/>
        <v>0.84176200034058768</v>
      </c>
      <c r="K122" s="44">
        <f t="shared" si="164"/>
        <v>0.81505714636276205</v>
      </c>
      <c r="L122" s="44">
        <f t="shared" si="164"/>
        <v>0.90096963592546264</v>
      </c>
      <c r="M122" s="44">
        <f t="shared" si="164"/>
        <v>0.93133795246799078</v>
      </c>
      <c r="N122" s="44">
        <f t="shared" si="164"/>
        <v>0.89083457666100863</v>
      </c>
      <c r="O122" s="44">
        <f t="shared" si="164"/>
        <v>0.85344798456498117</v>
      </c>
      <c r="P122" s="44">
        <f t="shared" si="164"/>
        <v>0.91444051618280775</v>
      </c>
      <c r="Q122" s="44">
        <f t="shared" si="164"/>
        <v>0.95712083909572265</v>
      </c>
      <c r="R122" s="44">
        <f t="shared" si="164"/>
        <v>0.89159261126585154</v>
      </c>
      <c r="S122" s="44">
        <f t="shared" si="164"/>
        <v>0.93657822286607162</v>
      </c>
      <c r="T122" s="44">
        <f t="shared" si="164"/>
        <v>0.95172344184680691</v>
      </c>
      <c r="U122" s="44">
        <f t="shared" si="164"/>
        <v>0.93211082684595059</v>
      </c>
      <c r="V122" s="44">
        <f t="shared" si="164"/>
        <v>0.75144590602479344</v>
      </c>
      <c r="W122" s="44">
        <f t="shared" ref="W122:Y122" si="165">IF(W20=0,0,W20/W$18)</f>
        <v>0.82456695458535267</v>
      </c>
      <c r="X122" s="44">
        <f t="shared" si="165"/>
        <v>0.73831815813917301</v>
      </c>
      <c r="Y122" s="44">
        <f t="shared" si="165"/>
        <v>0.6430759533650261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5.1924579048589652E-2</v>
      </c>
      <c r="C123" s="45">
        <f t="shared" si="166"/>
        <v>5.6449196716048887E-2</v>
      </c>
      <c r="D123" s="45">
        <f t="shared" ref="D123:V123" si="167">IF(D21=0,0,D21/D$18)</f>
        <v>6.0820288066556906E-2</v>
      </c>
      <c r="E123" s="45">
        <f t="shared" si="167"/>
        <v>4.7431705993520638E-2</v>
      </c>
      <c r="F123" s="45">
        <f t="shared" si="167"/>
        <v>6.3668573664616521E-2</v>
      </c>
      <c r="G123" s="45">
        <f t="shared" si="167"/>
        <v>7.8813837113764565E-2</v>
      </c>
      <c r="H123" s="45">
        <f t="shared" si="167"/>
        <v>9.4240022428458789E-2</v>
      </c>
      <c r="I123" s="45">
        <f t="shared" si="167"/>
        <v>0.12000869609313031</v>
      </c>
      <c r="J123" s="45">
        <f t="shared" si="167"/>
        <v>0.15823799965941229</v>
      </c>
      <c r="K123" s="45">
        <f t="shared" si="167"/>
        <v>0.18494285363723784</v>
      </c>
      <c r="L123" s="45">
        <f t="shared" si="167"/>
        <v>9.9030364074537386E-2</v>
      </c>
      <c r="M123" s="45">
        <f t="shared" si="167"/>
        <v>6.8662047532009204E-2</v>
      </c>
      <c r="N123" s="45">
        <f t="shared" si="167"/>
        <v>0.10916542333899137</v>
      </c>
      <c r="O123" s="45">
        <f t="shared" si="167"/>
        <v>0.14655201543501878</v>
      </c>
      <c r="P123" s="45">
        <f t="shared" si="167"/>
        <v>8.5559483817192181E-2</v>
      </c>
      <c r="Q123" s="45">
        <f t="shared" si="167"/>
        <v>4.2879160904277437E-2</v>
      </c>
      <c r="R123" s="45">
        <f t="shared" si="167"/>
        <v>0.10840738873414847</v>
      </c>
      <c r="S123" s="45">
        <f t="shared" si="167"/>
        <v>6.3421777133928506E-2</v>
      </c>
      <c r="T123" s="45">
        <f t="shared" si="167"/>
        <v>4.8276558153193178E-2</v>
      </c>
      <c r="U123" s="45">
        <f t="shared" si="167"/>
        <v>6.7889173154049465E-2</v>
      </c>
      <c r="V123" s="45">
        <f t="shared" si="167"/>
        <v>0.24855409397520647</v>
      </c>
      <c r="W123" s="45">
        <f t="shared" ref="W123:Y123" si="168">IF(W21=0,0,W21/W$18)</f>
        <v>0.17543304541464727</v>
      </c>
      <c r="X123" s="45">
        <f t="shared" si="168"/>
        <v>0.26168184186082699</v>
      </c>
      <c r="Y123" s="45">
        <f t="shared" si="168"/>
        <v>0.35692404663497379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126.4020636285469</v>
      </c>
      <c r="C3" s="79">
        <f t="shared" si="0"/>
        <v>94.802751504729116</v>
      </c>
      <c r="D3" s="79">
        <f t="shared" ref="D3" si="1">SUM(D4:D5)</f>
        <v>91.638005159071326</v>
      </c>
      <c r="E3" s="79">
        <f t="shared" ref="E3" si="2">SUM(E4:E5)</f>
        <v>81.104901117798761</v>
      </c>
      <c r="F3" s="79">
        <f t="shared" ref="F3" si="3">SUM(F4:F5)</f>
        <v>104.28254514187449</v>
      </c>
      <c r="G3" s="79">
        <f t="shared" ref="G3" si="4">SUM(G4:G5)</f>
        <v>88.32519346517627</v>
      </c>
      <c r="H3" s="79">
        <f t="shared" ref="H3" si="5">SUM(H4:H5)</f>
        <v>89.35227858985381</v>
      </c>
      <c r="I3" s="79">
        <f t="shared" ref="I3" si="6">SUM(I4:I5)</f>
        <v>93.460361134995708</v>
      </c>
      <c r="J3" s="79">
        <f t="shared" ref="J3" si="7">SUM(J4:J5)</f>
        <v>96.541530524505575</v>
      </c>
      <c r="K3" s="79">
        <f t="shared" ref="K3" si="8">SUM(K4:K5)</f>
        <v>90.379277730008596</v>
      </c>
      <c r="L3" s="79">
        <f t="shared" ref="L3" si="9">SUM(L4:L5)</f>
        <v>101.676698194325</v>
      </c>
      <c r="M3" s="79">
        <f t="shared" ref="M3" si="10">SUM(M4:M5)</f>
        <v>104.75778159931208</v>
      </c>
      <c r="N3" s="79">
        <f t="shared" ref="N3" si="11">SUM(N4:N5)</f>
        <v>99.622613929492672</v>
      </c>
      <c r="O3" s="79">
        <f t="shared" ref="O3" si="12">SUM(O4:O5)</f>
        <v>104.7577815993121</v>
      </c>
      <c r="P3" s="79">
        <f t="shared" ref="P3" si="13">SUM(P4:P5)</f>
        <v>111.94703353396389</v>
      </c>
      <c r="Q3" s="79">
        <f t="shared" ref="Q3" si="14">SUM(Q4:Q5)</f>
        <v>116.0552020636285</v>
      </c>
      <c r="R3" s="79">
        <f t="shared" ref="R3" si="15">SUM(R4:R5)</f>
        <v>124.27153912295796</v>
      </c>
      <c r="S3" s="79">
        <f t="shared" ref="S3" si="16">SUM(S4:S5)</f>
        <v>139.38435081685301</v>
      </c>
      <c r="T3" s="79">
        <f t="shared" ref="T3" si="17">SUM(T4:T5)</f>
        <v>156.79914015477212</v>
      </c>
      <c r="U3" s="79">
        <f t="shared" ref="U3" si="18">SUM(U4:U5)</f>
        <v>164.81943250214954</v>
      </c>
      <c r="V3" s="79">
        <f t="shared" ref="V3:W3" si="19">SUM(V4:V5)</f>
        <v>59.202751504729143</v>
      </c>
      <c r="W3" s="79">
        <f t="shared" si="19"/>
        <v>77.19699054170249</v>
      </c>
      <c r="X3" s="79">
        <f t="shared" ref="X3:Y3" si="20">SUM(X4:X5)</f>
        <v>125.9760103181428</v>
      </c>
      <c r="Y3" s="79">
        <f t="shared" si="20"/>
        <v>150.43069647463454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126.4020636285469</v>
      </c>
      <c r="C5" s="96">
        <f t="shared" si="24"/>
        <v>94.802751504729116</v>
      </c>
      <c r="D5" s="96">
        <f t="shared" ref="D5:V5" si="25">SUM(D8:D9,D12:D13)</f>
        <v>91.638005159071326</v>
      </c>
      <c r="E5" s="96">
        <f t="shared" si="25"/>
        <v>81.104901117798761</v>
      </c>
      <c r="F5" s="96">
        <f t="shared" si="25"/>
        <v>104.28254514187449</v>
      </c>
      <c r="G5" s="96">
        <f t="shared" si="25"/>
        <v>88.32519346517627</v>
      </c>
      <c r="H5" s="96">
        <f t="shared" si="25"/>
        <v>89.35227858985381</v>
      </c>
      <c r="I5" s="96">
        <f t="shared" si="25"/>
        <v>93.460361134995708</v>
      </c>
      <c r="J5" s="96">
        <f t="shared" si="25"/>
        <v>96.541530524505575</v>
      </c>
      <c r="K5" s="96">
        <f t="shared" si="25"/>
        <v>90.379277730008596</v>
      </c>
      <c r="L5" s="96">
        <f t="shared" si="25"/>
        <v>101.676698194325</v>
      </c>
      <c r="M5" s="96">
        <f t="shared" si="25"/>
        <v>104.75778159931208</v>
      </c>
      <c r="N5" s="96">
        <f t="shared" si="25"/>
        <v>99.622613929492672</v>
      </c>
      <c r="O5" s="96">
        <f t="shared" si="25"/>
        <v>104.7577815993121</v>
      </c>
      <c r="P5" s="96">
        <f t="shared" si="25"/>
        <v>111.94703353396389</v>
      </c>
      <c r="Q5" s="96">
        <f t="shared" si="25"/>
        <v>116.0552020636285</v>
      </c>
      <c r="R5" s="96">
        <f t="shared" si="25"/>
        <v>124.27153912295796</v>
      </c>
      <c r="S5" s="96">
        <f t="shared" si="25"/>
        <v>139.38435081685301</v>
      </c>
      <c r="T5" s="96">
        <f t="shared" si="25"/>
        <v>156.79914015477212</v>
      </c>
      <c r="U5" s="96">
        <f t="shared" si="25"/>
        <v>164.81943250214954</v>
      </c>
      <c r="V5" s="96">
        <f t="shared" si="25"/>
        <v>59.202751504729143</v>
      </c>
      <c r="W5" s="96">
        <f t="shared" ref="W5:Y5" si="26">SUM(W8:W9,W12:W13)</f>
        <v>77.19699054170249</v>
      </c>
      <c r="X5" s="96">
        <f t="shared" si="26"/>
        <v>125.9760103181428</v>
      </c>
      <c r="Y5" s="96">
        <f t="shared" si="26"/>
        <v>150.43069647463454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123.62932103842606</v>
      </c>
      <c r="C6" s="21">
        <f t="shared" si="27"/>
        <v>92.822018672794883</v>
      </c>
      <c r="D6" s="21">
        <f t="shared" ref="D6:V6" si="28">SUM(D7:D9)</f>
        <v>89.68261967707717</v>
      </c>
      <c r="E6" s="21">
        <f t="shared" si="28"/>
        <v>78.62628158455027</v>
      </c>
      <c r="F6" s="21">
        <f t="shared" si="28"/>
        <v>101.44053782491024</v>
      </c>
      <c r="G6" s="21">
        <f t="shared" si="28"/>
        <v>85.855848054044912</v>
      </c>
      <c r="H6" s="21">
        <f t="shared" si="28"/>
        <v>86.251865531937312</v>
      </c>
      <c r="I6" s="21">
        <f t="shared" si="28"/>
        <v>90.273728340568439</v>
      </c>
      <c r="J6" s="21">
        <f t="shared" si="28"/>
        <v>93.097001912739969</v>
      </c>
      <c r="K6" s="21">
        <f t="shared" si="28"/>
        <v>86.898681535265084</v>
      </c>
      <c r="L6" s="21">
        <f t="shared" si="28"/>
        <v>98.436068913404171</v>
      </c>
      <c r="M6" s="21">
        <f t="shared" si="28"/>
        <v>101.70983953831565</v>
      </c>
      <c r="N6" s="21">
        <f t="shared" si="28"/>
        <v>96.848177359350146</v>
      </c>
      <c r="O6" s="21">
        <f t="shared" si="28"/>
        <v>102.72383085464112</v>
      </c>
      <c r="P6" s="21">
        <f t="shared" si="28"/>
        <v>110.2667291624067</v>
      </c>
      <c r="Q6" s="21">
        <f t="shared" si="28"/>
        <v>114.31563510271701</v>
      </c>
      <c r="R6" s="21">
        <f t="shared" si="28"/>
        <v>123.19973337795051</v>
      </c>
      <c r="S6" s="21">
        <f t="shared" si="28"/>
        <v>138.34563374779319</v>
      </c>
      <c r="T6" s="21">
        <f t="shared" si="28"/>
        <v>155.67219807961919</v>
      </c>
      <c r="U6" s="21">
        <f t="shared" si="28"/>
        <v>164.03448693376706</v>
      </c>
      <c r="V6" s="21">
        <f t="shared" si="28"/>
        <v>57.989705621588726</v>
      </c>
      <c r="W6" s="21">
        <f t="shared" ref="W6:Y6" si="29">SUM(W7:W9)</f>
        <v>76.115784692225006</v>
      </c>
      <c r="X6" s="21">
        <f t="shared" si="29"/>
        <v>124.65335386999759</v>
      </c>
      <c r="Y6" s="21">
        <f t="shared" si="29"/>
        <v>149.08230785220016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111.31175658622377</v>
      </c>
      <c r="C8" s="96">
        <v>83.573616162927891</v>
      </c>
      <c r="D8" s="96">
        <v>81.567116463421954</v>
      </c>
      <c r="E8" s="96">
        <v>72.282570089579153</v>
      </c>
      <c r="F8" s="96">
        <v>93.691196048192623</v>
      </c>
      <c r="G8" s="96">
        <v>79.521610356621707</v>
      </c>
      <c r="H8" s="96">
        <v>79.680988847721807</v>
      </c>
      <c r="I8" s="96">
        <v>83.65910579474702</v>
      </c>
      <c r="J8" s="96">
        <v>85.848637577339673</v>
      </c>
      <c r="K8" s="96">
        <v>79.745938347712382</v>
      </c>
      <c r="L8" s="96">
        <v>90.490166149442842</v>
      </c>
      <c r="M8" s="96">
        <v>93.59668581932192</v>
      </c>
      <c r="N8" s="96">
        <v>89.002396089438918</v>
      </c>
      <c r="O8" s="96">
        <v>94.580109305599194</v>
      </c>
      <c r="P8" s="96">
        <v>101.81650257646567</v>
      </c>
      <c r="Q8" s="96">
        <v>105.60740235923052</v>
      </c>
      <c r="R8" s="96">
        <v>114.25307660220822</v>
      </c>
      <c r="S8" s="96">
        <v>128.73431282245545</v>
      </c>
      <c r="T8" s="96">
        <v>145.18335858475629</v>
      </c>
      <c r="U8" s="96">
        <v>152.86029896232418</v>
      </c>
      <c r="V8" s="96">
        <v>51.409839210120055</v>
      </c>
      <c r="W8" s="96">
        <v>68.804036065497542</v>
      </c>
      <c r="X8" s="96">
        <v>115.05783013512496</v>
      </c>
      <c r="Y8" s="96">
        <v>138.16421442717424</v>
      </c>
      <c r="DA8" s="171" t="s">
        <v>282</v>
      </c>
    </row>
    <row r="9" spans="1:105" ht="11.45" customHeight="1" x14ac:dyDescent="0.25">
      <c r="A9" s="83" t="s">
        <v>182</v>
      </c>
      <c r="B9" s="96">
        <v>12.317564452202289</v>
      </c>
      <c r="C9" s="96">
        <v>9.2484025098669989</v>
      </c>
      <c r="D9" s="96">
        <v>8.1155032136552201</v>
      </c>
      <c r="E9" s="96">
        <v>6.3437114949711217</v>
      </c>
      <c r="F9" s="96">
        <v>7.7493417767176167</v>
      </c>
      <c r="G9" s="96">
        <v>6.3342376974232026</v>
      </c>
      <c r="H9" s="96">
        <v>6.5708766842155022</v>
      </c>
      <c r="I9" s="96">
        <v>6.6146225458214198</v>
      </c>
      <c r="J9" s="96">
        <v>7.2483643354003</v>
      </c>
      <c r="K9" s="96">
        <v>7.1527431875527006</v>
      </c>
      <c r="L9" s="96">
        <v>7.9459027639613291</v>
      </c>
      <c r="M9" s="96">
        <v>8.1131537189937344</v>
      </c>
      <c r="N9" s="96">
        <v>7.8457812699112264</v>
      </c>
      <c r="O9" s="96">
        <v>8.1437215490419277</v>
      </c>
      <c r="P9" s="96">
        <v>8.4502265859410386</v>
      </c>
      <c r="Q9" s="96">
        <v>8.7082327434864872</v>
      </c>
      <c r="R9" s="96">
        <v>8.9466567757422819</v>
      </c>
      <c r="S9" s="96">
        <v>9.6113209253377239</v>
      </c>
      <c r="T9" s="96">
        <v>10.488839494862916</v>
      </c>
      <c r="U9" s="96">
        <v>11.174187971442876</v>
      </c>
      <c r="V9" s="96">
        <v>6.5798664114686716</v>
      </c>
      <c r="W9" s="96">
        <v>7.3117486267274661</v>
      </c>
      <c r="X9" s="96">
        <v>9.5955237348726268</v>
      </c>
      <c r="Y9" s="96">
        <v>10.918093425025914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2.7727425901208411</v>
      </c>
      <c r="C10" s="22">
        <f t="shared" si="30"/>
        <v>1.9807328319342365</v>
      </c>
      <c r="D10" s="22">
        <f t="shared" ref="D10:V10" si="31">SUM(D11:D13)</f>
        <v>1.9553854819941483</v>
      </c>
      <c r="E10" s="22">
        <f t="shared" si="31"/>
        <v>2.4786195332485024</v>
      </c>
      <c r="F10" s="22">
        <f t="shared" si="31"/>
        <v>2.8420073169642461</v>
      </c>
      <c r="G10" s="22">
        <f t="shared" si="31"/>
        <v>2.4693454111313624</v>
      </c>
      <c r="H10" s="22">
        <f t="shared" si="31"/>
        <v>3.1004130579165063</v>
      </c>
      <c r="I10" s="22">
        <f t="shared" si="31"/>
        <v>3.1866327944272617</v>
      </c>
      <c r="J10" s="22">
        <f t="shared" si="31"/>
        <v>3.4445286117656058</v>
      </c>
      <c r="K10" s="22">
        <f t="shared" si="31"/>
        <v>3.4805961947435038</v>
      </c>
      <c r="L10" s="22">
        <f t="shared" si="31"/>
        <v>3.240629280920829</v>
      </c>
      <c r="M10" s="22">
        <f t="shared" si="31"/>
        <v>3.047942060996423</v>
      </c>
      <c r="N10" s="22">
        <f t="shared" si="31"/>
        <v>2.7744365701425209</v>
      </c>
      <c r="O10" s="22">
        <f t="shared" si="31"/>
        <v>2.0339507446709839</v>
      </c>
      <c r="P10" s="22">
        <f t="shared" si="31"/>
        <v>1.6803043715571928</v>
      </c>
      <c r="Q10" s="22">
        <f t="shared" si="31"/>
        <v>1.7395669609114832</v>
      </c>
      <c r="R10" s="22">
        <f t="shared" si="31"/>
        <v>1.0718057450074425</v>
      </c>
      <c r="S10" s="22">
        <f t="shared" si="31"/>
        <v>1.03871706905984</v>
      </c>
      <c r="T10" s="22">
        <f t="shared" si="31"/>
        <v>1.12694207515293</v>
      </c>
      <c r="U10" s="22">
        <f t="shared" si="31"/>
        <v>0.7849455683824873</v>
      </c>
      <c r="V10" s="22">
        <f t="shared" si="31"/>
        <v>1.2130458831404196</v>
      </c>
      <c r="W10" s="22">
        <f t="shared" ref="W10:Y10" si="32">SUM(W11:W13)</f>
        <v>1.0812058494774806</v>
      </c>
      <c r="X10" s="22">
        <f t="shared" si="32"/>
        <v>1.3226564481452032</v>
      </c>
      <c r="Y10" s="22">
        <f t="shared" si="32"/>
        <v>1.3483886224343975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2.6216657761659157</v>
      </c>
      <c r="C12" s="97">
        <v>1.8635266716713339</v>
      </c>
      <c r="D12" s="97">
        <v>1.8307959376369605</v>
      </c>
      <c r="E12" s="97">
        <v>2.3553239483204957</v>
      </c>
      <c r="F12" s="97">
        <v>2.6528034657491695</v>
      </c>
      <c r="G12" s="97">
        <v>2.2201467109539306</v>
      </c>
      <c r="H12" s="97">
        <v>2.7873227498748783</v>
      </c>
      <c r="I12" s="97">
        <v>2.7583229318653366</v>
      </c>
      <c r="J12" s="97">
        <v>2.7819637847368761</v>
      </c>
      <c r="K12" s="97">
        <v>2.5706116197417099</v>
      </c>
      <c r="L12" s="97">
        <v>2.724474374722953</v>
      </c>
      <c r="M12" s="97">
        <v>2.6877515065755309</v>
      </c>
      <c r="N12" s="97">
        <v>2.356744351558357</v>
      </c>
      <c r="O12" s="97">
        <v>1.7398034693288225</v>
      </c>
      <c r="P12" s="97">
        <v>1.5293859292319136</v>
      </c>
      <c r="Q12" s="97">
        <v>1.6298240512304238</v>
      </c>
      <c r="R12" s="97">
        <v>0.93786882142060279</v>
      </c>
      <c r="S12" s="97">
        <v>0.93081641719147268</v>
      </c>
      <c r="T12" s="97">
        <v>1.0481083745282469</v>
      </c>
      <c r="U12" s="97">
        <v>0.75090220378720574</v>
      </c>
      <c r="V12" s="97">
        <v>0.88365506937372007</v>
      </c>
      <c r="W12" s="97">
        <v>0.90928413155185994</v>
      </c>
      <c r="X12" s="97">
        <v>0.87169388520005431</v>
      </c>
      <c r="Y12" s="97">
        <v>0.85165835250583943</v>
      </c>
      <c r="DA12" s="175" t="s">
        <v>286</v>
      </c>
    </row>
    <row r="13" spans="1:105" ht="11.45" customHeight="1" x14ac:dyDescent="0.25">
      <c r="A13" s="85" t="s">
        <v>182</v>
      </c>
      <c r="B13" s="98">
        <v>0.15107681395492545</v>
      </c>
      <c r="C13" s="98">
        <v>0.1172061602629027</v>
      </c>
      <c r="D13" s="98">
        <v>0.12458954435718786</v>
      </c>
      <c r="E13" s="98">
        <v>0.12329558492800684</v>
      </c>
      <c r="F13" s="98">
        <v>0.18920385121507674</v>
      </c>
      <c r="G13" s="98">
        <v>0.24919870017743193</v>
      </c>
      <c r="H13" s="98">
        <v>0.31309030804162824</v>
      </c>
      <c r="I13" s="98">
        <v>0.4283098625619251</v>
      </c>
      <c r="J13" s="98">
        <v>0.66256482702872976</v>
      </c>
      <c r="K13" s="98">
        <v>0.90998457500179397</v>
      </c>
      <c r="L13" s="98">
        <v>0.51615490619787596</v>
      </c>
      <c r="M13" s="98">
        <v>0.36019055442089226</v>
      </c>
      <c r="N13" s="98">
        <v>0.41769221858416394</v>
      </c>
      <c r="O13" s="98">
        <v>0.29414727534216162</v>
      </c>
      <c r="P13" s="98">
        <v>0.15091844232527926</v>
      </c>
      <c r="Q13" s="98">
        <v>0.10974290968105949</v>
      </c>
      <c r="R13" s="98">
        <v>0.1339369235868397</v>
      </c>
      <c r="S13" s="98">
        <v>0.10790065186836729</v>
      </c>
      <c r="T13" s="98">
        <v>7.8833700624683131E-2</v>
      </c>
      <c r="U13" s="98">
        <v>3.4043364595281518E-2</v>
      </c>
      <c r="V13" s="98">
        <v>0.32939081376669949</v>
      </c>
      <c r="W13" s="98">
        <v>0.17192171792562055</v>
      </c>
      <c r="X13" s="98">
        <v>0.45096256294514886</v>
      </c>
      <c r="Y13" s="98">
        <v>0.49673026992855801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516.02359653106532</v>
      </c>
      <c r="C17" s="62">
        <f>IF(C3=0,0,C3/TrAvia_act!C13*100)</f>
        <v>412.82619475066457</v>
      </c>
      <c r="D17" s="62">
        <f>IF(D3=0,0,D3/TrAvia_act!D13*100)</f>
        <v>425.87664229296411</v>
      </c>
      <c r="E17" s="62">
        <f>IF(E3=0,0,E3/TrAvia_act!E13*100)</f>
        <v>366.37750710940759</v>
      </c>
      <c r="F17" s="62">
        <f>IF(F3=0,0,F3/TrAvia_act!F13*100)</f>
        <v>464.51043915565896</v>
      </c>
      <c r="G17" s="62">
        <f>IF(G3=0,0,G3/TrAvia_act!G13*100)</f>
        <v>385.89866934901238</v>
      </c>
      <c r="H17" s="62">
        <f>IF(H3=0,0,H3/TrAvia_act!H13*100)</f>
        <v>412.02086575341167</v>
      </c>
      <c r="I17" s="62">
        <f>IF(I3=0,0,I3/TrAvia_act!I13*100)</f>
        <v>390.4488449122457</v>
      </c>
      <c r="J17" s="62">
        <f>IF(J3=0,0,J3/TrAvia_act!J13*100)</f>
        <v>408.04280946948188</v>
      </c>
      <c r="K17" s="62">
        <f>IF(K3=0,0,K3/TrAvia_act!K13*100)</f>
        <v>399.78486794476999</v>
      </c>
      <c r="L17" s="62">
        <f>IF(L3=0,0,L3/TrAvia_act!L13*100)</f>
        <v>412.40412079197608</v>
      </c>
      <c r="M17" s="62">
        <f>IF(M3=0,0,M3/TrAvia_act!M13*100)</f>
        <v>424.3931073711974</v>
      </c>
      <c r="N17" s="62">
        <f>IF(N3=0,0,N3/TrAvia_act!N13*100)</f>
        <v>406.12642688822274</v>
      </c>
      <c r="O17" s="62">
        <f>IF(O3=0,0,O3/TrAvia_act!O13*100)</f>
        <v>391.81660102596385</v>
      </c>
      <c r="P17" s="62">
        <f>IF(P3=0,0,P3/TrAvia_act!P13*100)</f>
        <v>407.16519658949221</v>
      </c>
      <c r="Q17" s="62">
        <f>IF(Q3=0,0,Q3/TrAvia_act!Q13*100)</f>
        <v>401.13460954759182</v>
      </c>
      <c r="R17" s="62">
        <f>IF(R3=0,0,R3/TrAvia_act!R13*100)</f>
        <v>412.68997474119556</v>
      </c>
      <c r="S17" s="62">
        <f>IF(S3=0,0,S3/TrAvia_act!S13*100)</f>
        <v>408.90612605901219</v>
      </c>
      <c r="T17" s="62">
        <f>IF(T3=0,0,T3/TrAvia_act!T13*100)</f>
        <v>402.345708204093</v>
      </c>
      <c r="U17" s="62">
        <f>IF(U3=0,0,U3/TrAvia_act!U13*100)</f>
        <v>375.7113416209578</v>
      </c>
      <c r="V17" s="62">
        <f>IF(V3=0,0,V3/TrAvia_act!V13*100)</f>
        <v>368.76507503665061</v>
      </c>
      <c r="W17" s="62">
        <f>IF(W3=0,0,W3/TrAvia_act!W13*100)</f>
        <v>363.60845625615667</v>
      </c>
      <c r="X17" s="62">
        <f>IF(X3=0,0,X3/TrAvia_act!X13*100)</f>
        <v>376.07605214422495</v>
      </c>
      <c r="Y17" s="62">
        <f>IF(Y3=0,0,Y3/TrAvia_act!Y13*100)</f>
        <v>364.52095716409366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515.32128841375663</v>
      </c>
      <c r="C18" s="14">
        <f>IF(C6=0,0,C6/TrAvia_act!C14*100)</f>
        <v>412.28270325380174</v>
      </c>
      <c r="D18" s="14">
        <f>IF(D6=0,0,D6/TrAvia_act!D14*100)</f>
        <v>425.30545300671116</v>
      </c>
      <c r="E18" s="14">
        <f>IF(E6=0,0,E6/TrAvia_act!E14*100)</f>
        <v>365.6902848051609</v>
      </c>
      <c r="F18" s="14">
        <f>IF(F6=0,0,F6/TrAvia_act!F14*100)</f>
        <v>463.701415037027</v>
      </c>
      <c r="G18" s="14">
        <f>IF(G6=0,0,G6/TrAvia_act!G14*100)</f>
        <v>385.21875475318552</v>
      </c>
      <c r="H18" s="14">
        <f>IF(H6=0,0,H6/TrAvia_act!H14*100)</f>
        <v>411.43863322678448</v>
      </c>
      <c r="I18" s="14">
        <f>IF(I6=0,0,I6/TrAvia_act!I14*100)</f>
        <v>390.11563165932102</v>
      </c>
      <c r="J18" s="14">
        <f>IF(J6=0,0,J6/TrAvia_act!J14*100)</f>
        <v>407.62249757936473</v>
      </c>
      <c r="K18" s="14">
        <f>IF(K6=0,0,K6/TrAvia_act!K14*100)</f>
        <v>398.76120443513616</v>
      </c>
      <c r="L18" s="14">
        <f>IF(L6=0,0,L6/TrAvia_act!L14*100)</f>
        <v>412.16843276837284</v>
      </c>
      <c r="M18" s="14">
        <f>IF(M6=0,0,M6/TrAvia_act!M14*100)</f>
        <v>424.41165655335891</v>
      </c>
      <c r="N18" s="14">
        <f>IF(N6=0,0,N6/TrAvia_act!N14*100)</f>
        <v>406.34095826868133</v>
      </c>
      <c r="O18" s="14">
        <f>IF(O6=0,0,O6/TrAvia_act!O14*100)</f>
        <v>392.41946557738123</v>
      </c>
      <c r="P18" s="14">
        <f>IF(P6=0,0,P6/TrAvia_act!P14*100)</f>
        <v>407.67469465969202</v>
      </c>
      <c r="Q18" s="14">
        <f>IF(Q6=0,0,Q6/TrAvia_act!Q14*100)</f>
        <v>401.89019159977636</v>
      </c>
      <c r="R18" s="14">
        <f>IF(R6=0,0,R6/TrAvia_act!R14*100)</f>
        <v>413.03420364487124</v>
      </c>
      <c r="S18" s="14">
        <f>IF(S6=0,0,S6/TrAvia_act!S14*100)</f>
        <v>409.2442530407414</v>
      </c>
      <c r="T18" s="14">
        <f>IF(T6=0,0,T6/TrAvia_act!T14*100)</f>
        <v>402.4805496801535</v>
      </c>
      <c r="U18" s="14">
        <f>IF(U6=0,0,U6/TrAvia_act!U14*100)</f>
        <v>375.65055365643303</v>
      </c>
      <c r="V18" s="14">
        <f>IF(V6=0,0,V6/TrAvia_act!V14*100)</f>
        <v>368.77216620495147</v>
      </c>
      <c r="W18" s="14">
        <f>IF(W6=0,0,W6/TrAvia_act!W14*100)</f>
        <v>363.77540635523644</v>
      </c>
      <c r="X18" s="14">
        <f>IF(X6=0,0,X6/TrAvia_act!X14*100)</f>
        <v>375.84713348598427</v>
      </c>
      <c r="Y18" s="14">
        <f>IF(Y6=0,0,Y6/TrAvia_act!Y14*100)</f>
        <v>364.85435102371684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518.47550357006321</v>
      </c>
      <c r="C20" s="87">
        <f>IF(C8=0,0,C8/TrAvia_act!C16*100)</f>
        <v>414.80636304978822</v>
      </c>
      <c r="D20" s="87">
        <f>IF(D8=0,0,D8/TrAvia_act!D16*100)</f>
        <v>427.67988415887805</v>
      </c>
      <c r="E20" s="87">
        <f>IF(E8=0,0,E8/TrAvia_act!E16*100)</f>
        <v>367.50700668785623</v>
      </c>
      <c r="F20" s="87">
        <f>IF(F8=0,0,F8/TrAvia_act!F16*100)</f>
        <v>465.88284210377901</v>
      </c>
      <c r="G20" s="87">
        <f>IF(G8=0,0,G8/TrAvia_act!G16*100)</f>
        <v>381.0171187728688</v>
      </c>
      <c r="H20" s="87">
        <f>IF(H8=0,0,H8/TrAvia_act!H16*100)</f>
        <v>407.98499804762002</v>
      </c>
      <c r="I20" s="87">
        <f>IF(I8=0,0,I8/TrAvia_act!I16*100)</f>
        <v>386.21158154951428</v>
      </c>
      <c r="J20" s="87">
        <f>IF(J8=0,0,J8/TrAvia_act!J16*100)</f>
        <v>403.8666699343172</v>
      </c>
      <c r="K20" s="87">
        <f>IF(K8=0,0,K8/TrAvia_act!K16*100)</f>
        <v>392.22074676289583</v>
      </c>
      <c r="L20" s="87">
        <f>IF(L8=0,0,L8/TrAvia_act!L16*100)</f>
        <v>407.91295413302083</v>
      </c>
      <c r="M20" s="87">
        <f>IF(M8=0,0,M8/TrAvia_act!M16*100)</f>
        <v>419.83359658610817</v>
      </c>
      <c r="N20" s="87">
        <f>IF(N8=0,0,N8/TrAvia_act!N16*100)</f>
        <v>402.92654339105462</v>
      </c>
      <c r="O20" s="87">
        <f>IF(O8=0,0,O8/TrAvia_act!O16*100)</f>
        <v>401.01893069144626</v>
      </c>
      <c r="P20" s="87">
        <f>IF(P8=0,0,P8/TrAvia_act!P16*100)</f>
        <v>409.07944647135889</v>
      </c>
      <c r="Q20" s="87">
        <f>IF(Q8=0,0,Q8/TrAvia_act!Q16*100)</f>
        <v>392.85268681299954</v>
      </c>
      <c r="R20" s="87">
        <f>IF(R8=0,0,R8/TrAvia_act!R16*100)</f>
        <v>410.4865985596831</v>
      </c>
      <c r="S20" s="87">
        <f>IF(S8=0,0,S8/TrAvia_act!S16*100)</f>
        <v>401.35643510896773</v>
      </c>
      <c r="T20" s="87">
        <f>IF(T8=0,0,T8/TrAvia_act!T16*100)</f>
        <v>402.12339925468694</v>
      </c>
      <c r="U20" s="87">
        <f>IF(U8=0,0,U8/TrAvia_act!U16*100)</f>
        <v>398.43528497903446</v>
      </c>
      <c r="V20" s="87">
        <f>IF(V8=0,0,V8/TrAvia_act!V16*100)</f>
        <v>367.76984841753875</v>
      </c>
      <c r="W20" s="87">
        <f>IF(W8=0,0,W8/TrAvia_act!W16*100)</f>
        <v>365.82870710341416</v>
      </c>
      <c r="X20" s="87">
        <f>IF(X8=0,0,X8/TrAvia_act!X16*100)</f>
        <v>380.40326655992527</v>
      </c>
      <c r="Y20" s="87">
        <f>IF(Y8=0,0,Y8/TrAvia_act!Y16*100)</f>
        <v>374.26800682726775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488.46695047376505</v>
      </c>
      <c r="C21" s="87">
        <f>IF(C9=0,0,C9/TrAvia_act!C17*100)</f>
        <v>390.79749151968304</v>
      </c>
      <c r="D21" s="87">
        <f>IF(D9=0,0,D9/TrAvia_act!D17*100)</f>
        <v>402.82736443746234</v>
      </c>
      <c r="E21" s="87">
        <f>IF(E9=0,0,E9/TrAvia_act!E17*100)</f>
        <v>346.19057167742528</v>
      </c>
      <c r="F21" s="87">
        <f>IF(F9=0,0,F9/TrAvia_act!F17*100)</f>
        <v>438.85742212428124</v>
      </c>
      <c r="G21" s="87">
        <f>IF(G9=0,0,G9/TrAvia_act!G17*100)</f>
        <v>447.11825556470802</v>
      </c>
      <c r="H21" s="87">
        <f>IF(H9=0,0,H9/TrAvia_act!H17*100)</f>
        <v>458.50464552168131</v>
      </c>
      <c r="I21" s="87">
        <f>IF(I9=0,0,I9/TrAvia_act!I17*100)</f>
        <v>447.30299110081643</v>
      </c>
      <c r="J21" s="87">
        <f>IF(J9=0,0,J9/TrAvia_act!J17*100)</f>
        <v>458.0769467567377</v>
      </c>
      <c r="K21" s="87">
        <f>IF(K9=0,0,K9/TrAvia_act!K17*100)</f>
        <v>489.82724516189268</v>
      </c>
      <c r="L21" s="87">
        <f>IF(L9=0,0,L9/TrAvia_act!L17*100)</f>
        <v>467.73868191561894</v>
      </c>
      <c r="M21" s="87">
        <f>IF(M9=0,0,M9/TrAvia_act!M17*100)</f>
        <v>485.48486715849714</v>
      </c>
      <c r="N21" s="87">
        <f>IF(N9=0,0,N9/TrAvia_act!N17*100)</f>
        <v>449.55652577906955</v>
      </c>
      <c r="O21" s="87">
        <f>IF(O9=0,0,O9/TrAvia_act!O17*100)</f>
        <v>314.17479007991903</v>
      </c>
      <c r="P21" s="87">
        <f>IF(P9=0,0,P9/TrAvia_act!P17*100)</f>
        <v>391.47718604369197</v>
      </c>
      <c r="Q21" s="87">
        <f>IF(Q9=0,0,Q9/TrAvia_act!Q17*100)</f>
        <v>557.3961875264755</v>
      </c>
      <c r="R21" s="87">
        <f>IF(R9=0,0,R9/TrAvia_act!R17*100)</f>
        <v>448.58817091380541</v>
      </c>
      <c r="S21" s="87">
        <f>IF(S9=0,0,S9/TrAvia_act!S17*100)</f>
        <v>555.45841432815314</v>
      </c>
      <c r="T21" s="87">
        <f>IF(T9=0,0,T9/TrAvia_act!T17*100)</f>
        <v>407.49009468119164</v>
      </c>
      <c r="U21" s="87">
        <f>IF(U9=0,0,U9/TrAvia_act!U17*100)</f>
        <v>210.76910321290586</v>
      </c>
      <c r="V21" s="87">
        <f>IF(V9=0,0,V9/TrAvia_act!V17*100)</f>
        <v>376.79567617232232</v>
      </c>
      <c r="W21" s="87">
        <f>IF(W9=0,0,W9/TrAvia_act!W17*100)</f>
        <v>345.52602248059742</v>
      </c>
      <c r="X21" s="87">
        <f>IF(X9=0,0,X9/TrAvia_act!X17*100)</f>
        <v>328.64832061676304</v>
      </c>
      <c r="Y21" s="87">
        <f>IF(Y9=0,0,Y9/TrAvia_act!Y17*100)</f>
        <v>276.76313304257087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549.40905525990445</v>
      </c>
      <c r="C22" s="15">
        <f>IF(C10=0,0,C10/TrAvia_act!C18*100)</f>
        <v>440.00833513150184</v>
      </c>
      <c r="D22" s="15">
        <f>IF(D10=0,0,D10/TrAvia_act!D18*100)</f>
        <v>453.83097538210302</v>
      </c>
      <c r="E22" s="15">
        <f>IF(E10=0,0,E10/TrAvia_act!E18*100)</f>
        <v>389.60294575414952</v>
      </c>
      <c r="F22" s="15">
        <f>IF(F10=0,0,F10/TrAvia_act!F18*100)</f>
        <v>495.35858710633119</v>
      </c>
      <c r="G22" s="15">
        <f>IF(G10=0,0,G10/TrAvia_act!G18*100)</f>
        <v>411.12839038087179</v>
      </c>
      <c r="H22" s="15">
        <f>IF(H10=0,0,H10/TrAvia_act!H18*100)</f>
        <v>428.90591657735672</v>
      </c>
      <c r="I22" s="15">
        <f>IF(I10=0,0,I10/TrAvia_act!I18*100)</f>
        <v>400.13073581512242</v>
      </c>
      <c r="J22" s="15">
        <f>IF(J10=0,0,J10/TrAvia_act!J18*100)</f>
        <v>419.74050489680064</v>
      </c>
      <c r="K22" s="15">
        <f>IF(K10=0,0,K10/TrAvia_act!K18*100)</f>
        <v>427.16257453227422</v>
      </c>
      <c r="L22" s="15">
        <f>IF(L10=0,0,L10/TrAvia_act!L18*100)</f>
        <v>419.69400215024831</v>
      </c>
      <c r="M22" s="15">
        <f>IF(M10=0,0,M10/TrAvia_act!M18*100)</f>
        <v>423.77504954772576</v>
      </c>
      <c r="N22" s="15">
        <f>IF(N10=0,0,N10/TrAvia_act!N18*100)</f>
        <v>398.77710789961969</v>
      </c>
      <c r="O22" s="15">
        <f>IF(O10=0,0,O10/TrAvia_act!O18*100)</f>
        <v>363.60487372013176</v>
      </c>
      <c r="P22" s="15">
        <f>IF(P10=0,0,P10/TrAvia_act!P18*100)</f>
        <v>376.30325146509375</v>
      </c>
      <c r="Q22" s="15">
        <f>IF(Q10=0,0,Q10/TrAvia_act!Q18*100)</f>
        <v>357.02462724992279</v>
      </c>
      <c r="R22" s="15">
        <f>IF(R10=0,0,R10/TrAvia_act!R18*100)</f>
        <v>376.61146876716469</v>
      </c>
      <c r="S22" s="15">
        <f>IF(S10=0,0,S10/TrAvia_act!S18*100)</f>
        <v>368.36937444946506</v>
      </c>
      <c r="T22" s="15">
        <f>IF(T10=0,0,T10/TrAvia_act!T18*100)</f>
        <v>384.5489972258456</v>
      </c>
      <c r="U22" s="15">
        <f>IF(U10=0,0,U10/TrAvia_act!U18*100)</f>
        <v>388.86128546711404</v>
      </c>
      <c r="V22" s="15">
        <f>IF(V10=0,0,V10/TrAvia_act!V18*100)</f>
        <v>368.42639930623579</v>
      </c>
      <c r="W22" s="15">
        <f>IF(W10=0,0,W10/TrAvia_act!W18*100)</f>
        <v>352.22840888454965</v>
      </c>
      <c r="X22" s="15">
        <f>IF(X10=0,0,X10/TrAvia_act!X18*100)</f>
        <v>398.97818972562226</v>
      </c>
      <c r="Y22" s="15">
        <f>IF(Y10=0,0,Y10/TrAvia_act!Y18*100)</f>
        <v>331.07277191045694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547.92447089086454</v>
      </c>
      <c r="C24" s="101">
        <f>IF(C12=0,0,C12/TrAvia_act!C20*100)</f>
        <v>438.73807697311975</v>
      </c>
      <c r="D24" s="101">
        <f>IF(D12=0,0,D12/TrAvia_act!D20*100)</f>
        <v>452.43165758787967</v>
      </c>
      <c r="E24" s="101">
        <f>IF(E12=0,0,E12/TrAvia_act!E20*100)</f>
        <v>388.65735416184867</v>
      </c>
      <c r="F24" s="101">
        <f>IF(F12=0,0,F12/TrAvia_act!F20*100)</f>
        <v>493.82148430134419</v>
      </c>
      <c r="G24" s="101">
        <f>IF(G12=0,0,G12/TrAvia_act!G20*100)</f>
        <v>401.26371835292963</v>
      </c>
      <c r="H24" s="101">
        <f>IF(H12=0,0,H12/TrAvia_act!H20*100)</f>
        <v>425.71270605418556</v>
      </c>
      <c r="I24" s="101">
        <f>IF(I12=0,0,I12/TrAvia_act!I20*100)</f>
        <v>393.58326221600493</v>
      </c>
      <c r="J24" s="101">
        <f>IF(J12=0,0,J12/TrAvia_act!J20*100)</f>
        <v>402.72931150532816</v>
      </c>
      <c r="K24" s="101">
        <f>IF(K12=0,0,K12/TrAvia_act!K20*100)</f>
        <v>387.06861723376437</v>
      </c>
      <c r="L24" s="101">
        <f>IF(L12=0,0,L12/TrAvia_act!L20*100)</f>
        <v>391.63002793637764</v>
      </c>
      <c r="M24" s="101">
        <f>IF(M12=0,0,M12/TrAvia_act!M20*100)</f>
        <v>401.24579041119898</v>
      </c>
      <c r="N24" s="101">
        <f>IF(N12=0,0,N12/TrAvia_act!N20*100)</f>
        <v>380.25140604925872</v>
      </c>
      <c r="O24" s="101">
        <f>IF(O12=0,0,O12/TrAvia_act!O20*100)</f>
        <v>364.42855551489879</v>
      </c>
      <c r="P24" s="101">
        <f>IF(P12=0,0,P12/TrAvia_act!P20*100)</f>
        <v>374.5515888746479</v>
      </c>
      <c r="Q24" s="101">
        <f>IF(Q12=0,0,Q12/TrAvia_act!Q20*100)</f>
        <v>349.48695837875158</v>
      </c>
      <c r="R24" s="101">
        <f>IF(R12=0,0,R12/TrAvia_act!R20*100)</f>
        <v>369.61798768361695</v>
      </c>
      <c r="S24" s="101">
        <f>IF(S12=0,0,S12/TrAvia_act!S20*100)</f>
        <v>352.45707057912955</v>
      </c>
      <c r="T24" s="101">
        <f>IF(T12=0,0,T12/TrAvia_act!T20*100)</f>
        <v>375.79025507822593</v>
      </c>
      <c r="U24" s="101">
        <f>IF(U12=0,0,U12/TrAvia_act!U20*100)</f>
        <v>399.09013437222524</v>
      </c>
      <c r="V24" s="101">
        <f>IF(V12=0,0,V12/TrAvia_act!V20*100)</f>
        <v>357.15650460564382</v>
      </c>
      <c r="W24" s="101">
        <f>IF(W12=0,0,W12/TrAvia_act!W20*100)</f>
        <v>359.24412983464413</v>
      </c>
      <c r="X24" s="101">
        <f>IF(X12=0,0,X12/TrAvia_act!X20*100)</f>
        <v>356.14147405142592</v>
      </c>
      <c r="Y24" s="101">
        <f>IF(Y12=0,0,Y12/TrAvia_act!Y20*100)</f>
        <v>325.17078948863343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576.5156390089669</v>
      </c>
      <c r="C25" s="88">
        <f>IF(C13=0,0,C13/TrAvia_act!C21*100)</f>
        <v>461.24075605944597</v>
      </c>
      <c r="D25" s="88">
        <f>IF(D13=0,0,D13/TrAvia_act!D21*100)</f>
        <v>475.43907565028729</v>
      </c>
      <c r="E25" s="88">
        <f>IF(E13=0,0,E13/TrAvia_act!E21*100)</f>
        <v>408.59320872356489</v>
      </c>
      <c r="F25" s="88">
        <f>IF(F13=0,0,F13/TrAvia_act!F21*100)</f>
        <v>517.96373716668995</v>
      </c>
      <c r="G25" s="88">
        <f>IF(G13=0,0,G13/TrAvia_act!G21*100)</f>
        <v>526.42793302887458</v>
      </c>
      <c r="H25" s="88">
        <f>IF(H13=0,0,H13/TrAvia_act!H21*100)</f>
        <v>459.59651084206365</v>
      </c>
      <c r="I25" s="88">
        <f>IF(I13=0,0,I13/TrAvia_act!I21*100)</f>
        <v>448.14158850626313</v>
      </c>
      <c r="J25" s="88">
        <f>IF(J13=0,0,J13/TrAvia_act!J21*100)</f>
        <v>510.23315652414158</v>
      </c>
      <c r="K25" s="88">
        <f>IF(K13=0,0,K13/TrAvia_act!K21*100)</f>
        <v>603.85967733686766</v>
      </c>
      <c r="L25" s="88">
        <f>IF(L13=0,0,L13/TrAvia_act!L21*100)</f>
        <v>675.01759776039353</v>
      </c>
      <c r="M25" s="88">
        <f>IF(M13=0,0,M13/TrAvia_act!M21*100)</f>
        <v>729.36386941290618</v>
      </c>
      <c r="N25" s="88">
        <f>IF(N13=0,0,N13/TrAvia_act!N21*100)</f>
        <v>549.95442449341533</v>
      </c>
      <c r="O25" s="88">
        <f>IF(O13=0,0,O13/TrAvia_act!O21*100)</f>
        <v>358.80814973390682</v>
      </c>
      <c r="P25" s="88">
        <f>IF(P13=0,0,P13/TrAvia_act!P21*100)</f>
        <v>395.02462719017205</v>
      </c>
      <c r="Q25" s="88">
        <f>IF(Q13=0,0,Q13/TrAvia_act!Q21*100)</f>
        <v>525.2755865190768</v>
      </c>
      <c r="R25" s="88">
        <f>IF(R13=0,0,R13/TrAvia_act!R21*100)</f>
        <v>434.12909864394135</v>
      </c>
      <c r="S25" s="88">
        <f>IF(S13=0,0,S13/TrAvia_act!S21*100)</f>
        <v>603.35360154093632</v>
      </c>
      <c r="T25" s="88">
        <f>IF(T13=0,0,T13/TrAvia_act!T21*100)</f>
        <v>557.21872642504411</v>
      </c>
      <c r="U25" s="88">
        <f>IF(U13=0,0,U13/TrAvia_act!U21*100)</f>
        <v>248.4203231211649</v>
      </c>
      <c r="V25" s="88">
        <f>IF(V13=0,0,V13/TrAvia_act!V21*100)</f>
        <v>402.49832344414631</v>
      </c>
      <c r="W25" s="88">
        <f>IF(W13=0,0,W13/TrAvia_act!W21*100)</f>
        <v>319.2532550623776</v>
      </c>
      <c r="X25" s="88">
        <f>IF(X13=0,0,X13/TrAvia_act!X21*100)</f>
        <v>519.83917416536269</v>
      </c>
      <c r="Y25" s="88">
        <f>IF(Y13=0,0,Y13/TrAvia_act!Y21*100)</f>
        <v>341.70647117628261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42.280969920592433</v>
      </c>
      <c r="C28" s="14">
        <f>IF(C6=0,0,C6/TrAvia_act!C4*1000)</f>
        <v>34.053208317456047</v>
      </c>
      <c r="D28" s="14">
        <f>IF(D6=0,0,D6/TrAvia_act!D4*1000)</f>
        <v>36.417534125096736</v>
      </c>
      <c r="E28" s="14">
        <f>IF(E6=0,0,E6/TrAvia_act!E4*1000)</f>
        <v>32.507289019030054</v>
      </c>
      <c r="F28" s="14">
        <f>IF(F6=0,0,F6/TrAvia_act!F4*1000)</f>
        <v>40.536861455762782</v>
      </c>
      <c r="G28" s="14">
        <f>IF(G6=0,0,G6/TrAvia_act!G4*1000)</f>
        <v>34.083691807191393</v>
      </c>
      <c r="H28" s="14">
        <f>IF(H6=0,0,H6/TrAvia_act!H4*1000)</f>
        <v>36.110401283271699</v>
      </c>
      <c r="I28" s="14">
        <f>IF(I6=0,0,I6/TrAvia_act!I4*1000)</f>
        <v>35.101821926905188</v>
      </c>
      <c r="J28" s="14">
        <f>IF(J6=0,0,J6/TrAvia_act!J4*1000)</f>
        <v>34.975317371448355</v>
      </c>
      <c r="K28" s="14">
        <f>IF(K6=0,0,K6/TrAvia_act!K4*1000)</f>
        <v>35.339038337588917</v>
      </c>
      <c r="L28" s="14">
        <f>IF(L6=0,0,L6/TrAvia_act!L4*1000)</f>
        <v>35.847688747887041</v>
      </c>
      <c r="M28" s="14">
        <f>IF(M6=0,0,M6/TrAvia_act!M4*1000)</f>
        <v>33.405989832784343</v>
      </c>
      <c r="N28" s="14">
        <f>IF(N6=0,0,N6/TrAvia_act!N4*1000)</f>
        <v>31.085032765063254</v>
      </c>
      <c r="O28" s="14">
        <f>IF(O6=0,0,O6/TrAvia_act!O4*1000)</f>
        <v>29.898781349627868</v>
      </c>
      <c r="P28" s="14">
        <f>IF(P6=0,0,P6/TrAvia_act!P4*1000)</f>
        <v>30.968579797099398</v>
      </c>
      <c r="Q28" s="14">
        <f>IF(Q6=0,0,Q6/TrAvia_act!Q4*1000)</f>
        <v>30.386268314664427</v>
      </c>
      <c r="R28" s="14">
        <f>IF(R6=0,0,R6/TrAvia_act!R4*1000)</f>
        <v>29.029543715463927</v>
      </c>
      <c r="S28" s="14">
        <f>IF(S6=0,0,S6/TrAvia_act!S4*1000)</f>
        <v>28.370913259213378</v>
      </c>
      <c r="T28" s="14">
        <f>IF(T6=0,0,T6/TrAvia_act!T4*1000)</f>
        <v>28.092563211200716</v>
      </c>
      <c r="U28" s="14">
        <f>IF(U6=0,0,U6/TrAvia_act!U4*1000)</f>
        <v>27.060383166584618</v>
      </c>
      <c r="V28" s="14">
        <f>IF(V6=0,0,V6/TrAvia_act!V4*1000)</f>
        <v>38.335683696143683</v>
      </c>
      <c r="W28" s="14">
        <f>IF(W6=0,0,W6/TrAvia_act!W4*1000)</f>
        <v>37.020304535109737</v>
      </c>
      <c r="X28" s="14">
        <f>IF(X6=0,0,X6/TrAvia_act!X4*1000)</f>
        <v>27.587594029855897</v>
      </c>
      <c r="Y28" s="14">
        <f>IF(Y6=0,0,Y6/TrAvia_act!Y4*1000)</f>
        <v>25.417461199911969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40.18861419374862</v>
      </c>
      <c r="C30" s="87">
        <f>IF(C8=0,0,C8/TrAvia_act!C6*1000)</f>
        <v>32.384020483056887</v>
      </c>
      <c r="D30" s="87">
        <f>IF(D8=0,0,D8/TrAvia_act!D6*1000)</f>
        <v>34.768725191424323</v>
      </c>
      <c r="E30" s="87">
        <f>IF(E8=0,0,E8/TrAvia_act!E6*1000)</f>
        <v>31.370808440406378</v>
      </c>
      <c r="F30" s="87">
        <f>IF(F8=0,0,F8/TrAvia_act!F6*1000)</f>
        <v>39.215533157905178</v>
      </c>
      <c r="G30" s="87">
        <f>IF(G8=0,0,G8/TrAvia_act!G6*1000)</f>
        <v>32.993706433922796</v>
      </c>
      <c r="H30" s="87">
        <f>IF(H8=0,0,H8/TrAvia_act!H6*1000)</f>
        <v>34.802669286800253</v>
      </c>
      <c r="I30" s="87">
        <f>IF(I8=0,0,I8/TrAvia_act!I6*1000)</f>
        <v>33.752130375205738</v>
      </c>
      <c r="J30" s="87">
        <f>IF(J8=0,0,J8/TrAvia_act!J6*1000)</f>
        <v>33.478317999288201</v>
      </c>
      <c r="K30" s="87">
        <f>IF(K8=0,0,K8/TrAvia_act!K6*1000)</f>
        <v>33.559614935098139</v>
      </c>
      <c r="L30" s="87">
        <f>IF(L8=0,0,L8/TrAvia_act!L6*1000)</f>
        <v>34.295727183790305</v>
      </c>
      <c r="M30" s="87">
        <f>IF(M8=0,0,M8/TrAvia_act!M6*1000)</f>
        <v>32.431980735596888</v>
      </c>
      <c r="N30" s="87">
        <f>IF(N8=0,0,N8/TrAvia_act!N6*1000)</f>
        <v>29.967623495275618</v>
      </c>
      <c r="O30" s="87">
        <f>IF(O8=0,0,O8/TrAvia_act!O6*1000)</f>
        <v>29.495886813117387</v>
      </c>
      <c r="P30" s="87">
        <f>IF(P8=0,0,P8/TrAvia_act!P6*1000)</f>
        <v>30.071143295203953</v>
      </c>
      <c r="Q30" s="87">
        <f>IF(Q8=0,0,Q8/TrAvia_act!Q6*1000)</f>
        <v>29.260358051400814</v>
      </c>
      <c r="R30" s="87">
        <f>IF(R8=0,0,R8/TrAvia_act!R6*1000)</f>
        <v>28.815451188279386</v>
      </c>
      <c r="S30" s="87">
        <f>IF(S8=0,0,S8/TrAvia_act!S6*1000)</f>
        <v>27.586595742304691</v>
      </c>
      <c r="T30" s="87">
        <f>IF(T8=0,0,T8/TrAvia_act!T6*1000)</f>
        <v>27.604302384605553</v>
      </c>
      <c r="U30" s="87">
        <f>IF(U8=0,0,U8/TrAvia_act!U6*1000)</f>
        <v>27.513870891295255</v>
      </c>
      <c r="V30" s="87">
        <f>IF(V8=0,0,V8/TrAvia_act!V6*1000)</f>
        <v>37.235814979909513</v>
      </c>
      <c r="W30" s="87">
        <f>IF(W8=0,0,W8/TrAvia_act!W6*1000)</f>
        <v>35.956459631585822</v>
      </c>
      <c r="X30" s="87">
        <f>IF(X8=0,0,X8/TrAvia_act!X6*1000)</f>
        <v>27.156584023126243</v>
      </c>
      <c r="Y30" s="87">
        <f>IF(Y8=0,0,Y8/TrAvia_act!Y6*1000)</f>
        <v>25.173447154649601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79.848957956505117</v>
      </c>
      <c r="C31" s="87">
        <f>IF(C9=0,0,C9/TrAvia_act!C7*1000)</f>
        <v>63.74328989271612</v>
      </c>
      <c r="D31" s="87">
        <f>IF(D9=0,0,D9/TrAvia_act!D7*1000)</f>
        <v>69.582747094972703</v>
      </c>
      <c r="E31" s="87">
        <f>IF(E9=0,0,E9/TrAvia_act!E7*1000)</f>
        <v>55.358640135633337</v>
      </c>
      <c r="F31" s="87">
        <f>IF(F9=0,0,F9/TrAvia_act!F7*1000)</f>
        <v>68.401369179861234</v>
      </c>
      <c r="G31" s="87">
        <f>IF(G9=0,0,G9/TrAvia_act!G7*1000)</f>
        <v>58.237260911586596</v>
      </c>
      <c r="H31" s="87">
        <f>IF(H9=0,0,H9/TrAvia_act!H7*1000)</f>
        <v>66.337529368087431</v>
      </c>
      <c r="I31" s="87">
        <f>IF(I9=0,0,I9/TrAvia_act!I7*1000)</f>
        <v>71.021315214431127</v>
      </c>
      <c r="J31" s="87">
        <f>IF(J9=0,0,J9/TrAvia_act!J7*1000)</f>
        <v>74.352946447556846</v>
      </c>
      <c r="K31" s="87">
        <f>IF(K9=0,0,K9/TrAvia_act!K7*1000)</f>
        <v>86.435382210824031</v>
      </c>
      <c r="L31" s="87">
        <f>IF(L9=0,0,L9/TrAvia_act!L7*1000)</f>
        <v>73.965559242636658</v>
      </c>
      <c r="M31" s="87">
        <f>IF(M9=0,0,M9/TrAvia_act!M7*1000)</f>
        <v>51.115897492170703</v>
      </c>
      <c r="N31" s="87">
        <f>IF(N9=0,0,N9/TrAvia_act!N7*1000)</f>
        <v>53.872185467765341</v>
      </c>
      <c r="O31" s="87">
        <f>IF(O9=0,0,O9/TrAvia_act!O7*1000)</f>
        <v>35.536161636379553</v>
      </c>
      <c r="P31" s="87">
        <f>IF(P9=0,0,P9/TrAvia_act!P7*1000)</f>
        <v>48.357177149619034</v>
      </c>
      <c r="Q31" s="87">
        <f>IF(Q9=0,0,Q9/TrAvia_act!Q7*1000)</f>
        <v>56.972151799747294</v>
      </c>
      <c r="R31" s="87">
        <f>IF(R9=0,0,R9/TrAvia_act!R7*1000)</f>
        <v>32.072657242425066</v>
      </c>
      <c r="S31" s="87">
        <f>IF(S9=0,0,S9/TrAvia_act!S7*1000)</f>
        <v>45.819184216310568</v>
      </c>
      <c r="T31" s="87">
        <f>IF(T9=0,0,T9/TrAvia_act!T7*1000)</f>
        <v>37.20031322457119</v>
      </c>
      <c r="U31" s="87">
        <f>IF(U9=0,0,U9/TrAvia_act!U7*1000)</f>
        <v>22.081600947905887</v>
      </c>
      <c r="V31" s="87">
        <f>IF(V9=0,0,V9/TrAvia_act!V7*1000)</f>
        <v>49.837464760986236</v>
      </c>
      <c r="W31" s="87">
        <f>IF(W9=0,0,W9/TrAvia_act!W7*1000)</f>
        <v>51.304214282560899</v>
      </c>
      <c r="X31" s="87">
        <f>IF(X9=0,0,X9/TrAvia_act!X7*1000)</f>
        <v>34.071762840866306</v>
      </c>
      <c r="Y31" s="87">
        <f>IF(Y9=0,0,Y9/TrAvia_act!Y7*1000)</f>
        <v>28.971217540228725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250.58540867276457</v>
      </c>
      <c r="C32" s="15">
        <f>IF(C10=0,0,C10/TrAvia_act!C8*1000)</f>
        <v>184.06164847532943</v>
      </c>
      <c r="D32" s="15">
        <f>IF(D10=0,0,D10/TrAvia_act!D8*1000)</f>
        <v>199.24991532406625</v>
      </c>
      <c r="E32" s="15">
        <f>IF(E10=0,0,E10/TrAvia_act!E8*1000)</f>
        <v>175.22824326944726</v>
      </c>
      <c r="F32" s="15">
        <f>IF(F10=0,0,F10/TrAvia_act!F8*1000)</f>
        <v>240.06653426702186</v>
      </c>
      <c r="G32" s="15">
        <f>IF(G10=0,0,G10/TrAvia_act!G8*1000)</f>
        <v>199.84891832225094</v>
      </c>
      <c r="H32" s="15">
        <f>IF(H10=0,0,H10/TrAvia_act!H8*1000)</f>
        <v>218.60595418307815</v>
      </c>
      <c r="I32" s="15">
        <f>IF(I10=0,0,I10/TrAvia_act!I8*1000)</f>
        <v>195.79654571785451</v>
      </c>
      <c r="J32" s="15">
        <f>IF(J10=0,0,J10/TrAvia_act!J8*1000)</f>
        <v>195.76870362250727</v>
      </c>
      <c r="K32" s="15">
        <f>IF(K10=0,0,K10/TrAvia_act!K8*1000)</f>
        <v>179.26269564411882</v>
      </c>
      <c r="L32" s="15">
        <f>IF(L10=0,0,L10/TrAvia_act!L8*1000)</f>
        <v>200.08171727465594</v>
      </c>
      <c r="M32" s="15">
        <f>IF(M10=0,0,M10/TrAvia_act!M8*1000)</f>
        <v>201.41621435825732</v>
      </c>
      <c r="N32" s="15">
        <f>IF(N10=0,0,N10/TrAvia_act!N8*1000)</f>
        <v>160.92117234585521</v>
      </c>
      <c r="O32" s="15">
        <f>IF(O10=0,0,O10/TrAvia_act!O8*1000)</f>
        <v>135.87660858174058</v>
      </c>
      <c r="P32" s="15">
        <f>IF(P10=0,0,P10/TrAvia_act!P8*1000)</f>
        <v>141.3933279396328</v>
      </c>
      <c r="Q32" s="15">
        <f>IF(Q10=0,0,Q10/TrAvia_act!Q8*1000)</f>
        <v>142.81171335627255</v>
      </c>
      <c r="R32" s="15">
        <f>IF(R10=0,0,R10/TrAvia_act!R8*1000)</f>
        <v>110.32740034722914</v>
      </c>
      <c r="S32" s="15">
        <f>IF(S10=0,0,S10/TrAvia_act!S8*1000)</f>
        <v>134.52237186839875</v>
      </c>
      <c r="T32" s="15">
        <f>IF(T10=0,0,T10/TrAvia_act!T8*1000)</f>
        <v>147.84978096198324</v>
      </c>
      <c r="U32" s="15">
        <f>IF(U10=0,0,U10/TrAvia_act!U8*1000)</f>
        <v>140.56152866414612</v>
      </c>
      <c r="V32" s="15">
        <f>IF(V10=0,0,V10/TrAvia_act!V8*1000)</f>
        <v>119.59732889801056</v>
      </c>
      <c r="W32" s="15">
        <f>IF(W10=0,0,W10/TrAvia_act!W8*1000)</f>
        <v>117.73788612787493</v>
      </c>
      <c r="X32" s="15">
        <f>IF(X10=0,0,X10/TrAvia_act!X8*1000)</f>
        <v>116.96980856817035</v>
      </c>
      <c r="Y32" s="15">
        <f>IF(Y10=0,0,Y10/TrAvia_act!Y8*1000)</f>
        <v>89.856987722923762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281.30899272596895</v>
      </c>
      <c r="C34" s="101">
        <f>IF(C12=0,0,C12/TrAvia_act!C10*1000)</f>
        <v>207.34666119324172</v>
      </c>
      <c r="D34" s="101">
        <f>IF(D12=0,0,D12/TrAvia_act!D10*1000)</f>
        <v>226.39713776548592</v>
      </c>
      <c r="E34" s="101">
        <f>IF(E12=0,0,E12/TrAvia_act!E10*1000)</f>
        <v>190.89912429573178</v>
      </c>
      <c r="F34" s="101">
        <f>IF(F12=0,0,F12/TrAvia_act!F10*1000)</f>
        <v>273.05390074444597</v>
      </c>
      <c r="G34" s="101">
        <f>IF(G12=0,0,G12/TrAvia_act!G10*1000)</f>
        <v>227.27343891872272</v>
      </c>
      <c r="H34" s="101">
        <f>IF(H12=0,0,H12/TrAvia_act!H10*1000)</f>
        <v>263.37571567188945</v>
      </c>
      <c r="I34" s="101">
        <f>IF(I12=0,0,I12/TrAvia_act!I10*1000)</f>
        <v>243.89783759536266</v>
      </c>
      <c r="J34" s="101">
        <f>IF(J12=0,0,J12/TrAvia_act!J10*1000)</f>
        <v>253.27922516870038</v>
      </c>
      <c r="K34" s="101">
        <f>IF(K12=0,0,K12/TrAvia_act!K10*1000)</f>
        <v>238.82436759327757</v>
      </c>
      <c r="L34" s="101">
        <f>IF(L12=0,0,L12/TrAvia_act!L10*1000)</f>
        <v>232.2016015422852</v>
      </c>
      <c r="M34" s="101">
        <f>IF(M12=0,0,M12/TrAvia_act!M10*1000)</f>
        <v>223.84312216936891</v>
      </c>
      <c r="N34" s="101">
        <f>IF(N12=0,0,N12/TrAvia_act!N10*1000)</f>
        <v>191.5218420755215</v>
      </c>
      <c r="O34" s="101">
        <f>IF(O12=0,0,O12/TrAvia_act!O10*1000)</f>
        <v>183.71025263125352</v>
      </c>
      <c r="P34" s="101">
        <f>IF(P12=0,0,P12/TrAvia_act!P10*1000)</f>
        <v>166.15757775214223</v>
      </c>
      <c r="Q34" s="101">
        <f>IF(Q12=0,0,Q12/TrAvia_act!Q10*1000)</f>
        <v>154.85311091901971</v>
      </c>
      <c r="R34" s="101">
        <f>IF(R12=0,0,R12/TrAvia_act!R10*1000)</f>
        <v>148.51534253469399</v>
      </c>
      <c r="S34" s="101">
        <f>IF(S12=0,0,S12/TrAvia_act!S10*1000)</f>
        <v>153.47888110070247</v>
      </c>
      <c r="T34" s="101">
        <f>IF(T12=0,0,T12/TrAvia_act!T10*1000)</f>
        <v>163.53842855621699</v>
      </c>
      <c r="U34" s="101">
        <f>IF(U12=0,0,U12/TrAvia_act!U10*1000)</f>
        <v>169.3157814738928</v>
      </c>
      <c r="V34" s="101">
        <f>IF(V12=0,0,V12/TrAvia_act!V10*1000)</f>
        <v>170.46543787132393</v>
      </c>
      <c r="W34" s="101">
        <f>IF(W12=0,0,W12/TrAvia_act!W10*1000)</f>
        <v>172.9230865435155</v>
      </c>
      <c r="X34" s="101">
        <f>IF(X12=0,0,X12/TrAvia_act!X10*1000)</f>
        <v>173.52092173721115</v>
      </c>
      <c r="Y34" s="101">
        <f>IF(Y12=0,0,Y12/TrAvia_act!Y10*1000)</f>
        <v>156.99337354775534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86.55036061873561</v>
      </c>
      <c r="C35" s="88">
        <f>IF(C13=0,0,C13/TrAvia_act!C11*1000)</f>
        <v>66.078031687301532</v>
      </c>
      <c r="D35" s="88">
        <f>IF(D13=0,0,D13/TrAvia_act!D11*1000)</f>
        <v>72.138991121310951</v>
      </c>
      <c r="E35" s="88">
        <f>IF(E13=0,0,E13/TrAvia_act!E11*1000)</f>
        <v>68.230832327689981</v>
      </c>
      <c r="F35" s="88">
        <f>IF(F13=0,0,F13/TrAvia_act!F11*1000)</f>
        <v>89.116594200336834</v>
      </c>
      <c r="G35" s="88">
        <f>IF(G13=0,0,G13/TrAvia_act!G11*1000)</f>
        <v>96.310686826838946</v>
      </c>
      <c r="H35" s="88">
        <f>IF(H13=0,0,H13/TrAvia_act!H11*1000)</f>
        <v>86.979450301506674</v>
      </c>
      <c r="I35" s="88">
        <f>IF(I13=0,0,I13/TrAvia_act!I11*1000)</f>
        <v>86.250417577098432</v>
      </c>
      <c r="J35" s="88">
        <f>IF(J13=0,0,J13/TrAvia_act!J11*1000)</f>
        <v>100.21995140349802</v>
      </c>
      <c r="K35" s="88">
        <f>IF(K13=0,0,K13/TrAvia_act!K11*1000)</f>
        <v>105.16928357180987</v>
      </c>
      <c r="L35" s="88">
        <f>IF(L13=0,0,L13/TrAvia_act!L11*1000)</f>
        <v>115.64421915578659</v>
      </c>
      <c r="M35" s="88">
        <f>IF(M13=0,0,M13/TrAvia_act!M11*1000)</f>
        <v>115.25154869096907</v>
      </c>
      <c r="N35" s="88">
        <f>IF(N13=0,0,N13/TrAvia_act!N11*1000)</f>
        <v>84.628266494655705</v>
      </c>
      <c r="O35" s="88">
        <f>IF(O13=0,0,O13/TrAvia_act!O11*1000)</f>
        <v>53.493628865487395</v>
      </c>
      <c r="P35" s="88">
        <f>IF(P13=0,0,P13/TrAvia_act!P11*1000)</f>
        <v>56.323977519365997</v>
      </c>
      <c r="Q35" s="88">
        <f>IF(Q13=0,0,Q13/TrAvia_act!Q11*1000)</f>
        <v>66.274906751684085</v>
      </c>
      <c r="R35" s="88">
        <f>IF(R13=0,0,R13/TrAvia_act!R11*1000)</f>
        <v>39.395398767388485</v>
      </c>
      <c r="S35" s="88">
        <f>IF(S13=0,0,S13/TrAvia_act!S11*1000)</f>
        <v>65.128525961505559</v>
      </c>
      <c r="T35" s="88">
        <f>IF(T13=0,0,T13/TrAvia_act!T11*1000)</f>
        <v>64.976353581316559</v>
      </c>
      <c r="U35" s="88">
        <f>IF(U13=0,0,U13/TrAvia_act!U11*1000)</f>
        <v>29.617499181414519</v>
      </c>
      <c r="V35" s="88">
        <f>IF(V13=0,0,V13/TrAvia_act!V11*1000)</f>
        <v>66.423203057244578</v>
      </c>
      <c r="W35" s="88">
        <f>IF(W13=0,0,W13/TrAvia_act!W11*1000)</f>
        <v>43.803445726398714</v>
      </c>
      <c r="X35" s="88">
        <f>IF(X13=0,0,X13/TrAvia_act!X11*1000)</f>
        <v>71.762389546306139</v>
      </c>
      <c r="Y35" s="88">
        <f>IF(Y13=0,0,Y13/TrAvia_act!Y11*1000)</f>
        <v>51.844610206081711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8513.6434046303566</v>
      </c>
      <c r="C37" s="62">
        <f>IF(C3=0,0,C3/TrAvia_act!C23*1000000)</f>
        <v>6812.0105988883461</v>
      </c>
      <c r="D37" s="62">
        <f>IF(D3=0,0,D3/TrAvia_act!D23*1000000)</f>
        <v>7088.8841308169967</v>
      </c>
      <c r="E37" s="62">
        <f>IF(E3=0,0,E3/TrAvia_act!E23*1000000)</f>
        <v>6126.2105232871636</v>
      </c>
      <c r="F37" s="62">
        <f>IF(F3=0,0,F3/TrAvia_act!F23*1000000)</f>
        <v>7763.7392154462841</v>
      </c>
      <c r="G37" s="62">
        <f>IF(G3=0,0,G3/TrAvia_act!G23*1000000)</f>
        <v>6587.0082381367938</v>
      </c>
      <c r="H37" s="62">
        <f>IF(H3=0,0,H3/TrAvia_act!H23*1000000)</f>
        <v>6936.2116588925483</v>
      </c>
      <c r="I37" s="62">
        <f>IF(I3=0,0,I3/TrAvia_act!I23*1000000)</f>
        <v>6571.0722867887016</v>
      </c>
      <c r="J37" s="62">
        <f>IF(J3=0,0,J3/TrAvia_act!J23*1000000)</f>
        <v>6874.7084329919226</v>
      </c>
      <c r="K37" s="62">
        <f>IF(K3=0,0,K3/TrAvia_act!K23*1000000)</f>
        <v>6632.3679261766056</v>
      </c>
      <c r="L37" s="62">
        <f>IF(L3=0,0,L3/TrAvia_act!L23*1000000)</f>
        <v>6809.7714951660973</v>
      </c>
      <c r="M37" s="62">
        <f>IF(M3=0,0,M3/TrAvia_act!M23*1000000)</f>
        <v>7265.7637397220196</v>
      </c>
      <c r="N37" s="62">
        <f>IF(N3=0,0,N3/TrAvia_act!N23*1000000)</f>
        <v>6880.0147741362343</v>
      </c>
      <c r="O37" s="62">
        <f>IF(O3=0,0,O3/TrAvia_act!O23*1000000)</f>
        <v>6677.1484224177511</v>
      </c>
      <c r="P37" s="62">
        <f>IF(P3=0,0,P3/TrAvia_act!P23*1000000)</f>
        <v>6840.2195731372294</v>
      </c>
      <c r="Q37" s="62">
        <f>IF(Q3=0,0,Q3/TrAvia_act!Q23*1000000)</f>
        <v>6688.2896532750401</v>
      </c>
      <c r="R37" s="62">
        <f>IF(R3=0,0,R3/TrAvia_act!R23*1000000)</f>
        <v>6874.1862552803386</v>
      </c>
      <c r="S37" s="62">
        <f>IF(S3=0,0,S3/TrAvia_act!S23*1000000)</f>
        <v>6694.7334686288668</v>
      </c>
      <c r="T37" s="62">
        <f>IF(T3=0,0,T3/TrAvia_act!T23*1000000)</f>
        <v>6589.5835324552272</v>
      </c>
      <c r="U37" s="62">
        <f>IF(U3=0,0,U3/TrAvia_act!U23*1000000)</f>
        <v>6332.1461639767003</v>
      </c>
      <c r="V37" s="62">
        <f>IF(V3=0,0,V3/TrAvia_act!V23*1000000)</f>
        <v>6117.2506204514511</v>
      </c>
      <c r="W37" s="62">
        <f>IF(W3=0,0,W3/TrAvia_act!W23*1000000)</f>
        <v>5879.8835053471312</v>
      </c>
      <c r="X37" s="62">
        <f>IF(X3=0,0,X3/TrAvia_act!X23*1000000)</f>
        <v>5928.5618296457624</v>
      </c>
      <c r="Y37" s="62">
        <f>IF(Y3=0,0,Y3/TrAvia_act!Y23*1000000)</f>
        <v>5645.102689681572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8539.7058118689001</v>
      </c>
      <c r="C38" s="14">
        <f>IF(C6=0,0,C6/TrAvia_act!C24*1000000)</f>
        <v>6832.1815598995208</v>
      </c>
      <c r="D38" s="14">
        <f>IF(D6=0,0,D6/TrAvia_act!D24*1000000)</f>
        <v>7112.5878084762608</v>
      </c>
      <c r="E38" s="14">
        <f>IF(E6=0,0,E6/TrAvia_act!E24*1000000)</f>
        <v>6160.4859033573821</v>
      </c>
      <c r="F38" s="14">
        <f>IF(F6=0,0,F6/TrAvia_act!F24*1000000)</f>
        <v>7798.9188763673592</v>
      </c>
      <c r="G38" s="14">
        <f>IF(G6=0,0,G6/TrAvia_act!G24*1000000)</f>
        <v>6627.2364379810815</v>
      </c>
      <c r="H38" s="14">
        <f>IF(H6=0,0,H6/TrAvia_act!H24*1000000)</f>
        <v>6985.087911559549</v>
      </c>
      <c r="I38" s="14">
        <f>IF(I6=0,0,I6/TrAvia_act!I24*1000000)</f>
        <v>6601.3695313029939</v>
      </c>
      <c r="J38" s="14">
        <f>IF(J6=0,0,J6/TrAvia_act!J24*1000000)</f>
        <v>6885.3636500806133</v>
      </c>
      <c r="K38" s="14">
        <f>IF(K6=0,0,K6/TrAvia_act!K24*1000000)</f>
        <v>6611.7843365491199</v>
      </c>
      <c r="L38" s="14">
        <f>IF(L6=0,0,L6/TrAvia_act!L24*1000000)</f>
        <v>6804.6501391818174</v>
      </c>
      <c r="M38" s="14">
        <f>IF(M6=0,0,M6/TrAvia_act!M24*1000000)</f>
        <v>7261.876305748654</v>
      </c>
      <c r="N38" s="14">
        <f>IF(N6=0,0,N6/TrAvia_act!N24*1000000)</f>
        <v>6868.6650609468188</v>
      </c>
      <c r="O38" s="14">
        <f>IF(O6=0,0,O6/TrAvia_act!O24*1000000)</f>
        <v>6682.5286790685086</v>
      </c>
      <c r="P38" s="14">
        <f>IF(P6=0,0,P6/TrAvia_act!P24*1000000)</f>
        <v>6851.8442280747349</v>
      </c>
      <c r="Q38" s="14">
        <f>IF(Q6=0,0,Q6/TrAvia_act!Q24*1000000)</f>
        <v>6711.4210710219577</v>
      </c>
      <c r="R38" s="14">
        <f>IF(R6=0,0,R6/TrAvia_act!R24*1000000)</f>
        <v>6889.9800558106654</v>
      </c>
      <c r="S38" s="14">
        <f>IF(S6=0,0,S6/TrAvia_act!S24*1000000)</f>
        <v>6714.1778086771747</v>
      </c>
      <c r="T38" s="14">
        <f>IF(T6=0,0,T6/TrAvia_act!T24*1000000)</f>
        <v>6607.1982547268444</v>
      </c>
      <c r="U38" s="14">
        <f>IF(U6=0,0,U6/TrAvia_act!U24*1000000)</f>
        <v>6341.2125766880717</v>
      </c>
      <c r="V38" s="14">
        <f>IF(V6=0,0,V6/TrAvia_act!V24*1000000)</f>
        <v>6128.0466682435517</v>
      </c>
      <c r="W38" s="14">
        <f>IF(W6=0,0,W6/TrAvia_act!W24*1000000)</f>
        <v>5905.0259652618306</v>
      </c>
      <c r="X38" s="14">
        <f>IF(X6=0,0,X6/TrAvia_act!X24*1000000)</f>
        <v>5929.0978819443299</v>
      </c>
      <c r="Y38" s="14">
        <f>IF(Y6=0,0,Y6/TrAvia_act!Y24*1000000)</f>
        <v>5650.2674948720924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9233.6587794461848</v>
      </c>
      <c r="C40" s="87">
        <f>IF(C8=0,0,C8/TrAvia_act!C26*1000000)</f>
        <v>7387.3964609677269</v>
      </c>
      <c r="D40" s="87">
        <f>IF(D8=0,0,D8/TrAvia_act!D26*1000000)</f>
        <v>7641.6635247725271</v>
      </c>
      <c r="E40" s="87">
        <f>IF(E8=0,0,E8/TrAvia_act!E26*1000000)</f>
        <v>6569.3510942087751</v>
      </c>
      <c r="F40" s="87">
        <f>IF(F8=0,0,F8/TrAvia_act!F26*1000000)</f>
        <v>8283.1930022272682</v>
      </c>
      <c r="G40" s="87">
        <f>IF(G8=0,0,G8/TrAvia_act!G26*1000000)</f>
        <v>6852.3576352108321</v>
      </c>
      <c r="H40" s="87">
        <f>IF(H8=0,0,H8/TrAvia_act!H26*1000000)</f>
        <v>7158.4753254623847</v>
      </c>
      <c r="I40" s="87">
        <f>IF(I8=0,0,I8/TrAvia_act!I26*1000000)</f>
        <v>6734.2112046000984</v>
      </c>
      <c r="J40" s="87">
        <f>IF(J8=0,0,J8/TrAvia_act!J26*1000000)</f>
        <v>6989.2239336757857</v>
      </c>
      <c r="K40" s="87">
        <f>IF(K8=0,0,K8/TrAvia_act!K26*1000000)</f>
        <v>6661.0372826355151</v>
      </c>
      <c r="L40" s="87">
        <f>IF(L8=0,0,L8/TrAvia_act!L26*1000000)</f>
        <v>6887.6667795283029</v>
      </c>
      <c r="M40" s="87">
        <f>IF(M8=0,0,M8/TrAvia_act!M26*1000000)</f>
        <v>7208.062057706732</v>
      </c>
      <c r="N40" s="87">
        <f>IF(N8=0,0,N8/TrAvia_act!N26*1000000)</f>
        <v>6956.5730881224727</v>
      </c>
      <c r="O40" s="87">
        <f>IF(O8=0,0,O8/TrAvia_act!O26*1000000)</f>
        <v>6955.9542035448403</v>
      </c>
      <c r="P40" s="87">
        <f>IF(P8=0,0,P8/TrAvia_act!P26*1000000)</f>
        <v>7031.040851907027</v>
      </c>
      <c r="Q40" s="87">
        <f>IF(Q8=0,0,Q8/TrAvia_act!Q26*1000000)</f>
        <v>6702.2531166611998</v>
      </c>
      <c r="R40" s="87">
        <f>IF(R8=0,0,R8/TrAvia_act!R26*1000000)</f>
        <v>6881.4718184790836</v>
      </c>
      <c r="S40" s="87">
        <f>IF(S8=0,0,S8/TrAvia_act!S26*1000000)</f>
        <v>6674.6675388839867</v>
      </c>
      <c r="T40" s="87">
        <f>IF(T8=0,0,T8/TrAvia_act!T26*1000000)</f>
        <v>6680.0109774894763</v>
      </c>
      <c r="U40" s="87">
        <f>IF(U8=0,0,U8/TrAvia_act!U26*1000000)</f>
        <v>6676.2883893398048</v>
      </c>
      <c r="V40" s="87">
        <f>IF(V8=0,0,V8/TrAvia_act!V26*1000000)</f>
        <v>6019.8874953302166</v>
      </c>
      <c r="W40" s="87">
        <f>IF(W8=0,0,W8/TrAvia_act!W26*1000000)</f>
        <v>5843.7265216152155</v>
      </c>
      <c r="X40" s="87">
        <f>IF(X8=0,0,X8/TrAvia_act!X26*1000000)</f>
        <v>6048.35357909504</v>
      </c>
      <c r="Y40" s="87">
        <f>IF(Y8=0,0,Y8/TrAvia_act!Y26*1000000)</f>
        <v>5842.7798209994608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5085.6996086714653</v>
      </c>
      <c r="C41" s="87">
        <f>IF(C9=0,0,C9/TrAvia_act!C27*1000000)</f>
        <v>4068.8088472798054</v>
      </c>
      <c r="D41" s="87">
        <f>IF(D9=0,0,D9/TrAvia_act!D27*1000000)</f>
        <v>4194.0585083489514</v>
      </c>
      <c r="E41" s="87">
        <f>IF(E9=0,0,E9/TrAvia_act!E27*1000000)</f>
        <v>3604.3815312335919</v>
      </c>
      <c r="F41" s="87">
        <f>IF(F9=0,0,F9/TrAvia_act!F27*1000000)</f>
        <v>4569.1873683476515</v>
      </c>
      <c r="G41" s="87">
        <f>IF(G9=0,0,G9/TrAvia_act!G27*1000000)</f>
        <v>4692.0279240171867</v>
      </c>
      <c r="H41" s="87">
        <f>IF(H9=0,0,H9/TrAvia_act!H27*1000000)</f>
        <v>5399.2413181721467</v>
      </c>
      <c r="I41" s="87">
        <f>IF(I9=0,0,I9/TrAvia_act!I27*1000000)</f>
        <v>5283.2448449052872</v>
      </c>
      <c r="J41" s="87">
        <f>IF(J9=0,0,J9/TrAvia_act!J27*1000000)</f>
        <v>5854.8984938613085</v>
      </c>
      <c r="K41" s="87">
        <f>IF(K9=0,0,K9/TrAvia_act!K27*1000000)</f>
        <v>6108.2350021799321</v>
      </c>
      <c r="L41" s="87">
        <f>IF(L9=0,0,L9/TrAvia_act!L27*1000000)</f>
        <v>5983.3605150311214</v>
      </c>
      <c r="M41" s="87">
        <f>IF(M9=0,0,M9/TrAvia_act!M27*1000000)</f>
        <v>7946.2818011691807</v>
      </c>
      <c r="N41" s="87">
        <f>IF(N9=0,0,N9/TrAvia_act!N27*1000000)</f>
        <v>6007.4894869151813</v>
      </c>
      <c r="O41" s="87">
        <f>IF(O9=0,0,O9/TrAvia_act!O27*1000000)</f>
        <v>4588.0121403053117</v>
      </c>
      <c r="P41" s="87">
        <f>IF(P9=0,0,P9/TrAvia_act!P27*1000000)</f>
        <v>5242.0760458691302</v>
      </c>
      <c r="Q41" s="87">
        <f>IF(Q9=0,0,Q9/TrAvia_act!Q27*1000000)</f>
        <v>6824.6338115097869</v>
      </c>
      <c r="R41" s="87">
        <f>IF(R9=0,0,R9/TrAvia_act!R27*1000000)</f>
        <v>7000.5139090315188</v>
      </c>
      <c r="S41" s="87">
        <f>IF(S9=0,0,S9/TrAvia_act!S27*1000000)</f>
        <v>7292.3527506356022</v>
      </c>
      <c r="T41" s="87">
        <f>IF(T9=0,0,T9/TrAvia_act!T27*1000000)</f>
        <v>5741.0177859129262</v>
      </c>
      <c r="U41" s="87">
        <f>IF(U9=0,0,U9/TrAvia_act!U27*1000000)</f>
        <v>3759.8209863535922</v>
      </c>
      <c r="V41" s="87">
        <f>IF(V9=0,0,V9/TrAvia_act!V27*1000000)</f>
        <v>7128.7826776475313</v>
      </c>
      <c r="W41" s="87">
        <f>IF(W9=0,0,W9/TrAvia_act!W27*1000000)</f>
        <v>6551.7460812970121</v>
      </c>
      <c r="X41" s="87">
        <f>IF(X9=0,0,X9/TrAvia_act!X27*1000000)</f>
        <v>4795.3641853436411</v>
      </c>
      <c r="Y41" s="87">
        <f>IF(Y9=0,0,Y9/TrAvia_act!Y27*1000000)</f>
        <v>3987.6162984024522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7493.8988922184899</v>
      </c>
      <c r="C42" s="15">
        <f>IF(C10=0,0,C10/TrAvia_act!C28*1000000)</f>
        <v>5984.0871055415</v>
      </c>
      <c r="D42" s="15">
        <f>IF(D10=0,0,D10/TrAvia_act!D28*1000000)</f>
        <v>6149.010949667133</v>
      </c>
      <c r="E42" s="15">
        <f>IF(E10=0,0,E10/TrAvia_act!E28*1000000)</f>
        <v>5207.183893379206</v>
      </c>
      <c r="F42" s="15">
        <f>IF(F10=0,0,F10/TrAvia_act!F28*1000000)</f>
        <v>6687.0760399158726</v>
      </c>
      <c r="G42" s="15">
        <f>IF(G10=0,0,G10/TrAvia_act!G28*1000000)</f>
        <v>5439.0868086593882</v>
      </c>
      <c r="H42" s="15">
        <f>IF(H10=0,0,H10/TrAvia_act!H28*1000000)</f>
        <v>5806.0169623904612</v>
      </c>
      <c r="I42" s="15">
        <f>IF(I10=0,0,I10/TrAvia_act!I28*1000000)</f>
        <v>5815.0233474950028</v>
      </c>
      <c r="J42" s="15">
        <f>IF(J10=0,0,J10/TrAvia_act!J28*1000000)</f>
        <v>6598.7138156429228</v>
      </c>
      <c r="K42" s="15">
        <f>IF(K10=0,0,K10/TrAvia_act!K28*1000000)</f>
        <v>7191.3144519493881</v>
      </c>
      <c r="L42" s="15">
        <f>IF(L10=0,0,L10/TrAvia_act!L28*1000000)</f>
        <v>6969.0952277867291</v>
      </c>
      <c r="M42" s="15">
        <f>IF(M10=0,0,M10/TrAvia_act!M28*1000000)</f>
        <v>7397.9176237777265</v>
      </c>
      <c r="N42" s="15">
        <f>IF(N10=0,0,N10/TrAvia_act!N28*1000000)</f>
        <v>7301.1488687961073</v>
      </c>
      <c r="O42" s="15">
        <f>IF(O10=0,0,O10/TrAvia_act!O28*1000000)</f>
        <v>6416.2484059021581</v>
      </c>
      <c r="P42" s="15">
        <f>IF(P10=0,0,P10/TrAvia_act!P28*1000000)</f>
        <v>6154.9610679750649</v>
      </c>
      <c r="Q42" s="15">
        <f>IF(Q10=0,0,Q10/TrAvia_act!Q28*1000000)</f>
        <v>5453.1879652397593</v>
      </c>
      <c r="R42" s="15">
        <f>IF(R10=0,0,R10/TrAvia_act!R28*1000000)</f>
        <v>5440.6382995301647</v>
      </c>
      <c r="S42" s="15">
        <f>IF(S10=0,0,S10/TrAvia_act!S28*1000000)</f>
        <v>4831.2421816736742</v>
      </c>
      <c r="T42" s="15">
        <f>IF(T10=0,0,T10/TrAvia_act!T28*1000000)</f>
        <v>4815.9917741578211</v>
      </c>
      <c r="U42" s="15">
        <f>IF(U10=0,0,U10/TrAvia_act!U28*1000000)</f>
        <v>4875.4383129347034</v>
      </c>
      <c r="V42" s="15">
        <f>IF(V10=0,0,V10/TrAvia_act!V28*1000000)</f>
        <v>5642.0738750717192</v>
      </c>
      <c r="W42" s="15">
        <f>IF(W10=0,0,W10/TrAvia_act!W28*1000000)</f>
        <v>4523.8738471861116</v>
      </c>
      <c r="X42" s="15">
        <f>IF(X10=0,0,X10/TrAvia_act!X28*1000000)</f>
        <v>5878.4731028675697</v>
      </c>
      <c r="Y42" s="15">
        <f>IF(Y10=0,0,Y10/TrAvia_act!Y28*1000000)</f>
        <v>5126.9529370129185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7779.4236681481179</v>
      </c>
      <c r="C44" s="101">
        <f>IF(C12=0,0,C12/TrAvia_act!C30*1000000)</f>
        <v>6232.5306744860673</v>
      </c>
      <c r="D44" s="101">
        <f>IF(D12=0,0,D12/TrAvia_act!D30*1000000)</f>
        <v>6423.845395217405</v>
      </c>
      <c r="E44" s="101">
        <f>IF(E12=0,0,E12/TrAvia_act!E30*1000000)</f>
        <v>5377.451936804785</v>
      </c>
      <c r="F44" s="101">
        <f>IF(F12=0,0,F12/TrAvia_act!F30*1000000)</f>
        <v>6999.4814399714232</v>
      </c>
      <c r="G44" s="101">
        <f>IF(G12=0,0,G12/TrAvia_act!G30*1000000)</f>
        <v>5620.6245846934953</v>
      </c>
      <c r="H44" s="101">
        <f>IF(H12=0,0,H12/TrAvia_act!H30*1000000)</f>
        <v>5735.2319956273213</v>
      </c>
      <c r="I44" s="101">
        <f>IF(I12=0,0,I12/TrAvia_act!I30*1000000)</f>
        <v>5538.8010680026837</v>
      </c>
      <c r="J44" s="101">
        <f>IF(J12=0,0,J12/TrAvia_act!J30*1000000)</f>
        <v>5919.0718824188853</v>
      </c>
      <c r="K44" s="101">
        <f>IF(K12=0,0,K12/TrAvia_act!K30*1000000)</f>
        <v>5936.747389703718</v>
      </c>
      <c r="L44" s="101">
        <f>IF(L12=0,0,L12/TrAvia_act!L30*1000000)</f>
        <v>6150.0550219479755</v>
      </c>
      <c r="M44" s="101">
        <f>IF(M12=0,0,M12/TrAvia_act!M30*1000000)</f>
        <v>6753.1444888832439</v>
      </c>
      <c r="N44" s="101">
        <f>IF(N12=0,0,N12/TrAvia_act!N30*1000000)</f>
        <v>6657.4699196563752</v>
      </c>
      <c r="O44" s="101">
        <f>IF(O12=0,0,O12/TrAvia_act!O30*1000000)</f>
        <v>6083.2289137371408</v>
      </c>
      <c r="P44" s="101">
        <f>IF(P12=0,0,P12/TrAvia_act!P30*1000000)</f>
        <v>5997.5918793408382</v>
      </c>
      <c r="Q44" s="101">
        <f>IF(Q12=0,0,Q12/TrAvia_act!Q30*1000000)</f>
        <v>5326.2223896419082</v>
      </c>
      <c r="R44" s="101">
        <f>IF(R12=0,0,R12/TrAvia_act!R30*1000000)</f>
        <v>5298.6939063310892</v>
      </c>
      <c r="S44" s="101">
        <f>IF(S12=0,0,S12/TrAvia_act!S30*1000000)</f>
        <v>4773.4175240588338</v>
      </c>
      <c r="T44" s="101">
        <f>IF(T12=0,0,T12/TrAvia_act!T30*1000000)</f>
        <v>4990.9922596583192</v>
      </c>
      <c r="U44" s="101">
        <f>IF(U12=0,0,U12/TrAvia_act!U30*1000000)</f>
        <v>5521.3397337294537</v>
      </c>
      <c r="V44" s="101">
        <f>IF(V12=0,0,V12/TrAvia_act!V30*1000000)</f>
        <v>5628.3762380491726</v>
      </c>
      <c r="W44" s="101">
        <f>IF(W12=0,0,W12/TrAvia_act!W30*1000000)</f>
        <v>5108.3378177070781</v>
      </c>
      <c r="X44" s="101">
        <f>IF(X12=0,0,X12/TrAvia_act!X30*1000000)</f>
        <v>4924.8242101697988</v>
      </c>
      <c r="Y44" s="101">
        <f>IF(Y12=0,0,Y12/TrAvia_act!Y30*1000000)</f>
        <v>4216.1304579497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4578.0852713613767</v>
      </c>
      <c r="C45" s="88">
        <f>IF(C13=0,0,C13/TrAvia_act!C31*1000000)</f>
        <v>3662.6925082157095</v>
      </c>
      <c r="D45" s="88">
        <f>IF(D13=0,0,D13/TrAvia_act!D31*1000000)</f>
        <v>3775.4407380966018</v>
      </c>
      <c r="E45" s="88">
        <f>IF(E13=0,0,E13/TrAvia_act!E31*1000000)</f>
        <v>3244.6206560001801</v>
      </c>
      <c r="F45" s="88">
        <f>IF(F13=0,0,F13/TrAvia_act!F31*1000000)</f>
        <v>4113.1272003277554</v>
      </c>
      <c r="G45" s="88">
        <f>IF(G13=0,0,G13/TrAvia_act!G31*1000000)</f>
        <v>4223.7067826683378</v>
      </c>
      <c r="H45" s="88">
        <f>IF(H13=0,0,H13/TrAvia_act!H31*1000000)</f>
        <v>6522.7147508672551</v>
      </c>
      <c r="I45" s="88">
        <f>IF(I13=0,0,I13/TrAvia_act!I31*1000000)</f>
        <v>8566.1972512385018</v>
      </c>
      <c r="J45" s="88">
        <f>IF(J13=0,0,J13/TrAvia_act!J31*1000000)</f>
        <v>12741.631289014034</v>
      </c>
      <c r="K45" s="88">
        <f>IF(K13=0,0,K13/TrAvia_act!K31*1000000)</f>
        <v>17842.834803956743</v>
      </c>
      <c r="L45" s="88">
        <f>IF(L13=0,0,L13/TrAvia_act!L31*1000000)</f>
        <v>23461.586645357998</v>
      </c>
      <c r="M45" s="88">
        <f>IF(M13=0,0,M13/TrAvia_act!M31*1000000)</f>
        <v>25727.896744349448</v>
      </c>
      <c r="N45" s="88">
        <f>IF(N13=0,0,N13/TrAvia_act!N31*1000000)</f>
        <v>16065.085330160153</v>
      </c>
      <c r="O45" s="88">
        <f>IF(O13=0,0,O13/TrAvia_act!O31*1000000)</f>
        <v>9488.6217852310201</v>
      </c>
      <c r="P45" s="88">
        <f>IF(P13=0,0,P13/TrAvia_act!P31*1000000)</f>
        <v>8384.3579069599582</v>
      </c>
      <c r="Q45" s="88">
        <f>IF(Q13=0,0,Q13/TrAvia_act!Q31*1000000)</f>
        <v>8441.7622831584231</v>
      </c>
      <c r="R45" s="88">
        <f>IF(R13=0,0,R13/TrAvia_act!R31*1000000)</f>
        <v>6696.8461793419847</v>
      </c>
      <c r="S45" s="88">
        <f>IF(S13=0,0,S13/TrAvia_act!S31*1000000)</f>
        <v>5395.0325934183647</v>
      </c>
      <c r="T45" s="88">
        <f>IF(T13=0,0,T13/TrAvia_act!T31*1000000)</f>
        <v>3284.7375260284634</v>
      </c>
      <c r="U45" s="88">
        <f>IF(U13=0,0,U13/TrAvia_act!U31*1000000)</f>
        <v>1361.7345838112608</v>
      </c>
      <c r="V45" s="88">
        <f>IF(V13=0,0,V13/TrAvia_act!V31*1000000)</f>
        <v>5679.1519614948193</v>
      </c>
      <c r="W45" s="88">
        <f>IF(W13=0,0,W13/TrAvia_act!W31*1000000)</f>
        <v>2818.3888184527959</v>
      </c>
      <c r="X45" s="88">
        <f>IF(X13=0,0,X13/TrAvia_act!X31*1000000)</f>
        <v>9395.0533946906016</v>
      </c>
      <c r="Y45" s="88">
        <f>IF(Y13=0,0,Y13/TrAvia_act!Y31*1000000)</f>
        <v>8143.1191791566889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0.97806410346061279</v>
      </c>
      <c r="C48" s="16">
        <f t="shared" si="36"/>
        <v>0.97910680016670792</v>
      </c>
      <c r="D48" s="16">
        <f t="shared" ref="D48:V48" si="37">IF(D6=0,0,D6/D$3)</f>
        <v>0.97866185019414309</v>
      </c>
      <c r="E48" s="16">
        <f t="shared" si="37"/>
        <v>0.96943933721528763</v>
      </c>
      <c r="F48" s="16">
        <f t="shared" si="37"/>
        <v>0.97274704685143853</v>
      </c>
      <c r="G48" s="16">
        <f t="shared" si="37"/>
        <v>0.97204257002726024</v>
      </c>
      <c r="H48" s="16">
        <f t="shared" si="37"/>
        <v>0.96530124237627934</v>
      </c>
      <c r="I48" s="16">
        <f t="shared" si="37"/>
        <v>0.96590391096580031</v>
      </c>
      <c r="J48" s="16">
        <f t="shared" si="37"/>
        <v>0.9643207581954456</v>
      </c>
      <c r="K48" s="16">
        <f t="shared" si="37"/>
        <v>0.96148900188004216</v>
      </c>
      <c r="L48" s="16">
        <f t="shared" si="37"/>
        <v>0.96812810271703231</v>
      </c>
      <c r="M48" s="16">
        <f t="shared" si="37"/>
        <v>0.97090486248883634</v>
      </c>
      <c r="N48" s="16">
        <f t="shared" si="37"/>
        <v>0.97215053429429066</v>
      </c>
      <c r="O48" s="16">
        <f t="shared" si="37"/>
        <v>0.9805842514644818</v>
      </c>
      <c r="P48" s="16">
        <f t="shared" si="37"/>
        <v>0.98499018403156358</v>
      </c>
      <c r="Q48" s="16">
        <f t="shared" si="37"/>
        <v>0.98501086612250477</v>
      </c>
      <c r="R48" s="16">
        <f t="shared" si="37"/>
        <v>0.9913752919407639</v>
      </c>
      <c r="S48" s="16">
        <f t="shared" si="37"/>
        <v>0.99254782145217524</v>
      </c>
      <c r="T48" s="16">
        <f t="shared" si="37"/>
        <v>0.99281283000633458</v>
      </c>
      <c r="U48" s="16">
        <f t="shared" si="37"/>
        <v>0.99523754234275597</v>
      </c>
      <c r="V48" s="16">
        <f t="shared" si="37"/>
        <v>0.97951031240425512</v>
      </c>
      <c r="W48" s="16">
        <f t="shared" ref="W48:Y48" si="38">IF(W6=0,0,W6/W$3)</f>
        <v>0.98599419689950984</v>
      </c>
      <c r="X48" s="16">
        <f t="shared" si="38"/>
        <v>0.98950072760039831</v>
      </c>
      <c r="Y48" s="16">
        <f t="shared" si="38"/>
        <v>0.99103647956145868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0.880616608549458</v>
      </c>
      <c r="C50" s="103">
        <f t="shared" si="42"/>
        <v>0.88155264310824277</v>
      </c>
      <c r="D50" s="103">
        <f t="shared" ref="D50:V50" si="43">IF(D8=0,0,D8/D$3)</f>
        <v>0.89010139757879214</v>
      </c>
      <c r="E50" s="103">
        <f t="shared" si="43"/>
        <v>0.89122320714742209</v>
      </c>
      <c r="F50" s="103">
        <f t="shared" si="43"/>
        <v>0.89843603184720378</v>
      </c>
      <c r="G50" s="103">
        <f t="shared" si="43"/>
        <v>0.90032761024151586</v>
      </c>
      <c r="H50" s="103">
        <f t="shared" si="43"/>
        <v>0.8917622483190909</v>
      </c>
      <c r="I50" s="103">
        <f t="shared" si="43"/>
        <v>0.89512928025078364</v>
      </c>
      <c r="J50" s="103">
        <f t="shared" si="43"/>
        <v>0.88924048656498489</v>
      </c>
      <c r="K50" s="103">
        <f t="shared" si="43"/>
        <v>0.88234759505313431</v>
      </c>
      <c r="L50" s="103">
        <f t="shared" si="43"/>
        <v>0.88997939308077845</v>
      </c>
      <c r="M50" s="103">
        <f t="shared" si="43"/>
        <v>0.89345807433494318</v>
      </c>
      <c r="N50" s="103">
        <f t="shared" si="43"/>
        <v>0.89339551110784798</v>
      </c>
      <c r="O50" s="103">
        <f t="shared" si="43"/>
        <v>0.90284566799398758</v>
      </c>
      <c r="P50" s="103">
        <f t="shared" si="43"/>
        <v>0.90950603479435033</v>
      </c>
      <c r="Q50" s="103">
        <f t="shared" si="43"/>
        <v>0.90997560196681349</v>
      </c>
      <c r="R50" s="103">
        <f t="shared" si="43"/>
        <v>0.91938248619551444</v>
      </c>
      <c r="S50" s="103">
        <f t="shared" si="43"/>
        <v>0.92359229761459083</v>
      </c>
      <c r="T50" s="103">
        <f t="shared" si="43"/>
        <v>0.92591935415876514</v>
      </c>
      <c r="U50" s="103">
        <f t="shared" si="43"/>
        <v>0.92744099795593349</v>
      </c>
      <c r="V50" s="103">
        <f t="shared" si="43"/>
        <v>0.8683690859539428</v>
      </c>
      <c r="W50" s="103">
        <f t="shared" ref="W50:Y50" si="44">IF(W8=0,0,W8/W$3)</f>
        <v>0.89127873486634168</v>
      </c>
      <c r="X50" s="103">
        <f t="shared" si="44"/>
        <v>0.91333127509400558</v>
      </c>
      <c r="Y50" s="103">
        <f t="shared" si="44"/>
        <v>0.91845758655030452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9.74474949111548E-2</v>
      </c>
      <c r="C51" s="103">
        <f t="shared" si="45"/>
        <v>9.7554157058465263E-2</v>
      </c>
      <c r="D51" s="103">
        <f t="shared" ref="D51:V51" si="46">IF(D9=0,0,D9/D$3)</f>
        <v>8.8560452615350935E-2</v>
      </c>
      <c r="E51" s="103">
        <f t="shared" si="46"/>
        <v>7.8216130067865541E-2</v>
      </c>
      <c r="F51" s="103">
        <f t="shared" si="46"/>
        <v>7.431101500423469E-2</v>
      </c>
      <c r="G51" s="103">
        <f t="shared" si="46"/>
        <v>7.1714959785744312E-2</v>
      </c>
      <c r="H51" s="103">
        <f t="shared" si="46"/>
        <v>7.3538994057188403E-2</v>
      </c>
      <c r="I51" s="103">
        <f t="shared" si="46"/>
        <v>7.077463071501669E-2</v>
      </c>
      <c r="J51" s="103">
        <f t="shared" si="46"/>
        <v>7.5080271630460785E-2</v>
      </c>
      <c r="K51" s="103">
        <f t="shared" si="46"/>
        <v>7.9141406826907817E-2</v>
      </c>
      <c r="L51" s="103">
        <f t="shared" si="46"/>
        <v>7.8148709636253935E-2</v>
      </c>
      <c r="M51" s="103">
        <f t="shared" si="46"/>
        <v>7.7446788153893206E-2</v>
      </c>
      <c r="N51" s="103">
        <f t="shared" si="46"/>
        <v>7.8755023186442716E-2</v>
      </c>
      <c r="O51" s="103">
        <f t="shared" si="46"/>
        <v>7.7738583470494227E-2</v>
      </c>
      <c r="P51" s="103">
        <f t="shared" si="46"/>
        <v>7.548414923721318E-2</v>
      </c>
      <c r="Q51" s="103">
        <f t="shared" si="46"/>
        <v>7.5035264155691242E-2</v>
      </c>
      <c r="R51" s="103">
        <f t="shared" si="46"/>
        <v>7.1992805745249466E-2</v>
      </c>
      <c r="S51" s="103">
        <f t="shared" si="46"/>
        <v>6.8955523837584326E-2</v>
      </c>
      <c r="T51" s="103">
        <f t="shared" si="46"/>
        <v>6.6893475847569508E-2</v>
      </c>
      <c r="U51" s="103">
        <f t="shared" si="46"/>
        <v>6.7796544386822505E-2</v>
      </c>
      <c r="V51" s="103">
        <f t="shared" si="46"/>
        <v>0.11114122645031234</v>
      </c>
      <c r="W51" s="103">
        <f t="shared" ref="W51:Y51" si="47">IF(W9=0,0,W9/W$3)</f>
        <v>9.4715462033168191E-2</v>
      </c>
      <c r="X51" s="103">
        <f t="shared" si="47"/>
        <v>7.6169452506392801E-2</v>
      </c>
      <c r="Y51" s="103">
        <f t="shared" si="47"/>
        <v>7.2578893011154208E-2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2.1935896539387188E-2</v>
      </c>
      <c r="C52" s="17">
        <f t="shared" si="48"/>
        <v>2.0893199833292075E-2</v>
      </c>
      <c r="D52" s="17">
        <f t="shared" ref="D52:V52" si="49">IF(D10=0,0,D10/D$3)</f>
        <v>2.1338149805856865E-2</v>
      </c>
      <c r="E52" s="17">
        <f t="shared" si="49"/>
        <v>3.056066278471253E-2</v>
      </c>
      <c r="F52" s="17">
        <f t="shared" si="49"/>
        <v>2.7252953148561413E-2</v>
      </c>
      <c r="G52" s="17">
        <f t="shared" si="49"/>
        <v>2.7957429972739822E-2</v>
      </c>
      <c r="H52" s="17">
        <f t="shared" si="49"/>
        <v>3.4698757623720704E-2</v>
      </c>
      <c r="I52" s="17">
        <f t="shared" si="49"/>
        <v>3.4096089034199598E-2</v>
      </c>
      <c r="J52" s="17">
        <f t="shared" si="49"/>
        <v>3.5679241804554417E-2</v>
      </c>
      <c r="K52" s="17">
        <f t="shared" si="49"/>
        <v>3.8510998119957784E-2</v>
      </c>
      <c r="L52" s="17">
        <f t="shared" si="49"/>
        <v>3.1871897282967653E-2</v>
      </c>
      <c r="M52" s="17">
        <f t="shared" si="49"/>
        <v>2.9095137511163542E-2</v>
      </c>
      <c r="N52" s="17">
        <f t="shared" si="49"/>
        <v>2.7849465705709269E-2</v>
      </c>
      <c r="O52" s="17">
        <f t="shared" si="49"/>
        <v>1.9415748535518244E-2</v>
      </c>
      <c r="P52" s="17">
        <f t="shared" si="49"/>
        <v>1.5009815968436547E-2</v>
      </c>
      <c r="Q52" s="17">
        <f t="shared" si="49"/>
        <v>1.4989133877495186E-2</v>
      </c>
      <c r="R52" s="17">
        <f t="shared" si="49"/>
        <v>8.6247080592360414E-3</v>
      </c>
      <c r="S52" s="17">
        <f t="shared" si="49"/>
        <v>7.4521785478248127E-3</v>
      </c>
      <c r="T52" s="17">
        <f t="shared" si="49"/>
        <v>7.1871699936655042E-3</v>
      </c>
      <c r="U52" s="17">
        <f t="shared" si="49"/>
        <v>4.7624576572440885E-3</v>
      </c>
      <c r="V52" s="17">
        <f t="shared" si="49"/>
        <v>2.0489687595744953E-2</v>
      </c>
      <c r="W52" s="17">
        <f t="shared" ref="W52:Y52" si="50">IF(W10=0,0,W10/W$3)</f>
        <v>1.4005803100490086E-2</v>
      </c>
      <c r="X52" s="17">
        <f t="shared" si="50"/>
        <v>1.0499272399601601E-2</v>
      </c>
      <c r="Y52" s="17">
        <f t="shared" si="50"/>
        <v>8.9635204385413534E-3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2.0740688094065526E-2</v>
      </c>
      <c r="C54" s="104">
        <f t="shared" si="54"/>
        <v>1.9656883815005879E-2</v>
      </c>
      <c r="D54" s="104">
        <f t="shared" ref="D54:V54" si="55">IF(D12=0,0,D12/D$3)</f>
        <v>1.9978566037736675E-2</v>
      </c>
      <c r="E54" s="104">
        <f t="shared" si="55"/>
        <v>2.904046384200093E-2</v>
      </c>
      <c r="F54" s="104">
        <f t="shared" si="55"/>
        <v>2.5438614507730693E-2</v>
      </c>
      <c r="G54" s="104">
        <f t="shared" si="55"/>
        <v>2.5136052623867297E-2</v>
      </c>
      <c r="H54" s="104">
        <f t="shared" si="55"/>
        <v>3.1194758475822308E-2</v>
      </c>
      <c r="I54" s="104">
        <f t="shared" si="55"/>
        <v>2.9513292034910595E-2</v>
      </c>
      <c r="J54" s="104">
        <f t="shared" si="55"/>
        <v>2.8816238665604309E-2</v>
      </c>
      <c r="K54" s="104">
        <f t="shared" si="55"/>
        <v>2.8442489078314363E-2</v>
      </c>
      <c r="L54" s="104">
        <f t="shared" si="55"/>
        <v>2.6795464674865075E-2</v>
      </c>
      <c r="M54" s="104">
        <f t="shared" si="55"/>
        <v>2.5656819622774264E-2</v>
      </c>
      <c r="N54" s="104">
        <f t="shared" si="55"/>
        <v>2.3656720684184507E-2</v>
      </c>
      <c r="O54" s="104">
        <f t="shared" si="55"/>
        <v>1.6607868578044107E-2</v>
      </c>
      <c r="P54" s="104">
        <f t="shared" si="55"/>
        <v>1.3661692328523465E-2</v>
      </c>
      <c r="Q54" s="104">
        <f t="shared" si="55"/>
        <v>1.4043524307827713E-2</v>
      </c>
      <c r="R54" s="104">
        <f t="shared" si="55"/>
        <v>7.546931727405802E-3</v>
      </c>
      <c r="S54" s="104">
        <f t="shared" si="55"/>
        <v>6.67805540389924E-3</v>
      </c>
      <c r="T54" s="104">
        <f t="shared" si="55"/>
        <v>6.6844012887678338E-3</v>
      </c>
      <c r="U54" s="104">
        <f t="shared" si="55"/>
        <v>4.5559081983698292E-3</v>
      </c>
      <c r="V54" s="104">
        <f t="shared" si="55"/>
        <v>1.4925912173239672E-2</v>
      </c>
      <c r="W54" s="104">
        <f t="shared" ref="W54:Y54" si="56">IF(W12=0,0,W12/W$3)</f>
        <v>1.1778751026060488E-2</v>
      </c>
      <c r="X54" s="104">
        <f t="shared" si="56"/>
        <v>6.9195228758130852E-3</v>
      </c>
      <c r="Y54" s="104">
        <f t="shared" si="56"/>
        <v>5.661466525546833E-3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1.1952084453216629E-3</v>
      </c>
      <c r="C55" s="105">
        <f t="shared" si="57"/>
        <v>1.2363160182861995E-3</v>
      </c>
      <c r="D55" s="105">
        <f t="shared" ref="D55:V55" si="58">IF(D13=0,0,D13/D$3)</f>
        <v>1.3595837681201928E-3</v>
      </c>
      <c r="E55" s="105">
        <f t="shared" si="58"/>
        <v>1.5201989427116036E-3</v>
      </c>
      <c r="F55" s="105">
        <f t="shared" si="58"/>
        <v>1.8143386408307196E-3</v>
      </c>
      <c r="G55" s="105">
        <f t="shared" si="58"/>
        <v>2.8213773488725254E-3</v>
      </c>
      <c r="H55" s="105">
        <f t="shared" si="58"/>
        <v>3.5039991478984004E-3</v>
      </c>
      <c r="I55" s="105">
        <f t="shared" si="58"/>
        <v>4.5827969992890049E-3</v>
      </c>
      <c r="J55" s="105">
        <f t="shared" si="58"/>
        <v>6.8630031389501113E-3</v>
      </c>
      <c r="K55" s="105">
        <f t="shared" si="58"/>
        <v>1.0068509041643426E-2</v>
      </c>
      <c r="L55" s="105">
        <f t="shared" si="58"/>
        <v>5.0764326081025784E-3</v>
      </c>
      <c r="M55" s="105">
        <f t="shared" si="58"/>
        <v>3.4383178883892816E-3</v>
      </c>
      <c r="N55" s="105">
        <f t="shared" si="58"/>
        <v>4.1927450215247632E-3</v>
      </c>
      <c r="O55" s="105">
        <f t="shared" si="58"/>
        <v>2.8078799574741391E-3</v>
      </c>
      <c r="P55" s="105">
        <f t="shared" si="58"/>
        <v>1.3481236399130821E-3</v>
      </c>
      <c r="Q55" s="105">
        <f t="shared" si="58"/>
        <v>9.4560956966747403E-4</v>
      </c>
      <c r="R55" s="105">
        <f t="shared" si="58"/>
        <v>1.0777763318302392E-3</v>
      </c>
      <c r="S55" s="105">
        <f t="shared" si="58"/>
        <v>7.7412314392557322E-4</v>
      </c>
      <c r="T55" s="105">
        <f t="shared" si="58"/>
        <v>5.0276870489767073E-4</v>
      </c>
      <c r="U55" s="105">
        <f t="shared" si="58"/>
        <v>2.0654945887425946E-4</v>
      </c>
      <c r="V55" s="105">
        <f t="shared" si="58"/>
        <v>5.5637754225052799E-3</v>
      </c>
      <c r="W55" s="105">
        <f t="shared" ref="W55:Y55" si="59">IF(W13=0,0,W13/W$3)</f>
        <v>2.2270520744295977E-3</v>
      </c>
      <c r="X55" s="105">
        <f t="shared" si="59"/>
        <v>3.5797495237885162E-3</v>
      </c>
      <c r="Y55" s="105">
        <f t="shared" si="59"/>
        <v>3.3020539129945204E-3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335.8948464424476</v>
      </c>
      <c r="C57" s="62">
        <v>335.90825444917476</v>
      </c>
      <c r="D57" s="62">
        <v>333.96520740408698</v>
      </c>
      <c r="E57" s="62">
        <v>333.33509835097868</v>
      </c>
      <c r="F57" s="62">
        <v>332.87832427121009</v>
      </c>
      <c r="G57" s="62">
        <v>331.42685972002681</v>
      </c>
      <c r="H57" s="62">
        <v>331.53182915636501</v>
      </c>
      <c r="I57" s="62">
        <v>330.90824100761427</v>
      </c>
      <c r="J57" s="62">
        <v>331.26599295196536</v>
      </c>
      <c r="K57" s="62">
        <v>332.20920262929781</v>
      </c>
      <c r="L57" s="62">
        <v>333.50027397776097</v>
      </c>
      <c r="M57" s="62">
        <v>331.1040512127949</v>
      </c>
      <c r="N57" s="62">
        <v>329.85001568861867</v>
      </c>
      <c r="O57" s="62">
        <v>331.77932792202336</v>
      </c>
      <c r="P57" s="62">
        <v>330.45152108990055</v>
      </c>
      <c r="Q57" s="62">
        <v>329.13968617833103</v>
      </c>
      <c r="R57" s="62">
        <v>330.30926180250765</v>
      </c>
      <c r="S57" s="62">
        <v>329.81596747551413</v>
      </c>
      <c r="T57" s="62">
        <v>331.02732384900764</v>
      </c>
      <c r="U57" s="62">
        <v>335.18344235130542</v>
      </c>
      <c r="V57" s="62">
        <v>339.35748941554903</v>
      </c>
      <c r="W57" s="62">
        <v>339.61866776752004</v>
      </c>
      <c r="X57" s="62">
        <v>329.82223050338786</v>
      </c>
      <c r="Y57" s="62">
        <v>334.40838795499388</v>
      </c>
      <c r="DA57" s="172" t="s">
        <v>314</v>
      </c>
    </row>
    <row r="58" spans="1:105" ht="11.45" customHeight="1" x14ac:dyDescent="0.25">
      <c r="A58" s="10" t="s">
        <v>33</v>
      </c>
      <c r="B58" s="14">
        <v>335.49601645667519</v>
      </c>
      <c r="C58" s="14">
        <v>335.49518663958952</v>
      </c>
      <c r="D58" s="14">
        <v>333.47813143594044</v>
      </c>
      <c r="E58" s="14">
        <v>332.72971119681245</v>
      </c>
      <c r="F58" s="14">
        <v>332.16583731808794</v>
      </c>
      <c r="G58" s="14">
        <v>330.61456212658828</v>
      </c>
      <c r="H58" s="14">
        <v>330.81471956128468</v>
      </c>
      <c r="I58" s="14">
        <v>330.37816449753637</v>
      </c>
      <c r="J58" s="14">
        <v>330.42758244345134</v>
      </c>
      <c r="K58" s="14">
        <v>330.83337701268101</v>
      </c>
      <c r="L58" s="14">
        <v>332.78374694963532</v>
      </c>
      <c r="M58" s="14">
        <v>330.75051314739341</v>
      </c>
      <c r="N58" s="14">
        <v>329.55904632040267</v>
      </c>
      <c r="O58" s="14">
        <v>331.61314052732007</v>
      </c>
      <c r="P58" s="14">
        <v>330.5094231684696</v>
      </c>
      <c r="Q58" s="14">
        <v>329.3509810113876</v>
      </c>
      <c r="R58" s="14">
        <v>330.35726701008127</v>
      </c>
      <c r="S58" s="14">
        <v>329.8549695439055</v>
      </c>
      <c r="T58" s="14">
        <v>330.99341794756157</v>
      </c>
      <c r="U58" s="14">
        <v>335.16421331797142</v>
      </c>
      <c r="V58" s="14">
        <v>338.63501066780827</v>
      </c>
      <c r="W58" s="14">
        <v>339.50568031609589</v>
      </c>
      <c r="X58" s="14">
        <v>328.9527727990091</v>
      </c>
      <c r="Y58" s="14">
        <v>333.60428920384498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326.21870791366422</v>
      </c>
      <c r="C60" s="87">
        <v>326.21747500290564</v>
      </c>
      <c r="D60" s="87">
        <v>324.92153220218489</v>
      </c>
      <c r="E60" s="87">
        <v>325.11321171552669</v>
      </c>
      <c r="F60" s="87">
        <v>324.93814391964872</v>
      </c>
      <c r="G60" s="87">
        <v>324.99330368340156</v>
      </c>
      <c r="H60" s="87">
        <v>325.33522737345123</v>
      </c>
      <c r="I60" s="87">
        <v>324.91838175879917</v>
      </c>
      <c r="J60" s="87">
        <v>324.58751333663656</v>
      </c>
      <c r="K60" s="87">
        <v>324.73000761952682</v>
      </c>
      <c r="L60" s="87">
        <v>326.18420773975049</v>
      </c>
      <c r="M60" s="87">
        <v>325.32536813112074</v>
      </c>
      <c r="N60" s="87">
        <v>324.25813101503513</v>
      </c>
      <c r="O60" s="87">
        <v>324.87425703282861</v>
      </c>
      <c r="P60" s="87">
        <v>324.85390685238906</v>
      </c>
      <c r="Q60" s="87">
        <v>325.16524341524826</v>
      </c>
      <c r="R60" s="87">
        <v>326.00182661592902</v>
      </c>
      <c r="S60" s="87">
        <v>326.30901730206716</v>
      </c>
      <c r="T60" s="87">
        <v>326.65270329192731</v>
      </c>
      <c r="U60" s="87">
        <v>324.78679583320803</v>
      </c>
      <c r="V60" s="87">
        <v>321.4020673114303</v>
      </c>
      <c r="W60" s="87">
        <v>322.09078515437307</v>
      </c>
      <c r="X60" s="87">
        <v>321.99557809462931</v>
      </c>
      <c r="Y60" s="87">
        <v>323.00839504680806</v>
      </c>
      <c r="DA60" s="171" t="s">
        <v>317</v>
      </c>
    </row>
    <row r="61" spans="1:105" ht="11.45" customHeight="1" x14ac:dyDescent="0.25">
      <c r="A61" s="83" t="s">
        <v>182</v>
      </c>
      <c r="B61" s="87">
        <v>414.48110987665342</v>
      </c>
      <c r="C61" s="87">
        <v>414.48110987665342</v>
      </c>
      <c r="D61" s="87">
        <v>414.48110987665342</v>
      </c>
      <c r="E61" s="87">
        <v>414.48110987665342</v>
      </c>
      <c r="F61" s="87">
        <v>414.48110987665342</v>
      </c>
      <c r="G61" s="87">
        <v>413.4282787826383</v>
      </c>
      <c r="H61" s="87">
        <v>405.48903613016705</v>
      </c>
      <c r="I61" s="87">
        <v>410.35422760398473</v>
      </c>
      <c r="J61" s="87">
        <v>408.88098813438222</v>
      </c>
      <c r="K61" s="87">
        <v>415.81362053393099</v>
      </c>
      <c r="L61" s="87">
        <v>418.96395594038728</v>
      </c>
      <c r="M61" s="87">
        <v>403.12418813470742</v>
      </c>
      <c r="N61" s="87">
        <v>396.65167315583574</v>
      </c>
      <c r="O61" s="87">
        <v>392.92878577359022</v>
      </c>
      <c r="P61" s="87">
        <v>395.72042592128975</v>
      </c>
      <c r="Q61" s="87">
        <v>401.37387991240479</v>
      </c>
      <c r="R61" s="87">
        <v>391.14109340287933</v>
      </c>
      <c r="S61" s="87">
        <v>395.58524342828701</v>
      </c>
      <c r="T61" s="87">
        <v>391.87814285208685</v>
      </c>
      <c r="U61" s="87">
        <v>410.26027754272388</v>
      </c>
      <c r="V61" s="87">
        <v>476.58396710002057</v>
      </c>
      <c r="W61" s="87">
        <v>494.28627308844972</v>
      </c>
      <c r="X61" s="87">
        <v>401.02514768746346</v>
      </c>
      <c r="Y61" s="87">
        <v>432.7586710265366</v>
      </c>
      <c r="DA61" s="171" t="s">
        <v>318</v>
      </c>
    </row>
    <row r="62" spans="1:105" ht="11.45" customHeight="1" x14ac:dyDescent="0.25">
      <c r="A62" s="12" t="s">
        <v>34</v>
      </c>
      <c r="B62" s="15">
        <v>354.85393534042578</v>
      </c>
      <c r="C62" s="15">
        <v>356.56739493574901</v>
      </c>
      <c r="D62" s="15">
        <v>357.80298619473029</v>
      </c>
      <c r="E62" s="15">
        <v>353.79482749322779</v>
      </c>
      <c r="F62" s="15">
        <v>360.04550314345562</v>
      </c>
      <c r="G62" s="15">
        <v>361.56894198019614</v>
      </c>
      <c r="H62" s="15">
        <v>352.32838621134766</v>
      </c>
      <c r="I62" s="15">
        <v>346.31021825703732</v>
      </c>
      <c r="J62" s="15">
        <v>354.59978626656647</v>
      </c>
      <c r="K62" s="15">
        <v>369.0054249160371</v>
      </c>
      <c r="L62" s="15">
        <v>355.66260936152992</v>
      </c>
      <c r="M62" s="15">
        <v>342.88392190001514</v>
      </c>
      <c r="N62" s="15">
        <v>339.8179126851258</v>
      </c>
      <c r="O62" s="15">
        <v>339.55625467947414</v>
      </c>
      <c r="P62" s="15">
        <v>326.94420501570033</v>
      </c>
      <c r="Q62" s="15">
        <v>316.80454492031799</v>
      </c>
      <c r="R62" s="15">
        <v>325.27785348746403</v>
      </c>
      <c r="S62" s="15">
        <v>325.14015855143595</v>
      </c>
      <c r="T62" s="15">
        <v>335.50230844664765</v>
      </c>
      <c r="U62" s="15">
        <v>339.34315900797515</v>
      </c>
      <c r="V62" s="15">
        <v>373.86323053167325</v>
      </c>
      <c r="W62" s="15">
        <v>347.32038556637434</v>
      </c>
      <c r="X62" s="15">
        <v>416.80701418124676</v>
      </c>
      <c r="Y62" s="15">
        <v>415.08067154488884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344.51944594164343</v>
      </c>
      <c r="C64" s="101">
        <v>345.38101071261417</v>
      </c>
      <c r="D64" s="101">
        <v>345.7743155676348</v>
      </c>
      <c r="E64" s="101">
        <v>344.34633869208602</v>
      </c>
      <c r="F64" s="101">
        <v>347.56769781843428</v>
      </c>
      <c r="G64" s="101">
        <v>346.23049088908812</v>
      </c>
      <c r="H64" s="101">
        <v>341.99795256269977</v>
      </c>
      <c r="I64" s="101">
        <v>331.24165055813955</v>
      </c>
      <c r="J64" s="101">
        <v>326.13145439099327</v>
      </c>
      <c r="K64" s="101">
        <v>323.49509995817954</v>
      </c>
      <c r="L64" s="101">
        <v>320.91325412468615</v>
      </c>
      <c r="M64" s="101">
        <v>318.55214397547115</v>
      </c>
      <c r="N64" s="101">
        <v>315.39125322742211</v>
      </c>
      <c r="O64" s="101">
        <v>312.24367201474996</v>
      </c>
      <c r="P64" s="101">
        <v>316.022429334349</v>
      </c>
      <c r="Q64" s="101">
        <v>312.1692146285464</v>
      </c>
      <c r="R64" s="101">
        <v>313.68863282688284</v>
      </c>
      <c r="S64" s="101">
        <v>314.82701460658552</v>
      </c>
      <c r="T64" s="101">
        <v>322.31831190082812</v>
      </c>
      <c r="U64" s="101">
        <v>324.92698574888692</v>
      </c>
      <c r="V64" s="101">
        <v>310.42320495844564</v>
      </c>
      <c r="W64" s="101">
        <v>313.25221933956732</v>
      </c>
      <c r="X64" s="101">
        <v>314.73330879922889</v>
      </c>
      <c r="Y64" s="101">
        <v>315.95652754093351</v>
      </c>
      <c r="DA64" s="175" t="s">
        <v>321</v>
      </c>
    </row>
    <row r="65" spans="1:105" ht="11.45" customHeight="1" x14ac:dyDescent="0.25">
      <c r="A65" s="85" t="s">
        <v>182</v>
      </c>
      <c r="B65" s="88">
        <v>543.54829871503932</v>
      </c>
      <c r="C65" s="88">
        <v>543.54829871503932</v>
      </c>
      <c r="D65" s="88">
        <v>543.54829871503932</v>
      </c>
      <c r="E65" s="88">
        <v>543.54829871503932</v>
      </c>
      <c r="F65" s="88">
        <v>543.54829871503932</v>
      </c>
      <c r="G65" s="88">
        <v>540.84671124856163</v>
      </c>
      <c r="H65" s="88">
        <v>451.61628013143672</v>
      </c>
      <c r="I65" s="88">
        <v>456.80394887028939</v>
      </c>
      <c r="J65" s="88">
        <v>506.03976931438564</v>
      </c>
      <c r="K65" s="88">
        <v>569.57286972767452</v>
      </c>
      <c r="L65" s="88">
        <v>671.80921983767655</v>
      </c>
      <c r="M65" s="88">
        <v>672.9222625362512</v>
      </c>
      <c r="N65" s="88">
        <v>539.14946082261963</v>
      </c>
      <c r="O65" s="88">
        <v>498.61151270019269</v>
      </c>
      <c r="P65" s="88">
        <v>443.67368661270012</v>
      </c>
      <c r="Q65" s="88">
        <v>420.27138346807828</v>
      </c>
      <c r="R65" s="88">
        <v>420.59297574950301</v>
      </c>
      <c r="S65" s="88">
        <v>477.43904490450723</v>
      </c>
      <c r="T65" s="88">
        <v>595.41144550789966</v>
      </c>
      <c r="U65" s="88">
        <v>537.275620874786</v>
      </c>
      <c r="V65" s="88">
        <v>565.65949802693092</v>
      </c>
      <c r="W65" s="88">
        <v>507.44691137312736</v>
      </c>
      <c r="X65" s="88">
        <v>704.80128086855132</v>
      </c>
      <c r="Y65" s="88">
        <v>593.67427992686225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1.5362652984897196</v>
      </c>
      <c r="C67" s="59">
        <f t="shared" ref="C67:W67" si="61">IF(C3=0,0,C17/C57)</f>
        <v>1.2289849662302004</v>
      </c>
      <c r="D67" s="59">
        <f t="shared" si="61"/>
        <v>1.2752126055384785</v>
      </c>
      <c r="E67" s="59">
        <f t="shared" si="61"/>
        <v>1.0991267013941555</v>
      </c>
      <c r="F67" s="59">
        <f t="shared" si="61"/>
        <v>1.3954361257154209</v>
      </c>
      <c r="G67" s="59">
        <f t="shared" si="61"/>
        <v>1.1643554468548527</v>
      </c>
      <c r="H67" s="59">
        <f t="shared" si="61"/>
        <v>1.2427792130905311</v>
      </c>
      <c r="I67" s="59">
        <f t="shared" si="61"/>
        <v>1.1799308585465582</v>
      </c>
      <c r="J67" s="59">
        <f t="shared" si="61"/>
        <v>1.2317678788376247</v>
      </c>
      <c r="K67" s="59">
        <f t="shared" si="61"/>
        <v>1.2034129842901367</v>
      </c>
      <c r="L67" s="59">
        <f t="shared" si="61"/>
        <v>1.2365930494542163</v>
      </c>
      <c r="M67" s="59">
        <f t="shared" si="61"/>
        <v>1.2817514790794486</v>
      </c>
      <c r="N67" s="59">
        <f t="shared" si="61"/>
        <v>1.2312457407054049</v>
      </c>
      <c r="O67" s="59">
        <f t="shared" si="61"/>
        <v>1.1809554364943762</v>
      </c>
      <c r="P67" s="59">
        <f t="shared" si="61"/>
        <v>1.2321480477577267</v>
      </c>
      <c r="Q67" s="59">
        <f t="shared" si="61"/>
        <v>1.2187366835193896</v>
      </c>
      <c r="R67" s="59">
        <f t="shared" si="61"/>
        <v>1.2494047926150598</v>
      </c>
      <c r="S67" s="59">
        <f t="shared" si="61"/>
        <v>1.2398008780134935</v>
      </c>
      <c r="T67" s="59">
        <f t="shared" si="61"/>
        <v>1.2154456119387171</v>
      </c>
      <c r="U67" s="59">
        <f t="shared" si="61"/>
        <v>1.1209125933708119</v>
      </c>
      <c r="V67" s="59">
        <f t="shared" si="61"/>
        <v>1.0866566571780931</v>
      </c>
      <c r="W67" s="59">
        <f t="shared" si="61"/>
        <v>1.0706374259293026</v>
      </c>
      <c r="X67" s="59">
        <f t="shared" ref="X67:Y67" si="62">IF(X3=0,0,X17/X57)</f>
        <v>1.1402386417987733</v>
      </c>
      <c r="Y67" s="59">
        <f t="shared" si="62"/>
        <v>1.0900472903602898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1.5359982328741106</v>
      </c>
      <c r="C68" s="23">
        <f t="shared" ref="C68:W68" si="64">IF(C6=0,0,C18/C58)</f>
        <v>1.228878146906776</v>
      </c>
      <c r="D68" s="23">
        <f t="shared" si="64"/>
        <v>1.2753623488753725</v>
      </c>
      <c r="E68" s="23">
        <f t="shared" si="64"/>
        <v>1.0990611072566705</v>
      </c>
      <c r="F68" s="23">
        <f t="shared" si="64"/>
        <v>1.3959936963444506</v>
      </c>
      <c r="G68" s="23">
        <f t="shared" si="64"/>
        <v>1.1651596719617268</v>
      </c>
      <c r="H68" s="23">
        <f t="shared" si="64"/>
        <v>1.2437131992567336</v>
      </c>
      <c r="I68" s="23">
        <f t="shared" si="64"/>
        <v>1.1808154217838149</v>
      </c>
      <c r="J68" s="23">
        <f t="shared" si="64"/>
        <v>1.2336212811444831</v>
      </c>
      <c r="K68" s="23">
        <f t="shared" si="64"/>
        <v>1.2053233807175732</v>
      </c>
      <c r="L68" s="23">
        <f t="shared" si="64"/>
        <v>1.238547364606577</v>
      </c>
      <c r="M68" s="23">
        <f t="shared" si="64"/>
        <v>1.2831776208438623</v>
      </c>
      <c r="N68" s="23">
        <f t="shared" si="64"/>
        <v>1.2329837787964408</v>
      </c>
      <c r="O68" s="23">
        <f t="shared" si="64"/>
        <v>1.183365245880694</v>
      </c>
      <c r="P68" s="23">
        <f t="shared" si="64"/>
        <v>1.2334737410857093</v>
      </c>
      <c r="Q68" s="23">
        <f t="shared" si="64"/>
        <v>1.2202489586204714</v>
      </c>
      <c r="R68" s="23">
        <f t="shared" si="64"/>
        <v>1.2502652276520587</v>
      </c>
      <c r="S68" s="23">
        <f t="shared" si="64"/>
        <v>1.2406793616194669</v>
      </c>
      <c r="T68" s="23">
        <f t="shared" si="64"/>
        <v>1.2159775024405997</v>
      </c>
      <c r="U68" s="23">
        <f t="shared" si="64"/>
        <v>1.1207955346355909</v>
      </c>
      <c r="V68" s="23">
        <f t="shared" si="64"/>
        <v>1.0889959826590609</v>
      </c>
      <c r="W68" s="23">
        <f t="shared" si="64"/>
        <v>1.071485478583287</v>
      </c>
      <c r="X68" s="23">
        <f t="shared" ref="X68:Y68" si="65">IF(X6=0,0,X18/X58)</f>
        <v>1.1425565143833816</v>
      </c>
      <c r="Y68" s="23">
        <f t="shared" si="65"/>
        <v>1.0936740408657541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1.5893493873664686</v>
      </c>
      <c r="C70" s="91">
        <f t="shared" ref="C70:W70" si="68">IF(C8=0,0,C20/C60)</f>
        <v>1.2715638947487209</v>
      </c>
      <c r="D70" s="91">
        <f t="shared" si="68"/>
        <v>1.3162559011101518</v>
      </c>
      <c r="E70" s="91">
        <f t="shared" si="68"/>
        <v>1.1303970230819904</v>
      </c>
      <c r="F70" s="91">
        <f t="shared" si="68"/>
        <v>1.4337585501164902</v>
      </c>
      <c r="G70" s="91">
        <f t="shared" si="68"/>
        <v>1.1723845213255344</v>
      </c>
      <c r="H70" s="91">
        <f t="shared" si="68"/>
        <v>1.2540449472423574</v>
      </c>
      <c r="I70" s="91">
        <f t="shared" si="68"/>
        <v>1.1886418350938841</v>
      </c>
      <c r="J70" s="91">
        <f t="shared" si="68"/>
        <v>1.2442458607933526</v>
      </c>
      <c r="K70" s="91">
        <f t="shared" si="68"/>
        <v>1.2078364720221522</v>
      </c>
      <c r="L70" s="91">
        <f t="shared" si="68"/>
        <v>1.2505600959641752</v>
      </c>
      <c r="M70" s="91">
        <f t="shared" si="68"/>
        <v>1.2905037163191539</v>
      </c>
      <c r="N70" s="91">
        <f t="shared" si="68"/>
        <v>1.2426104539915819</v>
      </c>
      <c r="O70" s="91">
        <f t="shared" si="68"/>
        <v>1.2343819862923864</v>
      </c>
      <c r="P70" s="91">
        <f t="shared" si="68"/>
        <v>1.2592720538135354</v>
      </c>
      <c r="Q70" s="91">
        <f t="shared" si="68"/>
        <v>1.2081632178360215</v>
      </c>
      <c r="R70" s="91">
        <f t="shared" si="68"/>
        <v>1.2591542900871158</v>
      </c>
      <c r="S70" s="91">
        <f t="shared" si="68"/>
        <v>1.2299887953676392</v>
      </c>
      <c r="T70" s="91">
        <f t="shared" si="68"/>
        <v>1.2310426186655863</v>
      </c>
      <c r="U70" s="91">
        <f t="shared" si="68"/>
        <v>1.2267594929679595</v>
      </c>
      <c r="V70" s="91">
        <f t="shared" si="68"/>
        <v>1.1442672148750657</v>
      </c>
      <c r="W70" s="91">
        <f t="shared" si="68"/>
        <v>1.1357937698468406</v>
      </c>
      <c r="X70" s="91">
        <f t="shared" ref="X70:Y70" si="69">IF(X8=0,0,X20/X60)</f>
        <v>1.1813928278484958</v>
      </c>
      <c r="Y70" s="91">
        <f t="shared" si="69"/>
        <v>1.1586943638818785</v>
      </c>
      <c r="DA70" s="171"/>
    </row>
    <row r="71" spans="1:105" ht="11.45" customHeight="1" x14ac:dyDescent="0.25">
      <c r="A71" s="83" t="s">
        <v>182</v>
      </c>
      <c r="B71" s="91">
        <f t="shared" si="63"/>
        <v>1.178502322142327</v>
      </c>
      <c r="C71" s="91">
        <f t="shared" ref="C71:W71" si="70">IF(C9=0,0,C21/C61)</f>
        <v>0.9428595953045521</v>
      </c>
      <c r="D71" s="91">
        <f t="shared" si="70"/>
        <v>0.97188353060852606</v>
      </c>
      <c r="E71" s="91">
        <f t="shared" si="70"/>
        <v>0.83523847873416734</v>
      </c>
      <c r="F71" s="91">
        <f t="shared" si="70"/>
        <v>1.0588116362043183</v>
      </c>
      <c r="G71" s="91">
        <f t="shared" si="70"/>
        <v>1.0814892897052704</v>
      </c>
      <c r="H71" s="91">
        <f t="shared" si="70"/>
        <v>1.1307448652557293</v>
      </c>
      <c r="I71" s="91">
        <f t="shared" si="70"/>
        <v>1.0900411425332979</v>
      </c>
      <c r="J71" s="91">
        <f t="shared" si="70"/>
        <v>1.1203185280069485</v>
      </c>
      <c r="K71" s="91">
        <f t="shared" si="70"/>
        <v>1.177997114507513</v>
      </c>
      <c r="L71" s="91">
        <f t="shared" si="70"/>
        <v>1.1164174752593075</v>
      </c>
      <c r="M71" s="91">
        <f t="shared" si="70"/>
        <v>1.2043059718268956</v>
      </c>
      <c r="N71" s="91">
        <f t="shared" si="70"/>
        <v>1.133378619589104</v>
      </c>
      <c r="O71" s="91">
        <f t="shared" si="70"/>
        <v>0.79957183452817815</v>
      </c>
      <c r="P71" s="91">
        <f t="shared" si="70"/>
        <v>0.98927717752319977</v>
      </c>
      <c r="Q71" s="91">
        <f t="shared" si="70"/>
        <v>1.3887206303711661</v>
      </c>
      <c r="R71" s="91">
        <f t="shared" si="70"/>
        <v>1.1468704732891744</v>
      </c>
      <c r="S71" s="91">
        <f t="shared" si="70"/>
        <v>1.4041434142344302</v>
      </c>
      <c r="T71" s="91">
        <f t="shared" si="70"/>
        <v>1.0398387920170313</v>
      </c>
      <c r="U71" s="91">
        <f t="shared" si="70"/>
        <v>0.51374484626032724</v>
      </c>
      <c r="V71" s="91">
        <f t="shared" si="70"/>
        <v>0.79061760819420157</v>
      </c>
      <c r="W71" s="91">
        <f t="shared" si="70"/>
        <v>0.69904029566033998</v>
      </c>
      <c r="X71" s="91">
        <f t="shared" ref="X71:Y71" si="71">IF(X9=0,0,X21/X61)</f>
        <v>0.819520477735459</v>
      </c>
      <c r="Y71" s="91">
        <f t="shared" si="71"/>
        <v>0.63953226491353155</v>
      </c>
      <c r="DA71" s="171"/>
    </row>
    <row r="72" spans="1:105" ht="11.45" customHeight="1" x14ac:dyDescent="0.25">
      <c r="A72" s="12" t="s">
        <v>34</v>
      </c>
      <c r="B72" s="24">
        <f t="shared" si="63"/>
        <v>1.5482681761238861</v>
      </c>
      <c r="C72" s="24">
        <f t="shared" ref="C72:W72" si="72">IF(C10=0,0,C22/C62)</f>
        <v>1.2340116942290484</v>
      </c>
      <c r="D72" s="24">
        <f t="shared" si="72"/>
        <v>1.2683823022514142</v>
      </c>
      <c r="E72" s="24">
        <f t="shared" si="72"/>
        <v>1.101211536965184</v>
      </c>
      <c r="F72" s="24">
        <f t="shared" si="72"/>
        <v>1.3758221746459691</v>
      </c>
      <c r="G72" s="24">
        <f t="shared" si="72"/>
        <v>1.1370677695082287</v>
      </c>
      <c r="H72" s="24">
        <f t="shared" si="72"/>
        <v>1.2173470357851701</v>
      </c>
      <c r="I72" s="24">
        <f t="shared" si="72"/>
        <v>1.1554112894183752</v>
      </c>
      <c r="J72" s="24">
        <f t="shared" si="72"/>
        <v>1.1837020809179659</v>
      </c>
      <c r="K72" s="24">
        <f t="shared" si="72"/>
        <v>1.1576051344759231</v>
      </c>
      <c r="L72" s="24">
        <f t="shared" si="72"/>
        <v>1.1800340859660923</v>
      </c>
      <c r="M72" s="24">
        <f t="shared" si="72"/>
        <v>1.2359140294460889</v>
      </c>
      <c r="N72" s="24">
        <f t="shared" si="72"/>
        <v>1.1735023170162466</v>
      </c>
      <c r="O72" s="24">
        <f t="shared" si="72"/>
        <v>1.0708236667981819</v>
      </c>
      <c r="P72" s="24">
        <f t="shared" si="72"/>
        <v>1.1509708558591003</v>
      </c>
      <c r="Q72" s="24">
        <f t="shared" si="72"/>
        <v>1.1269555092390511</v>
      </c>
      <c r="R72" s="24">
        <f t="shared" si="72"/>
        <v>1.1578146643840879</v>
      </c>
      <c r="S72" s="24">
        <f t="shared" si="72"/>
        <v>1.1329556339352969</v>
      </c>
      <c r="T72" s="24">
        <f t="shared" si="72"/>
        <v>1.1461888265576494</v>
      </c>
      <c r="U72" s="24">
        <f t="shared" si="72"/>
        <v>1.1459234557841054</v>
      </c>
      <c r="V72" s="24">
        <f t="shared" si="72"/>
        <v>0.98545770008538758</v>
      </c>
      <c r="W72" s="24">
        <f t="shared" si="72"/>
        <v>1.0141311121435381</v>
      </c>
      <c r="X72" s="24">
        <f t="shared" ref="X72:Y72" si="73">IF(X10=0,0,X22/X62)</f>
        <v>0.95722522930511023</v>
      </c>
      <c r="Y72" s="24">
        <f t="shared" si="73"/>
        <v>0.79761066849544482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1.5904021597192368</v>
      </c>
      <c r="C74" s="93">
        <f t="shared" ref="C74:W74" si="76">IF(C12=0,0,C24/C64)</f>
        <v>1.2703016765973461</v>
      </c>
      <c r="D74" s="93">
        <f t="shared" si="76"/>
        <v>1.3084594118714474</v>
      </c>
      <c r="E74" s="93">
        <f t="shared" si="76"/>
        <v>1.1286815351023247</v>
      </c>
      <c r="F74" s="93">
        <f t="shared" si="76"/>
        <v>1.420792229545196</v>
      </c>
      <c r="G74" s="93">
        <f t="shared" si="76"/>
        <v>1.1589496849989187</v>
      </c>
      <c r="H74" s="93">
        <f t="shared" si="76"/>
        <v>1.2447814463922502</v>
      </c>
      <c r="I74" s="93">
        <f t="shared" si="76"/>
        <v>1.1882058356876928</v>
      </c>
      <c r="J74" s="93">
        <f t="shared" si="76"/>
        <v>1.2348680450261111</v>
      </c>
      <c r="K74" s="93">
        <f t="shared" si="76"/>
        <v>1.1965208044381612</v>
      </c>
      <c r="L74" s="93">
        <f t="shared" si="76"/>
        <v>1.2203610256129076</v>
      </c>
      <c r="M74" s="93">
        <f t="shared" si="76"/>
        <v>1.259592182942882</v>
      </c>
      <c r="N74" s="93">
        <f t="shared" si="76"/>
        <v>1.2056498148192691</v>
      </c>
      <c r="O74" s="93">
        <f t="shared" si="76"/>
        <v>1.167128714453767</v>
      </c>
      <c r="P74" s="93">
        <f t="shared" si="76"/>
        <v>1.1852057136057756</v>
      </c>
      <c r="Q74" s="93">
        <f t="shared" si="76"/>
        <v>1.1195433181795649</v>
      </c>
      <c r="R74" s="93">
        <f t="shared" si="76"/>
        <v>1.1782957653030424</v>
      </c>
      <c r="S74" s="93">
        <f t="shared" si="76"/>
        <v>1.119526134120248</v>
      </c>
      <c r="T74" s="93">
        <f t="shared" si="76"/>
        <v>1.1658979375451999</v>
      </c>
      <c r="U74" s="93">
        <f t="shared" si="76"/>
        <v>1.2282455809338464</v>
      </c>
      <c r="V74" s="93">
        <f t="shared" si="76"/>
        <v>1.1505470560857525</v>
      </c>
      <c r="W74" s="93">
        <f t="shared" si="76"/>
        <v>1.1468207011973994</v>
      </c>
      <c r="X74" s="93">
        <f t="shared" ref="X74:Y74" si="77">IF(X12=0,0,X24/X64)</f>
        <v>1.1315658816353995</v>
      </c>
      <c r="Y74" s="93">
        <f t="shared" si="77"/>
        <v>1.0291630687911841</v>
      </c>
      <c r="DA74" s="175"/>
    </row>
    <row r="75" spans="1:105" ht="11.45" customHeight="1" x14ac:dyDescent="0.25">
      <c r="A75" s="85" t="s">
        <v>182</v>
      </c>
      <c r="B75" s="94">
        <f t="shared" si="63"/>
        <v>1.0606520899280949</v>
      </c>
      <c r="C75" s="94">
        <f t="shared" ref="C75:W75" si="78">IF(C13=0,0,C25/C65)</f>
        <v>0.84857363577409717</v>
      </c>
      <c r="D75" s="94">
        <f t="shared" si="78"/>
        <v>0.87469517754767367</v>
      </c>
      <c r="E75" s="94">
        <f t="shared" si="78"/>
        <v>0.75171463086075074</v>
      </c>
      <c r="F75" s="94">
        <f t="shared" si="78"/>
        <v>0.95293047258388652</v>
      </c>
      <c r="G75" s="94">
        <f t="shared" si="78"/>
        <v>0.97334036073474339</v>
      </c>
      <c r="H75" s="94">
        <f t="shared" si="78"/>
        <v>1.0176703787301564</v>
      </c>
      <c r="I75" s="94">
        <f t="shared" si="78"/>
        <v>0.98103702827996797</v>
      </c>
      <c r="J75" s="94">
        <f t="shared" si="78"/>
        <v>1.0082866752062538</v>
      </c>
      <c r="K75" s="94">
        <f t="shared" si="78"/>
        <v>1.0601974030567616</v>
      </c>
      <c r="L75" s="94">
        <f t="shared" si="78"/>
        <v>1.0047757277333766</v>
      </c>
      <c r="M75" s="94">
        <f t="shared" si="78"/>
        <v>1.0838753746442062</v>
      </c>
      <c r="N75" s="94">
        <f t="shared" si="78"/>
        <v>1.0200407576301935</v>
      </c>
      <c r="O75" s="94">
        <f t="shared" si="78"/>
        <v>0.71961465107536049</v>
      </c>
      <c r="P75" s="94">
        <f t="shared" si="78"/>
        <v>0.89034945977087954</v>
      </c>
      <c r="Q75" s="94">
        <f t="shared" si="78"/>
        <v>1.24984856733405</v>
      </c>
      <c r="R75" s="94">
        <f t="shared" si="78"/>
        <v>1.0321834259602571</v>
      </c>
      <c r="S75" s="94">
        <f t="shared" si="78"/>
        <v>1.2637290728109876</v>
      </c>
      <c r="T75" s="94">
        <f t="shared" si="78"/>
        <v>0.9358549128153284</v>
      </c>
      <c r="U75" s="94">
        <f t="shared" si="78"/>
        <v>0.46237036163429446</v>
      </c>
      <c r="V75" s="94">
        <f t="shared" si="78"/>
        <v>0.71155584737478139</v>
      </c>
      <c r="W75" s="94">
        <f t="shared" si="78"/>
        <v>0.62913626609430606</v>
      </c>
      <c r="X75" s="94">
        <f t="shared" ref="X75:Y75" si="79">IF(X13=0,0,X25/X65)</f>
        <v>0.73756842996191307</v>
      </c>
      <c r="Y75" s="94">
        <f t="shared" si="79"/>
        <v>0.5755790384221785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380.4251220000001</v>
      </c>
      <c r="C3" s="79">
        <f t="shared" si="0"/>
        <v>285.30142200000012</v>
      </c>
      <c r="D3" s="79">
        <f t="shared" ref="D3" si="1">SUM(D4:D5)</f>
        <v>275.85873000000004</v>
      </c>
      <c r="E3" s="79">
        <f t="shared" ref="E3" si="2">SUM(E4:E5)</f>
        <v>244.15083000000001</v>
      </c>
      <c r="F3" s="79">
        <f t="shared" ref="F3" si="3">SUM(F4:F5)</f>
        <v>313.83853199999999</v>
      </c>
      <c r="G3" s="79">
        <f t="shared" ref="G3" si="4">SUM(G4:G5)</f>
        <v>265.88614247999999</v>
      </c>
      <c r="H3" s="79">
        <f t="shared" ref="H3" si="5">SUM(H4:H5)</f>
        <v>268.97798628000004</v>
      </c>
      <c r="I3" s="79">
        <f t="shared" ref="I3" si="6">SUM(I4:I5)</f>
        <v>281.34458495999996</v>
      </c>
      <c r="J3" s="79">
        <f t="shared" ref="J3" si="7">SUM(J4:J5)</f>
        <v>290.61985752000004</v>
      </c>
      <c r="K3" s="79">
        <f t="shared" ref="K3" si="8">SUM(K4:K5)</f>
        <v>272.06957124000002</v>
      </c>
      <c r="L3" s="79">
        <f t="shared" ref="L3" si="9">SUM(L4:L5)</f>
        <v>306.07829999999996</v>
      </c>
      <c r="M3" s="79">
        <f t="shared" ref="M3" si="10">SUM(M4:M5)</f>
        <v>315.35331372000002</v>
      </c>
      <c r="N3" s="79">
        <f t="shared" ref="N3" si="11">SUM(N4:N5)</f>
        <v>299.89487124000004</v>
      </c>
      <c r="O3" s="79">
        <f t="shared" ref="O3" si="12">SUM(O4:O5)</f>
        <v>315.35331372000002</v>
      </c>
      <c r="P3" s="79">
        <f t="shared" ref="P3" si="13">SUM(P4:P5)</f>
        <v>336.99518496000007</v>
      </c>
      <c r="Q3" s="79">
        <f t="shared" ref="Q3" si="14">SUM(Q4:Q5)</f>
        <v>349.36204247999996</v>
      </c>
      <c r="R3" s="79">
        <f t="shared" ref="R3" si="15">SUM(R4:R5)</f>
        <v>374.09575752000012</v>
      </c>
      <c r="S3" s="79">
        <f t="shared" ref="S3" si="16">SUM(S4:S5)</f>
        <v>419.58999360000007</v>
      </c>
      <c r="T3" s="79">
        <f t="shared" ref="T3" si="17">SUM(T4:T5)</f>
        <v>472.01280660000043</v>
      </c>
      <c r="U3" s="79">
        <f t="shared" ref="U3" si="18">SUM(U4:U5)</f>
        <v>496.15578503999984</v>
      </c>
      <c r="V3" s="79">
        <f t="shared" ref="V3:W3" si="19">SUM(V4:V5)</f>
        <v>178.21783511999999</v>
      </c>
      <c r="W3" s="79">
        <f t="shared" si="19"/>
        <v>232.38413640000002</v>
      </c>
      <c r="X3" s="79">
        <f t="shared" ref="X3:Y3" si="20">SUM(X4:X5)</f>
        <v>379.22464980000012</v>
      </c>
      <c r="Y3" s="79">
        <f t="shared" si="20"/>
        <v>452.84115168000011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380.4251220000001</v>
      </c>
      <c r="C5" s="96">
        <f t="shared" si="24"/>
        <v>285.30142200000012</v>
      </c>
      <c r="D5" s="96">
        <f t="shared" ref="D5:V5" si="25">SUM(D8:D9,D12:D13)</f>
        <v>275.85873000000004</v>
      </c>
      <c r="E5" s="96">
        <f t="shared" si="25"/>
        <v>244.15083000000001</v>
      </c>
      <c r="F5" s="96">
        <f t="shared" si="25"/>
        <v>313.83853199999999</v>
      </c>
      <c r="G5" s="96">
        <f t="shared" si="25"/>
        <v>265.88614247999999</v>
      </c>
      <c r="H5" s="96">
        <f t="shared" si="25"/>
        <v>268.97798628000004</v>
      </c>
      <c r="I5" s="96">
        <f t="shared" si="25"/>
        <v>281.34458495999996</v>
      </c>
      <c r="J5" s="96">
        <f t="shared" si="25"/>
        <v>290.61985752000004</v>
      </c>
      <c r="K5" s="96">
        <f t="shared" si="25"/>
        <v>272.06957124000002</v>
      </c>
      <c r="L5" s="96">
        <f t="shared" si="25"/>
        <v>306.07829999999996</v>
      </c>
      <c r="M5" s="96">
        <f t="shared" si="25"/>
        <v>315.35331372000002</v>
      </c>
      <c r="N5" s="96">
        <f t="shared" si="25"/>
        <v>299.89487124000004</v>
      </c>
      <c r="O5" s="96">
        <f t="shared" si="25"/>
        <v>315.35331372000002</v>
      </c>
      <c r="P5" s="96">
        <f t="shared" si="25"/>
        <v>336.99518496000007</v>
      </c>
      <c r="Q5" s="96">
        <f t="shared" si="25"/>
        <v>349.36204247999996</v>
      </c>
      <c r="R5" s="96">
        <f t="shared" si="25"/>
        <v>374.09575752000012</v>
      </c>
      <c r="S5" s="96">
        <f t="shared" si="25"/>
        <v>419.58999360000007</v>
      </c>
      <c r="T5" s="96">
        <f t="shared" si="25"/>
        <v>472.01280660000043</v>
      </c>
      <c r="U5" s="96">
        <f t="shared" si="25"/>
        <v>496.15578503999984</v>
      </c>
      <c r="V5" s="96">
        <f t="shared" si="25"/>
        <v>178.21783511999999</v>
      </c>
      <c r="W5" s="96">
        <f t="shared" ref="W5:Y5" si="26">SUM(W8:W9,W12:W13)</f>
        <v>232.38413640000002</v>
      </c>
      <c r="X5" s="96">
        <f t="shared" si="26"/>
        <v>379.22464980000012</v>
      </c>
      <c r="Y5" s="96">
        <f t="shared" si="26"/>
        <v>452.84115168000011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372.08015588282433</v>
      </c>
      <c r="C6" s="21">
        <f t="shared" si="27"/>
        <v>279.3405623774317</v>
      </c>
      <c r="D6" s="21">
        <f t="shared" ref="D6:V6" si="28">SUM(D7:D9)</f>
        <v>269.97241509400658</v>
      </c>
      <c r="E6" s="21">
        <f t="shared" si="28"/>
        <v>236.68941881576234</v>
      </c>
      <c r="F6" s="21">
        <f t="shared" si="28"/>
        <v>305.28550519119068</v>
      </c>
      <c r="G6" s="21">
        <f t="shared" si="28"/>
        <v>258.45264927089346</v>
      </c>
      <c r="H6" s="21">
        <f t="shared" si="28"/>
        <v>259.6447843279538</v>
      </c>
      <c r="I6" s="21">
        <f t="shared" si="28"/>
        <v>271.75183494191384</v>
      </c>
      <c r="J6" s="21">
        <f t="shared" si="28"/>
        <v>280.25076135033879</v>
      </c>
      <c r="K6" s="21">
        <f t="shared" si="28"/>
        <v>261.59190049347865</v>
      </c>
      <c r="L6" s="21">
        <f t="shared" si="28"/>
        <v>296.3230038618546</v>
      </c>
      <c r="M6" s="21">
        <f t="shared" si="28"/>
        <v>306.17806569271551</v>
      </c>
      <c r="N6" s="21">
        <f t="shared" si="28"/>
        <v>291.5429593080836</v>
      </c>
      <c r="O6" s="21">
        <f t="shared" si="28"/>
        <v>309.23049308097006</v>
      </c>
      <c r="P6" s="21">
        <f t="shared" si="28"/>
        <v>331.93694925150123</v>
      </c>
      <c r="Q6" s="21">
        <f t="shared" si="28"/>
        <v>344.12540805355206</v>
      </c>
      <c r="R6" s="21">
        <f t="shared" si="28"/>
        <v>370.8692908251914</v>
      </c>
      <c r="S6" s="21">
        <f t="shared" si="28"/>
        <v>416.46313405081224</v>
      </c>
      <c r="T6" s="21">
        <f t="shared" si="28"/>
        <v>468.62037031977906</v>
      </c>
      <c r="U6" s="21">
        <f t="shared" si="28"/>
        <v>493.79286412235012</v>
      </c>
      <c r="V6" s="21">
        <f t="shared" si="28"/>
        <v>174.56620735440123</v>
      </c>
      <c r="W6" s="21">
        <f t="shared" ref="W6:Y6" si="29">SUM(W7:W9)</f>
        <v>229.12940994190419</v>
      </c>
      <c r="X6" s="21">
        <f t="shared" si="29"/>
        <v>375.24306690110643</v>
      </c>
      <c r="Y6" s="21">
        <f t="shared" si="29"/>
        <v>448.78210076150384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335.00868074265389</v>
      </c>
      <c r="C8" s="96">
        <v>251.50822264664021</v>
      </c>
      <c r="D8" s="96">
        <v>245.5422411073107</v>
      </c>
      <c r="E8" s="96">
        <v>217.59288574030501</v>
      </c>
      <c r="F8" s="96">
        <v>281.9638453308317</v>
      </c>
      <c r="G8" s="96">
        <v>239.38463525535357</v>
      </c>
      <c r="H8" s="96">
        <v>239.86441379339436</v>
      </c>
      <c r="I8" s="96">
        <v>251.83977583770019</v>
      </c>
      <c r="J8" s="96">
        <v>258.43094350653138</v>
      </c>
      <c r="K8" s="96">
        <v>240.05993187075143</v>
      </c>
      <c r="L8" s="96">
        <v>272.4033796691964</v>
      </c>
      <c r="M8" s="96">
        <v>281.75496441141445</v>
      </c>
      <c r="N8" s="96">
        <v>267.92473177008213</v>
      </c>
      <c r="O8" s="96">
        <v>284.7153731796509</v>
      </c>
      <c r="P8" s="96">
        <v>306.49915441775835</v>
      </c>
      <c r="Q8" s="96">
        <v>317.91093491009343</v>
      </c>
      <c r="R8" s="96">
        <v>343.93708762393209</v>
      </c>
      <c r="S8" s="96">
        <v>387.53008624511557</v>
      </c>
      <c r="T8" s="96">
        <v>437.04579304173842</v>
      </c>
      <c r="U8" s="96">
        <v>460.15521641910698</v>
      </c>
      <c r="V8" s="96">
        <v>154.75885858384487</v>
      </c>
      <c r="W8" s="96">
        <v>207.11903909359941</v>
      </c>
      <c r="X8" s="96">
        <v>346.35773294891186</v>
      </c>
      <c r="Y8" s="96">
        <v>415.91539126267327</v>
      </c>
      <c r="DA8" s="171" t="s">
        <v>329</v>
      </c>
    </row>
    <row r="9" spans="1:105" ht="11.45" customHeight="1" x14ac:dyDescent="0.25">
      <c r="A9" s="83" t="s">
        <v>182</v>
      </c>
      <c r="B9" s="96">
        <v>37.071475140170449</v>
      </c>
      <c r="C9" s="96">
        <v>27.832339730791478</v>
      </c>
      <c r="D9" s="96">
        <v>24.430173986695884</v>
      </c>
      <c r="E9" s="96">
        <v>19.096533075457327</v>
      </c>
      <c r="F9" s="96">
        <v>23.321659860358992</v>
      </c>
      <c r="G9" s="96">
        <v>19.06801401553988</v>
      </c>
      <c r="H9" s="96">
        <v>19.780370534559424</v>
      </c>
      <c r="I9" s="96">
        <v>19.91205910421364</v>
      </c>
      <c r="J9" s="96">
        <v>21.819817843807414</v>
      </c>
      <c r="K9" s="96">
        <v>21.531968622727224</v>
      </c>
      <c r="L9" s="96">
        <v>23.919624192658219</v>
      </c>
      <c r="M9" s="96">
        <v>24.423101281301065</v>
      </c>
      <c r="N9" s="96">
        <v>23.618227538001456</v>
      </c>
      <c r="O9" s="96">
        <v>24.515119901319171</v>
      </c>
      <c r="P9" s="96">
        <v>25.437794833742903</v>
      </c>
      <c r="Q9" s="96">
        <v>26.214473143458619</v>
      </c>
      <c r="R9" s="96">
        <v>26.93220320125932</v>
      </c>
      <c r="S9" s="96">
        <v>28.933047805696663</v>
      </c>
      <c r="T9" s="96">
        <v>31.574577278040614</v>
      </c>
      <c r="U9" s="96">
        <v>33.637647703243118</v>
      </c>
      <c r="V9" s="96">
        <v>19.807348770556345</v>
      </c>
      <c r="W9" s="96">
        <v>22.010370848304781</v>
      </c>
      <c r="X9" s="96">
        <v>28.885333952194557</v>
      </c>
      <c r="Y9" s="96">
        <v>32.866709498830581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8.3449661171757494</v>
      </c>
      <c r="C10" s="22">
        <f t="shared" si="30"/>
        <v>5.9608596225683925</v>
      </c>
      <c r="D10" s="22">
        <f t="shared" ref="D10:V10" si="31">SUM(D11:D13)</f>
        <v>5.8863149059934221</v>
      </c>
      <c r="E10" s="22">
        <f t="shared" si="31"/>
        <v>7.4614111842376758</v>
      </c>
      <c r="F10" s="22">
        <f t="shared" si="31"/>
        <v>8.5530268088092924</v>
      </c>
      <c r="G10" s="22">
        <f t="shared" si="31"/>
        <v>7.4334932091065227</v>
      </c>
      <c r="H10" s="22">
        <f t="shared" si="31"/>
        <v>9.333201952046192</v>
      </c>
      <c r="I10" s="22">
        <f t="shared" si="31"/>
        <v>9.5927500180860932</v>
      </c>
      <c r="J10" s="22">
        <f t="shared" si="31"/>
        <v>10.369096169661233</v>
      </c>
      <c r="K10" s="22">
        <f t="shared" si="31"/>
        <v>10.477670746521364</v>
      </c>
      <c r="L10" s="22">
        <f t="shared" si="31"/>
        <v>9.755296138145356</v>
      </c>
      <c r="M10" s="22">
        <f t="shared" si="31"/>
        <v>9.1752480272844963</v>
      </c>
      <c r="N10" s="22">
        <f t="shared" si="31"/>
        <v>8.3519119319164812</v>
      </c>
      <c r="O10" s="22">
        <f t="shared" si="31"/>
        <v>6.1228206390299142</v>
      </c>
      <c r="P10" s="22">
        <f t="shared" si="31"/>
        <v>5.0582357084988372</v>
      </c>
      <c r="Q10" s="22">
        <f t="shared" si="31"/>
        <v>5.2366344264478792</v>
      </c>
      <c r="R10" s="22">
        <f t="shared" si="31"/>
        <v>3.226466694808757</v>
      </c>
      <c r="S10" s="22">
        <f t="shared" si="31"/>
        <v>3.1268595491878717</v>
      </c>
      <c r="T10" s="22">
        <f t="shared" si="31"/>
        <v>3.3924362802213603</v>
      </c>
      <c r="U10" s="22">
        <f t="shared" si="31"/>
        <v>2.3629209176496992</v>
      </c>
      <c r="V10" s="22">
        <f t="shared" si="31"/>
        <v>3.6516277655987825</v>
      </c>
      <c r="W10" s="22">
        <f t="shared" ref="W10:Y10" si="32">SUM(W11:W13)</f>
        <v>3.2547264580958308</v>
      </c>
      <c r="X10" s="22">
        <f t="shared" si="32"/>
        <v>3.9815828988937243</v>
      </c>
      <c r="Y10" s="22">
        <f t="shared" si="32"/>
        <v>4.0590509184962862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7.8902787985488247</v>
      </c>
      <c r="C12" s="97">
        <v>5.6081369045099621</v>
      </c>
      <c r="D12" s="97">
        <v>5.5112618543911713</v>
      </c>
      <c r="E12" s="97">
        <v>7.0902533506095153</v>
      </c>
      <c r="F12" s="97">
        <v>7.983617433220104</v>
      </c>
      <c r="G12" s="97">
        <v>6.6833280693343573</v>
      </c>
      <c r="H12" s="97">
        <v>8.3907033173176444</v>
      </c>
      <c r="I12" s="97">
        <v>8.3034048983651942</v>
      </c>
      <c r="J12" s="97">
        <v>8.3745711752602396</v>
      </c>
      <c r="K12" s="97">
        <v>7.7383358085353722</v>
      </c>
      <c r="L12" s="97">
        <v>8.2015102753927529</v>
      </c>
      <c r="M12" s="97">
        <v>8.0909630875581833</v>
      </c>
      <c r="N12" s="97">
        <v>7.0945292035441607</v>
      </c>
      <c r="O12" s="97">
        <v>5.2373463899124717</v>
      </c>
      <c r="P12" s="97">
        <v>4.6039245331173797</v>
      </c>
      <c r="Q12" s="97">
        <v>4.9062743358002168</v>
      </c>
      <c r="R12" s="97">
        <v>2.8232751415155968</v>
      </c>
      <c r="S12" s="97">
        <v>2.8020452241825282</v>
      </c>
      <c r="T12" s="97">
        <v>3.1551230127519636</v>
      </c>
      <c r="U12" s="97">
        <v>2.2604402087323541</v>
      </c>
      <c r="V12" s="97">
        <v>2.6600637547060284</v>
      </c>
      <c r="W12" s="97">
        <v>2.7371948850616801</v>
      </c>
      <c r="X12" s="97">
        <v>2.6240536393633072</v>
      </c>
      <c r="Y12" s="97">
        <v>2.5637450216263966</v>
      </c>
      <c r="DA12" s="175" t="s">
        <v>333</v>
      </c>
    </row>
    <row r="13" spans="1:105" ht="11.45" customHeight="1" x14ac:dyDescent="0.25">
      <c r="A13" s="85" t="s">
        <v>182</v>
      </c>
      <c r="B13" s="98">
        <v>0.45468731862692396</v>
      </c>
      <c r="C13" s="98">
        <v>0.3527227180584307</v>
      </c>
      <c r="D13" s="98">
        <v>0.37505305160225083</v>
      </c>
      <c r="E13" s="98">
        <v>0.37115783362816046</v>
      </c>
      <c r="F13" s="98">
        <v>0.56940937558918836</v>
      </c>
      <c r="G13" s="98">
        <v>0.75016513977216492</v>
      </c>
      <c r="H13" s="98">
        <v>0.94249863472854756</v>
      </c>
      <c r="I13" s="98">
        <v>1.2893451197208985</v>
      </c>
      <c r="J13" s="98">
        <v>1.9945249944009944</v>
      </c>
      <c r="K13" s="98">
        <v>2.739334937985991</v>
      </c>
      <c r="L13" s="98">
        <v>1.5537858627526031</v>
      </c>
      <c r="M13" s="98">
        <v>1.084284939726313</v>
      </c>
      <c r="N13" s="98">
        <v>1.25738272837232</v>
      </c>
      <c r="O13" s="98">
        <v>0.88547424911744232</v>
      </c>
      <c r="P13" s="98">
        <v>0.45431117538145765</v>
      </c>
      <c r="Q13" s="98">
        <v>0.33036009064766247</v>
      </c>
      <c r="R13" s="98">
        <v>0.40319155329316042</v>
      </c>
      <c r="S13" s="98">
        <v>0.32481432500534324</v>
      </c>
      <c r="T13" s="98">
        <v>0.23731326746939685</v>
      </c>
      <c r="U13" s="98">
        <v>0.10248070891734538</v>
      </c>
      <c r="V13" s="98">
        <v>0.99156401089275426</v>
      </c>
      <c r="W13" s="98">
        <v>0.51753157303415065</v>
      </c>
      <c r="X13" s="98">
        <v>1.3575292595304174</v>
      </c>
      <c r="Y13" s="98">
        <v>1.4953058968698896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3.009643284922479</v>
      </c>
      <c r="C19" s="98">
        <f>IF(C5=0,0,C5/TrAvia_ene!C5)</f>
        <v>3.0094213245041543</v>
      </c>
      <c r="D19" s="98">
        <f>IF(D5=0,0,D5/TrAvia_ene!D5)</f>
        <v>3.0103092000000018</v>
      </c>
      <c r="E19" s="98">
        <f>IF(E5=0,0,E5/TrAvia_ene!E5)</f>
        <v>3.0103092000000014</v>
      </c>
      <c r="F19" s="98">
        <f>IF(F5=0,0,F5/TrAvia_ene!F5)</f>
        <v>3.0095020367313476</v>
      </c>
      <c r="G19" s="98">
        <f>IF(G5=0,0,G5/TrAvia_ene!G5)</f>
        <v>3.0103092</v>
      </c>
      <c r="H19" s="98">
        <f>IF(H5=0,0,H5/TrAvia_ene!H5)</f>
        <v>3.0103092000000009</v>
      </c>
      <c r="I19" s="98">
        <f>IF(I5=0,0,I5/TrAvia_ene!I5)</f>
        <v>3.0103091999999996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3.0103092000000005</v>
      </c>
      <c r="M19" s="98">
        <f>IF(M5=0,0,M5/TrAvia_ene!M5)</f>
        <v>3.0103092000000014</v>
      </c>
      <c r="N19" s="98">
        <f>IF(N5=0,0,N5/TrAvia_ene!N5)</f>
        <v>3.0103092000000009</v>
      </c>
      <c r="O19" s="98">
        <f>IF(O5=0,0,O5/TrAvia_ene!O5)</f>
        <v>3.0103092000000009</v>
      </c>
      <c r="P19" s="98">
        <f>IF(P5=0,0,P5/TrAvia_ene!P5)</f>
        <v>3.0103092000000005</v>
      </c>
      <c r="Q19" s="98">
        <f>IF(Q5=0,0,Q5/TrAvia_ene!Q5)</f>
        <v>3.0103092000000009</v>
      </c>
      <c r="R19" s="98">
        <f>IF(R5=0,0,R5/TrAvia_ene!R5)</f>
        <v>3.0103091999999987</v>
      </c>
      <c r="S19" s="98">
        <f>IF(S5=0,0,S5/TrAvia_ene!S5)</f>
        <v>3.0103091999999996</v>
      </c>
      <c r="T19" s="98">
        <f>IF(T5=0,0,T5/TrAvia_ene!T5)</f>
        <v>3.0103022639925805</v>
      </c>
      <c r="U19" s="98">
        <f>IF(U5=0,0,U5/TrAvia_ene!U5)</f>
        <v>3.0102990740095472</v>
      </c>
      <c r="V19" s="98">
        <f>IF(V5=0,0,V5/TrAvia_ene!V5)</f>
        <v>3.0102964911312249</v>
      </c>
      <c r="W19" s="98">
        <f>IF(W5=0,0,W5/TrAvia_ene!W5)</f>
        <v>3.0102745556442914</v>
      </c>
      <c r="X19" s="98">
        <f>IF(X5=0,0,X5/TrAvia_ene!X5)</f>
        <v>3.0102925854081044</v>
      </c>
      <c r="Y19" s="98">
        <f>IF(Y5=0,0,Y5/TrAvia_ene!Y5)</f>
        <v>3.0102975143531139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15530.469521612675</v>
      </c>
      <c r="C21" s="54">
        <f>IF(C3=0,0,C3/TrAvia_act!C13*1000)</f>
        <v>12423.679537965549</v>
      </c>
      <c r="D21" s="54">
        <f>IF(D3=0,0,D3/TrAvia_act!D13*1000)</f>
        <v>12820.203743596197</v>
      </c>
      <c r="E21" s="54">
        <f>IF(E3=0,0,E3/TrAvia_act!E13*1000)</f>
        <v>11029.095803245156</v>
      </c>
      <c r="F21" s="54">
        <f>IF(F3=0,0,F3/TrAvia_act!F13*1000)</f>
        <v>13979.451127219283</v>
      </c>
      <c r="G21" s="54">
        <f>IF(G3=0,0,G3/TrAvia_act!G13*1000)</f>
        <v>11616.743146090899</v>
      </c>
      <c r="H21" s="54">
        <f>IF(H3=0,0,H3/TrAvia_act!H13*1000)</f>
        <v>12403.102027694604</v>
      </c>
      <c r="I21" s="54">
        <f>IF(I3=0,0,I3/TrAvia_act!I13*1000)</f>
        <v>11753.717499687062</v>
      </c>
      <c r="J21" s="54">
        <f>IF(J3=0,0,J3/TrAvia_act!J13*1000)</f>
        <v>12283.350233398285</v>
      </c>
      <c r="K21" s="54">
        <f>IF(K3=0,0,K3/TrAvia_act!K13*1000)</f>
        <v>12034.760659949263</v>
      </c>
      <c r="L21" s="54">
        <f>IF(L3=0,0,L3/TrAvia_act!L13*1000)</f>
        <v>12414.639189379968</v>
      </c>
      <c r="M21" s="54">
        <f>IF(M3=0,0,M3/TrAvia_act!M13*1000)</f>
        <v>12775.544755361039</v>
      </c>
      <c r="N21" s="54">
        <f>IF(N3=0,0,N3/TrAvia_act!N13*1000)</f>
        <v>12225.661192247446</v>
      </c>
      <c r="O21" s="54">
        <f>IF(O3=0,0,O3/TrAvia_act!O13*1000)</f>
        <v>11794.891187811889</v>
      </c>
      <c r="P21" s="54">
        <f>IF(P3=0,0,P3/TrAvia_act!P13*1000)</f>
        <v>12256.931372131574</v>
      </c>
      <c r="Q21" s="54">
        <f>IF(Q3=0,0,Q3/TrAvia_act!Q13*1000)</f>
        <v>12075.392055595237</v>
      </c>
      <c r="R21" s="54">
        <f>IF(R3=0,0,R3/TrAvia_act!R13*1000)</f>
        <v>12423.24427711188</v>
      </c>
      <c r="S21" s="54">
        <f>IF(S3=0,0,S3/TrAvia_act!S13*1000)</f>
        <v>12309.33873211804</v>
      </c>
      <c r="T21" s="54">
        <f>IF(T3=0,0,T3/TrAvia_act!T13*1000)</f>
        <v>12111.821963144794</v>
      </c>
      <c r="U21" s="54">
        <f>IF(U3=0,0,U3/TrAvia_act!U13*1000)</f>
        <v>11310.035037764539</v>
      </c>
      <c r="V21" s="54">
        <f>IF(V3=0,0,V3/TrAvia_act!V13*1000)</f>
        <v>11100.922114345723</v>
      </c>
      <c r="W21" s="54">
        <f>IF(W3=0,0,W3/TrAvia_act!W13*1000)</f>
        <v>10945.612840850088</v>
      </c>
      <c r="X21" s="54">
        <f>IF(X3=0,0,X3/TrAvia_act!X13*1000)</f>
        <v>11320.989513193121</v>
      </c>
      <c r="Y21" s="54">
        <f>IF(Y3=0,0,Y3/TrAvia_act!Y13*1000)</f>
        <v>10973.165312806892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15509.332552520629</v>
      </c>
      <c r="C22" s="11">
        <f>IF(C6=0,0,C6/TrAvia_act!C14*1000)</f>
        <v>12407.323588962092</v>
      </c>
      <c r="D22" s="11">
        <f>IF(D6=0,0,D6/TrAvia_act!D14*1000)</f>
        <v>12803.009179962712</v>
      </c>
      <c r="E22" s="11">
        <f>IF(E6=0,0,E6/TrAvia_act!E14*1000)</f>
        <v>11008.408286995964</v>
      </c>
      <c r="F22" s="11">
        <f>IF(F6=0,0,F6/TrAvia_act!F14*1000)</f>
        <v>13955.103529891408</v>
      </c>
      <c r="G22" s="11">
        <f>IF(G6=0,0,G6/TrAvia_act!G14*1000)</f>
        <v>11596.275614460579</v>
      </c>
      <c r="H22" s="11">
        <f>IF(H6=0,0,H6/TrAvia_act!H14*1000)</f>
        <v>12385.575028380152</v>
      </c>
      <c r="I22" s="11">
        <f>IF(I6=0,0,I6/TrAvia_act!I14*1000)</f>
        <v>11743.68675047865</v>
      </c>
      <c r="J22" s="11">
        <f>IF(J6=0,0,J6/TrAvia_act!J14*1000)</f>
        <v>12270.697545901399</v>
      </c>
      <c r="K22" s="11">
        <f>IF(K6=0,0,K6/TrAvia_act!K14*1000)</f>
        <v>12003.945223141714</v>
      </c>
      <c r="L22" s="11">
        <f>IF(L6=0,0,L6/TrAvia_act!L14*1000)</f>
        <v>12407.544251122143</v>
      </c>
      <c r="M22" s="11">
        <f>IF(M6=0,0,M6/TrAvia_act!M14*1000)</f>
        <v>12776.103143098173</v>
      </c>
      <c r="N22" s="11">
        <f>IF(N6=0,0,N6/TrAvia_act!N14*1000)</f>
        <v>12232.119250130281</v>
      </c>
      <c r="O22" s="11">
        <f>IF(O6=0,0,O6/TrAvia_act!O14*1000)</f>
        <v>11813.03927486674</v>
      </c>
      <c r="P22" s="11">
        <f>IF(P6=0,0,P6/TrAvia_act!P14*1000)</f>
        <v>12272.268839412618</v>
      </c>
      <c r="Q22" s="11">
        <f>IF(Q6=0,0,Q6/TrAvia_act!Q14*1000)</f>
        <v>12098.137411625696</v>
      </c>
      <c r="R22" s="11">
        <f>IF(R6=0,0,R6/TrAvia_act!R14*1000)</f>
        <v>12433.606631468292</v>
      </c>
      <c r="S22" s="11">
        <f>IF(S6=0,0,S6/TrAvia_act!S14*1000)</f>
        <v>12319.517399756716</v>
      </c>
      <c r="T22" s="11">
        <f>IF(T6=0,0,T6/TrAvia_act!T14*1000)</f>
        <v>12115.88109915144</v>
      </c>
      <c r="U22" s="11">
        <f>IF(U6=0,0,U6/TrAvia_act!U14*1000)</f>
        <v>11308.205138231342</v>
      </c>
      <c r="V22" s="11">
        <f>IF(V6=0,0,V6/TrAvia_act!V14*1000)</f>
        <v>11101.135579536265</v>
      </c>
      <c r="W22" s="11">
        <f>IF(W6=0,0,W6/TrAvia_act!W14*1000)</f>
        <v>10950.63849720331</v>
      </c>
      <c r="X22" s="11">
        <f>IF(X6=0,0,X6/TrAvia_act!X14*1000)</f>
        <v>11314.098391797486</v>
      </c>
      <c r="Y22" s="11">
        <f>IF(Y6=0,0,Y6/TrAvia_act!Y14*1000)</f>
        <v>10983.201459876131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15604.263177164417</v>
      </c>
      <c r="C24" s="84">
        <f>IF(C8=0,0,C8/TrAvia_act!C16*1000)</f>
        <v>12483.271145020444</v>
      </c>
      <c r="D24" s="84">
        <f>IF(D8=0,0,D8/TrAvia_act!D16*1000)</f>
        <v>12874.486899384054</v>
      </c>
      <c r="E24" s="84">
        <f>IF(E8=0,0,E8/TrAvia_act!E16*1000)</f>
        <v>11063.097232969154</v>
      </c>
      <c r="F24" s="84">
        <f>IF(F8=0,0,F8/TrAvia_act!F16*1000)</f>
        <v>14020.753621895119</v>
      </c>
      <c r="G24" s="84">
        <f>IF(G8=0,0,G8/TrAvia_act!G16*1000)</f>
        <v>11469.793379994595</v>
      </c>
      <c r="H24" s="84">
        <f>IF(H8=0,0,H8/TrAvia_act!H16*1000)</f>
        <v>12281.609930847324</v>
      </c>
      <c r="I24" s="84">
        <f>IF(I8=0,0,I8/TrAvia_act!I16*1000)</f>
        <v>11626.162770850528</v>
      </c>
      <c r="J24" s="84">
        <f>IF(J8=0,0,J8/TrAvia_act!J16*1000)</f>
        <v>12157.635520766387</v>
      </c>
      <c r="K24" s="84">
        <f>IF(K8=0,0,K8/TrAvia_act!K16*1000)</f>
        <v>11807.057224112157</v>
      </c>
      <c r="L24" s="84">
        <f>IF(L8=0,0,L8/TrAvia_act!L16*1000)</f>
        <v>12279.441186258106</v>
      </c>
      <c r="M24" s="84">
        <f>IF(M8=0,0,M8/TrAvia_act!M16*1000)</f>
        <v>12638.289382722507</v>
      </c>
      <c r="N24" s="84">
        <f>IF(N8=0,0,N8/TrAvia_act!N16*1000)</f>
        <v>12129.334804942915</v>
      </c>
      <c r="O24" s="84">
        <f>IF(O8=0,0,O8/TrAvia_act!O16*1000)</f>
        <v>12071.90976434623</v>
      </c>
      <c r="P24" s="84">
        <f>IF(P8=0,0,P8/TrAvia_act!P16*1000)</f>
        <v>12314.556212436397</v>
      </c>
      <c r="Q24" s="84">
        <f>IF(Q8=0,0,Q8/TrAvia_act!Q16*1000)</f>
        <v>11826.080573578914</v>
      </c>
      <c r="R24" s="84">
        <f>IF(R8=0,0,R8/TrAvia_act!R16*1000)</f>
        <v>12356.915841209206</v>
      </c>
      <c r="S24" s="84">
        <f>IF(S8=0,0,S8/TrAvia_act!S16*1000)</f>
        <v>12082.069690877282</v>
      </c>
      <c r="T24" s="84">
        <f>IF(T8=0,0,T8/TrAvia_act!T16*1000)</f>
        <v>12105.129791807762</v>
      </c>
      <c r="U24" s="84">
        <f>IF(U8=0,0,U8/TrAvia_act!U16*1000)</f>
        <v>11994.093694251173</v>
      </c>
      <c r="V24" s="84">
        <f>IF(V8=0,0,V8/TrAvia_act!V16*1000)</f>
        <v>11070.962842351793</v>
      </c>
      <c r="W24" s="84">
        <f>IF(W8=0,0,W8/TrAvia_act!W16*1000)</f>
        <v>11012.448487176558</v>
      </c>
      <c r="X24" s="84">
        <f>IF(X8=0,0,X8/TrAvia_act!X16*1000)</f>
        <v>11451.251327903659</v>
      </c>
      <c r="Y24" s="84">
        <f>IF(Y8=0,0,Y8/TrAvia_act!Y16*1000)</f>
        <v>11266.580506540186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14701.112773999281</v>
      </c>
      <c r="C25" s="84">
        <f>IF(C9=0,0,C9/TrAvia_act!C17*1000)</f>
        <v>11760.74304542065</v>
      </c>
      <c r="D25" s="84">
        <f>IF(D9=0,0,D9/TrAvia_act!D17*1000)</f>
        <v>12126.349211778463</v>
      </c>
      <c r="E25" s="84">
        <f>IF(E9=0,0,E9/TrAvia_act!E17*1000)</f>
        <v>10421.40662873813</v>
      </c>
      <c r="F25" s="84">
        <f>IF(F9=0,0,F9/TrAvia_act!F17*1000)</f>
        <v>13207.423057176933</v>
      </c>
      <c r="G25" s="84">
        <f>IF(G9=0,0,G9/TrAvia_act!G17*1000)</f>
        <v>13459.641982143916</v>
      </c>
      <c r="H25" s="84">
        <f>IF(H9=0,0,H9/TrAvia_act!H17*1000)</f>
        <v>13802.40752656656</v>
      </c>
      <c r="I25" s="84">
        <f>IF(I9=0,0,I9/TrAvia_act!I17*1000)</f>
        <v>13465.203092983056</v>
      </c>
      <c r="J25" s="84">
        <f>IF(J9=0,0,J9/TrAvia_act!J17*1000)</f>
        <v>13789.532471297178</v>
      </c>
      <c r="K25" s="84">
        <f>IF(K9=0,0,K9/TrAvia_act!K17*1000)</f>
        <v>14745.314625215013</v>
      </c>
      <c r="L25" s="84">
        <f>IF(L9=0,0,L9/TrAvia_act!L17*1000)</f>
        <v>14080.380573664614</v>
      </c>
      <c r="M25" s="84">
        <f>IF(M9=0,0,M9/TrAvia_act!M17*1000)</f>
        <v>14614.595620680024</v>
      </c>
      <c r="N25" s="84">
        <f>IF(N9=0,0,N9/TrAvia_act!N17*1000)</f>
        <v>13533.041454727709</v>
      </c>
      <c r="O25" s="84">
        <f>IF(O9=0,0,O9/TrAvia_act!O17*1000)</f>
        <v>9457.6326098564914</v>
      </c>
      <c r="P25" s="84">
        <f>IF(P9=0,0,P9/TrAvia_act!P17*1000)</f>
        <v>11784.673747374378</v>
      </c>
      <c r="Q25" s="84">
        <f>IF(Q9=0,0,Q9/TrAvia_act!Q17*1000)</f>
        <v>16779.348713558746</v>
      </c>
      <c r="R25" s="84">
        <f>IF(R9=0,0,R9/TrAvia_act!R17*1000)</f>
        <v>13503.890979130005</v>
      </c>
      <c r="S25" s="84">
        <f>IF(S9=0,0,S9/TrAvia_act!S17*1000)</f>
        <v>16721.015748694514</v>
      </c>
      <c r="T25" s="84">
        <f>IF(T9=0,0,T9/TrAvia_act!T17*1000)</f>
        <v>12266.683545733415</v>
      </c>
      <c r="U25" s="84">
        <f>IF(U9=0,0,U9/TrAvia_act!U17*1000)</f>
        <v>6344.7803623163327</v>
      </c>
      <c r="V25" s="84">
        <f>IF(V9=0,0,V9/TrAvia_act!V17*1000)</f>
        <v>11342.667018549591</v>
      </c>
      <c r="W25" s="84">
        <f>IF(W9=0,0,W9/TrAvia_act!W17*1000)</f>
        <v>10401.281937863199</v>
      </c>
      <c r="X25" s="84">
        <f>IF(X9=0,0,X9/TrAvia_act!X17*1000)</f>
        <v>9893.2760275946748</v>
      </c>
      <c r="Y25" s="84">
        <f>IF(Y9=0,0,Y9/TrAvia_act!Y17*1000)</f>
        <v>8331.3937146263124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16535.252738385745</v>
      </c>
      <c r="C26" s="13">
        <f>IF(C10=0,0,C10/TrAvia_act!C18*1000)</f>
        <v>13241.704667043115</v>
      </c>
      <c r="D26" s="13">
        <f>IF(D10=0,0,D10/TrAvia_act!D18*1000)</f>
        <v>13661.715604377188</v>
      </c>
      <c r="E26" s="13">
        <f>IF(E10=0,0,E10/TrAvia_act!E18*1000)</f>
        <v>11728.253319508178</v>
      </c>
      <c r="F26" s="13">
        <f>IF(F10=0,0,F10/TrAvia_act!F18*1000)</f>
        <v>14907.826768088664</v>
      </c>
      <c r="G26" s="13">
        <f>IF(G10=0,0,G10/TrAvia_act!G18*1000)</f>
        <v>12376.2357594473</v>
      </c>
      <c r="H26" s="13">
        <f>IF(H10=0,0,H10/TrAvia_act!H18*1000)</f>
        <v>12911.394266072495</v>
      </c>
      <c r="I26" s="13">
        <f>IF(I10=0,0,I10/TrAvia_act!I18*1000)</f>
        <v>12045.172352270321</v>
      </c>
      <c r="J26" s="13">
        <f>IF(J10=0,0,J10/TrAvia_act!J18*1000)</f>
        <v>12635.487035034845</v>
      </c>
      <c r="K26" s="13">
        <f>IF(K10=0,0,K10/TrAvia_act!K18*1000)</f>
        <v>12858.91428010191</v>
      </c>
      <c r="L26" s="13">
        <f>IF(L10=0,0,L10/TrAvia_act!L18*1000)</f>
        <v>12634.087158577124</v>
      </c>
      <c r="M26" s="13">
        <f>IF(M10=0,0,M10/TrAvia_act!M18*1000)</f>
        <v>12756.93930383975</v>
      </c>
      <c r="N26" s="13">
        <f>IF(N10=0,0,N10/TrAvia_act!N18*1000)</f>
        <v>12004.423966596187</v>
      </c>
      <c r="O26" s="13">
        <f>IF(O10=0,0,O10/TrAvia_act!O18*1000)</f>
        <v>10945.630965245507</v>
      </c>
      <c r="P26" s="13">
        <f>IF(P10=0,0,P10/TrAvia_act!P18*1000)</f>
        <v>11327.891398752856</v>
      </c>
      <c r="Q26" s="13">
        <f>IF(Q10=0,0,Q10/TrAvia_act!Q18*1000)</f>
        <v>10747.545200370134</v>
      </c>
      <c r="R26" s="13">
        <f>IF(R10=0,0,R10/TrAvia_act!R18*1000)</f>
        <v>11337.16969255308</v>
      </c>
      <c r="S26" s="13">
        <f>IF(S10=0,0,S10/TrAvia_act!S18*1000)</f>
        <v>11089.057169034695</v>
      </c>
      <c r="T26" s="13">
        <f>IF(T10=0,0,T10/TrAvia_act!T18*1000)</f>
        <v>11576.087169650389</v>
      </c>
      <c r="U26" s="13">
        <f>IF(U10=0,0,U10/TrAvia_act!U18*1000)</f>
        <v>11705.887675598158</v>
      </c>
      <c r="V26" s="13">
        <f>IF(V10=0,0,V10/TrAvia_act!V18*1000)</f>
        <v>11090.726970716729</v>
      </c>
      <c r="W26" s="13">
        <f>IF(W10=0,0,W10/TrAvia_act!W18*1000)</f>
        <v>10603.042170402332</v>
      </c>
      <c r="X26" s="13">
        <f>IF(X10=0,0,X10/TrAvia_act!X18*1000)</f>
        <v>12010.410862705885</v>
      </c>
      <c r="Y26" s="13">
        <f>IF(Y10=0,0,Y10/TrAvia_act!Y18*1000)</f>
        <v>9966.2754235204411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16490.572044613924</v>
      </c>
      <c r="C28" s="102">
        <f>IF(C12=0,0,C12/TrAvia_act!C20*1000)</f>
        <v>13203.47724714851</v>
      </c>
      <c r="D28" s="102">
        <f>IF(D12=0,0,D12/TrAvia_act!D20*1000)</f>
        <v>13619.591812080447</v>
      </c>
      <c r="E28" s="102">
        <f>IF(E12=0,0,E12/TrAvia_act!E20*1000)</f>
        <v>11699.788088810719</v>
      </c>
      <c r="F28" s="102">
        <f>IF(F12=0,0,F12/TrAvia_act!F20*1000)</f>
        <v>14861.567627865925</v>
      </c>
      <c r="G28" s="102">
        <f>IF(G12=0,0,G12/TrAvia_act!G20*1000)</f>
        <v>12079.27862984033</v>
      </c>
      <c r="H28" s="102">
        <f>IF(H12=0,0,H12/TrAvia_act!H20*1000)</f>
        <v>12815.268755918105</v>
      </c>
      <c r="I28" s="102">
        <f>IF(I12=0,0,I12/TrAvia_act!I20*1000)</f>
        <v>11848.073152148518</v>
      </c>
      <c r="J28" s="102">
        <f>IF(J12=0,0,J12/TrAvia_act!J20*1000)</f>
        <v>12123.397515341556</v>
      </c>
      <c r="K28" s="102">
        <f>IF(K12=0,0,K12/TrAvia_act!K20*1000)</f>
        <v>11651.962194900798</v>
      </c>
      <c r="L28" s="102">
        <f>IF(L12=0,0,L12/TrAvia_act!L20*1000)</f>
        <v>11789.274760931346</v>
      </c>
      <c r="M28" s="102">
        <f>IF(M12=0,0,M12/TrAvia_act!M20*1000)</f>
        <v>12078.738943361044</v>
      </c>
      <c r="N28" s="102">
        <f>IF(N12=0,0,N12/TrAvia_act!N20*1000)</f>
        <v>11446.743059430199</v>
      </c>
      <c r="O28" s="102">
        <f>IF(O12=0,0,O12/TrAvia_act!O20*1000)</f>
        <v>10970.426334092104</v>
      </c>
      <c r="P28" s="102">
        <f>IF(P12=0,0,P12/TrAvia_act!P20*1000)</f>
        <v>11275.160938639707</v>
      </c>
      <c r="Q28" s="102">
        <f>IF(Q12=0,0,Q12/TrAvia_act!Q20*1000)</f>
        <v>10520.638060875732</v>
      </c>
      <c r="R28" s="102">
        <f>IF(R12=0,0,R12/TrAvia_act!R20*1000)</f>
        <v>11126.644288094783</v>
      </c>
      <c r="S28" s="102">
        <f>IF(S12=0,0,S12/TrAvia_act!S20*1000)</f>
        <v>10610.04762169403</v>
      </c>
      <c r="T28" s="102">
        <f>IF(T12=0,0,T12/TrAvia_act!T20*1000)</f>
        <v>11312.422556483323</v>
      </c>
      <c r="U28" s="102">
        <f>IF(U12=0,0,U12/TrAvia_act!U20*1000)</f>
        <v>12013.806619470555</v>
      </c>
      <c r="V28" s="102">
        <f>IF(V12=0,0,V12/TrAvia_act!V20*1000)</f>
        <v>10751.469725990628</v>
      </c>
      <c r="W28" s="102">
        <f>IF(W12=0,0,W12/TrAvia_act!W20*1000)</f>
        <v>10814.234633058033</v>
      </c>
      <c r="X28" s="102">
        <f>IF(X12=0,0,X12/TrAvia_act!X20*1000)</f>
        <v>10720.900386933205</v>
      </c>
      <c r="Y28" s="102">
        <f>IF(Y12=0,0,Y12/TrAvia_act!Y20*1000)</f>
        <v>9788.6081933787282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17351.064215961287</v>
      </c>
      <c r="C29" s="86">
        <f>IF(C13=0,0,C13/TrAvia_act!C21*1000)</f>
        <v>13880.677670157147</v>
      </c>
      <c r="D29" s="86">
        <f>IF(D13=0,0,D13/TrAvia_act!D21*1000)</f>
        <v>14312.186234695562</v>
      </c>
      <c r="E29" s="86">
        <f>IF(E13=0,0,E13/TrAvia_act!E21*1000)</f>
        <v>12299.918952780679</v>
      </c>
      <c r="F29" s="86">
        <f>IF(F13=0,0,F13/TrAvia_act!F21*1000)</f>
        <v>15588.129219561339</v>
      </c>
      <c r="G29" s="86">
        <f>IF(G13=0,0,G13/TrAvia_act!G21*1000)</f>
        <v>15847.10849933805</v>
      </c>
      <c r="H29" s="86">
        <f>IF(H13=0,0,H13/TrAvia_act!H21*1000)</f>
        <v>13835.27604875764</v>
      </c>
      <c r="I29" s="86">
        <f>IF(I13=0,0,I13/TrAvia_act!I21*1000)</f>
        <v>13490.447467830181</v>
      </c>
      <c r="J29" s="86">
        <f>IF(J13=0,0,J13/TrAvia_act!J21*1000)</f>
        <v>15359.595652296639</v>
      </c>
      <c r="K29" s="86">
        <f>IF(K13=0,0,K13/TrAvia_act!K21*1000)</f>
        <v>18178.043421962047</v>
      </c>
      <c r="L29" s="86">
        <f>IF(L13=0,0,L13/TrAvia_act!L21*1000)</f>
        <v>20320.116847000121</v>
      </c>
      <c r="M29" s="86">
        <f>IF(M13=0,0,M13/TrAvia_act!M21*1000)</f>
        <v>21956.107662412705</v>
      </c>
      <c r="N29" s="86">
        <f>IF(N13=0,0,N13/TrAvia_act!N21*1000)</f>
        <v>16555.328636332339</v>
      </c>
      <c r="O29" s="86">
        <f>IF(O13=0,0,O13/TrAvia_act!O21*1000)</f>
        <v>10801.234741789573</v>
      </c>
      <c r="P29" s="86">
        <f>IF(P13=0,0,P13/TrAvia_act!P21*1000)</f>
        <v>11891.462694571454</v>
      </c>
      <c r="Q29" s="86">
        <f>IF(Q13=0,0,Q13/TrAvia_act!Q21*1000)</f>
        <v>15812.419306337728</v>
      </c>
      <c r="R29" s="86">
        <f>IF(R13=0,0,R13/TrAvia_act!R21*1000)</f>
        <v>13068.628196355638</v>
      </c>
      <c r="S29" s="86">
        <f>IF(S13=0,0,S13/TrAvia_act!S21*1000)</f>
        <v>18162.808975718148</v>
      </c>
      <c r="T29" s="86">
        <f>IF(T13=0,0,T13/TrAvia_act!T21*1000)</f>
        <v>16773.96793696372</v>
      </c>
      <c r="U29" s="86">
        <f>IF(U13=0,0,U13/TrAvia_act!U21*1000)</f>
        <v>7478.1946865679529</v>
      </c>
      <c r="V29" s="86">
        <f>IF(V13=0,0,V13/TrAvia_act!V21*1000)</f>
        <v>12116.392907501146</v>
      </c>
      <c r="W29" s="86">
        <f>IF(W13=0,0,W13/TrAvia_act!W21*1000)</f>
        <v>9610.3995052089249</v>
      </c>
      <c r="X29" s="86">
        <f>IF(X13=0,0,X13/TrAvia_act!X21*1000)</f>
        <v>15648.680115946638</v>
      </c>
      <c r="Y29" s="86">
        <f>IF(Y13=0,0,Y13/TrAvia_act!Y21*1000)</f>
        <v>10286.381408203375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127.25063720152033</v>
      </c>
      <c r="C32" s="14">
        <f>IF(C6=0,0,C6/TrAvia_act!C4*1000)</f>
        <v>102.48045127833446</v>
      </c>
      <c r="D32" s="14">
        <f>IF(D6=0,0,D6/TrAvia_act!D4*1000)</f>
        <v>109.62803801809272</v>
      </c>
      <c r="E32" s="14">
        <f>IF(E6=0,0,E6/TrAvia_act!E4*1000)</f>
        <v>97.85699120104519</v>
      </c>
      <c r="F32" s="14">
        <f>IF(F6=0,0,F6/TrAvia_act!F4*1000)</f>
        <v>121.99576711381457</v>
      </c>
      <c r="G32" s="14">
        <f>IF(G6=0,0,G6/TrAvia_act!G4*1000)</f>
        <v>102.60245101715286</v>
      </c>
      <c r="H32" s="14">
        <f>IF(H6=0,0,H6/TrAvia_act!H4*1000)</f>
        <v>108.70347319872461</v>
      </c>
      <c r="I32" s="14">
        <f>IF(I6=0,0,I6/TrAvia_act!I4*1000)</f>
        <v>105.66733748332439</v>
      </c>
      <c r="J32" s="14">
        <f>IF(J6=0,0,J6/TrAvia_act!J4*1000)</f>
        <v>105.28651965619083</v>
      </c>
      <c r="K32" s="14">
        <f>IF(K6=0,0,K6/TrAvia_act!K4*1000)</f>
        <v>106.38143222679665</v>
      </c>
      <c r="L32" s="14">
        <f>IF(L6=0,0,L6/TrAvia_act!L4*1000)</f>
        <v>107.91262723650082</v>
      </c>
      <c r="M32" s="14">
        <f>IF(M6=0,0,M6/TrAvia_act!M4*1000)</f>
        <v>100.56235852873722</v>
      </c>
      <c r="N32" s="14">
        <f>IF(N6=0,0,N6/TrAvia_act!N4*1000)</f>
        <v>93.575560114971395</v>
      </c>
      <c r="O32" s="14">
        <f>IF(O6=0,0,O6/TrAvia_act!O4*1000)</f>
        <v>90.004576565573203</v>
      </c>
      <c r="P32" s="14">
        <f>IF(P6=0,0,P6/TrAvia_act!P4*1000)</f>
        <v>93.225000674142464</v>
      </c>
      <c r="Q32" s="14">
        <f>IF(Q6=0,0,Q6/TrAvia_act!Q4*1000)</f>
        <v>91.472063061302848</v>
      </c>
      <c r="R32" s="14">
        <f>IF(R6=0,0,R6/TrAvia_act!R4*1000)</f>
        <v>87.387902518463221</v>
      </c>
      <c r="S32" s="14">
        <f>IF(S6=0,0,S6/TrAvia_act!S4*1000)</f>
        <v>85.40522119661199</v>
      </c>
      <c r="T32" s="14">
        <f>IF(T6=0,0,T6/TrAvia_act!T4*1000)</f>
        <v>84.567106636032179</v>
      </c>
      <c r="U32" s="14">
        <f>IF(U6=0,0,U6/TrAvia_act!U4*1000)</f>
        <v>81.459846388713217</v>
      </c>
      <c r="V32" s="14">
        <f>IF(V6=0,0,V6/TrAvia_act!V4*1000)</f>
        <v>115.40177411561784</v>
      </c>
      <c r="W32" s="14">
        <f>IF(W6=0,0,W6/TrAvia_act!W4*1000)</f>
        <v>111.44128078424382</v>
      </c>
      <c r="X32" s="14">
        <f>IF(X6=0,0,X6/TrAvia_act!X4*1000)</f>
        <v>83.046729757324087</v>
      </c>
      <c r="Y32" s="14">
        <f>IF(Y6=0,0,Y6/TrAvia_act!Y4*1000)</f>
        <v>76.514120271261717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120.95339283855576</v>
      </c>
      <c r="C34" s="87">
        <f>IF(C8=0,0,C8/TrAvia_act!C6*1000)</f>
        <v>97.457161814890711</v>
      </c>
      <c r="D34" s="87">
        <f>IF(D8=0,0,D8/TrAvia_act!D6*1000)</f>
        <v>104.66461331601644</v>
      </c>
      <c r="E34" s="87">
        <f>IF(E8=0,0,E8/TrAvia_act!E6*1000)</f>
        <v>94.435833259592997</v>
      </c>
      <c r="F34" s="87">
        <f>IF(F8=0,0,F8/TrAvia_act!F6*1000)</f>
        <v>118.01922691022133</v>
      </c>
      <c r="G34" s="87">
        <f>IF(G8=0,0,G8/TrAvia_act!G6*1000)</f>
        <v>99.321258020136966</v>
      </c>
      <c r="H34" s="87">
        <f>IF(H8=0,0,H8/TrAvia_act!H6*1000)</f>
        <v>104.76679553861223</v>
      </c>
      <c r="I34" s="87">
        <f>IF(I8=0,0,I8/TrAvia_act!I6*1000)</f>
        <v>101.60434858808125</v>
      </c>
      <c r="J34" s="87">
        <f>IF(J8=0,0,J8/TrAvia_act!J6*1000)</f>
        <v>100.78008867378288</v>
      </c>
      <c r="K34" s="87">
        <f>IF(K8=0,0,K8/TrAvia_act!K6*1000)</f>
        <v>101.02481758758336</v>
      </c>
      <c r="L34" s="87">
        <f>IF(L8=0,0,L8/TrAvia_act!L6*1000)</f>
        <v>103.24074306205407</v>
      </c>
      <c r="M34" s="87">
        <f>IF(M8=0,0,M8/TrAvia_act!M6*1000)</f>
        <v>97.630289982590114</v>
      </c>
      <c r="N34" s="87">
        <f>IF(N8=0,0,N8/TrAvia_act!N6*1000)</f>
        <v>90.211812709964391</v>
      </c>
      <c r="O34" s="87">
        <f>IF(O8=0,0,O8/TrAvia_act!O6*1000)</f>
        <v>88.791739435685969</v>
      </c>
      <c r="P34" s="87">
        <f>IF(P8=0,0,P8/TrAvia_act!P6*1000)</f>
        <v>90.523439316070792</v>
      </c>
      <c r="Q34" s="87">
        <f>IF(Q8=0,0,Q8/TrAvia_act!Q6*1000)</f>
        <v>88.082725037425959</v>
      </c>
      <c r="R34" s="87">
        <f>IF(R8=0,0,R8/TrAvia_act!R6*1000)</f>
        <v>86.743417814228351</v>
      </c>
      <c r="S34" s="87">
        <f>IF(S8=0,0,S8/TrAvia_act!S6*1000)</f>
        <v>83.044182959740624</v>
      </c>
      <c r="T34" s="87">
        <f>IF(T8=0,0,T8/TrAvia_act!T6*1000)</f>
        <v>83.097293964313863</v>
      </c>
      <c r="U34" s="87">
        <f>IF(U8=0,0,U8/TrAvia_act!U6*1000)</f>
        <v>82.824980066484343</v>
      </c>
      <c r="V34" s="87">
        <f>IF(V8=0,0,V8/TrAvia_act!V6*1000)</f>
        <v>112.0908431784331</v>
      </c>
      <c r="W34" s="87">
        <f>IF(W8=0,0,W8/TrAvia_act!W6*1000)</f>
        <v>108.23881554001393</v>
      </c>
      <c r="X34" s="87">
        <f>IF(X8=0,0,X8/TrAvia_act!X6*1000)</f>
        <v>81.749263529829108</v>
      </c>
      <c r="Y34" s="87">
        <f>IF(Y8=0,0,Y8/TrAvia_act!Y6*1000)</f>
        <v>75.779565397341159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240.31688012185296</v>
      </c>
      <c r="C35" s="87">
        <f>IF(C9=0,0,C9/TrAvia_act!C7*1000)</f>
        <v>191.83041589718991</v>
      </c>
      <c r="D35" s="87">
        <f>IF(D9=0,0,D9/TrAvia_act!D7*1000)</f>
        <v>209.46558374126965</v>
      </c>
      <c r="E35" s="87">
        <f>IF(E9=0,0,E9/TrAvia_act!E7*1000)</f>
        <v>166.64662369978635</v>
      </c>
      <c r="F35" s="87">
        <f>IF(F9=0,0,F9/TrAvia_act!F7*1000)</f>
        <v>205.85405986200524</v>
      </c>
      <c r="G35" s="87">
        <f>IF(G9=0,0,G9/TrAvia_act!G7*1000)</f>
        <v>175.31216230494948</v>
      </c>
      <c r="H35" s="87">
        <f>IF(H9=0,0,H9/TrAvia_act!H7*1000)</f>
        <v>199.69647496202379</v>
      </c>
      <c r="I35" s="87">
        <f>IF(I9=0,0,I9/TrAvia_act!I7*1000)</f>
        <v>213.79611858610198</v>
      </c>
      <c r="J35" s="87">
        <f>IF(J9=0,0,J9/TrAvia_act!J7*1000)</f>
        <v>223.82535873818773</v>
      </c>
      <c r="K35" s="87">
        <f>IF(K9=0,0,K9/TrAvia_act!K7*1000)</f>
        <v>260.19722627475994</v>
      </c>
      <c r="L35" s="87">
        <f>IF(L9=0,0,L9/TrAvia_act!L7*1000)</f>
        <v>222.65920347125422</v>
      </c>
      <c r="M35" s="87">
        <f>IF(M9=0,0,M9/TrAvia_act!M7*1000)</f>
        <v>153.87465648693845</v>
      </c>
      <c r="N35" s="87">
        <f>IF(N9=0,0,N9/TrAvia_act!N7*1000)</f>
        <v>162.17193553772034</v>
      </c>
      <c r="O35" s="87">
        <f>IF(O9=0,0,O9/TrAvia_act!O7*1000)</f>
        <v>106.97483430668044</v>
      </c>
      <c r="P35" s="87">
        <f>IF(P9=0,0,P9/TrAvia_act!P7*1000)</f>
        <v>145.57005525952795</v>
      </c>
      <c r="Q35" s="87">
        <f>IF(Q9=0,0,Q9/TrAvia_act!Q7*1000)</f>
        <v>171.50379270657587</v>
      </c>
      <c r="R35" s="87">
        <f>IF(R9=0,0,R9/TrAvia_act!R7*1000)</f>
        <v>96.548615165318779</v>
      </c>
      <c r="S35" s="87">
        <f>IF(S9=0,0,S9/TrAvia_act!S7*1000)</f>
        <v>137.9299117828545</v>
      </c>
      <c r="T35" s="87">
        <f>IF(T9=0,0,T9/TrAvia_act!T7*1000)</f>
        <v>111.98418712115972</v>
      </c>
      <c r="U35" s="87">
        <f>IF(U9=0,0,U9/TrAvia_act!U7*1000)</f>
        <v>66.47222288612943</v>
      </c>
      <c r="V35" s="87">
        <f>IF(V9=0,0,V9/TrAvia_act!V7*1000)</f>
        <v>150.02554529687293</v>
      </c>
      <c r="W35" s="87">
        <f>IF(W9=0,0,W9/TrAvia_act!W7*1000)</f>
        <v>154.43977085211552</v>
      </c>
      <c r="X35" s="87">
        <f>IF(X9=0,0,X9/TrAvia_act!X7*1000)</f>
        <v>102.56597505164322</v>
      </c>
      <c r="Y35" s="87">
        <f>IF(Y9=0,0,Y9/TrAvia_act!Y7*1000)</f>
        <v>87.211984149133855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754.17269251154084</v>
      </c>
      <c r="C36" s="15">
        <f>IF(C10=0,0,C10/TrAvia_act!C8*1000)</f>
        <v>553.91904994504387</v>
      </c>
      <c r="D36" s="15">
        <f>IF(D10=0,0,D10/TrAvia_act!D8*1000)</f>
        <v>599.8038531992579</v>
      </c>
      <c r="E36" s="15">
        <f>IF(E10=0,0,E10/TrAvia_act!E8*1000)</f>
        <v>527.49119281385549</v>
      </c>
      <c r="F36" s="15">
        <f>IF(F10=0,0,F10/TrAvia_act!F8*1000)</f>
        <v>722.48072382763826</v>
      </c>
      <c r="G36" s="15">
        <f>IF(G10=0,0,G10/TrAvia_act!G8*1000)</f>
        <v>601.60703743552062</v>
      </c>
      <c r="H36" s="15">
        <f>IF(H10=0,0,H10/TrAvia_act!H8*1000)</f>
        <v>658.07151505209868</v>
      </c>
      <c r="I36" s="15">
        <f>IF(I10=0,0,I10/TrAvia_act!I8*1000)</f>
        <v>589.40814290267792</v>
      </c>
      <c r="J36" s="15">
        <f>IF(J10=0,0,J10/TrAvia_act!J8*1000)</f>
        <v>589.3243295869072</v>
      </c>
      <c r="K36" s="15">
        <f>IF(K10=0,0,K10/TrAvia_act!K8*1000)</f>
        <v>539.63614191429087</v>
      </c>
      <c r="L36" s="15">
        <f>IF(L10=0,0,L10/TrAvia_act!L8*1000)</f>
        <v>602.30783426369567</v>
      </c>
      <c r="M36" s="15">
        <f>IF(M10=0,0,M10/TrAvia_act!M8*1000)</f>
        <v>606.32508311183426</v>
      </c>
      <c r="N36" s="15">
        <f>IF(N10=0,0,N10/TrAvia_act!N8*1000)</f>
        <v>484.42248558751385</v>
      </c>
      <c r="O36" s="15">
        <f>IF(O10=0,0,O10/TrAvia_act!O8*1000)</f>
        <v>409.03060487841265</v>
      </c>
      <c r="P36" s="15">
        <f>IF(P10=0,0,P10/TrAvia_act!P8*1000)</f>
        <v>425.6376359152938</v>
      </c>
      <c r="Q36" s="15">
        <f>IF(Q10=0,0,Q10/TrAvia_act!Q8*1000)</f>
        <v>429.90741458415016</v>
      </c>
      <c r="R36" s="15">
        <f>IF(R10=0,0,R10/TrAvia_act!R8*1000)</f>
        <v>332.11958827734696</v>
      </c>
      <c r="S36" s="15">
        <f>IF(S10=0,0,S10/TrAvia_act!S8*1000)</f>
        <v>404.95393364126193</v>
      </c>
      <c r="T36" s="15">
        <f>IF(T10=0,0,T10/TrAvia_act!T8*1000)</f>
        <v>445.07253036066504</v>
      </c>
      <c r="U36" s="15">
        <f>IF(U10=0,0,U10/TrAvia_act!U8*1000)</f>
        <v>423.13223957904546</v>
      </c>
      <c r="V36" s="15">
        <f>IF(V10=0,0,V10/TrAvia_act!V8*1000)</f>
        <v>360.02341953034818</v>
      </c>
      <c r="W36" s="15">
        <f>IF(W10=0,0,W10/TrAvia_act!W8*1000)</f>
        <v>354.42336284608683</v>
      </c>
      <c r="X36" s="15">
        <f>IF(X10=0,0,X10/TrAvia_act!X8*1000)</f>
        <v>352.11334744936863</v>
      </c>
      <c r="Y36" s="15">
        <f>IF(Y10=0,0,Y10/TrAvia_act!Y8*1000)</f>
        <v>270.49626678957566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846.63972094601854</v>
      </c>
      <c r="C38" s="101">
        <f>IF(C12=0,0,C12/TrAvia_act!C10*1000)</f>
        <v>623.99346375967934</v>
      </c>
      <c r="D38" s="101">
        <f>IF(D12=0,0,D12/TrAvia_act!D10*1000)</f>
        <v>681.52538666911016</v>
      </c>
      <c r="E38" s="101">
        <f>IF(E12=0,0,E12/TrAvia_act!E10*1000)</f>
        <v>574.66539013938507</v>
      </c>
      <c r="F38" s="101">
        <f>IF(F12=0,0,F12/TrAvia_act!F10*1000)</f>
        <v>821.75627042784947</v>
      </c>
      <c r="G38" s="101">
        <f>IF(G12=0,0,G12/TrAvia_act!G10*1000)</f>
        <v>684.16332409266897</v>
      </c>
      <c r="H38" s="101">
        <f>IF(H12=0,0,H12/TrAvia_act!H10*1000)</f>
        <v>792.84233994367287</v>
      </c>
      <c r="I38" s="101">
        <f>IF(I12=0,0,I12/TrAvia_act!I10*1000)</f>
        <v>734.20790437342589</v>
      </c>
      <c r="J38" s="101">
        <f>IF(J12=0,0,J12/TrAvia_act!J10*1000)</f>
        <v>762.44878169421054</v>
      </c>
      <c r="K38" s="101">
        <f>IF(K12=0,0,K12/TrAvia_act!K10*1000)</f>
        <v>718.93519095022543</v>
      </c>
      <c r="L38" s="101">
        <f>IF(L12=0,0,L12/TrAvia_act!L10*1000)</f>
        <v>698.9986173774754</v>
      </c>
      <c r="M38" s="101">
        <f>IF(M12=0,0,M12/TrAvia_act!M10*1000)</f>
        <v>673.83701002317537</v>
      </c>
      <c r="N38" s="101">
        <f>IF(N12=0,0,N12/TrAvia_act!N10*1000)</f>
        <v>576.53996320088982</v>
      </c>
      <c r="O38" s="101">
        <f>IF(O12=0,0,O12/TrAvia_act!O10*1000)</f>
        <v>553.02466363018664</v>
      </c>
      <c r="P38" s="101">
        <f>IF(P12=0,0,P12/TrAvia_act!P10*1000)</f>
        <v>500.18568495698923</v>
      </c>
      <c r="Q38" s="101">
        <f>IF(Q12=0,0,Q12/TrAvia_act!Q10*1000)</f>
        <v>466.15574444814553</v>
      </c>
      <c r="R38" s="101">
        <f>IF(R12=0,0,R12/TrAvia_act!R10*1000)</f>
        <v>447.07710197334046</v>
      </c>
      <c r="S38" s="101">
        <f>IF(S12=0,0,S12/TrAvia_act!S10*1000)</f>
        <v>462.01888778315072</v>
      </c>
      <c r="T38" s="101">
        <f>IF(T12=0,0,T12/TrAvia_act!T10*1000)</f>
        <v>492.30010173256863</v>
      </c>
      <c r="U38" s="101">
        <f>IF(U12=0,0,U12/TrAvia_act!U10*1000)</f>
        <v>509.69114018606246</v>
      </c>
      <c r="V38" s="101">
        <f>IF(V12=0,0,V12/TrAvia_act!V10*1000)</f>
        <v>513.15150948319422</v>
      </c>
      <c r="W38" s="101">
        <f>IF(W12=0,0,W12/TrAvia_act!W10*1000)</f>
        <v>520.54596750542032</v>
      </c>
      <c r="X38" s="101">
        <f>IF(X12=0,0,X12/TrAvia_act!X10*1000)</f>
        <v>522.3487441187068</v>
      </c>
      <c r="Y38" s="101">
        <f>IF(Y12=0,0,Y12/TrAvia_act!Y10*1000)</f>
        <v>472.59676216071779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260.48571164379661</v>
      </c>
      <c r="C39" s="88">
        <f>IF(C13=0,0,C13/TrAvia_act!C11*1000)</f>
        <v>198.85663764102634</v>
      </c>
      <c r="D39" s="88">
        <f>IF(D13=0,0,D13/TrAvia_act!D11*1000)</f>
        <v>217.16066865120075</v>
      </c>
      <c r="E39" s="88">
        <f>IF(E13=0,0,E13/TrAvia_act!E11*1000)</f>
        <v>205.39590227970265</v>
      </c>
      <c r="F39" s="88">
        <f>IF(F13=0,0,F13/TrAvia_act!F11*1000)</f>
        <v>268.19657175247477</v>
      </c>
      <c r="G39" s="88">
        <f>IF(G13=0,0,G13/TrAvia_act!G11*1000)</f>
        <v>289.92494661315209</v>
      </c>
      <c r="H39" s="88">
        <f>IF(H13=0,0,H13/TrAvia_act!H11*1000)</f>
        <v>261.83503945356836</v>
      </c>
      <c r="I39" s="88">
        <f>IF(I13=0,0,I13/TrAvia_act!I11*1000)</f>
        <v>259.64042553618106</v>
      </c>
      <c r="J39" s="88">
        <f>IF(J13=0,0,J13/TrAvia_act!J11*1000)</f>
        <v>301.69304173350309</v>
      </c>
      <c r="K39" s="88">
        <f>IF(K13=0,0,K13/TrAvia_act!K11*1000)</f>
        <v>316.59206189362817</v>
      </c>
      <c r="L39" s="88">
        <f>IF(L13=0,0,L13/TrAvia_act!L11*1000)</f>
        <v>348.12485685148062</v>
      </c>
      <c r="M39" s="88">
        <f>IF(M13=0,0,M13/TrAvia_act!M11*1000)</f>
        <v>346.94279733867222</v>
      </c>
      <c r="N39" s="88">
        <f>IF(N13=0,0,N13/TrAvia_act!N11*1000)</f>
        <v>254.75724920891386</v>
      </c>
      <c r="O39" s="88">
        <f>IF(O13=0,0,O13/TrAvia_act!O11*1000)</f>
        <v>161.03236311516227</v>
      </c>
      <c r="P39" s="88">
        <f>IF(P13=0,0,P13/TrAvia_act!P11*1000)</f>
        <v>169.55258770714067</v>
      </c>
      <c r="Q39" s="88">
        <f>IF(Q13=0,0,Q13/TrAvia_act!Q11*1000)</f>
        <v>199.50796152373672</v>
      </c>
      <c r="R39" s="88">
        <f>IF(R13=0,0,R13/TrAvia_act!R11*1000)</f>
        <v>118.59233134713817</v>
      </c>
      <c r="S39" s="88">
        <f>IF(S13=0,0,S13/TrAvia_act!S11*1000)</f>
        <v>196.05700088435901</v>
      </c>
      <c r="T39" s="88">
        <f>IF(T13=0,0,T13/TrAvia_act!T11*1000)</f>
        <v>195.5984642918196</v>
      </c>
      <c r="U39" s="88">
        <f>IF(U13=0,0,U13/TrAvia_act!U11*1000)</f>
        <v>89.157530360290664</v>
      </c>
      <c r="V39" s="88">
        <f>IF(V13=0,0,V13/TrAvia_act!V11*1000)</f>
        <v>199.95353509292025</v>
      </c>
      <c r="W39" s="88">
        <f>IF(W13=0,0,W13/TrAvia_act!W11*1000)</f>
        <v>131.86039811972375</v>
      </c>
      <c r="X39" s="88">
        <f>IF(X13=0,0,X13/TrAvia_act!X11*1000)</f>
        <v>216.02578916241347</v>
      </c>
      <c r="Y39" s="88">
        <f>IF(Y13=0,0,Y13/TrAvia_act!Y11*1000)</f>
        <v>156.06770123597389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25623.029702970307</v>
      </c>
      <c r="C41" s="54">
        <f>IF(C3=0,0,C3/TrAvia_act!C23*1000000)</f>
        <v>20500.209959042906</v>
      </c>
      <c r="D41" s="54">
        <f>IF(D3=0,0,D3/TrAvia_act!D23*1000000)</f>
        <v>21339.733116732423</v>
      </c>
      <c r="E41" s="54">
        <f>IF(E3=0,0,E3/TrAvia_act!E23*1000000)</f>
        <v>18441.787899388171</v>
      </c>
      <c r="F41" s="54">
        <f>IF(F3=0,0,F3/TrAvia_act!F23*1000000)</f>
        <v>23364.98898153663</v>
      </c>
      <c r="G41" s="54">
        <f>IF(G3=0,0,G3/TrAvia_act!G23*1000000)</f>
        <v>19828.931499738981</v>
      </c>
      <c r="H41" s="54">
        <f>IF(H3=0,0,H3/TrAvia_act!H23*1000000)</f>
        <v>20880.141769911508</v>
      </c>
      <c r="I41" s="54">
        <f>IF(I3=0,0,I3/TrAvia_act!I23*1000000)</f>
        <v>19780.959358785065</v>
      </c>
      <c r="J41" s="54">
        <f>IF(J3=0,0,J3/TrAvia_act!J23*1000000)</f>
        <v>20694.998043153173</v>
      </c>
      <c r="K41" s="54">
        <f>IF(K3=0,0,K3/TrAvia_act!K23*1000000)</f>
        <v>19965.478185954358</v>
      </c>
      <c r="L41" s="54">
        <f>IF(L3=0,0,L3/TrAvia_act!L23*1000000)</f>
        <v>20499.517781796261</v>
      </c>
      <c r="M41" s="54">
        <f>IF(M3=0,0,M3/TrAvia_act!M23*1000000)</f>
        <v>21872.195430711614</v>
      </c>
      <c r="N41" s="54">
        <f>IF(N3=0,0,N3/TrAvia_act!N23*1000000)</f>
        <v>20710.971770718235</v>
      </c>
      <c r="O41" s="54">
        <f>IF(O3=0,0,O3/TrAvia_act!O23*1000000)</f>
        <v>20100.281325769647</v>
      </c>
      <c r="P41" s="54">
        <f>IF(P3=0,0,P3/TrAvia_act!P23*1000000)</f>
        <v>20591.175911035076</v>
      </c>
      <c r="Q41" s="54">
        <f>IF(Q3=0,0,Q3/TrAvia_act!Q23*1000000)</f>
        <v>20133.819875518668</v>
      </c>
      <c r="R41" s="54">
        <f>IF(R3=0,0,R3/TrAvia_act!R23*1000000)</f>
        <v>20693.426126783943</v>
      </c>
      <c r="S41" s="54">
        <f>IF(S3=0,0,S3/TrAvia_act!S23*1000000)</f>
        <v>20153.217752161385</v>
      </c>
      <c r="T41" s="54">
        <f>IF(T3=0,0,T3/TrAvia_act!T23*1000000)</f>
        <v>19836.638226518193</v>
      </c>
      <c r="U41" s="54">
        <f>IF(U3=0,0,U3/TrAvia_act!U23*1000000)</f>
        <v>19061.653733912168</v>
      </c>
      <c r="V41" s="54">
        <f>IF(V3=0,0,V3/TrAvia_act!V23*1000000)</f>
        <v>18414.738078115312</v>
      </c>
      <c r="W41" s="54">
        <f>IF(W3=0,0,W3/TrAvia_act!W23*1000000)</f>
        <v>17700.063706299035</v>
      </c>
      <c r="X41" s="54">
        <f>IF(X3=0,0,X3/TrAvia_act!X23*1000000)</f>
        <v>17846.705717916146</v>
      </c>
      <c r="Y41" s="54">
        <f>IF(Y3=0,0,Y3/TrAvia_act!Y23*1000000)</f>
        <v>16993.438595016516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25701.468251904702</v>
      </c>
      <c r="C42" s="11">
        <f>IF(C6=0,0,C6/TrAvia_act!C24*1000000)</f>
        <v>20560.912879245669</v>
      </c>
      <c r="D42" s="11">
        <f>IF(D6=0,0,D6/TrAvia_act!D24*1000000)</f>
        <v>21411.088515663938</v>
      </c>
      <c r="E42" s="11">
        <f>IF(E6=0,0,E6/TrAvia_act!E24*1000000)</f>
        <v>18544.967391347043</v>
      </c>
      <c r="F42" s="11">
        <f>IF(F6=0,0,F6/TrAvia_act!F24*1000000)</f>
        <v>23470.86224273012</v>
      </c>
      <c r="G42" s="11">
        <f>IF(G6=0,0,G6/TrAvia_act!G24*1000000)</f>
        <v>19950.030819829677</v>
      </c>
      <c r="H42" s="11">
        <f>IF(H6=0,0,H6/TrAvia_act!H24*1000000)</f>
        <v>21027.274402976498</v>
      </c>
      <c r="I42" s="11">
        <f>IF(I6=0,0,I6/TrAvia_act!I24*1000000)</f>
        <v>19872.163432681085</v>
      </c>
      <c r="J42" s="11">
        <f>IF(J6=0,0,J6/TrAvia_act!J24*1000000)</f>
        <v>20727.073541183257</v>
      </c>
      <c r="K42" s="11">
        <f>IF(K6=0,0,K6/TrAvia_act!K24*1000000)</f>
        <v>19903.515216729713</v>
      </c>
      <c r="L42" s="11">
        <f>IF(L6=0,0,L6/TrAvia_act!L24*1000000)</f>
        <v>20484.100916760308</v>
      </c>
      <c r="M42" s="11">
        <f>IF(M6=0,0,M6/TrAvia_act!M24*1000000)</f>
        <v>21860.493052457197</v>
      </c>
      <c r="N42" s="11">
        <f>IF(N6=0,0,N6/TrAvia_act!N24*1000000)</f>
        <v>20676.805624686782</v>
      </c>
      <c r="O42" s="11">
        <f>IF(O6=0,0,O6/TrAvia_act!O24*1000000)</f>
        <v>20116.477561863783</v>
      </c>
      <c r="P42" s="11">
        <f>IF(P6=0,0,P6/TrAvia_act!P24*1000000)</f>
        <v>20626.169716740274</v>
      </c>
      <c r="Q42" s="11">
        <f>IF(Q6=0,0,Q6/TrAvia_act!Q24*1000000)</f>
        <v>20203.45259517126</v>
      </c>
      <c r="R42" s="11">
        <f>IF(R6=0,0,R6/TrAvia_act!R24*1000000)</f>
        <v>20740.970349823354</v>
      </c>
      <c r="S42" s="11">
        <f>IF(S6=0,0,S6/TrAvia_act!S24*1000000)</f>
        <v>20211.751227896737</v>
      </c>
      <c r="T42" s="11">
        <f>IF(T6=0,0,T6/TrAvia_act!T24*1000000)</f>
        <v>19889.663864852046</v>
      </c>
      <c r="U42" s="11">
        <f>IF(U6=0,0,U6/TrAvia_act!U24*1000000)</f>
        <v>19088.946347701796</v>
      </c>
      <c r="V42" s="11">
        <f>IF(V6=0,0,V6/TrAvia_act!V24*1000000)</f>
        <v>18447.23738290196</v>
      </c>
      <c r="W42" s="11">
        <f>IF(W6=0,0,W6/TrAvia_act!W24*1000000)</f>
        <v>17775.749413646561</v>
      </c>
      <c r="X42" s="11">
        <f>IF(X6=0,0,X6/TrAvia_act!X24*1000000)</f>
        <v>17848.319392175916</v>
      </c>
      <c r="Y42" s="11">
        <f>IF(Y6=0,0,Y6/TrAvia_act!Y24*1000000)</f>
        <v>17008.986195243655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27790.019140825709</v>
      </c>
      <c r="C44" s="84">
        <f>IF(C8=0,0,C8/TrAvia_act!C26*1000000)</f>
        <v>22231.788442202793</v>
      </c>
      <c r="D44" s="84">
        <f>IF(D8=0,0,D8/TrAvia_act!D26*1000000)</f>
        <v>23003.770011927179</v>
      </c>
      <c r="E44" s="84">
        <f>IF(E8=0,0,E8/TrAvia_act!E26*1000000)</f>
        <v>19775.778036926746</v>
      </c>
      <c r="F44" s="84">
        <f>IF(F8=0,0,F8/TrAvia_act!F26*1000000)</f>
        <v>24928.286210841808</v>
      </c>
      <c r="G44" s="84">
        <f>IF(G8=0,0,G8/TrAvia_act!G26*1000000)</f>
        <v>20627.715230965408</v>
      </c>
      <c r="H44" s="84">
        <f>IF(H8=0,0,H8/TrAvia_act!H26*1000000)</f>
        <v>21549.224130212413</v>
      </c>
      <c r="I44" s="84">
        <f>IF(I8=0,0,I8/TrAvia_act!I26*1000000)</f>
        <v>20272.057943950749</v>
      </c>
      <c r="J44" s="84">
        <f>IF(J8=0,0,J8/TrAvia_act!J26*1000000)</f>
        <v>21039.725108404407</v>
      </c>
      <c r="K44" s="84">
        <f>IF(K8=0,0,K8/TrAvia_act!K26*1000000)</f>
        <v>20051.781813460693</v>
      </c>
      <c r="L44" s="84">
        <f>IF(L8=0,0,L8/TrAvia_act!L26*1000000)</f>
        <v>20734.006672948424</v>
      </c>
      <c r="M44" s="84">
        <f>IF(M8=0,0,M8/TrAvia_act!M26*1000000)</f>
        <v>21698.495526485516</v>
      </c>
      <c r="N44" s="84">
        <f>IF(N8=0,0,N8/TrAvia_act!N26*1000000)</f>
        <v>20941.435967647503</v>
      </c>
      <c r="O44" s="84">
        <f>IF(O8=0,0,O8/TrAvia_act!O26*1000000)</f>
        <v>20939.572933709707</v>
      </c>
      <c r="P44" s="84">
        <f>IF(P8=0,0,P8/TrAvia_act!P26*1000000)</f>
        <v>21165.606962071564</v>
      </c>
      <c r="Q44" s="84">
        <f>IF(Q8=0,0,Q8/TrAvia_act!Q26*1000000)</f>
        <v>20175.854217813889</v>
      </c>
      <c r="R44" s="84">
        <f>IF(R8=0,0,R8/TrAvia_act!R26*1000000)</f>
        <v>20715.357924708311</v>
      </c>
      <c r="S44" s="84">
        <f>IF(S8=0,0,S8/TrAvia_act!S26*1000000)</f>
        <v>20092.81309924382</v>
      </c>
      <c r="T44" s="84">
        <f>IF(T8=0,0,T8/TrAvia_act!T26*1000000)</f>
        <v>20108.852169031859</v>
      </c>
      <c r="U44" s="84">
        <f>IF(U8=0,0,U8/TrAvia_act!U26*1000000)</f>
        <v>20097.624756250305</v>
      </c>
      <c r="V44" s="84">
        <f>IF(V8=0,0,V8/TrAvia_act!V26*1000000)</f>
        <v>18121.646204197292</v>
      </c>
      <c r="W44" s="84">
        <f>IF(W8=0,0,W8/TrAvia_act!W26*1000000)</f>
        <v>17591.221258162004</v>
      </c>
      <c r="X44" s="84">
        <f>IF(X8=0,0,X8/TrAvia_act!X26*1000000)</f>
        <v>18207.313933076373</v>
      </c>
      <c r="Y44" s="84">
        <f>IF(Y8=0,0,Y8/TrAvia_act!Y26*1000000)</f>
        <v>17588.505572067206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15306.141676370953</v>
      </c>
      <c r="C45" s="84">
        <f>IF(C9=0,0,C9/TrAvia_act!C27*1000000)</f>
        <v>12244.76011033501</v>
      </c>
      <c r="D45" s="84">
        <f>IF(D9=0,0,D9/TrAvia_act!D27*1000000)</f>
        <v>12625.412913021128</v>
      </c>
      <c r="E45" s="84">
        <f>IF(E9=0,0,E9/TrAvia_act!E27*1000000)</f>
        <v>10850.302883782573</v>
      </c>
      <c r="F45" s="84">
        <f>IF(F9=0,0,F9/TrAvia_act!F27*1000000)</f>
        <v>13750.978691249406</v>
      </c>
      <c r="G45" s="84">
        <f>IF(G9=0,0,G9/TrAvia_act!G27*1000000)</f>
        <v>14124.454826325837</v>
      </c>
      <c r="H45" s="84">
        <f>IF(H9=0,0,H9/TrAvia_act!H27*1000000)</f>
        <v>16253.385813113742</v>
      </c>
      <c r="I45" s="84">
        <f>IF(I9=0,0,I9/TrAvia_act!I27*1000000)</f>
        <v>15904.200562470958</v>
      </c>
      <c r="J45" s="84">
        <f>IF(J9=0,0,J9/TrAvia_act!J27*1000000)</f>
        <v>17625.054801136845</v>
      </c>
      <c r="K45" s="84">
        <f>IF(K9=0,0,K9/TrAvia_act!K27*1000000)</f>
        <v>18387.676022824271</v>
      </c>
      <c r="L45" s="84">
        <f>IF(L9=0,0,L9/TrAvia_act!L27*1000000)</f>
        <v>18011.765205314925</v>
      </c>
      <c r="M45" s="84">
        <f>IF(M9=0,0,M9/TrAvia_act!M27*1000000)</f>
        <v>23920.765211852169</v>
      </c>
      <c r="N45" s="84">
        <f>IF(N9=0,0,N9/TrAvia_act!N27*1000000)</f>
        <v>18084.400871364054</v>
      </c>
      <c r="O45" s="84">
        <f>IF(O9=0,0,O9/TrAvia_act!O27*1000000)</f>
        <v>13811.335155672772</v>
      </c>
      <c r="P45" s="84">
        <f>IF(P9=0,0,P9/TrAvia_act!P27*1000000)</f>
        <v>15780.26974797947</v>
      </c>
      <c r="Q45" s="84">
        <f>IF(Q9=0,0,Q9/TrAvia_act!Q27*1000000)</f>
        <v>20544.257949418981</v>
      </c>
      <c r="R45" s="84">
        <f>IF(R9=0,0,R9/TrAvia_act!R27*1000000)</f>
        <v>21073.711425085537</v>
      </c>
      <c r="S45" s="84">
        <f>IF(S9=0,0,S9/TrAvia_act!S27*1000000)</f>
        <v>21952.236574883656</v>
      </c>
      <c r="T45" s="84">
        <f>IF(T9=0,0,T9/TrAvia_act!T27*1000000)</f>
        <v>17282.198838555345</v>
      </c>
      <c r="U45" s="84">
        <f>IF(U9=0,0,U9/TrAvia_act!U27*1000000)</f>
        <v>11318.185633661884</v>
      </c>
      <c r="V45" s="84">
        <f>IF(V9=0,0,V9/TrAvia_act!V27*1000000)</f>
        <v>21459.749480559418</v>
      </c>
      <c r="W45" s="84">
        <f>IF(W9=0,0,W9/TrAvia_act!W27*1000000)</f>
        <v>19722.554523570594</v>
      </c>
      <c r="X45" s="84">
        <f>IF(X9=0,0,X9/TrAvia_act!X27*1000000)</f>
        <v>14435.449251471542</v>
      </c>
      <c r="Y45" s="84">
        <f>IF(Y9=0,0,Y9/TrAvia_act!Y27*1000000)</f>
        <v>12003.911431274866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22553.962478853377</v>
      </c>
      <c r="C46" s="13">
        <f>IF(C10=0,0,C10/TrAvia_act!C28*1000000)</f>
        <v>18008.639343106926</v>
      </c>
      <c r="D46" s="13">
        <f>IF(D10=0,0,D10/TrAvia_act!D28*1000000)</f>
        <v>18510.424232683716</v>
      </c>
      <c r="E46" s="13">
        <f>IF(E10=0,0,E10/TrAvia_act!E28*1000000)</f>
        <v>15675.233580331253</v>
      </c>
      <c r="F46" s="13">
        <f>IF(F10=0,0,F10/TrAvia_act!F28*1000000)</f>
        <v>20124.768961904218</v>
      </c>
      <c r="G46" s="13">
        <f>IF(G10=0,0,G10/TrAvia_act!G28*1000000)</f>
        <v>16373.333059705998</v>
      </c>
      <c r="H46" s="13">
        <f>IF(H10=0,0,H10/TrAvia_act!H28*1000000)</f>
        <v>17477.906277240058</v>
      </c>
      <c r="I46" s="13">
        <f>IF(I10=0,0,I10/TrAvia_act!I28*1000000)</f>
        <v>17505.018281179</v>
      </c>
      <c r="J46" s="13">
        <f>IF(J10=0,0,J10/TrAvia_act!J28*1000000)</f>
        <v>19864.168907397001</v>
      </c>
      <c r="K46" s="13">
        <f>IF(K10=0,0,K10/TrAvia_act!K28*1000000)</f>
        <v>21648.080054796206</v>
      </c>
      <c r="L46" s="13">
        <f>IF(L10=0,0,L10/TrAvia_act!L28*1000000)</f>
        <v>20979.131479882486</v>
      </c>
      <c r="M46" s="13">
        <f>IF(M10=0,0,M10/TrAvia_act!M28*1000000)</f>
        <v>22270.019483700235</v>
      </c>
      <c r="N46" s="13">
        <f>IF(N10=0,0,N10/TrAvia_act!N28*1000000)</f>
        <v>21978.715610306532</v>
      </c>
      <c r="O46" s="13">
        <f>IF(O10=0,0,O10/TrAvia_act!O28*1000000)</f>
        <v>19314.891605772598</v>
      </c>
      <c r="P46" s="13">
        <f>IF(P10=0,0,P10/TrAvia_act!P28*1000000)</f>
        <v>18528.335928567169</v>
      </c>
      <c r="Q46" s="13">
        <f>IF(Q10=0,0,Q10/TrAvia_act!Q28*1000000)</f>
        <v>16415.78190109053</v>
      </c>
      <c r="R46" s="13">
        <f>IF(R10=0,0,R10/TrAvia_act!R28*1000000)</f>
        <v>16378.003526948005</v>
      </c>
      <c r="S46" s="13">
        <f>IF(S10=0,0,S10/TrAvia_act!S28*1000000)</f>
        <v>14543.532786920334</v>
      </c>
      <c r="T46" s="13">
        <f>IF(T10=0,0,T10/TrAvia_act!T28*1000000)</f>
        <v>14497.590941116925</v>
      </c>
      <c r="U46" s="13">
        <f>IF(U10=0,0,U10/TrAvia_act!U28*1000000)</f>
        <v>14676.527438818008</v>
      </c>
      <c r="V46" s="13">
        <f>IF(V10=0,0,V10/TrAvia_act!V28*1000000)</f>
        <v>16984.315188831548</v>
      </c>
      <c r="W46" s="13">
        <f>IF(W10=0,0,W10/TrAvia_act!W28*1000000)</f>
        <v>13618.102335128999</v>
      </c>
      <c r="X46" s="13">
        <f>IF(X10=0,0,X10/TrAvia_act!X28*1000000)</f>
        <v>17695.92399508322</v>
      </c>
      <c r="Y46" s="13">
        <f>IF(Y10=0,0,Y10/TrAvia_act!Y28*1000000)</f>
        <v>15433.653682495386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23413.290203408978</v>
      </c>
      <c r="C48" s="102">
        <f>IF(C12=0,0,C12/TrAvia_act!C30*1000000)</f>
        <v>18756.310717424622</v>
      </c>
      <c r="D48" s="102">
        <f>IF(D12=0,0,D12/TrAvia_act!D30*1000000)</f>
        <v>19337.7608926006</v>
      </c>
      <c r="E48" s="102">
        <f>IF(E12=0,0,E12/TrAvia_act!E30*1000000)</f>
        <v>16187.793037921268</v>
      </c>
      <c r="F48" s="102">
        <f>IF(F12=0,0,F12/TrAvia_act!F30*1000000)</f>
        <v>21064.953649657265</v>
      </c>
      <c r="G48" s="102">
        <f>IF(G12=0,0,G12/TrAvia_act!G30*1000000)</f>
        <v>16919.817897049004</v>
      </c>
      <c r="H48" s="102">
        <f>IF(H12=0,0,H12/TrAvia_act!H30*1000000)</f>
        <v>17264.821640571285</v>
      </c>
      <c r="I48" s="102">
        <f>IF(I12=0,0,I12/TrAvia_act!I30*1000000)</f>
        <v>16673.503811978302</v>
      </c>
      <c r="J48" s="102">
        <f>IF(J12=0,0,J12/TrAvia_act!J30*1000000)</f>
        <v>17818.236543106894</v>
      </c>
      <c r="K48" s="102">
        <f>IF(K12=0,0,K12/TrAvia_act!K30*1000000)</f>
        <v>17871.445285301092</v>
      </c>
      <c r="L48" s="102">
        <f>IF(L12=0,0,L12/TrAvia_act!L30*1000000)</f>
        <v>18513.567213076189</v>
      </c>
      <c r="M48" s="102">
        <f>IF(M12=0,0,M12/TrAvia_act!M30*1000000)</f>
        <v>20329.05298381453</v>
      </c>
      <c r="N48" s="102">
        <f>IF(N12=0,0,N12/TrAvia_act!N30*1000000)</f>
        <v>20041.042947864862</v>
      </c>
      <c r="O48" s="102">
        <f>IF(O12=0,0,O12/TrAvia_act!O30*1000000)</f>
        <v>18312.39996472892</v>
      </c>
      <c r="P48" s="102">
        <f>IF(P12=0,0,P12/TrAvia_act!P30*1000000)</f>
        <v>18054.606012225016</v>
      </c>
      <c r="Q48" s="102">
        <f>IF(Q12=0,0,Q12/TrAvia_act!Q30*1000000)</f>
        <v>16033.576260785023</v>
      </c>
      <c r="R48" s="102">
        <f>IF(R12=0,0,R12/TrAvia_act!R30*1000000)</f>
        <v>15950.70701421241</v>
      </c>
      <c r="S48" s="102">
        <f>IF(S12=0,0,S12/TrAvia_act!S30*1000000)</f>
        <v>14369.462688115529</v>
      </c>
      <c r="T48" s="102">
        <f>IF(T12=0,0,T12/TrAvia_act!T30*1000000)</f>
        <v>15024.395298818874</v>
      </c>
      <c r="U48" s="102">
        <f>IF(U12=0,0,U12/TrAvia_act!U30*1000000)</f>
        <v>16620.883887737895</v>
      </c>
      <c r="V48" s="102">
        <f>IF(V12=0,0,V12/TrAvia_act!V30*1000000)</f>
        <v>16943.081240165786</v>
      </c>
      <c r="W48" s="102">
        <f>IF(W12=0,0,W12/TrAvia_act!W30*1000000)</f>
        <v>15377.499354279102</v>
      </c>
      <c r="X48" s="102">
        <f>IF(X12=0,0,X12/TrAvia_act!X30*1000000)</f>
        <v>14825.161804312469</v>
      </c>
      <c r="Y48" s="102">
        <f>IF(Y12=0,0,Y12/TrAvia_act!Y30*1000000)</f>
        <v>12691.807037754437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13778.403594755271</v>
      </c>
      <c r="C49" s="86">
        <f>IF(C13=0,0,C13/TrAvia_act!C31*1000000)</f>
        <v>11022.58493932596</v>
      </c>
      <c r="D49" s="86">
        <f>IF(D13=0,0,D13/TrAvia_act!D31*1000000)</f>
        <v>11365.243987946995</v>
      </c>
      <c r="E49" s="86">
        <f>IF(E13=0,0,E13/TrAvia_act!E31*1000000)</f>
        <v>9767.3114112673811</v>
      </c>
      <c r="F49" s="86">
        <f>IF(F13=0,0,F13/TrAvia_act!F31*1000000)</f>
        <v>12378.464686721485</v>
      </c>
      <c r="G49" s="86">
        <f>IF(G13=0,0,G13/TrAvia_act!G31*1000000)</f>
        <v>12714.663385968897</v>
      </c>
      <c r="H49" s="86">
        <f>IF(H13=0,0,H13/TrAvia_act!H31*1000000)</f>
        <v>19635.388223511407</v>
      </c>
      <c r="I49" s="86">
        <f>IF(I13=0,0,I13/TrAvia_act!I31*1000000)</f>
        <v>25786.902394417972</v>
      </c>
      <c r="J49" s="86">
        <f>IF(J13=0,0,J13/TrAvia_act!J31*1000000)</f>
        <v>38356.249892326821</v>
      </c>
      <c r="K49" s="86">
        <f>IF(K13=0,0,K13/TrAvia_act!K31*1000000)</f>
        <v>53712.449764431192</v>
      </c>
      <c r="L49" s="86">
        <f>IF(L13=0,0,L13/TrAvia_act!L31*1000000)</f>
        <v>70626.630125118332</v>
      </c>
      <c r="M49" s="86">
        <f>IF(M13=0,0,M13/TrAvia_act!M31*1000000)</f>
        <v>77448.924266165224</v>
      </c>
      <c r="N49" s="86">
        <f>IF(N13=0,0,N13/TrAvia_act!N31*1000000)</f>
        <v>48360.874168166156</v>
      </c>
      <c r="O49" s="86">
        <f>IF(O13=0,0,O13/TrAvia_act!O31*1000000)</f>
        <v>28563.685455401363</v>
      </c>
      <c r="P49" s="86">
        <f>IF(P13=0,0,P13/TrAvia_act!P31*1000000)</f>
        <v>25239.509743414314</v>
      </c>
      <c r="Q49" s="86">
        <f>IF(Q13=0,0,Q13/TrAvia_act!Q31*1000000)</f>
        <v>25412.314665204805</v>
      </c>
      <c r="R49" s="86">
        <f>IF(R13=0,0,R13/TrAvia_act!R31*1000000)</f>
        <v>20159.57766465802</v>
      </c>
      <c r="S49" s="86">
        <f>IF(S13=0,0,S13/TrAvia_act!S31*1000000)</f>
        <v>16240.716250267164</v>
      </c>
      <c r="T49" s="86">
        <f>IF(T13=0,0,T13/TrAvia_act!T31*1000000)</f>
        <v>9888.0528112248685</v>
      </c>
      <c r="U49" s="86">
        <f>IF(U13=0,0,U13/TrAvia_act!U31*1000000)</f>
        <v>4099.2283566938149</v>
      </c>
      <c r="V49" s="86">
        <f>IF(V13=0,0,V13/TrAvia_act!V31*1000000)</f>
        <v>17095.931222288866</v>
      </c>
      <c r="W49" s="86">
        <f>IF(W13=0,0,W13/TrAvia_act!W31*1000000)</f>
        <v>8484.124148100831</v>
      </c>
      <c r="X49" s="86">
        <f>IF(X13=0,0,X13/TrAvia_act!X31*1000000)</f>
        <v>28281.859573550362</v>
      </c>
      <c r="Y49" s="86">
        <f>IF(Y13=0,0,Y13/TrAvia_act!Y31*1000000)</f>
        <v>24513.211424096549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0.97806410346061279</v>
      </c>
      <c r="C52" s="16">
        <f t="shared" si="36"/>
        <v>0.97910680016670781</v>
      </c>
      <c r="D52" s="16">
        <f t="shared" ref="D52:V52" si="37">IF(D6=0,0,D6/D$3)</f>
        <v>0.97866185019414298</v>
      </c>
      <c r="E52" s="16">
        <f t="shared" si="37"/>
        <v>0.96943933721528752</v>
      </c>
      <c r="F52" s="16">
        <f t="shared" si="37"/>
        <v>0.97274704685143853</v>
      </c>
      <c r="G52" s="16">
        <f t="shared" si="37"/>
        <v>0.97204257002726013</v>
      </c>
      <c r="H52" s="16">
        <f t="shared" si="37"/>
        <v>0.96530124237627912</v>
      </c>
      <c r="I52" s="16">
        <f t="shared" si="37"/>
        <v>0.96590391096580031</v>
      </c>
      <c r="J52" s="16">
        <f t="shared" si="37"/>
        <v>0.96432075819544549</v>
      </c>
      <c r="K52" s="16">
        <f t="shared" si="37"/>
        <v>0.96148900188004216</v>
      </c>
      <c r="L52" s="16">
        <f t="shared" si="37"/>
        <v>0.96812810271703231</v>
      </c>
      <c r="M52" s="16">
        <f t="shared" si="37"/>
        <v>0.97090486248883645</v>
      </c>
      <c r="N52" s="16">
        <f t="shared" si="37"/>
        <v>0.97215053429429088</v>
      </c>
      <c r="O52" s="16">
        <f t="shared" si="37"/>
        <v>0.98058425146448158</v>
      </c>
      <c r="P52" s="16">
        <f t="shared" si="37"/>
        <v>0.98499018403156346</v>
      </c>
      <c r="Q52" s="16">
        <f t="shared" si="37"/>
        <v>0.98501086612250477</v>
      </c>
      <c r="R52" s="16">
        <f t="shared" si="37"/>
        <v>0.99137529194076401</v>
      </c>
      <c r="S52" s="16">
        <f t="shared" si="37"/>
        <v>0.99254782145217524</v>
      </c>
      <c r="T52" s="16">
        <f t="shared" si="37"/>
        <v>0.99281283000633447</v>
      </c>
      <c r="U52" s="16">
        <f t="shared" si="37"/>
        <v>0.99523754234275585</v>
      </c>
      <c r="V52" s="16">
        <f t="shared" si="37"/>
        <v>0.97951031240425512</v>
      </c>
      <c r="W52" s="16">
        <f t="shared" ref="W52:Y52" si="38">IF(W6=0,0,W6/W$3)</f>
        <v>0.98599419689950996</v>
      </c>
      <c r="X52" s="16">
        <f t="shared" si="38"/>
        <v>0.98950072760039853</v>
      </c>
      <c r="Y52" s="16">
        <f t="shared" si="38"/>
        <v>0.99103647956145868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0.880616608549458</v>
      </c>
      <c r="C54" s="103">
        <f t="shared" si="42"/>
        <v>0.88155264310824255</v>
      </c>
      <c r="D54" s="103">
        <f t="shared" ref="D54:V54" si="43">IF(D8=0,0,D8/D$3)</f>
        <v>0.89010139757879214</v>
      </c>
      <c r="E54" s="103">
        <f t="shared" si="43"/>
        <v>0.89122320714742198</v>
      </c>
      <c r="F54" s="103">
        <f t="shared" si="43"/>
        <v>0.89843603184720389</v>
      </c>
      <c r="G54" s="103">
        <f t="shared" si="43"/>
        <v>0.90032761024151586</v>
      </c>
      <c r="H54" s="103">
        <f t="shared" si="43"/>
        <v>0.89176224831909068</v>
      </c>
      <c r="I54" s="103">
        <f t="shared" si="43"/>
        <v>0.89512928025078353</v>
      </c>
      <c r="J54" s="103">
        <f t="shared" si="43"/>
        <v>0.88924048656498478</v>
      </c>
      <c r="K54" s="103">
        <f t="shared" si="43"/>
        <v>0.88234759505313431</v>
      </c>
      <c r="L54" s="103">
        <f t="shared" si="43"/>
        <v>0.88997939308077845</v>
      </c>
      <c r="M54" s="103">
        <f t="shared" si="43"/>
        <v>0.89345807433494329</v>
      </c>
      <c r="N54" s="103">
        <f t="shared" si="43"/>
        <v>0.89339551110784809</v>
      </c>
      <c r="O54" s="103">
        <f t="shared" si="43"/>
        <v>0.90284566799398747</v>
      </c>
      <c r="P54" s="103">
        <f t="shared" si="43"/>
        <v>0.90950603479435033</v>
      </c>
      <c r="Q54" s="103">
        <f t="shared" si="43"/>
        <v>0.90997560196681349</v>
      </c>
      <c r="R54" s="103">
        <f t="shared" si="43"/>
        <v>0.91938248619551455</v>
      </c>
      <c r="S54" s="103">
        <f t="shared" si="43"/>
        <v>0.92359229761459094</v>
      </c>
      <c r="T54" s="103">
        <f t="shared" si="43"/>
        <v>0.92591935415876492</v>
      </c>
      <c r="U54" s="103">
        <f t="shared" si="43"/>
        <v>0.92744099795593327</v>
      </c>
      <c r="V54" s="103">
        <f t="shared" si="43"/>
        <v>0.8683690859539428</v>
      </c>
      <c r="W54" s="103">
        <f t="shared" ref="W54:Y54" si="44">IF(W8=0,0,W8/W$3)</f>
        <v>0.89127873486634179</v>
      </c>
      <c r="X54" s="103">
        <f t="shared" si="44"/>
        <v>0.91333127509400558</v>
      </c>
      <c r="Y54" s="103">
        <f t="shared" si="44"/>
        <v>0.91845758655030452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9.7447494911154786E-2</v>
      </c>
      <c r="C55" s="103">
        <f t="shared" si="45"/>
        <v>9.7554157058465235E-2</v>
      </c>
      <c r="D55" s="103">
        <f t="shared" ref="D55:V55" si="46">IF(D9=0,0,D9/D$3)</f>
        <v>8.8560452615350907E-2</v>
      </c>
      <c r="E55" s="103">
        <f t="shared" si="46"/>
        <v>7.8216130067865527E-2</v>
      </c>
      <c r="F55" s="103">
        <f t="shared" si="46"/>
        <v>7.4311015004234704E-2</v>
      </c>
      <c r="G55" s="103">
        <f t="shared" si="46"/>
        <v>7.1714959785744312E-2</v>
      </c>
      <c r="H55" s="103">
        <f t="shared" si="46"/>
        <v>7.3538994057188389E-2</v>
      </c>
      <c r="I55" s="103">
        <f t="shared" si="46"/>
        <v>7.0774630715016704E-2</v>
      </c>
      <c r="J55" s="103">
        <f t="shared" si="46"/>
        <v>7.5080271630460785E-2</v>
      </c>
      <c r="K55" s="103">
        <f t="shared" si="46"/>
        <v>7.9141406826907831E-2</v>
      </c>
      <c r="L55" s="103">
        <f t="shared" si="46"/>
        <v>7.8148709636253935E-2</v>
      </c>
      <c r="M55" s="103">
        <f t="shared" si="46"/>
        <v>7.7446788153893206E-2</v>
      </c>
      <c r="N55" s="103">
        <f t="shared" si="46"/>
        <v>7.8755023186442716E-2</v>
      </c>
      <c r="O55" s="103">
        <f t="shared" si="46"/>
        <v>7.7738583470494213E-2</v>
      </c>
      <c r="P55" s="103">
        <f t="shared" si="46"/>
        <v>7.548414923721318E-2</v>
      </c>
      <c r="Q55" s="103">
        <f t="shared" si="46"/>
        <v>7.5035264155691228E-2</v>
      </c>
      <c r="R55" s="103">
        <f t="shared" si="46"/>
        <v>7.199280574524948E-2</v>
      </c>
      <c r="S55" s="103">
        <f t="shared" si="46"/>
        <v>6.895552383758434E-2</v>
      </c>
      <c r="T55" s="103">
        <f t="shared" si="46"/>
        <v>6.6893475847569481E-2</v>
      </c>
      <c r="U55" s="103">
        <f t="shared" si="46"/>
        <v>6.7796544386822519E-2</v>
      </c>
      <c r="V55" s="103">
        <f t="shared" si="46"/>
        <v>0.11114122645031234</v>
      </c>
      <c r="W55" s="103">
        <f t="shared" ref="W55:Y55" si="47">IF(W9=0,0,W9/W$3)</f>
        <v>9.4715462033168191E-2</v>
      </c>
      <c r="X55" s="103">
        <f t="shared" si="47"/>
        <v>7.6169452506392815E-2</v>
      </c>
      <c r="Y55" s="103">
        <f t="shared" si="47"/>
        <v>7.2578893011154208E-2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2.1935896539387184E-2</v>
      </c>
      <c r="C56" s="17">
        <f t="shared" si="48"/>
        <v>2.0893199833292068E-2</v>
      </c>
      <c r="D56" s="17">
        <f t="shared" ref="D56:V56" si="49">IF(D10=0,0,D10/D$3)</f>
        <v>2.1338149805856865E-2</v>
      </c>
      <c r="E56" s="17">
        <f t="shared" si="49"/>
        <v>3.056066278471253E-2</v>
      </c>
      <c r="F56" s="17">
        <f t="shared" si="49"/>
        <v>2.7252953148561417E-2</v>
      </c>
      <c r="G56" s="17">
        <f t="shared" si="49"/>
        <v>2.7957429972739822E-2</v>
      </c>
      <c r="H56" s="17">
        <f t="shared" si="49"/>
        <v>3.4698757623720697E-2</v>
      </c>
      <c r="I56" s="17">
        <f t="shared" si="49"/>
        <v>3.4096089034199605E-2</v>
      </c>
      <c r="J56" s="17">
        <f t="shared" si="49"/>
        <v>3.5679241804554417E-2</v>
      </c>
      <c r="K56" s="17">
        <f t="shared" si="49"/>
        <v>3.8510998119957791E-2</v>
      </c>
      <c r="L56" s="17">
        <f t="shared" si="49"/>
        <v>3.1871897282967653E-2</v>
      </c>
      <c r="M56" s="17">
        <f t="shared" si="49"/>
        <v>2.9095137511163539E-2</v>
      </c>
      <c r="N56" s="17">
        <f t="shared" si="49"/>
        <v>2.784946570570928E-2</v>
      </c>
      <c r="O56" s="17">
        <f t="shared" si="49"/>
        <v>1.9415748535518241E-2</v>
      </c>
      <c r="P56" s="17">
        <f t="shared" si="49"/>
        <v>1.5009815968436549E-2</v>
      </c>
      <c r="Q56" s="17">
        <f t="shared" si="49"/>
        <v>1.4989133877495184E-2</v>
      </c>
      <c r="R56" s="17">
        <f t="shared" si="49"/>
        <v>8.6247080592360414E-3</v>
      </c>
      <c r="S56" s="17">
        <f t="shared" si="49"/>
        <v>7.4521785478248144E-3</v>
      </c>
      <c r="T56" s="17">
        <f t="shared" si="49"/>
        <v>7.1871699936655008E-3</v>
      </c>
      <c r="U56" s="17">
        <f t="shared" si="49"/>
        <v>4.7624576572440885E-3</v>
      </c>
      <c r="V56" s="17">
        <f t="shared" si="49"/>
        <v>2.0489687595744949E-2</v>
      </c>
      <c r="W56" s="17">
        <f t="shared" ref="W56:Y56" si="50">IF(W10=0,0,W10/W$3)</f>
        <v>1.4005803100490084E-2</v>
      </c>
      <c r="X56" s="17">
        <f t="shared" si="50"/>
        <v>1.0499272399601602E-2</v>
      </c>
      <c r="Y56" s="17">
        <f t="shared" si="50"/>
        <v>8.9635204385413534E-3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2.0740688094065519E-2</v>
      </c>
      <c r="C58" s="104">
        <f t="shared" si="54"/>
        <v>1.9656883815005872E-2</v>
      </c>
      <c r="D58" s="104">
        <f t="shared" ref="D58:V58" si="55">IF(D12=0,0,D12/D$3)</f>
        <v>1.9978566037736671E-2</v>
      </c>
      <c r="E58" s="104">
        <f t="shared" si="55"/>
        <v>2.9040463842000926E-2</v>
      </c>
      <c r="F58" s="104">
        <f t="shared" si="55"/>
        <v>2.5438614507730696E-2</v>
      </c>
      <c r="G58" s="104">
        <f t="shared" si="55"/>
        <v>2.5136052623867297E-2</v>
      </c>
      <c r="H58" s="104">
        <f t="shared" si="55"/>
        <v>3.1194758475822294E-2</v>
      </c>
      <c r="I58" s="104">
        <f t="shared" si="55"/>
        <v>2.9513292034910595E-2</v>
      </c>
      <c r="J58" s="104">
        <f t="shared" si="55"/>
        <v>2.8816238665604305E-2</v>
      </c>
      <c r="K58" s="104">
        <f t="shared" si="55"/>
        <v>2.8442489078314363E-2</v>
      </c>
      <c r="L58" s="104">
        <f t="shared" si="55"/>
        <v>2.6795464674865072E-2</v>
      </c>
      <c r="M58" s="104">
        <f t="shared" si="55"/>
        <v>2.565681962277426E-2</v>
      </c>
      <c r="N58" s="104">
        <f t="shared" si="55"/>
        <v>2.3656720684184514E-2</v>
      </c>
      <c r="O58" s="104">
        <f t="shared" si="55"/>
        <v>1.66078685780441E-2</v>
      </c>
      <c r="P58" s="104">
        <f t="shared" si="55"/>
        <v>1.3661692328523467E-2</v>
      </c>
      <c r="Q58" s="104">
        <f t="shared" si="55"/>
        <v>1.4043524307827711E-2</v>
      </c>
      <c r="R58" s="104">
        <f t="shared" si="55"/>
        <v>7.5469317274058029E-3</v>
      </c>
      <c r="S58" s="104">
        <f t="shared" si="55"/>
        <v>6.6780554038992409E-3</v>
      </c>
      <c r="T58" s="104">
        <f t="shared" si="55"/>
        <v>6.6844012887678304E-3</v>
      </c>
      <c r="U58" s="104">
        <f t="shared" si="55"/>
        <v>4.5559081983698292E-3</v>
      </c>
      <c r="V58" s="104">
        <f t="shared" si="55"/>
        <v>1.492591217323967E-2</v>
      </c>
      <c r="W58" s="104">
        <f t="shared" ref="W58:Y58" si="56">IF(W12=0,0,W12/W$3)</f>
        <v>1.1778751026060486E-2</v>
      </c>
      <c r="X58" s="104">
        <f t="shared" si="56"/>
        <v>6.9195228758130861E-3</v>
      </c>
      <c r="Y58" s="104">
        <f t="shared" si="56"/>
        <v>5.661466525546833E-3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1.1952084453216627E-3</v>
      </c>
      <c r="C59" s="105">
        <f t="shared" si="57"/>
        <v>1.2363160182861988E-3</v>
      </c>
      <c r="D59" s="105">
        <f t="shared" ref="D59:V59" si="58">IF(D13=0,0,D13/D$3)</f>
        <v>1.3595837681201924E-3</v>
      </c>
      <c r="E59" s="105">
        <f t="shared" si="58"/>
        <v>1.5201989427116034E-3</v>
      </c>
      <c r="F59" s="105">
        <f t="shared" si="58"/>
        <v>1.8143386408307198E-3</v>
      </c>
      <c r="G59" s="105">
        <f t="shared" si="58"/>
        <v>2.8213773488725254E-3</v>
      </c>
      <c r="H59" s="105">
        <f t="shared" si="58"/>
        <v>3.5039991478983995E-3</v>
      </c>
      <c r="I59" s="105">
        <f t="shared" si="58"/>
        <v>4.5827969992890058E-3</v>
      </c>
      <c r="J59" s="105">
        <f t="shared" si="58"/>
        <v>6.8630031389501113E-3</v>
      </c>
      <c r="K59" s="105">
        <f t="shared" si="58"/>
        <v>1.0068509041643428E-2</v>
      </c>
      <c r="L59" s="105">
        <f t="shared" si="58"/>
        <v>5.0764326081025784E-3</v>
      </c>
      <c r="M59" s="105">
        <f t="shared" si="58"/>
        <v>3.4383178883892812E-3</v>
      </c>
      <c r="N59" s="105">
        <f t="shared" si="58"/>
        <v>4.1927450215247632E-3</v>
      </c>
      <c r="O59" s="105">
        <f t="shared" si="58"/>
        <v>2.8078799574741387E-3</v>
      </c>
      <c r="P59" s="105">
        <f t="shared" si="58"/>
        <v>1.3481236399130821E-3</v>
      </c>
      <c r="Q59" s="105">
        <f t="shared" si="58"/>
        <v>9.4560956966747382E-4</v>
      </c>
      <c r="R59" s="105">
        <f t="shared" si="58"/>
        <v>1.0777763318302394E-3</v>
      </c>
      <c r="S59" s="105">
        <f t="shared" si="58"/>
        <v>7.7412314392557332E-4</v>
      </c>
      <c r="T59" s="105">
        <f t="shared" si="58"/>
        <v>5.0276870489767052E-4</v>
      </c>
      <c r="U59" s="105">
        <f t="shared" si="58"/>
        <v>2.0654945887425949E-4</v>
      </c>
      <c r="V59" s="105">
        <f t="shared" si="58"/>
        <v>5.5637754225052799E-3</v>
      </c>
      <c r="W59" s="105">
        <f t="shared" ref="W59:Y59" si="59">IF(W13=0,0,W13/W$3)</f>
        <v>2.2270520744295977E-3</v>
      </c>
      <c r="X59" s="105">
        <f t="shared" si="59"/>
        <v>3.5797495237885166E-3</v>
      </c>
      <c r="Y59" s="105">
        <f t="shared" si="59"/>
        <v>3.3020539129945204E-3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2113343</v>
      </c>
      <c r="C4" s="11">
        <f t="shared" si="0"/>
        <v>1993718</v>
      </c>
      <c r="D4" s="11">
        <f t="shared" ref="D4" si="1">SUM(D5:D7)</f>
        <v>1780723</v>
      </c>
      <c r="E4" s="11">
        <f t="shared" ref="E4" si="2">SUM(E5:E7)</f>
        <v>1859707</v>
      </c>
      <c r="F4" s="11">
        <f t="shared" ref="F4" si="3">SUM(F5:F7)</f>
        <v>1894179</v>
      </c>
      <c r="G4" s="11">
        <f t="shared" ref="G4" si="4">SUM(G5:G7)</f>
        <v>2014181</v>
      </c>
      <c r="H4" s="11">
        <f t="shared" ref="H4" si="5">SUM(H5:H7)</f>
        <v>1921363</v>
      </c>
      <c r="I4" s="11">
        <f t="shared" ref="I4" si="6">SUM(I5:I7)</f>
        <v>2185563</v>
      </c>
      <c r="J4" s="11">
        <f t="shared" ref="J4" si="7">SUM(J5:J7)</f>
        <v>2170429</v>
      </c>
      <c r="K4" s="11">
        <f t="shared" ref="K4" si="8">SUM(K5:K7)</f>
        <v>2119050</v>
      </c>
      <c r="L4" s="11">
        <f t="shared" ref="L4" si="9">SUM(L5:L7)</f>
        <v>2338413</v>
      </c>
      <c r="M4" s="11">
        <f t="shared" ref="M4" si="10">SUM(M5:M7)</f>
        <v>2311492</v>
      </c>
      <c r="N4" s="11">
        <f t="shared" ref="N4" si="11">SUM(N5:N7)</f>
        <v>2337178</v>
      </c>
      <c r="O4" s="11">
        <f t="shared" ref="O4" si="12">SUM(O5:O7)</f>
        <v>2584511</v>
      </c>
      <c r="P4" s="11">
        <f t="shared" ref="P4" si="13">SUM(P5:P7)</f>
        <v>2719000</v>
      </c>
      <c r="Q4" s="11">
        <f t="shared" ref="Q4" si="14">SUM(Q5:Q7)</f>
        <v>2853579</v>
      </c>
      <c r="R4" s="11">
        <f t="shared" ref="R4" si="15">SUM(R5:R7)</f>
        <v>3094912</v>
      </c>
      <c r="S4" s="11">
        <f t="shared" ref="S4" si="16">SUM(S5:S7)</f>
        <v>3647788</v>
      </c>
      <c r="T4" s="11">
        <f t="shared" ref="T4" si="17">SUM(T5:T7)</f>
        <v>4164066</v>
      </c>
      <c r="U4" s="11">
        <f t="shared" ref="U4" si="18">SUM(U5:U7)</f>
        <v>4478017</v>
      </c>
      <c r="V4" s="11">
        <f t="shared" ref="V4:W4" si="19">SUM(V5:V7)</f>
        <v>1553429</v>
      </c>
      <c r="W4" s="11">
        <f t="shared" si="19"/>
        <v>2095107</v>
      </c>
      <c r="X4" s="11">
        <f t="shared" ref="X4:Y4" si="20">SUM(X5:X7)</f>
        <v>3572285</v>
      </c>
      <c r="Y4" s="11">
        <f t="shared" si="20"/>
        <v>4599662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1795841</v>
      </c>
      <c r="C6" s="84">
        <v>1696883</v>
      </c>
      <c r="D6" s="84">
        <v>1561842</v>
      </c>
      <c r="E6" s="84">
        <v>1639525</v>
      </c>
      <c r="F6" s="84">
        <v>1692746</v>
      </c>
      <c r="G6" s="84">
        <v>1820958</v>
      </c>
      <c r="H6" s="84">
        <v>1756768</v>
      </c>
      <c r="I6" s="84">
        <v>2015550</v>
      </c>
      <c r="J6" s="84">
        <v>2022275</v>
      </c>
      <c r="K6" s="84">
        <v>1975460</v>
      </c>
      <c r="L6" s="84">
        <v>2176756</v>
      </c>
      <c r="M6" s="84">
        <v>2170010</v>
      </c>
      <c r="N6" s="84">
        <v>2155476</v>
      </c>
      <c r="O6" s="84">
        <v>2321464</v>
      </c>
      <c r="P6" s="84">
        <v>2467465</v>
      </c>
      <c r="Q6" s="84">
        <v>2668190</v>
      </c>
      <c r="R6" s="84">
        <v>2873255</v>
      </c>
      <c r="S6" s="84">
        <v>3446564</v>
      </c>
      <c r="T6" s="84">
        <v>3881732</v>
      </c>
      <c r="U6" s="84">
        <v>4040159</v>
      </c>
      <c r="V6" s="84">
        <v>1435682</v>
      </c>
      <c r="W6" s="84">
        <v>1991506</v>
      </c>
      <c r="X6" s="84">
        <v>3342639</v>
      </c>
      <c r="Y6" s="84">
        <v>4213618</v>
      </c>
      <c r="DA6" s="171" t="s">
        <v>364</v>
      </c>
    </row>
    <row r="7" spans="1:105" ht="11.45" customHeight="1" x14ac:dyDescent="0.25">
      <c r="A7" s="85" t="s">
        <v>182</v>
      </c>
      <c r="B7" s="86">
        <v>317502</v>
      </c>
      <c r="C7" s="86">
        <v>296835</v>
      </c>
      <c r="D7" s="86">
        <v>218881</v>
      </c>
      <c r="E7" s="86">
        <v>220182</v>
      </c>
      <c r="F7" s="86">
        <v>201433</v>
      </c>
      <c r="G7" s="86">
        <v>193223</v>
      </c>
      <c r="H7" s="86">
        <v>164595</v>
      </c>
      <c r="I7" s="86">
        <v>170013</v>
      </c>
      <c r="J7" s="86">
        <v>148154</v>
      </c>
      <c r="K7" s="86">
        <v>143590</v>
      </c>
      <c r="L7" s="86">
        <v>161657</v>
      </c>
      <c r="M7" s="86">
        <v>141482</v>
      </c>
      <c r="N7" s="86">
        <v>181702</v>
      </c>
      <c r="O7" s="86">
        <v>263047</v>
      </c>
      <c r="P7" s="86">
        <v>251535</v>
      </c>
      <c r="Q7" s="86">
        <v>185389</v>
      </c>
      <c r="R7" s="86">
        <v>221657</v>
      </c>
      <c r="S7" s="86">
        <v>201224</v>
      </c>
      <c r="T7" s="86">
        <v>282334</v>
      </c>
      <c r="U7" s="86">
        <v>437858</v>
      </c>
      <c r="V7" s="86">
        <v>117747</v>
      </c>
      <c r="W7" s="86">
        <v>103601</v>
      </c>
      <c r="X7" s="86">
        <v>229646</v>
      </c>
      <c r="Y7" s="86">
        <v>386044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145.97934654969953</v>
      </c>
      <c r="C12" s="14">
        <f>IF(C4=0,0,C4/TrAvia_act!C24)</f>
        <v>146.74797585750036</v>
      </c>
      <c r="D12" s="14">
        <f>IF(D4=0,0,D4/TrAvia_act!D24)</f>
        <v>141.2263462606075</v>
      </c>
      <c r="E12" s="14">
        <f>IF(E4=0,0,E4/TrAvia_act!E24)</f>
        <v>145.71080466974848</v>
      </c>
      <c r="F12" s="14">
        <f>IF(F4=0,0,F4/TrAvia_act!F24)</f>
        <v>145.6276620281387</v>
      </c>
      <c r="G12" s="14">
        <f>IF(G4=0,0,G4/TrAvia_act!G24)</f>
        <v>155.4751833269008</v>
      </c>
      <c r="H12" s="14">
        <f>IF(H4=0,0,H4/TrAvia_act!H24)</f>
        <v>155.60114998380305</v>
      </c>
      <c r="I12" s="14">
        <f>IF(I4=0,0,I4/TrAvia_act!I24)</f>
        <v>159.8217915904936</v>
      </c>
      <c r="J12" s="14">
        <f>IF(J4=0,0,J4/TrAvia_act!J24)</f>
        <v>160.52281635973671</v>
      </c>
      <c r="K12" s="14">
        <f>IF(K4=0,0,K4/TrAvia_act!K24)</f>
        <v>161.23031271399225</v>
      </c>
      <c r="L12" s="14">
        <f>IF(L4=0,0,L4/TrAvia_act!L24)</f>
        <v>161.64890087100787</v>
      </c>
      <c r="M12" s="14">
        <f>IF(M4=0,0,M4/TrAvia_act!M24)</f>
        <v>165.0358417820934</v>
      </c>
      <c r="N12" s="14">
        <f>IF(N4=0,0,N4/TrAvia_act!N24)</f>
        <v>165.757304964539</v>
      </c>
      <c r="O12" s="14">
        <f>IF(O4=0,0,O4/TrAvia_act!O24)</f>
        <v>168.13108248763987</v>
      </c>
      <c r="P12" s="14">
        <f>IF(P4=0,0,P4/TrAvia_act!P24)</f>
        <v>168.95544646740819</v>
      </c>
      <c r="Q12" s="14">
        <f>IF(Q4=0,0,Q4/TrAvia_act!Q24)</f>
        <v>167.53237832442906</v>
      </c>
      <c r="R12" s="14">
        <f>IF(R4=0,0,R4/TrAvia_act!R24)</f>
        <v>173.08383200044742</v>
      </c>
      <c r="S12" s="14">
        <f>IF(S4=0,0,S4/TrAvia_act!S24)</f>
        <v>177.03411793254065</v>
      </c>
      <c r="T12" s="14">
        <f>IF(T4=0,0,T4/TrAvia_act!T24)</f>
        <v>176.7355375408514</v>
      </c>
      <c r="U12" s="14">
        <f>IF(U4=0,0,U4/TrAvia_act!U24)</f>
        <v>173.11029070666461</v>
      </c>
      <c r="V12" s="14">
        <f>IF(V4=0,0,V4/TrAvia_act!V24)</f>
        <v>164.15819507555744</v>
      </c>
      <c r="W12" s="14">
        <f>IF(W4=0,0,W4/TrAvia_act!W24)</f>
        <v>162.53739332816136</v>
      </c>
      <c r="X12" s="14">
        <f>IF(X4=0,0,X4/TrAvia_act!X24)</f>
        <v>169.91462138508371</v>
      </c>
      <c r="Y12" s="14">
        <f>IF(Y4=0,0,Y4/TrAvia_act!Y24)</f>
        <v>174.32867159370855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148.97063459145582</v>
      </c>
      <c r="C14" s="87">
        <f>IF(C6=0,0,C6/TrAvia_act!C26)</f>
        <v>149.99407760982939</v>
      </c>
      <c r="D14" s="87">
        <f>IF(D6=0,0,D6/TrAvia_act!D26)</f>
        <v>146.32209106239461</v>
      </c>
      <c r="E14" s="87">
        <f>IF(E6=0,0,E6/TrAvia_act!E26)</f>
        <v>149.00708897573389</v>
      </c>
      <c r="F14" s="87">
        <f>IF(F6=0,0,F6/TrAvia_act!F26)</f>
        <v>149.65484926178056</v>
      </c>
      <c r="G14" s="87">
        <f>IF(G6=0,0,G6/TrAvia_act!G26)</f>
        <v>156.91150366221456</v>
      </c>
      <c r="H14" s="87">
        <f>IF(H6=0,0,H6/TrAvia_act!H26)</f>
        <v>157.82661036744227</v>
      </c>
      <c r="I14" s="87">
        <f>IF(I6=0,0,I6/TrAvia_act!I26)</f>
        <v>162.2434194638976</v>
      </c>
      <c r="J14" s="87">
        <f>IF(J6=0,0,J6/TrAvia_act!J26)</f>
        <v>164.64015305707076</v>
      </c>
      <c r="K14" s="87">
        <f>IF(K6=0,0,K6/TrAvia_act!K26)</f>
        <v>165.0066822586034</v>
      </c>
      <c r="L14" s="87">
        <f>IF(L6=0,0,L6/TrAvia_act!L26)</f>
        <v>165.68397016288628</v>
      </c>
      <c r="M14" s="87">
        <f>IF(M6=0,0,M6/TrAvia_act!M26)</f>
        <v>167.11667308432808</v>
      </c>
      <c r="N14" s="87">
        <f>IF(N6=0,0,N6/TrAvia_act!N26)</f>
        <v>168.47553540722214</v>
      </c>
      <c r="O14" s="87">
        <f>IF(O6=0,0,O6/TrAvia_act!O26)</f>
        <v>170.73354416415387</v>
      </c>
      <c r="P14" s="87">
        <f>IF(P6=0,0,P6/TrAvia_act!P26)</f>
        <v>170.39327394516954</v>
      </c>
      <c r="Q14" s="87">
        <f>IF(Q6=0,0,Q6/TrAvia_act!Q26)</f>
        <v>169.33362949800087</v>
      </c>
      <c r="R14" s="87">
        <f>IF(R6=0,0,R6/TrAvia_act!R26)</f>
        <v>173.05637535385171</v>
      </c>
      <c r="S14" s="87">
        <f>IF(S6=0,0,S6/TrAvia_act!S26)</f>
        <v>178.69881267174782</v>
      </c>
      <c r="T14" s="87">
        <f>IF(T6=0,0,T6/TrAvia_act!T26)</f>
        <v>178.60182202999908</v>
      </c>
      <c r="U14" s="87">
        <f>IF(U6=0,0,U6/TrAvia_act!U26)</f>
        <v>176.45697938504543</v>
      </c>
      <c r="V14" s="87">
        <f>IF(V6=0,0,V6/TrAvia_act!V26)</f>
        <v>168.11264637002341</v>
      </c>
      <c r="W14" s="87">
        <f>IF(W6=0,0,W6/TrAvia_act!W26)</f>
        <v>169.14438593511127</v>
      </c>
      <c r="X14" s="87">
        <f>IF(X6=0,0,X6/TrAvia_act!X26)</f>
        <v>175.71565999053777</v>
      </c>
      <c r="Y14" s="87">
        <f>IF(Y6=0,0,Y6/TrAvia_act!Y26)</f>
        <v>178.18826912504758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131.09083402146985</v>
      </c>
      <c r="C15" s="88">
        <f>IF(C7=0,0,C7/TrAvia_act!C27)</f>
        <v>130.5917289925209</v>
      </c>
      <c r="D15" s="88">
        <f>IF(D7=0,0,D7/TrAvia_act!D27)</f>
        <v>113.11679586563308</v>
      </c>
      <c r="E15" s="88">
        <f>IF(E7=0,0,E7/TrAvia_act!E27)</f>
        <v>125.1034090909091</v>
      </c>
      <c r="F15" s="88">
        <f>IF(F7=0,0,F7/TrAvia_act!F27)</f>
        <v>118.76945754716981</v>
      </c>
      <c r="G15" s="88">
        <f>IF(G7=0,0,G7/TrAvia_act!G27)</f>
        <v>143.12814814814814</v>
      </c>
      <c r="H15" s="88">
        <f>IF(H7=0,0,H7/TrAvia_act!H27)</f>
        <v>135.24650780608053</v>
      </c>
      <c r="I15" s="88">
        <f>IF(I7=0,0,I7/TrAvia_act!I27)</f>
        <v>135.79313099041534</v>
      </c>
      <c r="J15" s="88">
        <f>IF(J7=0,0,J7/TrAvia_act!J27)</f>
        <v>119.67205169628433</v>
      </c>
      <c r="K15" s="88">
        <f>IF(K7=0,0,K7/TrAvia_act!K27)</f>
        <v>122.62169086251068</v>
      </c>
      <c r="L15" s="88">
        <f>IF(L7=0,0,L7/TrAvia_act!L27)</f>
        <v>121.7296686746988</v>
      </c>
      <c r="M15" s="88">
        <f>IF(M7=0,0,M7/TrAvia_act!M27)</f>
        <v>138.57198824681686</v>
      </c>
      <c r="N15" s="88">
        <f>IF(N7=0,0,N7/TrAvia_act!N27)</f>
        <v>139.12863705972435</v>
      </c>
      <c r="O15" s="88">
        <f>IF(O7=0,0,O7/TrAvia_act!O27)</f>
        <v>148.19549295774647</v>
      </c>
      <c r="P15" s="88">
        <f>IF(P7=0,0,P7/TrAvia_act!P27)</f>
        <v>156.03908188585609</v>
      </c>
      <c r="Q15" s="88">
        <f>IF(Q7=0,0,Q7/TrAvia_act!Q27)</f>
        <v>145.28918495297805</v>
      </c>
      <c r="R15" s="88">
        <f>IF(R7=0,0,R7/TrAvia_act!R27)</f>
        <v>173.44053208137714</v>
      </c>
      <c r="S15" s="88">
        <f>IF(S7=0,0,S7/TrAvia_act!S27)</f>
        <v>152.67374810318665</v>
      </c>
      <c r="T15" s="88">
        <f>IF(T7=0,0,T7/TrAvia_act!T27)</f>
        <v>154.53420908593321</v>
      </c>
      <c r="U15" s="88">
        <f>IF(U7=0,0,U7/TrAvia_act!U27)</f>
        <v>147.32772543741589</v>
      </c>
      <c r="V15" s="88">
        <f>IF(V7=0,0,V7/TrAvia_act!V27)</f>
        <v>127.56988082340195</v>
      </c>
      <c r="W15" s="88">
        <f>IF(W7=0,0,W7/TrAvia_act!W27)</f>
        <v>92.832437275985669</v>
      </c>
      <c r="X15" s="88">
        <f>IF(X7=0,0,X7/TrAvia_act!X27)</f>
        <v>114.7656171914043</v>
      </c>
      <c r="Y15" s="88">
        <f>IF(Y7=0,0,Y7/TrAvia_act!Y27)</f>
        <v>140.99488677867058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0.71394515703319339</v>
      </c>
      <c r="C18" s="25">
        <f>IF(TrAvia_act!C34=0,0,(TrAvia_act!C34/TrAvia_act!C24)/TrAvia_png!C12)</f>
        <v>0.71234146454012059</v>
      </c>
      <c r="D18" s="25">
        <f>IF(TrAvia_act!D34=0,0,(TrAvia_act!D34/TrAvia_act!D24)/TrAvia_png!D12)</f>
        <v>0.7277493467540993</v>
      </c>
      <c r="E18" s="25">
        <f>IF(TrAvia_act!E34=0,0,(TrAvia_act!E34/TrAvia_act!E24)/TrAvia_png!E12)</f>
        <v>0.70021245282186928</v>
      </c>
      <c r="F18" s="25">
        <f>IF(TrAvia_act!F34=0,0,(TrAvia_act!F34/TrAvia_act!F24)/TrAvia_png!F12)</f>
        <v>0.71959936204550889</v>
      </c>
      <c r="G18" s="25">
        <f>IF(TrAvia_act!G34=0,0,(TrAvia_act!G34/TrAvia_act!G24)/TrAvia_png!G12)</f>
        <v>0.68296543359310813</v>
      </c>
      <c r="H18" s="25">
        <f>IF(TrAvia_act!H34=0,0,(TrAvia_act!H34/TrAvia_act!H24)/TrAvia_png!H12)</f>
        <v>0.70083164919903207</v>
      </c>
      <c r="I18" s="25">
        <f>IF(TrAvia_act!I34=0,0,(TrAvia_act!I34/TrAvia_act!I24)/TrAvia_png!I12)</f>
        <v>0.67974064348636942</v>
      </c>
      <c r="J18" s="25">
        <f>IF(TrAvia_act!J34=0,0,(TrAvia_act!J34/TrAvia_act!J24)/TrAvia_png!J12)</f>
        <v>0.71784518175899792</v>
      </c>
      <c r="K18" s="25">
        <f>IF(TrAvia_act!K34=0,0,(TrAvia_act!K34/TrAvia_act!K24)/TrAvia_png!K12)</f>
        <v>0.68983601142021178</v>
      </c>
      <c r="L18" s="25">
        <f>IF(TrAvia_act!L34=0,0,(TrAvia_act!L34/TrAvia_act!L24)/TrAvia_png!L12)</f>
        <v>0.70423744650752462</v>
      </c>
      <c r="M18" s="25">
        <f>IF(TrAvia_act!M34=0,0,(TrAvia_act!M34/TrAvia_act!M24)/TrAvia_png!M12)</f>
        <v>0.7621237711400255</v>
      </c>
      <c r="N18" s="25">
        <f>IF(TrAvia_act!N34=0,0,(TrAvia_act!N34/TrAvia_act!N24)/TrAvia_png!N12)</f>
        <v>0.78125585642171891</v>
      </c>
      <c r="O18" s="25">
        <f>IF(TrAvia_act!O34=0,0,(TrAvia_act!O34/TrAvia_act!O24)/TrAvia_png!O12)</f>
        <v>0.77981521456089764</v>
      </c>
      <c r="P18" s="25">
        <f>IF(TrAvia_act!P34=0,0,(TrAvia_act!P34/TrAvia_act!P24)/TrAvia_png!P12)</f>
        <v>0.78794520044133876</v>
      </c>
      <c r="Q18" s="25">
        <f>IF(TrAvia_act!Q34=0,0,(TrAvia_act!Q34/TrAvia_act!Q24)/TrAvia_png!Q12)</f>
        <v>0.80898128280310433</v>
      </c>
      <c r="R18" s="25">
        <f>IF(TrAvia_act!R34=0,0,(TrAvia_act!R34/TrAvia_act!R24)/TrAvia_png!R12)</f>
        <v>0.82011217120228286</v>
      </c>
      <c r="S18" s="25">
        <f>IF(TrAvia_act!S34=0,0,(TrAvia_act!S34/TrAvia_act!S24)/TrAvia_png!S12)</f>
        <v>0.82217168322281875</v>
      </c>
      <c r="T18" s="25">
        <f>IF(TrAvia_act!T34=0,0,(TrAvia_act!T34/TrAvia_act!T24)/TrAvia_png!T12)</f>
        <v>0.81694862665481294</v>
      </c>
      <c r="U18" s="25">
        <f>IF(TrAvia_act!U34=0,0,(TrAvia_act!U34/TrAvia_act!U24)/TrAvia_png!U12)</f>
        <v>0.8163995357766618</v>
      </c>
      <c r="V18" s="25">
        <f>IF(TrAvia_act!V34=0,0,(TrAvia_act!V34/TrAvia_act!V24)/TrAvia_png!V12)</f>
        <v>0.56888985592518226</v>
      </c>
      <c r="W18" s="25">
        <f>IF(TrAvia_act!W34=0,0,(TrAvia_act!W34/TrAvia_act!W24)/TrAvia_png!W12)</f>
        <v>0.6063380056483989</v>
      </c>
      <c r="X18" s="25">
        <f>IF(TrAvia_act!X34=0,0,(TrAvia_act!X34/TrAvia_act!X24)/TrAvia_png!X12)</f>
        <v>0.81795265495334224</v>
      </c>
      <c r="Y18" s="25">
        <f>IF(TrAvia_act!Y34=0,0,(TrAvia_act!Y34/TrAvia_act!Y24)/TrAvia_png!Y12)</f>
        <v>0.84753858000870508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0.75953884558822304</v>
      </c>
      <c r="C20" s="89">
        <f>IF(TrAvia_act!C36=0,0,(TrAvia_act!C36/TrAvia_act!C26)/TrAvia_png!C14)</f>
        <v>0.75669212314579148</v>
      </c>
      <c r="D20" s="89">
        <f>IF(TrAvia_act!D36=0,0,(TrAvia_act!D36/TrAvia_act!D26)/TrAvia_png!D14)</f>
        <v>0.75964278076783698</v>
      </c>
      <c r="E20" s="89">
        <f>IF(TrAvia_act!E36=0,0,(TrAvia_act!E36/TrAvia_act!E26)/TrAvia_png!E14)</f>
        <v>0.72864091733886338</v>
      </c>
      <c r="F20" s="89">
        <f>IF(TrAvia_act!F36=0,0,(TrAvia_act!F36/TrAvia_act!F26)/TrAvia_png!F14)</f>
        <v>0.74240671666038505</v>
      </c>
      <c r="G20" s="89">
        <f>IF(TrAvia_act!G36=0,0,(TrAvia_act!G36/TrAvia_act!G26)/TrAvia_png!G14)</f>
        <v>0.69980856230621469</v>
      </c>
      <c r="H20" s="89">
        <f>IF(TrAvia_act!H36=0,0,(TrAvia_act!H36/TrAvia_act!H26)/TrAvia_png!H14)</f>
        <v>0.71970004007358968</v>
      </c>
      <c r="I20" s="89">
        <f>IF(TrAvia_act!I36=0,0,(TrAvia_act!I36/TrAvia_act!I26)/TrAvia_png!I14)</f>
        <v>0.6988429957083675</v>
      </c>
      <c r="J20" s="89">
        <f>IF(TrAvia_act!J36=0,0,(TrAvia_act!J36/TrAvia_act!J26)/TrAvia_png!J14)</f>
        <v>0.73357579953270446</v>
      </c>
      <c r="K20" s="89">
        <f>IF(TrAvia_act!K36=0,0,(TrAvia_act!K36/TrAvia_act!K26)/TrAvia_png!K14)</f>
        <v>0.70714820851852234</v>
      </c>
      <c r="L20" s="89">
        <f>IF(TrAvia_act!L36=0,0,(TrAvia_act!L36/TrAvia_act!L26)/TrAvia_png!L14)</f>
        <v>0.7188334383826207</v>
      </c>
      <c r="M20" s="89">
        <f>IF(TrAvia_act!M36=0,0,(TrAvia_act!M36/TrAvia_act!M26)/TrAvia_png!M14)</f>
        <v>0.76980659075303792</v>
      </c>
      <c r="N20" s="89">
        <f>IF(TrAvia_act!N36=0,0,(TrAvia_act!N36/TrAvia_act!N26)/TrAvia_png!N14)</f>
        <v>0.79664491741035381</v>
      </c>
      <c r="O20" s="89">
        <f>IF(TrAvia_act!O36=0,0,(TrAvia_act!O36/TrAvia_act!O26)/TrAvia_png!O14)</f>
        <v>0.80220283407367077</v>
      </c>
      <c r="P20" s="89">
        <f>IF(TrAvia_act!P36=0,0,(TrAvia_act!P36/TrAvia_act!P26)/TrAvia_png!P14)</f>
        <v>0.81155882656896849</v>
      </c>
      <c r="Q20" s="89">
        <f>IF(TrAvia_act!Q36=0,0,(TrAvia_act!Q36/TrAvia_act!Q26)/TrAvia_png!Q14)</f>
        <v>0.82089094104992522</v>
      </c>
      <c r="R20" s="89">
        <f>IF(TrAvia_act!R36=0,0,(TrAvia_act!R36/TrAvia_act!R26)/TrAvia_png!R14)</f>
        <v>0.83727166575886924</v>
      </c>
      <c r="S20" s="89">
        <f>IF(TrAvia_act!S36=0,0,(TrAvia_act!S36/TrAvia_act!S26)/TrAvia_png!S14)</f>
        <v>0.82951310348509411</v>
      </c>
      <c r="T20" s="89">
        <f>IF(TrAvia_act!T36=0,0,(TrAvia_act!T36/TrAvia_act!T26)/TrAvia_png!T14)</f>
        <v>0.82663589346199073</v>
      </c>
      <c r="U20" s="89">
        <f>IF(TrAvia_act!U36=0,0,(TrAvia_act!U36/TrAvia_act!U26)/TrAvia_png!U14)</f>
        <v>0.83266500155068157</v>
      </c>
      <c r="V20" s="89">
        <f>IF(TrAvia_act!V36=0,0,(TrAvia_act!V36/TrAvia_act!V26)/TrAvia_png!V14)</f>
        <v>0.57022794741453886</v>
      </c>
      <c r="W20" s="89">
        <f>IF(TrAvia_act!W36=0,0,(TrAvia_act!W36/TrAvia_act!W26)/TrAvia_png!W14)</f>
        <v>0.60755629157029911</v>
      </c>
      <c r="X20" s="89">
        <f>IF(TrAvia_act!X36=0,0,(TrAvia_act!X36/TrAvia_act!X26)/TrAvia_png!X14)</f>
        <v>0.82205466997782284</v>
      </c>
      <c r="Y20" s="89">
        <f>IF(TrAvia_act!Y36=0,0,(TrAvia_act!Y36/TrAvia_act!Y26)/TrAvia_png!Y14)</f>
        <v>0.86134623499330021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0.45606011930633511</v>
      </c>
      <c r="C21" s="90">
        <f>IF(TrAvia_act!C37=0,0,(TrAvia_act!C37/TrAvia_act!C27)/TrAvia_png!C15)</f>
        <v>0.45880708137517479</v>
      </c>
      <c r="D21" s="90">
        <f>IF(TrAvia_act!D37=0,0,(TrAvia_act!D37/TrAvia_act!D27)/TrAvia_png!D15)</f>
        <v>0.50017132597164671</v>
      </c>
      <c r="E21" s="90">
        <f>IF(TrAvia_act!E37=0,0,(TrAvia_act!E37/TrAvia_act!E27)/TrAvia_png!E15)</f>
        <v>0.48852767256178975</v>
      </c>
      <c r="F21" s="90">
        <f>IF(TrAvia_act!F37=0,0,(TrAvia_act!F37/TrAvia_act!F27)/TrAvia_png!F15)</f>
        <v>0.52793732903744672</v>
      </c>
      <c r="G21" s="90">
        <f>IF(TrAvia_act!G37=0,0,(TrAvia_act!G37/TrAvia_act!G27)/TrAvia_png!G15)</f>
        <v>0.52423365748383999</v>
      </c>
      <c r="H21" s="90">
        <f>IF(TrAvia_act!H37=0,0,(TrAvia_act!H37/TrAvia_act!H27)/TrAvia_png!H15)</f>
        <v>0.49944409003918705</v>
      </c>
      <c r="I21" s="90">
        <f>IF(TrAvia_act!I37=0,0,(TrAvia_act!I37/TrAvia_act!I27)/TrAvia_png!I15)</f>
        <v>0.45327710233923285</v>
      </c>
      <c r="J21" s="90">
        <f>IF(TrAvia_act!J37=0,0,(TrAvia_act!J37/TrAvia_act!J27)/TrAvia_png!J15)</f>
        <v>0.50312512655750097</v>
      </c>
      <c r="K21" s="90">
        <f>IF(TrAvia_act!K37=0,0,(TrAvia_act!K37/TrAvia_act!K27)/TrAvia_png!K15)</f>
        <v>0.45166097917682291</v>
      </c>
      <c r="L21" s="90">
        <f>IF(TrAvia_act!L37=0,0,(TrAvia_act!L37/TrAvia_act!L27)/TrAvia_png!L15)</f>
        <v>0.50769839846093889</v>
      </c>
      <c r="M21" s="90">
        <f>IF(TrAvia_act!M37=0,0,(TrAvia_act!M37/TrAvia_act!M27)/TrAvia_png!M15)</f>
        <v>0.64428690575479564</v>
      </c>
      <c r="N21" s="90">
        <f>IF(TrAvia_act!N37=0,0,(TrAvia_act!N37/TrAvia_act!N27)/TrAvia_png!N15)</f>
        <v>0.59870006934431097</v>
      </c>
      <c r="O21" s="90">
        <f>IF(TrAvia_act!O37=0,0,(TrAvia_act!O37/TrAvia_act!O27)/TrAvia_png!O15)</f>
        <v>0.5822381551585839</v>
      </c>
      <c r="P21" s="90">
        <f>IF(TrAvia_act!P37=0,0,(TrAvia_act!P37/TrAvia_act!P27)/TrAvia_png!P15)</f>
        <v>0.55630429164927342</v>
      </c>
      <c r="Q21" s="90">
        <f>IF(TrAvia_act!Q37=0,0,(TrAvia_act!Q37/TrAvia_act!Q27)/TrAvia_png!Q15)</f>
        <v>0.6375728872802594</v>
      </c>
      <c r="R21" s="90">
        <f>IF(TrAvia_act!R37=0,0,(TrAvia_act!R37/TrAvia_act!R27)/TrAvia_png!R15)</f>
        <v>0.59768019958765128</v>
      </c>
      <c r="S21" s="90">
        <f>IF(TrAvia_act!S37=0,0,(TrAvia_act!S37/TrAvia_act!S27)/TrAvia_png!S15)</f>
        <v>0.69642786148769531</v>
      </c>
      <c r="T21" s="90">
        <f>IF(TrAvia_act!T37=0,0,(TrAvia_act!T37/TrAvia_act!T27)/TrAvia_png!T15)</f>
        <v>0.68376107730560265</v>
      </c>
      <c r="U21" s="90">
        <f>IF(TrAvia_act!U37=0,0,(TrAvia_act!U37/TrAvia_act!U27)/TrAvia_png!U15)</f>
        <v>0.66631647703136621</v>
      </c>
      <c r="V21" s="90">
        <f>IF(TrAvia_act!V37=0,0,(TrAvia_act!V37/TrAvia_act!V27)/TrAvia_png!V15)</f>
        <v>0.55257458788758951</v>
      </c>
      <c r="W21" s="90">
        <f>IF(TrAvia_act!W37=0,0,(TrAvia_act!W37/TrAvia_act!W27)/TrAvia_png!W15)</f>
        <v>0.58291908379262747</v>
      </c>
      <c r="X21" s="90">
        <f>IF(TrAvia_act!X37=0,0,(TrAvia_act!X37/TrAvia_act!X27)/TrAvia_png!X15)</f>
        <v>0.75824529928672824</v>
      </c>
      <c r="Y21" s="90">
        <f>IF(TrAvia_act!Y37=0,0,(TrAvia_act!Y37/TrAvia_act!Y27)/TrAvia_png!Y15)</f>
        <v>0.69682989503787129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3.5300972404223807E-2</v>
      </c>
      <c r="C24" s="23">
        <f>IF(TrAvia_ene!C6=0,0,TrAvia_ene!C6/(C12*TrAvia_act!C14))</f>
        <v>2.8094609199526468E-2</v>
      </c>
      <c r="D24" s="23">
        <f>IF(TrAvia_ene!D6=0,0,TrAvia_ene!D6/(D12*TrAvia_act!D14))</f>
        <v>3.0115163655221062E-2</v>
      </c>
      <c r="E24" s="23">
        <f>IF(TrAvia_ene!E6=0,0,TrAvia_ene!E6/(E12*TrAvia_act!E14))</f>
        <v>2.5096991649589256E-2</v>
      </c>
      <c r="F24" s="23">
        <f>IF(TrAvia_ene!F6=0,0,TrAvia_ene!F6/(F12*TrAvia_act!F14))</f>
        <v>3.1841575191080725E-2</v>
      </c>
      <c r="G24" s="23">
        <f>IF(TrAvia_ene!G6=0,0,TrAvia_ene!G6/(G12*TrAvia_act!G14))</f>
        <v>2.4776864481531293E-2</v>
      </c>
      <c r="H24" s="23">
        <f>IF(TrAvia_ene!H6=0,0,TrAvia_ene!H6/(H12*TrAvia_act!H14))</f>
        <v>2.6441876121713257E-2</v>
      </c>
      <c r="I24" s="23">
        <f>IF(TrAvia_ene!I6=0,0,TrAvia_ene!I6/(I12*TrAvia_act!I14))</f>
        <v>2.4409414246769436E-2</v>
      </c>
      <c r="J24" s="23">
        <f>IF(TrAvia_ene!J6=0,0,TrAvia_ene!J6/(J12*TrAvia_act!J14))</f>
        <v>2.5393430468218917E-2</v>
      </c>
      <c r="K24" s="23">
        <f>IF(TrAvia_ene!K6=0,0,TrAvia_ene!K6/(K12*TrAvia_act!K14))</f>
        <v>2.4732396639489368E-2</v>
      </c>
      <c r="L24" s="23">
        <f>IF(TrAvia_ene!L6=0,0,TrAvia_ene!L6/(L12*TrAvia_act!L14))</f>
        <v>2.5497756591445916E-2</v>
      </c>
      <c r="M24" s="23">
        <f>IF(TrAvia_ene!M6=0,0,TrAvia_ene!M6/(M12*TrAvia_act!M14))</f>
        <v>2.5716332402129637E-2</v>
      </c>
      <c r="N24" s="23">
        <f>IF(TrAvia_ene!N6=0,0,TrAvia_ene!N6/(N12*TrAvia_act!N14))</f>
        <v>2.4514211205087535E-2</v>
      </c>
      <c r="O24" s="23">
        <f>IF(TrAvia_ene!O6=0,0,TrAvia_ene!O6/(O12*TrAvia_act!O14))</f>
        <v>2.3340090349220816E-2</v>
      </c>
      <c r="P24" s="23">
        <f>IF(TrAvia_ene!P6=0,0,TrAvia_ene!P6/(P12*TrAvia_act!P14))</f>
        <v>2.4129124167555804E-2</v>
      </c>
      <c r="Q24" s="23">
        <f>IF(TrAvia_ene!Q6=0,0,TrAvia_ene!Q6/(Q12*TrAvia_act!Q14))</f>
        <v>2.3988807155922404E-2</v>
      </c>
      <c r="R24" s="23">
        <f>IF(TrAvia_ene!R6=0,0,TrAvia_ene!R6/(R12*TrAvia_act!R14))</f>
        <v>2.3863245854402138E-2</v>
      </c>
      <c r="S24" s="23">
        <f>IF(TrAvia_ene!S6=0,0,TrAvia_ene!S6/(S12*TrAvia_act!S14))</f>
        <v>2.3116688343468635E-2</v>
      </c>
      <c r="T24" s="23">
        <f>IF(TrAvia_ene!T6=0,0,TrAvia_ene!T6/(T12*TrAvia_act!T14))</f>
        <v>2.2773040175189579E-2</v>
      </c>
      <c r="U24" s="23">
        <f>IF(TrAvia_ene!U6=0,0,TrAvia_ene!U6/(U12*TrAvia_act!U14))</f>
        <v>2.1700070638375448E-2</v>
      </c>
      <c r="V24" s="23">
        <f>IF(TrAvia_ene!V6=0,0,TrAvia_ene!V6/(V12*TrAvia_act!V14))</f>
        <v>2.2464438405601132E-2</v>
      </c>
      <c r="W24" s="23">
        <f>IF(TrAvia_ene!W6=0,0,TrAvia_ene!W6/(W12*TrAvia_act!W14))</f>
        <v>2.2381028691704042E-2</v>
      </c>
      <c r="X24" s="23">
        <f>IF(TrAvia_ene!X6=0,0,TrAvia_ene!X6/(X12*TrAvia_act!X14))</f>
        <v>2.2119764056925284E-2</v>
      </c>
      <c r="Y24" s="23">
        <f>IF(TrAvia_ene!Y6=0,0,TrAvia_ene!Y6/(Y12*TrAvia_act!Y14))</f>
        <v>2.0929107512162343E-2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3.4803872923811811E-2</v>
      </c>
      <c r="C26" s="93">
        <f>IF(TrAvia_ene!C8=0,0,TrAvia_ene!C8/(C14*TrAvia_act!C16))</f>
        <v>2.7654849422041789E-2</v>
      </c>
      <c r="D26" s="93">
        <f>IF(TrAvia_ene!D8=0,0,TrAvia_ene!D8/(D14*TrAvia_act!D16))</f>
        <v>2.9228661308326093E-2</v>
      </c>
      <c r="E26" s="93">
        <f>IF(TrAvia_ene!E8=0,0,TrAvia_ene!E8/(E14*TrAvia_act!E16))</f>
        <v>2.4663726351147327E-2</v>
      </c>
      <c r="F26" s="93">
        <f>IF(TrAvia_ene!F8=0,0,TrAvia_ene!F8/(F14*TrAvia_act!F16))</f>
        <v>3.1130487545301212E-2</v>
      </c>
      <c r="G26" s="93">
        <f>IF(TrAvia_ene!G8=0,0,TrAvia_ene!G8/(G14*TrAvia_act!G16))</f>
        <v>2.4282293514507981E-2</v>
      </c>
      <c r="H26" s="93">
        <f>IF(TrAvia_ene!H8=0,0,TrAvia_ene!H8/(H14*TrAvia_act!H16))</f>
        <v>2.5850203403454855E-2</v>
      </c>
      <c r="I26" s="93">
        <f>IF(TrAvia_ene!I8=0,0,TrAvia_ene!I8/(I14*TrAvia_act!I16))</f>
        <v>2.3804452767679375E-2</v>
      </c>
      <c r="J26" s="93">
        <f>IF(TrAvia_ene!J8=0,0,TrAvia_ene!J8/(J14*TrAvia_act!J16))</f>
        <v>2.453026569978474E-2</v>
      </c>
      <c r="K26" s="93">
        <f>IF(TrAvia_ene!K8=0,0,TrAvia_ene!K8/(K14*TrAvia_act!K16))</f>
        <v>2.3769991699378313E-2</v>
      </c>
      <c r="L26" s="93">
        <f>IF(TrAvia_ene!L8=0,0,TrAvia_ene!L8/(L14*TrAvia_act!L16))</f>
        <v>2.461994082662286E-2</v>
      </c>
      <c r="M26" s="93">
        <f>IF(TrAvia_ene!M8=0,0,TrAvia_ene!M8/(M14*TrAvia_act!M16))</f>
        <v>2.5122184928505466E-2</v>
      </c>
      <c r="N26" s="93">
        <f>IF(TrAvia_ene!N8=0,0,TrAvia_ene!N8/(N14*TrAvia_act!N16))</f>
        <v>2.3916026882902675E-2</v>
      </c>
      <c r="O26" s="93">
        <f>IF(TrAvia_ene!O8=0,0,TrAvia_ene!O8/(O14*TrAvia_act!O16))</f>
        <v>2.348799895501974E-2</v>
      </c>
      <c r="P26" s="93">
        <f>IF(TrAvia_ene!P8=0,0,TrAvia_ene!P8/(P14*TrAvia_act!P16))</f>
        <v>2.400795741520852E-2</v>
      </c>
      <c r="Q26" s="93">
        <f>IF(TrAvia_ene!Q8=0,0,TrAvia_ene!Q8/(Q14*TrAvia_act!Q16))</f>
        <v>2.3199921242911616E-2</v>
      </c>
      <c r="R26" s="93">
        <f>IF(TrAvia_ene!R8=0,0,TrAvia_ene!R8/(R14*TrAvia_act!R16))</f>
        <v>2.3719819493523614E-2</v>
      </c>
      <c r="S26" s="93">
        <f>IF(TrAvia_ene!S8=0,0,TrAvia_ene!S8/(S14*TrAvia_act!S16))</f>
        <v>2.245993854733775E-2</v>
      </c>
      <c r="T26" s="93">
        <f>IF(TrAvia_ene!T8=0,0,TrAvia_ene!T8/(T14*TrAvia_act!T16))</f>
        <v>2.2515078216119418E-2</v>
      </c>
      <c r="U26" s="93">
        <f>IF(TrAvia_ene!U8=0,0,TrAvia_ene!U8/(U14*TrAvia_act!U16))</f>
        <v>2.2579740759905667E-2</v>
      </c>
      <c r="V26" s="93">
        <f>IF(TrAvia_ene!V8=0,0,TrAvia_ene!V8/(V14*TrAvia_act!V16))</f>
        <v>2.1876393975029159E-2</v>
      </c>
      <c r="W26" s="93">
        <f>IF(TrAvia_ene!W8=0,0,TrAvia_ene!W8/(W14*TrAvia_act!W16))</f>
        <v>2.1628190913989709E-2</v>
      </c>
      <c r="X26" s="93">
        <f>IF(TrAvia_ene!X8=0,0,TrAvia_ene!X8/(X14*TrAvia_act!X16))</f>
        <v>2.1648797072521018E-2</v>
      </c>
      <c r="Y26" s="93">
        <f>IF(TrAvia_ene!Y8=0,0,TrAvia_ene!Y8/(Y14*TrAvia_act!Y16))</f>
        <v>2.1004076680525858E-2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3.7261716589106812E-2</v>
      </c>
      <c r="C27" s="94">
        <f>IF(TrAvia_ene!C9=0,0,TrAvia_ene!C9/(C15*TrAvia_act!C17))</f>
        <v>2.9925133431847304E-2</v>
      </c>
      <c r="D27" s="94">
        <f>IF(TrAvia_ene!D9=0,0,TrAvia_ene!D9/(D15*TrAvia_act!D17))</f>
        <v>3.5611631442952547E-2</v>
      </c>
      <c r="E27" s="94">
        <f>IF(TrAvia_ene!E9=0,0,TrAvia_ene!E9/(E15*TrAvia_act!E17))</f>
        <v>2.7672353151132631E-2</v>
      </c>
      <c r="F27" s="94">
        <f>IF(TrAvia_ene!F9=0,0,TrAvia_ene!F9/(F15*TrAvia_act!F17))</f>
        <v>3.6950360066264266E-2</v>
      </c>
      <c r="G27" s="94">
        <f>IF(TrAvia_ene!G9=0,0,TrAvia_ene!G9/(G15*TrAvia_act!G17))</f>
        <v>3.1239016318572625E-2</v>
      </c>
      <c r="H27" s="94">
        <f>IF(TrAvia_ene!H9=0,0,TrAvia_ene!H9/(H15*TrAvia_act!H17))</f>
        <v>3.3901403663530852E-2</v>
      </c>
      <c r="I27" s="94">
        <f>IF(TrAvia_ene!I9=0,0,TrAvia_ene!I9/(I15*TrAvia_act!I17))</f>
        <v>3.2940030754014228E-2</v>
      </c>
      <c r="J27" s="94">
        <f>IF(TrAvia_ene!J9=0,0,TrAvia_ene!J9/(J15*TrAvia_act!J17))</f>
        <v>3.8277688087047346E-2</v>
      </c>
      <c r="K27" s="94">
        <f>IF(TrAvia_ene!K9=0,0,TrAvia_ene!K9/(K15*TrAvia_act!K17))</f>
        <v>3.9946215201934421E-2</v>
      </c>
      <c r="L27" s="94">
        <f>IF(TrAvia_ene!L9=0,0,TrAvia_ene!L9/(L15*TrAvia_act!L17))</f>
        <v>3.8424378132956932E-2</v>
      </c>
      <c r="M27" s="94">
        <f>IF(TrAvia_ene!M9=0,0,TrAvia_ene!M9/(M15*TrAvia_act!M17))</f>
        <v>3.5034848911439299E-2</v>
      </c>
      <c r="N27" s="94">
        <f>IF(TrAvia_ene!N9=0,0,TrAvia_ene!N9/(N15*TrAvia_act!N17))</f>
        <v>3.2312292801810923E-2</v>
      </c>
      <c r="O27" s="94">
        <f>IF(TrAvia_ene!O9=0,0,TrAvia_ene!O9/(O15*TrAvia_act!O17))</f>
        <v>2.1200023280701027E-2</v>
      </c>
      <c r="P27" s="94">
        <f>IF(TrAvia_ene!P9=0,0,TrAvia_ene!P9/(P15*TrAvia_act!P17))</f>
        <v>2.5088406142383026E-2</v>
      </c>
      <c r="Q27" s="94">
        <f>IF(TrAvia_ene!Q9=0,0,TrAvia_ene!Q9/(Q15*TrAvia_act!Q17))</f>
        <v>3.8364602823456773E-2</v>
      </c>
      <c r="R27" s="94">
        <f>IF(TrAvia_ene!R9=0,0,TrAvia_ene!R9/(R15*TrAvia_act!R17))</f>
        <v>2.5864091024774463E-2</v>
      </c>
      <c r="S27" s="94">
        <f>IF(TrAvia_ene!S9=0,0,TrAvia_ene!S9/(S15*TrAvia_act!S17))</f>
        <v>3.6382051349963522E-2</v>
      </c>
      <c r="T27" s="94">
        <f>IF(TrAvia_ene!T9=0,0,TrAvia_ene!T9/(T15*TrAvia_act!T17))</f>
        <v>2.6368924854340503E-2</v>
      </c>
      <c r="U27" s="94">
        <f>IF(TrAvia_ene!U9=0,0,TrAvia_ene!U9/(U15*TrAvia_act!U17))</f>
        <v>1.4306139770171063E-2</v>
      </c>
      <c r="V27" s="94">
        <f>IF(TrAvia_ene!V9=0,0,TrAvia_ene!V9/(V15*TrAvia_act!V17))</f>
        <v>2.95364135907542E-2</v>
      </c>
      <c r="W27" s="94">
        <f>IF(TrAvia_ene!W9=0,0,TrAvia_ene!W9/(W15*TrAvia_act!W17))</f>
        <v>3.722039759156251E-2</v>
      </c>
      <c r="X27" s="94">
        <f>IF(TrAvia_ene!X9=0,0,TrAvia_ene!X9/(X15*TrAvia_act!X17))</f>
        <v>2.8636479170294403E-2</v>
      </c>
      <c r="Y27" s="94">
        <f>IF(TrAvia_ene!Y9=0,0,TrAvia_ene!Y9/(Y15*TrAvia_act!Y17))</f>
        <v>1.9629302832593152E-2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2.113</v>
      </c>
      <c r="H3" s="54">
        <f t="shared" si="0"/>
        <v>2.3559999999999999</v>
      </c>
      <c r="I3" s="54">
        <f t="shared" si="0"/>
        <v>2.5960000000000001</v>
      </c>
      <c r="J3" s="54">
        <f t="shared" si="0"/>
        <v>2.5790000000000002</v>
      </c>
      <c r="K3" s="54">
        <f t="shared" si="0"/>
        <v>2.39</v>
      </c>
      <c r="L3" s="54">
        <f t="shared" si="0"/>
        <v>4.218</v>
      </c>
      <c r="M3" s="54">
        <f t="shared" si="0"/>
        <v>3.7639999999999998</v>
      </c>
      <c r="N3" s="54">
        <f t="shared" si="0"/>
        <v>3.7450000000000001</v>
      </c>
      <c r="O3" s="54">
        <f t="shared" si="0"/>
        <v>3.516</v>
      </c>
      <c r="P3" s="54">
        <f t="shared" si="0"/>
        <v>3.714</v>
      </c>
      <c r="Q3" s="54">
        <f t="shared" si="0"/>
        <v>3.95</v>
      </c>
      <c r="R3" s="54">
        <f t="shared" ref="R3:V3" si="1">SUM(R4:R5)</f>
        <v>3.6509999999999998</v>
      </c>
      <c r="S3" s="54">
        <f t="shared" si="1"/>
        <v>4.2480000000000002</v>
      </c>
      <c r="T3" s="54">
        <f t="shared" si="1"/>
        <v>3.5030000000000001</v>
      </c>
      <c r="U3" s="54">
        <f t="shared" si="1"/>
        <v>4.6820000000000004</v>
      </c>
      <c r="V3" s="54">
        <f t="shared" si="1"/>
        <v>5.5529999999999999</v>
      </c>
      <c r="W3" s="54">
        <f t="shared" ref="W3:Y3" si="2">SUM(W4:W5)</f>
        <v>6.5570000000000004</v>
      </c>
      <c r="X3" s="54">
        <f t="shared" si="2"/>
        <v>5.8490000000000002</v>
      </c>
      <c r="Y3" s="54">
        <f t="shared" si="2"/>
        <v>7.6020000000000003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2.113</v>
      </c>
      <c r="H4" s="56">
        <v>2.3559999999999999</v>
      </c>
      <c r="I4" s="56">
        <v>2.5960000000000001</v>
      </c>
      <c r="J4" s="56">
        <v>2.5790000000000002</v>
      </c>
      <c r="K4" s="56">
        <v>2.39</v>
      </c>
      <c r="L4" s="56">
        <v>4.218</v>
      </c>
      <c r="M4" s="56">
        <v>3.7639999999999998</v>
      </c>
      <c r="N4" s="56">
        <v>3.7450000000000001</v>
      </c>
      <c r="O4" s="56">
        <v>3.516</v>
      </c>
      <c r="P4" s="56">
        <v>3.714</v>
      </c>
      <c r="Q4" s="56">
        <v>3.95</v>
      </c>
      <c r="R4" s="56">
        <v>3.6509999999999998</v>
      </c>
      <c r="S4" s="56">
        <v>4.2480000000000002</v>
      </c>
      <c r="T4" s="56">
        <v>3.5030000000000001</v>
      </c>
      <c r="U4" s="56">
        <v>4.6820000000000004</v>
      </c>
      <c r="V4" s="56">
        <v>5.5529999999999999</v>
      </c>
      <c r="W4" s="56">
        <v>6.5570000000000004</v>
      </c>
      <c r="X4" s="56">
        <v>5.8490000000000002</v>
      </c>
      <c r="Y4" s="56">
        <v>7.6020000000000003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5.0000000000000001E-3</v>
      </c>
      <c r="H7" s="59">
        <f t="shared" si="3"/>
        <v>5.0000000000000001E-3</v>
      </c>
      <c r="I7" s="59">
        <f t="shared" si="3"/>
        <v>6.0000000000000001E-3</v>
      </c>
      <c r="J7" s="59">
        <f t="shared" si="3"/>
        <v>5.0000000000000001E-3</v>
      </c>
      <c r="K7" s="59">
        <f t="shared" si="3"/>
        <v>5.0000000000000001E-3</v>
      </c>
      <c r="L7" s="59">
        <f t="shared" si="3"/>
        <v>8.0000000000000002E-3</v>
      </c>
      <c r="M7" s="59">
        <f t="shared" si="3"/>
        <v>8.0000000000000002E-3</v>
      </c>
      <c r="N7" s="59">
        <f t="shared" si="3"/>
        <v>7.0000000000000001E-3</v>
      </c>
      <c r="O7" s="59">
        <f t="shared" si="3"/>
        <v>8.9999999999999993E-3</v>
      </c>
      <c r="P7" s="59">
        <f t="shared" si="3"/>
        <v>6.0000000000000001E-3</v>
      </c>
      <c r="Q7" s="59">
        <f t="shared" si="3"/>
        <v>7.0000000000000001E-3</v>
      </c>
      <c r="R7" s="59">
        <f t="shared" ref="R7:V7" si="4">SUM(R8:R9)</f>
        <v>7.0000000000000001E-3</v>
      </c>
      <c r="S7" s="59">
        <f t="shared" si="4"/>
        <v>8.0000000000000002E-3</v>
      </c>
      <c r="T7" s="59">
        <f t="shared" si="4"/>
        <v>7.0000000000000001E-3</v>
      </c>
      <c r="U7" s="59">
        <f t="shared" si="4"/>
        <v>8.9999999999999993E-3</v>
      </c>
      <c r="V7" s="59">
        <f t="shared" si="4"/>
        <v>0.01</v>
      </c>
      <c r="W7" s="59">
        <f t="shared" ref="W7:Y7" si="5">SUM(W8:W9)</f>
        <v>1.2E-2</v>
      </c>
      <c r="X7" s="59">
        <f t="shared" si="5"/>
        <v>1.0999999999999999E-2</v>
      </c>
      <c r="Y7" s="59">
        <f t="shared" si="5"/>
        <v>1.2999999999999999E-2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5.0000000000000001E-3</v>
      </c>
      <c r="H8" s="60">
        <v>5.0000000000000001E-3</v>
      </c>
      <c r="I8" s="60">
        <v>6.0000000000000001E-3</v>
      </c>
      <c r="J8" s="60">
        <v>5.0000000000000001E-3</v>
      </c>
      <c r="K8" s="60">
        <v>5.0000000000000001E-3</v>
      </c>
      <c r="L8" s="60">
        <v>8.0000000000000002E-3</v>
      </c>
      <c r="M8" s="60">
        <v>8.0000000000000002E-3</v>
      </c>
      <c r="N8" s="60">
        <v>7.0000000000000001E-3</v>
      </c>
      <c r="O8" s="60">
        <v>8.9999999999999993E-3</v>
      </c>
      <c r="P8" s="60">
        <v>6.0000000000000001E-3</v>
      </c>
      <c r="Q8" s="60">
        <v>7.0000000000000001E-3</v>
      </c>
      <c r="R8" s="60">
        <v>7.0000000000000001E-3</v>
      </c>
      <c r="S8" s="60">
        <v>8.0000000000000002E-3</v>
      </c>
      <c r="T8" s="60">
        <v>7.0000000000000001E-3</v>
      </c>
      <c r="U8" s="60">
        <v>8.9999999999999993E-3</v>
      </c>
      <c r="V8" s="60">
        <v>0.01</v>
      </c>
      <c r="W8" s="60">
        <v>1.2E-2</v>
      </c>
      <c r="X8" s="60">
        <v>1.0999999999999999E-2</v>
      </c>
      <c r="Y8" s="60">
        <v>1.2999999999999999E-2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422.59999999999997</v>
      </c>
      <c r="H13" s="62">
        <f t="shared" si="7"/>
        <v>471.2</v>
      </c>
      <c r="I13" s="62">
        <f t="shared" si="7"/>
        <v>432.66666666666669</v>
      </c>
      <c r="J13" s="62">
        <f t="shared" si="7"/>
        <v>515.80000000000007</v>
      </c>
      <c r="K13" s="62">
        <f t="shared" si="7"/>
        <v>478</v>
      </c>
      <c r="L13" s="62">
        <f t="shared" si="7"/>
        <v>527.25</v>
      </c>
      <c r="M13" s="62">
        <f t="shared" si="7"/>
        <v>470.49999999999994</v>
      </c>
      <c r="N13" s="62">
        <f t="shared" si="7"/>
        <v>535</v>
      </c>
      <c r="O13" s="62">
        <f t="shared" si="7"/>
        <v>390.66666666666669</v>
      </c>
      <c r="P13" s="62">
        <f t="shared" si="7"/>
        <v>619</v>
      </c>
      <c r="Q13" s="62">
        <f t="shared" si="7"/>
        <v>564.28571428571433</v>
      </c>
      <c r="R13" s="62">
        <f t="shared" si="7"/>
        <v>521.57142857142856</v>
      </c>
      <c r="S13" s="62">
        <f t="shared" si="7"/>
        <v>531</v>
      </c>
      <c r="T13" s="62">
        <f t="shared" si="7"/>
        <v>500.42857142857144</v>
      </c>
      <c r="U13" s="62">
        <f t="shared" si="7"/>
        <v>520.22222222222229</v>
      </c>
      <c r="V13" s="62">
        <f t="shared" si="7"/>
        <v>555.29999999999995</v>
      </c>
      <c r="W13" s="62">
        <f t="shared" ref="W13:Y13" si="8">IF(W3=0,0,W3/W7)</f>
        <v>546.41666666666674</v>
      </c>
      <c r="X13" s="62">
        <f t="shared" si="8"/>
        <v>531.72727272727275</v>
      </c>
      <c r="Y13" s="62">
        <f t="shared" si="8"/>
        <v>584.76923076923083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422.59999999999997</v>
      </c>
      <c r="H14" s="63">
        <f t="shared" si="9"/>
        <v>471.2</v>
      </c>
      <c r="I14" s="63">
        <f t="shared" si="9"/>
        <v>432.66666666666669</v>
      </c>
      <c r="J14" s="63">
        <f t="shared" si="9"/>
        <v>515.80000000000007</v>
      </c>
      <c r="K14" s="63">
        <f t="shared" si="9"/>
        <v>478</v>
      </c>
      <c r="L14" s="63">
        <f t="shared" si="9"/>
        <v>527.25</v>
      </c>
      <c r="M14" s="63">
        <f t="shared" si="9"/>
        <v>470.49999999999994</v>
      </c>
      <c r="N14" s="63">
        <f t="shared" si="9"/>
        <v>535</v>
      </c>
      <c r="O14" s="63">
        <f t="shared" si="9"/>
        <v>390.66666666666669</v>
      </c>
      <c r="P14" s="63">
        <f t="shared" si="9"/>
        <v>619</v>
      </c>
      <c r="Q14" s="63">
        <f t="shared" si="9"/>
        <v>564.28571428571433</v>
      </c>
      <c r="R14" s="63">
        <f t="shared" si="9"/>
        <v>521.57142857142856</v>
      </c>
      <c r="S14" s="63">
        <f t="shared" si="9"/>
        <v>531</v>
      </c>
      <c r="T14" s="63">
        <f t="shared" si="9"/>
        <v>500.42857142857144</v>
      </c>
      <c r="U14" s="63">
        <f t="shared" si="9"/>
        <v>520.22222222222229</v>
      </c>
      <c r="V14" s="63">
        <f t="shared" si="9"/>
        <v>555.29999999999995</v>
      </c>
      <c r="W14" s="63">
        <f t="shared" ref="W14:Y14" si="10">IF(W4=0,0,W4/W8)</f>
        <v>546.41666666666674</v>
      </c>
      <c r="X14" s="63">
        <f t="shared" si="10"/>
        <v>531.72727272727275</v>
      </c>
      <c r="Y14" s="63">
        <f t="shared" si="10"/>
        <v>584.76923076923083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:Y15" si="12">IF(W5=0,0,W5/W9)</f>
        <v>0</v>
      </c>
      <c r="X15" s="64">
        <f t="shared" si="12"/>
        <v>0</v>
      </c>
      <c r="Y15" s="64">
        <f t="shared" si="12"/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:Y18" si="18">IF(W4=0,0,W4/W$3)</f>
        <v>1</v>
      </c>
      <c r="X18" s="66">
        <f t="shared" si="18"/>
        <v>1</v>
      </c>
      <c r="Y18" s="66">
        <f t="shared" si="18"/>
        <v>1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:Y19" si="21">IF(W5=0,0,W5/W$3)</f>
        <v>0</v>
      </c>
      <c r="X19" s="67">
        <f t="shared" si="21"/>
        <v>0</v>
      </c>
      <c r="Y19" s="67">
        <f t="shared" si="21"/>
        <v>0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:Y22" si="27">IF(W8=0,0,W8/W$7)</f>
        <v>1</v>
      </c>
      <c r="X22" s="66">
        <f t="shared" si="27"/>
        <v>1</v>
      </c>
      <c r="Y22" s="66">
        <f t="shared" si="27"/>
        <v>1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:Y23" si="30">IF(W9=0,0,W9/W$7)</f>
        <v>0</v>
      </c>
      <c r="X23" s="67">
        <f t="shared" si="30"/>
        <v>0</v>
      </c>
      <c r="Y23" s="67">
        <f t="shared" si="30"/>
        <v>0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8.0012897678417882</v>
      </c>
      <c r="H3" s="62">
        <f t="shared" si="0"/>
        <v>9.028374892519345</v>
      </c>
      <c r="I3" s="62">
        <f t="shared" si="0"/>
        <v>10.055374032674118</v>
      </c>
      <c r="J3" s="62">
        <f t="shared" si="0"/>
        <v>9.9837489251934652</v>
      </c>
      <c r="K3" s="62">
        <f t="shared" si="0"/>
        <v>9.1717110920034379</v>
      </c>
      <c r="L3" s="62">
        <f t="shared" si="0"/>
        <v>17.244625967325888</v>
      </c>
      <c r="M3" s="62">
        <f t="shared" si="0"/>
        <v>16.368013757523642</v>
      </c>
      <c r="N3" s="62">
        <f t="shared" si="0"/>
        <v>14.255460017196899</v>
      </c>
      <c r="O3" s="62">
        <f t="shared" si="0"/>
        <v>11.319088564058466</v>
      </c>
      <c r="P3" s="62">
        <f t="shared" si="0"/>
        <v>11.308684436801373</v>
      </c>
      <c r="Q3" s="62">
        <f t="shared" si="0"/>
        <v>12.332932072226994</v>
      </c>
      <c r="R3" s="62">
        <f t="shared" si="0"/>
        <v>11.297420464316421</v>
      </c>
      <c r="S3" s="62">
        <f t="shared" si="0"/>
        <v>13.368099742046432</v>
      </c>
      <c r="T3" s="62">
        <f t="shared" si="0"/>
        <v>10.79105760963027</v>
      </c>
      <c r="U3" s="62">
        <f t="shared" si="0"/>
        <v>14.896216680997419</v>
      </c>
      <c r="V3" s="62">
        <f t="shared" si="0"/>
        <v>18.004385210662079</v>
      </c>
      <c r="W3" s="62">
        <f t="shared" ref="W3:Y3" si="1">SUM(W4,W10)</f>
        <v>21.656491831470333</v>
      </c>
      <c r="X3" s="62">
        <f t="shared" si="1"/>
        <v>19.074118658641446</v>
      </c>
      <c r="Y3" s="62">
        <f t="shared" si="1"/>
        <v>25.525193465176269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8.0012897678417882</v>
      </c>
      <c r="H4" s="71">
        <f t="shared" si="2"/>
        <v>9.028374892519345</v>
      </c>
      <c r="I4" s="71">
        <f t="shared" si="2"/>
        <v>10.055374032674118</v>
      </c>
      <c r="J4" s="71">
        <f t="shared" si="2"/>
        <v>9.9837489251934652</v>
      </c>
      <c r="K4" s="71">
        <f t="shared" si="2"/>
        <v>9.1717110920034379</v>
      </c>
      <c r="L4" s="71">
        <f t="shared" si="2"/>
        <v>17.244625967325888</v>
      </c>
      <c r="M4" s="71">
        <f t="shared" si="2"/>
        <v>16.368013757523642</v>
      </c>
      <c r="N4" s="71">
        <f t="shared" si="2"/>
        <v>14.255460017196899</v>
      </c>
      <c r="O4" s="71">
        <f t="shared" si="2"/>
        <v>11.319088564058466</v>
      </c>
      <c r="P4" s="71">
        <f t="shared" si="2"/>
        <v>11.308684436801373</v>
      </c>
      <c r="Q4" s="71">
        <f t="shared" si="2"/>
        <v>12.332932072226994</v>
      </c>
      <c r="R4" s="71">
        <f t="shared" si="2"/>
        <v>11.297420464316421</v>
      </c>
      <c r="S4" s="71">
        <f t="shared" si="2"/>
        <v>13.368099742046432</v>
      </c>
      <c r="T4" s="71">
        <f t="shared" si="2"/>
        <v>10.79105760963027</v>
      </c>
      <c r="U4" s="71">
        <f t="shared" si="2"/>
        <v>14.896216680997419</v>
      </c>
      <c r="V4" s="71">
        <f t="shared" si="2"/>
        <v>18.004385210662079</v>
      </c>
      <c r="W4" s="71">
        <f t="shared" ref="W4:Y4" si="3">SUM(W5:W9)</f>
        <v>21.656491831470333</v>
      </c>
      <c r="X4" s="71">
        <f t="shared" si="3"/>
        <v>19.074118658641446</v>
      </c>
      <c r="Y4" s="71">
        <f t="shared" si="3"/>
        <v>25.525193465176269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5.135167669819432</v>
      </c>
      <c r="H5" s="73">
        <v>6.1622527944969896</v>
      </c>
      <c r="I5" s="73">
        <v>7.1892519346517627</v>
      </c>
      <c r="J5" s="73">
        <v>6.1622527944969896</v>
      </c>
      <c r="K5" s="73">
        <v>8.2163370593293195</v>
      </c>
      <c r="L5" s="73">
        <v>14.378503869303531</v>
      </c>
      <c r="M5" s="73">
        <v>15.40558899398108</v>
      </c>
      <c r="N5" s="73">
        <v>12.32441960447119</v>
      </c>
      <c r="O5" s="73">
        <v>11.297420464316421</v>
      </c>
      <c r="P5" s="73">
        <v>11.297420464316421</v>
      </c>
      <c r="Q5" s="73">
        <v>12.32441960447119</v>
      </c>
      <c r="R5" s="73">
        <v>11.297420464316421</v>
      </c>
      <c r="S5" s="73">
        <v>12.98890799656062</v>
      </c>
      <c r="T5" s="73">
        <v>10.447033533963889</v>
      </c>
      <c r="U5" s="73">
        <v>14.51926053310404</v>
      </c>
      <c r="V5" s="73">
        <v>17.608598452278589</v>
      </c>
      <c r="W5" s="73">
        <v>21.124075666380051</v>
      </c>
      <c r="X5" s="73">
        <v>18.610920034393811</v>
      </c>
      <c r="Y5" s="73">
        <v>24.598538263112641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2.8661220980223563</v>
      </c>
      <c r="H6" s="73">
        <v>2.8661220980223554</v>
      </c>
      <c r="I6" s="73">
        <v>2.8661220980223554</v>
      </c>
      <c r="J6" s="73">
        <v>3.8214961306964756</v>
      </c>
      <c r="K6" s="73">
        <v>0.95537403267411847</v>
      </c>
      <c r="L6" s="73">
        <v>2.8661220980223572</v>
      </c>
      <c r="M6" s="73">
        <v>0.95537403267411847</v>
      </c>
      <c r="N6" s="73">
        <v>1.9107480653482369</v>
      </c>
      <c r="O6" s="73">
        <v>0</v>
      </c>
      <c r="P6" s="73">
        <v>0</v>
      </c>
      <c r="Q6" s="73">
        <v>0</v>
      </c>
      <c r="R6" s="73">
        <v>0</v>
      </c>
      <c r="S6" s="73">
        <v>0.33069647463456597</v>
      </c>
      <c r="T6" s="73">
        <v>0.34402407566638082</v>
      </c>
      <c r="U6" s="73">
        <v>0.37695614789337917</v>
      </c>
      <c r="V6" s="73">
        <v>0.39578675838349042</v>
      </c>
      <c r="W6" s="73">
        <v>0.53241616509028233</v>
      </c>
      <c r="X6" s="73">
        <v>0.46319862424763514</v>
      </c>
      <c r="Y6" s="73">
        <v>0.92665520206362828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7.0507308684436797E-3</v>
      </c>
      <c r="N7" s="73">
        <v>2.0292347377472049E-2</v>
      </c>
      <c r="O7" s="73">
        <v>2.1668099742046431E-2</v>
      </c>
      <c r="P7" s="73">
        <v>1.1263972484952711E-2</v>
      </c>
      <c r="Q7" s="73">
        <v>8.5124677558039551E-3</v>
      </c>
      <c r="R7" s="73">
        <v>0</v>
      </c>
      <c r="S7" s="73">
        <v>4.8495270851246768E-2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:Y10" si="5">SUM(W11:W15)</f>
        <v>0</v>
      </c>
      <c r="X10" s="71">
        <f t="shared" si="5"/>
        <v>0</v>
      </c>
      <c r="Y10" s="71">
        <f t="shared" si="5"/>
        <v>0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160025.79535683576</v>
      </c>
      <c r="H19" s="62">
        <f>IF(H3=0,0,H3/TrNavi_act!H7*100)</f>
        <v>180567.49785038689</v>
      </c>
      <c r="I19" s="62">
        <f>IF(I3=0,0,I3/TrNavi_act!I7*100)</f>
        <v>167589.56721123529</v>
      </c>
      <c r="J19" s="62">
        <f>IF(J3=0,0,J3/TrNavi_act!J7*100)</f>
        <v>199674.97850386929</v>
      </c>
      <c r="K19" s="62">
        <f>IF(K3=0,0,K3/TrNavi_act!K7*100)</f>
        <v>183434.22184006876</v>
      </c>
      <c r="L19" s="62">
        <f>IF(L3=0,0,L3/TrNavi_act!L7*100)</f>
        <v>215557.82459157359</v>
      </c>
      <c r="M19" s="62">
        <f>IF(M3=0,0,M3/TrNavi_act!M7*100)</f>
        <v>204600.17196904551</v>
      </c>
      <c r="N19" s="62">
        <f>IF(N3=0,0,N3/TrNavi_act!N7*100)</f>
        <v>203649.42881709855</v>
      </c>
      <c r="O19" s="62">
        <f>IF(O3=0,0,O3/TrNavi_act!O7*100)</f>
        <v>125767.65071176075</v>
      </c>
      <c r="P19" s="62">
        <f>IF(P3=0,0,P3/TrNavi_act!P7*100)</f>
        <v>188478.07394668955</v>
      </c>
      <c r="Q19" s="62">
        <f>IF(Q3=0,0,Q3/TrNavi_act!Q7*100)</f>
        <v>176184.74388895705</v>
      </c>
      <c r="R19" s="62">
        <f>IF(R3=0,0,R3/TrNavi_act!R7*100)</f>
        <v>161391.72091880601</v>
      </c>
      <c r="S19" s="62">
        <f>IF(S3=0,0,S3/TrNavi_act!S7*100)</f>
        <v>167101.2467755804</v>
      </c>
      <c r="T19" s="62">
        <f>IF(T3=0,0,T3/TrNavi_act!T7*100)</f>
        <v>154157.96585186099</v>
      </c>
      <c r="U19" s="62">
        <f>IF(U3=0,0,U3/TrNavi_act!U7*100)</f>
        <v>165513.51867774912</v>
      </c>
      <c r="V19" s="62">
        <f>IF(V3=0,0,V3/TrNavi_act!V7*100)</f>
        <v>180043.85210662079</v>
      </c>
      <c r="W19" s="62">
        <f>IF(W3=0,0,W3/TrNavi_act!W7*100)</f>
        <v>180470.76526225277</v>
      </c>
      <c r="X19" s="62">
        <f>IF(X3=0,0,X3/TrNavi_act!X7*100)</f>
        <v>173401.07871492225</v>
      </c>
      <c r="Y19" s="62">
        <f>IF(Y3=0,0,Y3/TrNavi_act!Y7*100)</f>
        <v>196347.64203981747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160025.79535683576</v>
      </c>
      <c r="H20" s="63">
        <f>IF(H4=0,0,H4/TrNavi_act!H8*100)</f>
        <v>180567.49785038689</v>
      </c>
      <c r="I20" s="63">
        <f>IF(I4=0,0,I4/TrNavi_act!I8*100)</f>
        <v>167589.56721123529</v>
      </c>
      <c r="J20" s="63">
        <f>IF(J4=0,0,J4/TrNavi_act!J8*100)</f>
        <v>199674.97850386929</v>
      </c>
      <c r="K20" s="63">
        <f>IF(K4=0,0,K4/TrNavi_act!K8*100)</f>
        <v>183434.22184006876</v>
      </c>
      <c r="L20" s="63">
        <f>IF(L4=0,0,L4/TrNavi_act!L8*100)</f>
        <v>215557.82459157359</v>
      </c>
      <c r="M20" s="63">
        <f>IF(M4=0,0,M4/TrNavi_act!M8*100)</f>
        <v>204600.17196904551</v>
      </c>
      <c r="N20" s="63">
        <f>IF(N4=0,0,N4/TrNavi_act!N8*100)</f>
        <v>203649.42881709855</v>
      </c>
      <c r="O20" s="63">
        <f>IF(O4=0,0,O4/TrNavi_act!O8*100)</f>
        <v>125767.65071176075</v>
      </c>
      <c r="P20" s="63">
        <f>IF(P4=0,0,P4/TrNavi_act!P8*100)</f>
        <v>188478.07394668955</v>
      </c>
      <c r="Q20" s="63">
        <f>IF(Q4=0,0,Q4/TrNavi_act!Q8*100)</f>
        <v>176184.74388895705</v>
      </c>
      <c r="R20" s="63">
        <f>IF(R4=0,0,R4/TrNavi_act!R8*100)</f>
        <v>161391.72091880601</v>
      </c>
      <c r="S20" s="63">
        <f>IF(S4=0,0,S4/TrNavi_act!S8*100)</f>
        <v>167101.2467755804</v>
      </c>
      <c r="T20" s="63">
        <f>IF(T4=0,0,T4/TrNavi_act!T8*100)</f>
        <v>154157.96585186099</v>
      </c>
      <c r="U20" s="63">
        <f>IF(U4=0,0,U4/TrNavi_act!U8*100)</f>
        <v>165513.51867774912</v>
      </c>
      <c r="V20" s="63">
        <f>IF(V4=0,0,V4/TrNavi_act!V8*100)</f>
        <v>180043.85210662079</v>
      </c>
      <c r="W20" s="63">
        <f>IF(W4=0,0,W4/TrNavi_act!W8*100)</f>
        <v>180470.76526225277</v>
      </c>
      <c r="X20" s="63">
        <f>IF(X4=0,0,X4/TrNavi_act!X8*100)</f>
        <v>173401.07871492225</v>
      </c>
      <c r="Y20" s="63">
        <f>IF(Y4=0,0,Y4/TrNavi_act!Y8*100)</f>
        <v>196347.64203981747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>
        <f>IF(X10=0,0,X10/TrNavi_act!X9*100)</f>
        <v>0</v>
      </c>
      <c r="Y21" s="64">
        <f>IF(Y10=0,0,Y10/TrNavi_act!Y9*100)</f>
        <v>0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3786.6965299771832</v>
      </c>
      <c r="H23" s="62">
        <f>IF(H3=0,0,H3/TrNavi_act!H3*1000)</f>
        <v>3832.077628403797</v>
      </c>
      <c r="I23" s="62">
        <f>IF(I3=0,0,I3/TrNavi_act!I3*1000)</f>
        <v>3873.4106443274723</v>
      </c>
      <c r="J23" s="62">
        <f>IF(J3=0,0,J3/TrNavi_act!J3*1000)</f>
        <v>3871.1705797570626</v>
      </c>
      <c r="K23" s="62">
        <f>IF(K3=0,0,K3/TrNavi_act!K3*1000)</f>
        <v>3837.5360217587609</v>
      </c>
      <c r="L23" s="62">
        <f>IF(L3=0,0,L3/TrNavi_act!L3*1000)</f>
        <v>4088.3418604376216</v>
      </c>
      <c r="M23" s="62">
        <f>IF(M3=0,0,M3/TrNavi_act!M3*1000)</f>
        <v>4348.5690110317855</v>
      </c>
      <c r="N23" s="62">
        <f>IF(N3=0,0,N3/TrNavi_act!N3*1000)</f>
        <v>3806.5313797588515</v>
      </c>
      <c r="O23" s="62">
        <f>IF(O3=0,0,O3/TrNavi_act!O3*1000)</f>
        <v>3219.3084653181077</v>
      </c>
      <c r="P23" s="62">
        <f>IF(P3=0,0,P3/TrNavi_act!P3*1000)</f>
        <v>3044.8800314489426</v>
      </c>
      <c r="Q23" s="62">
        <f>IF(Q3=0,0,Q3/TrNavi_act!Q3*1000)</f>
        <v>3122.2612841080995</v>
      </c>
      <c r="R23" s="62">
        <f>IF(R3=0,0,R3/TrNavi_act!R3*1000)</f>
        <v>3094.3359255865303</v>
      </c>
      <c r="S23" s="62">
        <f>IF(S3=0,0,S3/TrNavi_act!S3*1000)</f>
        <v>3146.9161351333405</v>
      </c>
      <c r="T23" s="62">
        <f>IF(T3=0,0,T3/TrNavi_act!T3*1000)</f>
        <v>3080.5188722895432</v>
      </c>
      <c r="U23" s="62">
        <f>IF(U3=0,0,U3/TrNavi_act!U3*1000)</f>
        <v>3181.5926272954757</v>
      </c>
      <c r="V23" s="62">
        <f>IF(V3=0,0,V3/TrNavi_act!V3*1000)</f>
        <v>3242.2807870812317</v>
      </c>
      <c r="W23" s="62">
        <f>IF(W3=0,0,W3/TrNavi_act!W3*1000)</f>
        <v>3302.8049155818717</v>
      </c>
      <c r="X23" s="62">
        <f>IF(X3=0,0,X3/TrNavi_act!X3*1000)</f>
        <v>3261.0905554182673</v>
      </c>
      <c r="Y23" s="62">
        <f>IF(Y3=0,0,Y3/TrNavi_act!Y3*1000)</f>
        <v>3357.6944837116903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3786.6965299771832</v>
      </c>
      <c r="H24" s="63">
        <f>IF(H4=0,0,H4/TrNavi_act!H4*1000)</f>
        <v>3832.077628403797</v>
      </c>
      <c r="I24" s="63">
        <f>IF(I4=0,0,I4/TrNavi_act!I4*1000)</f>
        <v>3873.4106443274723</v>
      </c>
      <c r="J24" s="63">
        <f>IF(J4=0,0,J4/TrNavi_act!J4*1000)</f>
        <v>3871.1705797570626</v>
      </c>
      <c r="K24" s="63">
        <f>IF(K4=0,0,K4/TrNavi_act!K4*1000)</f>
        <v>3837.5360217587609</v>
      </c>
      <c r="L24" s="63">
        <f>IF(L4=0,0,L4/TrNavi_act!L4*1000)</f>
        <v>4088.3418604376216</v>
      </c>
      <c r="M24" s="63">
        <f>IF(M4=0,0,M4/TrNavi_act!M4*1000)</f>
        <v>4348.5690110317855</v>
      </c>
      <c r="N24" s="63">
        <f>IF(N4=0,0,N4/TrNavi_act!N4*1000)</f>
        <v>3806.5313797588515</v>
      </c>
      <c r="O24" s="63">
        <f>IF(O4=0,0,O4/TrNavi_act!O4*1000)</f>
        <v>3219.3084653181077</v>
      </c>
      <c r="P24" s="63">
        <f>IF(P4=0,0,P4/TrNavi_act!P4*1000)</f>
        <v>3044.8800314489426</v>
      </c>
      <c r="Q24" s="63">
        <f>IF(Q4=0,0,Q4/TrNavi_act!Q4*1000)</f>
        <v>3122.2612841080995</v>
      </c>
      <c r="R24" s="63">
        <f>IF(R4=0,0,R4/TrNavi_act!R4*1000)</f>
        <v>3094.3359255865303</v>
      </c>
      <c r="S24" s="63">
        <f>IF(S4=0,0,S4/TrNavi_act!S4*1000)</f>
        <v>3146.9161351333405</v>
      </c>
      <c r="T24" s="63">
        <f>IF(T4=0,0,T4/TrNavi_act!T4*1000)</f>
        <v>3080.5188722895432</v>
      </c>
      <c r="U24" s="63">
        <f>IF(U4=0,0,U4/TrNavi_act!U4*1000)</f>
        <v>3181.5926272954757</v>
      </c>
      <c r="V24" s="63">
        <f>IF(V4=0,0,V4/TrNavi_act!V4*1000)</f>
        <v>3242.2807870812317</v>
      </c>
      <c r="W24" s="63">
        <f>IF(W4=0,0,W4/TrNavi_act!W4*1000)</f>
        <v>3302.8049155818717</v>
      </c>
      <c r="X24" s="63">
        <f>IF(X4=0,0,X4/TrNavi_act!X4*1000)</f>
        <v>3261.0905554182673</v>
      </c>
      <c r="Y24" s="63">
        <f>IF(Y4=0,0,Y4/TrNavi_act!Y4*1000)</f>
        <v>3357.6944837116903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>
        <f>IF(X10=0,0,X10/TrNavi_act!X5*1000)</f>
        <v>0</v>
      </c>
      <c r="Y25" s="64">
        <f>IF(Y10=0,0,Y10/TrNavi_act!Y5*1000)</f>
        <v>0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1</v>
      </c>
      <c r="H28" s="77">
        <f t="shared" si="9"/>
        <v>1</v>
      </c>
      <c r="I28" s="77">
        <f t="shared" si="9"/>
        <v>1</v>
      </c>
      <c r="J28" s="77">
        <f t="shared" si="9"/>
        <v>1</v>
      </c>
      <c r="K28" s="77">
        <f t="shared" si="9"/>
        <v>1</v>
      </c>
      <c r="L28" s="77">
        <f t="shared" si="9"/>
        <v>1</v>
      </c>
      <c r="M28" s="77">
        <f t="shared" si="9"/>
        <v>1</v>
      </c>
      <c r="N28" s="77">
        <f t="shared" si="9"/>
        <v>1</v>
      </c>
      <c r="O28" s="77">
        <f t="shared" si="9"/>
        <v>1</v>
      </c>
      <c r="P28" s="77">
        <f t="shared" si="9"/>
        <v>1</v>
      </c>
      <c r="Q28" s="77">
        <f t="shared" si="9"/>
        <v>1</v>
      </c>
      <c r="R28" s="77">
        <f t="shared" si="9"/>
        <v>1</v>
      </c>
      <c r="S28" s="77">
        <f t="shared" si="9"/>
        <v>1</v>
      </c>
      <c r="T28" s="77">
        <f t="shared" si="9"/>
        <v>1</v>
      </c>
      <c r="U28" s="77">
        <f t="shared" si="9"/>
        <v>1</v>
      </c>
      <c r="V28" s="77">
        <f t="shared" ref="V28:W28" si="10">IF(V4=0,0,V4/V$3)</f>
        <v>1</v>
      </c>
      <c r="W28" s="77">
        <f t="shared" si="10"/>
        <v>1</v>
      </c>
      <c r="X28" s="77">
        <f t="shared" ref="X28:Y28" si="11">IF(X4=0,0,X4/X$3)</f>
        <v>1</v>
      </c>
      <c r="Y28" s="77">
        <f t="shared" si="11"/>
        <v>1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0</v>
      </c>
      <c r="W29" s="78">
        <f t="shared" si="13"/>
        <v>0</v>
      </c>
      <c r="X29" s="78">
        <f t="shared" ref="X29:Y29" si="14">IF(X10=0,0,X10/X$3)</f>
        <v>0</v>
      </c>
      <c r="Y29" s="78">
        <f t="shared" si="14"/>
        <v>0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25.219347840000001</v>
      </c>
      <c r="H3" s="54">
        <f t="shared" si="1"/>
        <v>28.405796039999998</v>
      </c>
      <c r="I3" s="54">
        <f t="shared" si="1"/>
        <v>31.591977480000004</v>
      </c>
      <c r="J3" s="54">
        <f t="shared" si="1"/>
        <v>31.501765080000002</v>
      </c>
      <c r="K3" s="54">
        <f t="shared" si="1"/>
        <v>28.586487599999998</v>
      </c>
      <c r="L3" s="54">
        <f t="shared" si="1"/>
        <v>53.896047840000016</v>
      </c>
      <c r="M3" s="54">
        <f t="shared" si="1"/>
        <v>50.890557959999995</v>
      </c>
      <c r="N3" s="54">
        <f t="shared" si="1"/>
        <v>44.427449159999988</v>
      </c>
      <c r="O3" s="54">
        <f t="shared" si="1"/>
        <v>35.049329639999996</v>
      </c>
      <c r="P3" s="54">
        <f t="shared" si="1"/>
        <v>35.049329639999996</v>
      </c>
      <c r="Q3" s="54">
        <f t="shared" si="1"/>
        <v>38.235511079999988</v>
      </c>
      <c r="R3" s="54">
        <f t="shared" si="1"/>
        <v>35.049329639999996</v>
      </c>
      <c r="S3" s="54">
        <f t="shared" si="1"/>
        <v>41.256532440000001</v>
      </c>
      <c r="T3" s="54">
        <f t="shared" si="1"/>
        <v>33.409242720000009</v>
      </c>
      <c r="U3" s="54">
        <f t="shared" si="1"/>
        <v>46.138547160000002</v>
      </c>
      <c r="V3" s="54">
        <f t="shared" si="1"/>
        <v>55.812916079999994</v>
      </c>
      <c r="W3" s="54">
        <f t="shared" ref="W3:Y3" si="2">SUM(W4:W5)</f>
        <v>67.134630600000008</v>
      </c>
      <c r="X3" s="54">
        <f t="shared" si="2"/>
        <v>59.082816960000002</v>
      </c>
      <c r="Y3" s="54">
        <f t="shared" si="2"/>
        <v>79.128039240000007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25.219347840000001</v>
      </c>
      <c r="H4" s="56">
        <v>28.405796039999998</v>
      </c>
      <c r="I4" s="56">
        <v>31.591977480000004</v>
      </c>
      <c r="J4" s="56">
        <v>31.501765080000002</v>
      </c>
      <c r="K4" s="56">
        <v>28.586487599999998</v>
      </c>
      <c r="L4" s="56">
        <v>53.896047840000016</v>
      </c>
      <c r="M4" s="56">
        <v>50.890557959999995</v>
      </c>
      <c r="N4" s="56">
        <v>44.427449159999988</v>
      </c>
      <c r="O4" s="56">
        <v>35.049329639999996</v>
      </c>
      <c r="P4" s="56">
        <v>35.049329639999996</v>
      </c>
      <c r="Q4" s="56">
        <v>38.235511079999988</v>
      </c>
      <c r="R4" s="56">
        <v>35.049329639999996</v>
      </c>
      <c r="S4" s="56">
        <v>41.256532440000001</v>
      </c>
      <c r="T4" s="56">
        <v>33.409242720000009</v>
      </c>
      <c r="U4" s="56">
        <v>46.138547160000002</v>
      </c>
      <c r="V4" s="56">
        <v>55.812916079999994</v>
      </c>
      <c r="W4" s="56">
        <v>67.134630600000008</v>
      </c>
      <c r="X4" s="56">
        <v>59.082816960000002</v>
      </c>
      <c r="Y4" s="56">
        <v>79.128039240000007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3.1519103259276773</v>
      </c>
      <c r="H9" s="79">
        <f>IF(H3=0,0,H3/TrNavi_ene!H3)</f>
        <v>3.1462800756685718</v>
      </c>
      <c r="I9" s="79">
        <f>IF(I3=0,0,I3/TrNavi_ene!I3)</f>
        <v>3.1418003325728558</v>
      </c>
      <c r="J9" s="79">
        <f>IF(J3=0,0,J3/TrNavi_ene!J3)</f>
        <v>3.1553042164859488</v>
      </c>
      <c r="K9" s="79">
        <f>IF(K3=0,0,K3/TrNavi_ene!K3)</f>
        <v>3.1168107361039499</v>
      </c>
      <c r="L9" s="79">
        <f>IF(L3=0,0,L3/TrNavi_ene!L3)</f>
        <v>3.1253822461628977</v>
      </c>
      <c r="M9" s="79">
        <f>IF(M3=0,0,M3/TrNavi_ene!M3)</f>
        <v>3.1091468222042451</v>
      </c>
      <c r="N9" s="79">
        <f>IF(N3=0,0,N3/TrNavi_ene!N3)</f>
        <v>3.1165216069074924</v>
      </c>
      <c r="O9" s="79">
        <f>IF(O3=0,0,O3/TrNavi_ene!O3)</f>
        <v>3.0964798483238511</v>
      </c>
      <c r="P9" s="79">
        <f>IF(P3=0,0,P3/TrNavi_ene!P3)</f>
        <v>3.0993286474543797</v>
      </c>
      <c r="Q9" s="79">
        <f>IF(Q3=0,0,Q3/TrNavi_ene!Q3)</f>
        <v>3.1002774406018188</v>
      </c>
      <c r="R9" s="79">
        <f>IF(R3=0,0,R3/TrNavi_ene!R3)</f>
        <v>3.1024188000000001</v>
      </c>
      <c r="S9" s="79">
        <f>IF(S3=0,0,S3/TrNavi_ene!S3)</f>
        <v>3.0861927451241709</v>
      </c>
      <c r="T9" s="79">
        <f>IF(T3=0,0,T3/TrNavi_ene!T3)</f>
        <v>3.0960118950884459</v>
      </c>
      <c r="U9" s="79">
        <f>IF(U3=0,0,U3/TrNavi_ene!U3)</f>
        <v>3.0973332456191596</v>
      </c>
      <c r="V9" s="79">
        <f>IF(V3=0,0,V3/TrNavi_ene!V3)</f>
        <v>3.0999623384500765</v>
      </c>
      <c r="W9" s="79">
        <f>IF(W3=0,0,W3/TrNavi_ene!W3)</f>
        <v>3.0999771857066292</v>
      </c>
      <c r="X9" s="79">
        <f>IF(X3=0,0,X3/TrNavi_ene!X3)</f>
        <v>3.0975385032132423</v>
      </c>
      <c r="Y9" s="79">
        <f>IF(Y3=0,0,Y3/TrNavi_ene!Y3)</f>
        <v>3.0999976297125227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3.1519103259276773</v>
      </c>
      <c r="H10" s="80">
        <f>IF(H4=0,0,H4/TrNavi_ene!H4)</f>
        <v>3.1462800756685718</v>
      </c>
      <c r="I10" s="80">
        <f>IF(I4=0,0,I4/TrNavi_ene!I4)</f>
        <v>3.1418003325728558</v>
      </c>
      <c r="J10" s="80">
        <f>IF(J4=0,0,J4/TrNavi_ene!J4)</f>
        <v>3.1553042164859488</v>
      </c>
      <c r="K10" s="80">
        <f>IF(K4=0,0,K4/TrNavi_ene!K4)</f>
        <v>3.1168107361039499</v>
      </c>
      <c r="L10" s="80">
        <f>IF(L4=0,0,L4/TrNavi_ene!L4)</f>
        <v>3.1253822461628977</v>
      </c>
      <c r="M10" s="80">
        <f>IF(M4=0,0,M4/TrNavi_ene!M4)</f>
        <v>3.1091468222042451</v>
      </c>
      <c r="N10" s="80">
        <f>IF(N4=0,0,N4/TrNavi_ene!N4)</f>
        <v>3.1165216069074924</v>
      </c>
      <c r="O10" s="80">
        <f>IF(O4=0,0,O4/TrNavi_ene!O4)</f>
        <v>3.0964798483238511</v>
      </c>
      <c r="P10" s="80">
        <f>IF(P4=0,0,P4/TrNavi_ene!P4)</f>
        <v>3.0993286474543797</v>
      </c>
      <c r="Q10" s="80">
        <f>IF(Q4=0,0,Q4/TrNavi_ene!Q4)</f>
        <v>3.1002774406018188</v>
      </c>
      <c r="R10" s="80">
        <f>IF(R4=0,0,R4/TrNavi_ene!R4)</f>
        <v>3.1024188000000001</v>
      </c>
      <c r="S10" s="80">
        <f>IF(S4=0,0,S4/TrNavi_ene!S4)</f>
        <v>3.0861927451241709</v>
      </c>
      <c r="T10" s="80">
        <f>IF(T4=0,0,T4/TrNavi_ene!T4)</f>
        <v>3.0960118950884459</v>
      </c>
      <c r="U10" s="80">
        <f>IF(U4=0,0,U4/TrNavi_ene!U4)</f>
        <v>3.0973332456191596</v>
      </c>
      <c r="V10" s="80">
        <f>IF(V4=0,0,V4/TrNavi_ene!V4)</f>
        <v>3.0999623384500765</v>
      </c>
      <c r="W10" s="80">
        <f>IF(W4=0,0,W4/TrNavi_ene!W4)</f>
        <v>3.0999771857066292</v>
      </c>
      <c r="X10" s="80">
        <f>IF(X4=0,0,X4/TrNavi_ene!X4)</f>
        <v>3.0975385032132423</v>
      </c>
      <c r="Y10" s="80">
        <f>IF(Y4=0,0,Y4/TrNavi_ene!Y4)</f>
        <v>3.0999976297125227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>
        <f>IF(X5=0,0,X5/TrNavi_ene!X10)</f>
        <v>0</v>
      </c>
      <c r="Y11" s="81">
        <f>IF(Y5=0,0,Y5/TrNavi_ene!Y10)</f>
        <v>0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5043869.568</v>
      </c>
      <c r="H13" s="54">
        <f>IF(H3=0,0,H3/TrNavi_act!H7*1000)</f>
        <v>5681159.2079999987</v>
      </c>
      <c r="I13" s="54">
        <f>IF(I3=0,0,I3/TrNavi_act!I7*1000)</f>
        <v>5265329.58</v>
      </c>
      <c r="J13" s="54">
        <f>IF(J3=0,0,J3/TrNavi_act!J7*1000)</f>
        <v>6300353.0159999998</v>
      </c>
      <c r="K13" s="54">
        <f>IF(K3=0,0,K3/TrNavi_act!K7*1000)</f>
        <v>5717297.5199999996</v>
      </c>
      <c r="L13" s="54">
        <f>IF(L3=0,0,L3/TrNavi_act!L7*1000)</f>
        <v>6737005.9800000014</v>
      </c>
      <c r="M13" s="54">
        <f>IF(M3=0,0,M3/TrNavi_act!M7*1000)</f>
        <v>6361319.7449999992</v>
      </c>
      <c r="N13" s="54">
        <f>IF(N3=0,0,N3/TrNavi_act!N7*1000)</f>
        <v>6346778.4514285699</v>
      </c>
      <c r="O13" s="54">
        <f>IF(O3=0,0,O3/TrNavi_act!O7*1000)</f>
        <v>3894369.96</v>
      </c>
      <c r="P13" s="54">
        <f>IF(P3=0,0,P3/TrNavi_act!P7*1000)</f>
        <v>5841554.9399999995</v>
      </c>
      <c r="Q13" s="54">
        <f>IF(Q3=0,0,Q3/TrNavi_act!Q7*1000)</f>
        <v>5462215.8685714267</v>
      </c>
      <c r="R13" s="54">
        <f>IF(R3=0,0,R3/TrNavi_act!R7*1000)</f>
        <v>5007047.0914285704</v>
      </c>
      <c r="S13" s="54">
        <f>IF(S3=0,0,S3/TrNavi_act!S7*1000)</f>
        <v>5157066.5550000006</v>
      </c>
      <c r="T13" s="54">
        <f>IF(T3=0,0,T3/TrNavi_act!T7*1000)</f>
        <v>4772748.9600000009</v>
      </c>
      <c r="U13" s="54">
        <f>IF(U3=0,0,U3/TrNavi_act!U7*1000)</f>
        <v>5126505.24</v>
      </c>
      <c r="V13" s="54">
        <f>IF(V3=0,0,V3/TrNavi_act!V7*1000)</f>
        <v>5581291.6079999991</v>
      </c>
      <c r="W13" s="54">
        <f>IF(W3=0,0,W3/TrNavi_act!W7*1000)</f>
        <v>5594552.5500000007</v>
      </c>
      <c r="X13" s="54">
        <f>IF(X3=0,0,X3/TrNavi_act!X7*1000)</f>
        <v>5371165.1781818187</v>
      </c>
      <c r="Y13" s="54">
        <f>IF(Y3=0,0,Y3/TrNavi_act!Y7*1000)</f>
        <v>6086772.2492307704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5043869.568</v>
      </c>
      <c r="H14" s="56">
        <f>IF(H4=0,0,H4/TrNavi_act!H8*1000)</f>
        <v>5681159.2079999987</v>
      </c>
      <c r="I14" s="56">
        <f>IF(I4=0,0,I4/TrNavi_act!I8*1000)</f>
        <v>5265329.58</v>
      </c>
      <c r="J14" s="56">
        <f>IF(J4=0,0,J4/TrNavi_act!J8*1000)</f>
        <v>6300353.0159999998</v>
      </c>
      <c r="K14" s="56">
        <f>IF(K4=0,0,K4/TrNavi_act!K8*1000)</f>
        <v>5717297.5199999996</v>
      </c>
      <c r="L14" s="56">
        <f>IF(L4=0,0,L4/TrNavi_act!L8*1000)</f>
        <v>6737005.9800000014</v>
      </c>
      <c r="M14" s="56">
        <f>IF(M4=0,0,M4/TrNavi_act!M8*1000)</f>
        <v>6361319.7449999992</v>
      </c>
      <c r="N14" s="56">
        <f>IF(N4=0,0,N4/TrNavi_act!N8*1000)</f>
        <v>6346778.4514285699</v>
      </c>
      <c r="O14" s="56">
        <f>IF(O4=0,0,O4/TrNavi_act!O8*1000)</f>
        <v>3894369.96</v>
      </c>
      <c r="P14" s="56">
        <f>IF(P4=0,0,P4/TrNavi_act!P8*1000)</f>
        <v>5841554.9399999995</v>
      </c>
      <c r="Q14" s="56">
        <f>IF(Q4=0,0,Q4/TrNavi_act!Q8*1000)</f>
        <v>5462215.8685714267</v>
      </c>
      <c r="R14" s="56">
        <f>IF(R4=0,0,R4/TrNavi_act!R8*1000)</f>
        <v>5007047.0914285704</v>
      </c>
      <c r="S14" s="56">
        <f>IF(S4=0,0,S4/TrNavi_act!S8*1000)</f>
        <v>5157066.5550000006</v>
      </c>
      <c r="T14" s="56">
        <f>IF(T4=0,0,T4/TrNavi_act!T8*1000)</f>
        <v>4772748.9600000009</v>
      </c>
      <c r="U14" s="56">
        <f>IF(U4=0,0,U4/TrNavi_act!U8*1000)</f>
        <v>5126505.24</v>
      </c>
      <c r="V14" s="56">
        <f>IF(V4=0,0,V4/TrNavi_act!V8*1000)</f>
        <v>5581291.6079999991</v>
      </c>
      <c r="W14" s="56">
        <f>IF(W4=0,0,W4/TrNavi_act!W8*1000)</f>
        <v>5594552.5500000007</v>
      </c>
      <c r="X14" s="56">
        <f>IF(X4=0,0,X4/TrNavi_act!X8*1000)</f>
        <v>5371165.1781818187</v>
      </c>
      <c r="Y14" s="56">
        <f>IF(Y4=0,0,Y4/TrNavi_act!Y8*1000)</f>
        <v>6086772.2492307704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58">
        <f>IF(X5=0,0,X5/TrNavi_act!X9*1000)</f>
        <v>0</v>
      </c>
      <c r="Y15" s="58">
        <f>IF(Y5=0,0,Y5/TrNavi_act!Y9*1000)</f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11935.32789398959</v>
      </c>
      <c r="H17" s="62">
        <f>IF(H3=0,0,H3/TrNavi_act!H3*1000)</f>
        <v>12056.789490662139</v>
      </c>
      <c r="I17" s="62">
        <f>IF(I3=0,0,I3/TrNavi_act!I3*1000)</f>
        <v>12169.482850539292</v>
      </c>
      <c r="J17" s="62">
        <f>IF(J3=0,0,J3/TrNavi_act!J3*1000)</f>
        <v>12214.720853043815</v>
      </c>
      <c r="K17" s="62">
        <f>IF(K3=0,0,K3/TrNavi_act!K3*1000)</f>
        <v>11960.873472803347</v>
      </c>
      <c r="L17" s="62">
        <f>IF(L3=0,0,L3/TrNavi_act!L3*1000)</f>
        <v>12777.631066856333</v>
      </c>
      <c r="M17" s="62">
        <f>IF(M3=0,0,M3/TrNavi_act!M3*1000)</f>
        <v>13520.339521785334</v>
      </c>
      <c r="N17" s="62">
        <f>IF(N3=0,0,N3/TrNavi_act!N3*1000)</f>
        <v>11863.137292389849</v>
      </c>
      <c r="O17" s="62">
        <f>IF(O3=0,0,O3/TrNavi_act!O3*1000)</f>
        <v>9968.5237883959035</v>
      </c>
      <c r="P17" s="62">
        <f>IF(P3=0,0,P3/TrNavi_act!P3*1000)</f>
        <v>9437.0839095315023</v>
      </c>
      <c r="Q17" s="62">
        <f>IF(Q3=0,0,Q3/TrNavi_act!Q3*1000)</f>
        <v>9679.8762227848056</v>
      </c>
      <c r="R17" s="62">
        <f>IF(R3=0,0,R3/TrNavi_act!R3*1000)</f>
        <v>9599.9259490550521</v>
      </c>
      <c r="S17" s="62">
        <f>IF(S3=0,0,S3/TrNavi_act!S3*1000)</f>
        <v>9711.9897457627103</v>
      </c>
      <c r="T17" s="62">
        <f>IF(T3=0,0,T3/TrNavi_act!T3*1000)</f>
        <v>9537.3230716528706</v>
      </c>
      <c r="U17" s="62">
        <f>IF(U3=0,0,U3/TrNavi_act!U3*1000)</f>
        <v>9854.452618539086</v>
      </c>
      <c r="V17" s="62">
        <f>IF(V3=0,0,V3/TrNavi_act!V3*1000)</f>
        <v>10050.948330632091</v>
      </c>
      <c r="W17" s="62">
        <f>IF(W3=0,0,W3/TrNavi_act!W3*1000)</f>
        <v>10238.61988714351</v>
      </c>
      <c r="X17" s="62">
        <f>IF(X3=0,0,X3/TrNavi_act!X3*1000)</f>
        <v>10101.353557873141</v>
      </c>
      <c r="Y17" s="62">
        <f>IF(Y3=0,0,Y3/TrNavi_act!Y3*1000)</f>
        <v>10408.844940805051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11935.32789398959</v>
      </c>
      <c r="H18" s="63">
        <f>IF(H4=0,0,H4/TrNavi_act!H4*1000)</f>
        <v>12056.789490662139</v>
      </c>
      <c r="I18" s="63">
        <f>IF(I4=0,0,I4/TrNavi_act!I4*1000)</f>
        <v>12169.482850539292</v>
      </c>
      <c r="J18" s="63">
        <f>IF(J4=0,0,J4/TrNavi_act!J4*1000)</f>
        <v>12214.720853043815</v>
      </c>
      <c r="K18" s="63">
        <f>IF(K4=0,0,K4/TrNavi_act!K4*1000)</f>
        <v>11960.873472803347</v>
      </c>
      <c r="L18" s="63">
        <f>IF(L4=0,0,L4/TrNavi_act!L4*1000)</f>
        <v>12777.631066856333</v>
      </c>
      <c r="M18" s="63">
        <f>IF(M4=0,0,M4/TrNavi_act!M4*1000)</f>
        <v>13520.339521785334</v>
      </c>
      <c r="N18" s="63">
        <f>IF(N4=0,0,N4/TrNavi_act!N4*1000)</f>
        <v>11863.137292389849</v>
      </c>
      <c r="O18" s="63">
        <f>IF(O4=0,0,O4/TrNavi_act!O4*1000)</f>
        <v>9968.5237883959035</v>
      </c>
      <c r="P18" s="63">
        <f>IF(P4=0,0,P4/TrNavi_act!P4*1000)</f>
        <v>9437.0839095315023</v>
      </c>
      <c r="Q18" s="63">
        <f>IF(Q4=0,0,Q4/TrNavi_act!Q4*1000)</f>
        <v>9679.8762227848056</v>
      </c>
      <c r="R18" s="63">
        <f>IF(R4=0,0,R4/TrNavi_act!R4*1000)</f>
        <v>9599.9259490550521</v>
      </c>
      <c r="S18" s="63">
        <f>IF(S4=0,0,S4/TrNavi_act!S4*1000)</f>
        <v>9711.9897457627103</v>
      </c>
      <c r="T18" s="63">
        <f>IF(T4=0,0,T4/TrNavi_act!T4*1000)</f>
        <v>9537.3230716528706</v>
      </c>
      <c r="U18" s="63">
        <f>IF(U4=0,0,U4/TrNavi_act!U4*1000)</f>
        <v>9854.452618539086</v>
      </c>
      <c r="V18" s="63">
        <f>IF(V4=0,0,V4/TrNavi_act!V4*1000)</f>
        <v>10050.948330632091</v>
      </c>
      <c r="W18" s="63">
        <f>IF(W4=0,0,W4/TrNavi_act!W4*1000)</f>
        <v>10238.61988714351</v>
      </c>
      <c r="X18" s="63">
        <f>IF(X4=0,0,X4/TrNavi_act!X4*1000)</f>
        <v>10101.353557873141</v>
      </c>
      <c r="Y18" s="63">
        <f>IF(Y4=0,0,Y4/TrNavi_act!Y4*1000)</f>
        <v>10408.844940805051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>
        <f>IF(X5=0,0,X5/TrNavi_act!X5*1000)</f>
        <v>0</v>
      </c>
      <c r="Y19" s="64">
        <f>IF(Y5=0,0,Y5/TrNavi_act!Y5*1000)</f>
        <v>0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1</v>
      </c>
      <c r="H22" s="77">
        <f t="shared" si="6"/>
        <v>1</v>
      </c>
      <c r="I22" s="77">
        <f t="shared" si="6"/>
        <v>1</v>
      </c>
      <c r="J22" s="77">
        <f t="shared" si="6"/>
        <v>1</v>
      </c>
      <c r="K22" s="77">
        <f t="shared" si="6"/>
        <v>1</v>
      </c>
      <c r="L22" s="77">
        <f t="shared" si="6"/>
        <v>1</v>
      </c>
      <c r="M22" s="77">
        <f t="shared" si="6"/>
        <v>1</v>
      </c>
      <c r="N22" s="77">
        <f t="shared" si="6"/>
        <v>1</v>
      </c>
      <c r="O22" s="77">
        <f t="shared" si="6"/>
        <v>1</v>
      </c>
      <c r="P22" s="77">
        <f t="shared" si="6"/>
        <v>1</v>
      </c>
      <c r="Q22" s="77">
        <f t="shared" si="6"/>
        <v>1</v>
      </c>
      <c r="R22" s="77">
        <f t="shared" si="6"/>
        <v>1</v>
      </c>
      <c r="S22" s="77">
        <f t="shared" si="6"/>
        <v>1</v>
      </c>
      <c r="T22" s="77">
        <f t="shared" si="6"/>
        <v>1</v>
      </c>
      <c r="U22" s="77">
        <f t="shared" si="6"/>
        <v>1</v>
      </c>
      <c r="V22" s="77">
        <f t="shared" ref="V22:W22" si="7">IF(V4=0,0,V4/V$3)</f>
        <v>1</v>
      </c>
      <c r="W22" s="77">
        <f t="shared" si="7"/>
        <v>1</v>
      </c>
      <c r="X22" s="77">
        <f t="shared" ref="X22:Y22" si="8">IF(X4=0,0,X4/X$3)</f>
        <v>1</v>
      </c>
      <c r="Y22" s="77">
        <f t="shared" si="8"/>
        <v>1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0</v>
      </c>
      <c r="W23" s="78">
        <f t="shared" si="10"/>
        <v>0</v>
      </c>
      <c r="X23" s="78">
        <f t="shared" ref="X23:Y23" si="11">IF(X5=0,0,X5/X$3)</f>
        <v>0</v>
      </c>
      <c r="Y23" s="78">
        <f t="shared" si="11"/>
        <v>0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3259.7195629999997</v>
      </c>
      <c r="C3" s="54">
        <f t="shared" si="0"/>
        <v>3524.284983</v>
      </c>
      <c r="D3" s="54">
        <f t="shared" si="0"/>
        <v>3627.9979960000001</v>
      </c>
      <c r="E3" s="54">
        <f t="shared" si="0"/>
        <v>4480.6051710000002</v>
      </c>
      <c r="F3" s="54">
        <f t="shared" si="0"/>
        <v>5813.5357339999991</v>
      </c>
      <c r="G3" s="54">
        <f t="shared" si="0"/>
        <v>4202.0340670000005</v>
      </c>
      <c r="H3" s="54">
        <f t="shared" si="0"/>
        <v>4552.4063559999995</v>
      </c>
      <c r="I3" s="54">
        <f t="shared" si="0"/>
        <v>4588.8240889999997</v>
      </c>
      <c r="J3" s="54">
        <f t="shared" si="0"/>
        <v>4559.9663149999997</v>
      </c>
      <c r="K3" s="54">
        <f t="shared" si="0"/>
        <v>5021.8026890000001</v>
      </c>
      <c r="L3" s="54">
        <f t="shared" si="0"/>
        <v>4710.4581830000006</v>
      </c>
      <c r="M3" s="54">
        <f t="shared" si="0"/>
        <v>4301.350735</v>
      </c>
      <c r="N3" s="54">
        <f t="shared" si="0"/>
        <v>4149.4414569999999</v>
      </c>
      <c r="O3" s="54">
        <f t="shared" si="0"/>
        <v>4778.8879159999997</v>
      </c>
      <c r="P3" s="54">
        <f t="shared" si="0"/>
        <v>5638.1130699999994</v>
      </c>
      <c r="Q3" s="54">
        <f t="shared" si="0"/>
        <v>4318.4438150000005</v>
      </c>
      <c r="R3" s="54">
        <f t="shared" ref="R3:W3" si="1">SUM(R4:R5)</f>
        <v>4154.4122800000005</v>
      </c>
      <c r="S3" s="54">
        <f t="shared" si="1"/>
        <v>5215.367201</v>
      </c>
      <c r="T3" s="54">
        <f t="shared" si="1"/>
        <v>6274.2475749999994</v>
      </c>
      <c r="U3" s="54">
        <f t="shared" si="1"/>
        <v>7543.9961669999993</v>
      </c>
      <c r="V3" s="54">
        <f t="shared" si="1"/>
        <v>4863.4919339999997</v>
      </c>
      <c r="W3" s="54">
        <f t="shared" si="1"/>
        <v>3662.8549410000001</v>
      </c>
      <c r="X3" s="54">
        <f t="shared" ref="X3:Y3" si="2">SUM(X4:X5)</f>
        <v>5113.8559699999996</v>
      </c>
      <c r="Y3" s="54">
        <f t="shared" si="2"/>
        <v>8809.156755</v>
      </c>
      <c r="DA3" s="172" t="s">
        <v>388</v>
      </c>
    </row>
    <row r="4" spans="1:105" ht="11.45" customHeight="1" x14ac:dyDescent="0.25">
      <c r="A4" s="55" t="s">
        <v>166</v>
      </c>
      <c r="B4" s="56">
        <v>1522.218494</v>
      </c>
      <c r="C4" s="56">
        <v>1628.68119</v>
      </c>
      <c r="D4" s="56">
        <v>1674.852026</v>
      </c>
      <c r="E4" s="56">
        <v>2071.8792210000001</v>
      </c>
      <c r="F4" s="56">
        <v>1809.0398349999998</v>
      </c>
      <c r="G4" s="56">
        <v>1927.44812</v>
      </c>
      <c r="H4" s="56">
        <v>1994.113977</v>
      </c>
      <c r="I4" s="56">
        <v>1928.9974400000001</v>
      </c>
      <c r="J4" s="56">
        <v>2327.0264809999999</v>
      </c>
      <c r="K4" s="56">
        <v>2375.707782</v>
      </c>
      <c r="L4" s="56">
        <v>2230.5021770000003</v>
      </c>
      <c r="M4" s="56">
        <v>1792.064018</v>
      </c>
      <c r="N4" s="56">
        <v>2136.7020390000002</v>
      </c>
      <c r="O4" s="56">
        <v>2365.616974</v>
      </c>
      <c r="P4" s="56">
        <v>2175.269104</v>
      </c>
      <c r="Q4" s="56">
        <v>2279.7797869999999</v>
      </c>
      <c r="R4" s="56">
        <v>1764.281999</v>
      </c>
      <c r="S4" s="56">
        <v>2133.7556159999999</v>
      </c>
      <c r="T4" s="56">
        <v>2942.514279</v>
      </c>
      <c r="U4" s="56">
        <v>2577.7582079999997</v>
      </c>
      <c r="V4" s="56">
        <v>2867.0933669999999</v>
      </c>
      <c r="W4" s="56">
        <v>2002.6656379999999</v>
      </c>
      <c r="X4" s="56">
        <v>2473.2157619999998</v>
      </c>
      <c r="Y4" s="56">
        <v>4036.930867</v>
      </c>
      <c r="DA4" s="181" t="s">
        <v>389</v>
      </c>
    </row>
    <row r="5" spans="1:105" ht="11.45" customHeight="1" x14ac:dyDescent="0.25">
      <c r="A5" s="57" t="s">
        <v>167</v>
      </c>
      <c r="B5" s="58">
        <v>1737.5010689999999</v>
      </c>
      <c r="C5" s="58">
        <v>1895.603793</v>
      </c>
      <c r="D5" s="58">
        <v>1953.14597</v>
      </c>
      <c r="E5" s="58">
        <v>2408.72595</v>
      </c>
      <c r="F5" s="58">
        <v>4004.4958989999996</v>
      </c>
      <c r="G5" s="58">
        <v>2274.585947</v>
      </c>
      <c r="H5" s="58">
        <v>2558.292379</v>
      </c>
      <c r="I5" s="58">
        <v>2659.8266490000001</v>
      </c>
      <c r="J5" s="58">
        <v>2232.9398340000002</v>
      </c>
      <c r="K5" s="58">
        <v>2646.0949070000001</v>
      </c>
      <c r="L5" s="58">
        <v>2479.9560059999999</v>
      </c>
      <c r="M5" s="58">
        <v>2509.286717</v>
      </c>
      <c r="N5" s="58">
        <v>2012.7394179999999</v>
      </c>
      <c r="O5" s="58">
        <v>2413.2709420000001</v>
      </c>
      <c r="P5" s="58">
        <v>3462.8439659999999</v>
      </c>
      <c r="Q5" s="58">
        <v>2038.6640280000001</v>
      </c>
      <c r="R5" s="58">
        <v>2390.1302810000002</v>
      </c>
      <c r="S5" s="58">
        <v>3081.6115850000001</v>
      </c>
      <c r="T5" s="58">
        <v>3331.7332959999999</v>
      </c>
      <c r="U5" s="58">
        <v>4966.237959</v>
      </c>
      <c r="V5" s="58">
        <v>1996.398567</v>
      </c>
      <c r="W5" s="58">
        <v>1660.1893030000001</v>
      </c>
      <c r="X5" s="58">
        <v>2640.6402079999998</v>
      </c>
      <c r="Y5" s="58">
        <v>4772.2258879999999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0.31966600000000001</v>
      </c>
      <c r="C7" s="59">
        <f t="shared" si="3"/>
        <v>0.33048099999999997</v>
      </c>
      <c r="D7" s="59">
        <f t="shared" si="3"/>
        <v>0.32646600000000003</v>
      </c>
      <c r="E7" s="59">
        <f t="shared" si="3"/>
        <v>0.402115</v>
      </c>
      <c r="F7" s="59">
        <f t="shared" si="3"/>
        <v>0.42574800000000002</v>
      </c>
      <c r="G7" s="59">
        <f t="shared" si="3"/>
        <v>0.35899399999999998</v>
      </c>
      <c r="H7" s="59">
        <f t="shared" si="3"/>
        <v>0.38056299999999998</v>
      </c>
      <c r="I7" s="59">
        <f t="shared" si="3"/>
        <v>0.39909600000000001</v>
      </c>
      <c r="J7" s="59">
        <f t="shared" si="3"/>
        <v>0.48710500000000001</v>
      </c>
      <c r="K7" s="59">
        <f t="shared" si="3"/>
        <v>0.49814900000000001</v>
      </c>
      <c r="L7" s="59">
        <f t="shared" si="3"/>
        <v>0.47566799999999998</v>
      </c>
      <c r="M7" s="59">
        <f t="shared" si="3"/>
        <v>0.40815899999999994</v>
      </c>
      <c r="N7" s="59">
        <f t="shared" si="3"/>
        <v>0.43118699999999999</v>
      </c>
      <c r="O7" s="59">
        <f t="shared" si="3"/>
        <v>0.46521000000000001</v>
      </c>
      <c r="P7" s="59">
        <f t="shared" si="3"/>
        <v>0.47190399999999999</v>
      </c>
      <c r="Q7" s="59">
        <f t="shared" si="3"/>
        <v>0.41337899999999994</v>
      </c>
      <c r="R7" s="59">
        <f t="shared" si="3"/>
        <v>0.32467400000000002</v>
      </c>
      <c r="S7" s="59">
        <f t="shared" si="3"/>
        <v>0.39410499999999993</v>
      </c>
      <c r="T7" s="59">
        <f t="shared" si="3"/>
        <v>0.53918700000000008</v>
      </c>
      <c r="U7" s="59">
        <f t="shared" si="3"/>
        <v>0.55829499999999999</v>
      </c>
      <c r="V7" s="59">
        <f t="shared" si="3"/>
        <v>0.48288300000000006</v>
      </c>
      <c r="W7" s="59">
        <f t="shared" si="3"/>
        <v>0.350742</v>
      </c>
      <c r="X7" s="59">
        <f t="shared" ref="X7:Y7" si="4">SUM(X8:X9)</f>
        <v>0.49977199999999999</v>
      </c>
      <c r="Y7" s="59">
        <f t="shared" si="4"/>
        <v>0.81193800000000005</v>
      </c>
      <c r="DA7" s="172" t="s">
        <v>963</v>
      </c>
    </row>
    <row r="8" spans="1:105" ht="11.45" customHeight="1" x14ac:dyDescent="0.25">
      <c r="A8" s="55" t="s">
        <v>166</v>
      </c>
      <c r="B8" s="60">
        <v>0.22086800000000001</v>
      </c>
      <c r="C8" s="60">
        <v>0.22847899999999999</v>
      </c>
      <c r="D8" s="60">
        <v>0.224242</v>
      </c>
      <c r="E8" s="60">
        <v>0.27541900000000002</v>
      </c>
      <c r="F8" s="60">
        <v>0.239318</v>
      </c>
      <c r="G8" s="60">
        <v>0.24739</v>
      </c>
      <c r="H8" s="60">
        <v>0.239951</v>
      </c>
      <c r="I8" s="60">
        <v>0.23050200000000001</v>
      </c>
      <c r="J8" s="60">
        <v>0.36216300000000001</v>
      </c>
      <c r="K8" s="60">
        <v>0.362765</v>
      </c>
      <c r="L8" s="60">
        <v>0.34905799999999998</v>
      </c>
      <c r="M8" s="60">
        <v>0.29437199999999997</v>
      </c>
      <c r="N8" s="60">
        <v>0.34648499999999999</v>
      </c>
      <c r="O8" s="60">
        <v>0.37460400000000005</v>
      </c>
      <c r="P8" s="60">
        <v>0.348495</v>
      </c>
      <c r="Q8" s="60">
        <v>0.33715799999999996</v>
      </c>
      <c r="R8" s="60">
        <v>0.246117</v>
      </c>
      <c r="S8" s="60">
        <v>0.29253999999999997</v>
      </c>
      <c r="T8" s="60">
        <v>0.41962500000000003</v>
      </c>
      <c r="U8" s="60">
        <v>0.39187900000000003</v>
      </c>
      <c r="V8" s="60">
        <v>0.40438100000000005</v>
      </c>
      <c r="W8" s="60">
        <v>0.29411300000000001</v>
      </c>
      <c r="X8" s="60">
        <v>0.39397100000000002</v>
      </c>
      <c r="Y8" s="60">
        <v>0.63850099999999999</v>
      </c>
      <c r="DA8" s="181" t="s">
        <v>964</v>
      </c>
    </row>
    <row r="9" spans="1:105" ht="11.45" customHeight="1" x14ac:dyDescent="0.25">
      <c r="A9" s="57" t="s">
        <v>167</v>
      </c>
      <c r="B9" s="61">
        <v>9.8797999999999997E-2</v>
      </c>
      <c r="C9" s="61">
        <v>0.102002</v>
      </c>
      <c r="D9" s="61">
        <v>0.10222400000000001</v>
      </c>
      <c r="E9" s="61">
        <v>0.126696</v>
      </c>
      <c r="F9" s="61">
        <v>0.18642999999999998</v>
      </c>
      <c r="G9" s="61">
        <v>0.11160399999999999</v>
      </c>
      <c r="H9" s="61">
        <v>0.14061199999999999</v>
      </c>
      <c r="I9" s="61">
        <v>0.16859399999999999</v>
      </c>
      <c r="J9" s="61">
        <v>0.124942</v>
      </c>
      <c r="K9" s="61">
        <v>0.135384</v>
      </c>
      <c r="L9" s="61">
        <v>0.12661</v>
      </c>
      <c r="M9" s="61">
        <v>0.113787</v>
      </c>
      <c r="N9" s="61">
        <v>8.4702E-2</v>
      </c>
      <c r="O9" s="61">
        <v>9.0605999999999992E-2</v>
      </c>
      <c r="P9" s="61">
        <v>0.123409</v>
      </c>
      <c r="Q9" s="61">
        <v>7.6220999999999997E-2</v>
      </c>
      <c r="R9" s="61">
        <v>7.8556999999999988E-2</v>
      </c>
      <c r="S9" s="61">
        <v>0.10156499999999999</v>
      </c>
      <c r="T9" s="61">
        <v>0.119562</v>
      </c>
      <c r="U9" s="61">
        <v>0.16641600000000001</v>
      </c>
      <c r="V9" s="61">
        <v>7.8502000000000002E-2</v>
      </c>
      <c r="W9" s="61">
        <v>5.6628999999999999E-2</v>
      </c>
      <c r="X9" s="61">
        <v>0.10580100000000001</v>
      </c>
      <c r="Y9" s="61">
        <v>0.17343700000000001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10197.267031839481</v>
      </c>
      <c r="C13" s="62">
        <f t="shared" si="5"/>
        <v>10664.107718749339</v>
      </c>
      <c r="D13" s="62">
        <f t="shared" si="5"/>
        <v>11112.942836313734</v>
      </c>
      <c r="E13" s="62">
        <f t="shared" si="5"/>
        <v>11142.596448777091</v>
      </c>
      <c r="F13" s="62">
        <f t="shared" si="5"/>
        <v>13654.875029360088</v>
      </c>
      <c r="G13" s="62">
        <f t="shared" si="5"/>
        <v>11705.02589736876</v>
      </c>
      <c r="H13" s="62">
        <f t="shared" si="5"/>
        <v>11962.293643890762</v>
      </c>
      <c r="I13" s="62">
        <f t="shared" si="5"/>
        <v>11498.045806021608</v>
      </c>
      <c r="J13" s="62">
        <f t="shared" si="5"/>
        <v>9361.3621601092163</v>
      </c>
      <c r="K13" s="62">
        <f t="shared" si="5"/>
        <v>10080.924962210102</v>
      </c>
      <c r="L13" s="62">
        <f t="shared" si="5"/>
        <v>9902.8275667061916</v>
      </c>
      <c r="M13" s="62">
        <f t="shared" si="5"/>
        <v>10538.419427233017</v>
      </c>
      <c r="N13" s="62">
        <f t="shared" si="5"/>
        <v>9623.2990720963298</v>
      </c>
      <c r="O13" s="62">
        <f t="shared" si="5"/>
        <v>10272.53910277079</v>
      </c>
      <c r="P13" s="62">
        <f t="shared" si="5"/>
        <v>11947.584826574895</v>
      </c>
      <c r="Q13" s="62">
        <f t="shared" si="5"/>
        <v>10446.693748352</v>
      </c>
      <c r="R13" s="62">
        <f t="shared" si="5"/>
        <v>12795.642028619477</v>
      </c>
      <c r="S13" s="62">
        <f t="shared" si="5"/>
        <v>13233.445911622539</v>
      </c>
      <c r="T13" s="62">
        <f t="shared" si="5"/>
        <v>11636.496382516638</v>
      </c>
      <c r="U13" s="62">
        <f t="shared" si="5"/>
        <v>13512.562654152374</v>
      </c>
      <c r="V13" s="62">
        <f t="shared" si="5"/>
        <v>10071.781226508283</v>
      </c>
      <c r="W13" s="62">
        <f t="shared" si="5"/>
        <v>10443.160331525736</v>
      </c>
      <c r="X13" s="62">
        <f t="shared" ref="X13:Y13" si="6">IF(X3=0,0,X3/X7)</f>
        <v>10232.377904324372</v>
      </c>
      <c r="Y13" s="62">
        <f t="shared" si="6"/>
        <v>10849.543628947036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6891.9829672021297</v>
      </c>
      <c r="C14" s="63">
        <f t="shared" si="5"/>
        <v>7128.3627379321515</v>
      </c>
      <c r="D14" s="63">
        <f t="shared" si="5"/>
        <v>7468.9488409842943</v>
      </c>
      <c r="E14" s="63">
        <f t="shared" si="5"/>
        <v>7522.6444834960548</v>
      </c>
      <c r="F14" s="63">
        <f t="shared" si="5"/>
        <v>7559.1465539574947</v>
      </c>
      <c r="G14" s="63">
        <f t="shared" si="5"/>
        <v>7791.1318970047296</v>
      </c>
      <c r="H14" s="63">
        <f t="shared" si="5"/>
        <v>8310.5049655971434</v>
      </c>
      <c r="I14" s="63">
        <f t="shared" si="5"/>
        <v>8368.6798379189768</v>
      </c>
      <c r="J14" s="63">
        <f t="shared" si="5"/>
        <v>6425.356762010475</v>
      </c>
      <c r="K14" s="63">
        <f t="shared" si="5"/>
        <v>6548.8891761884415</v>
      </c>
      <c r="L14" s="63">
        <f t="shared" si="5"/>
        <v>6390.0617576448622</v>
      </c>
      <c r="M14" s="63">
        <f t="shared" si="5"/>
        <v>6087.7529724294436</v>
      </c>
      <c r="N14" s="63">
        <f t="shared" si="5"/>
        <v>6166.7952119139363</v>
      </c>
      <c r="O14" s="63">
        <f t="shared" si="5"/>
        <v>6314.9805501276005</v>
      </c>
      <c r="P14" s="63">
        <f t="shared" si="5"/>
        <v>6241.8947301969902</v>
      </c>
      <c r="Q14" s="63">
        <f t="shared" si="5"/>
        <v>6761.7549843100278</v>
      </c>
      <c r="R14" s="63">
        <f t="shared" si="5"/>
        <v>7168.4686510887095</v>
      </c>
      <c r="S14" s="63">
        <f t="shared" si="5"/>
        <v>7293.8935393450474</v>
      </c>
      <c r="T14" s="63">
        <f t="shared" si="5"/>
        <v>7012.2473136729222</v>
      </c>
      <c r="U14" s="63">
        <f t="shared" si="5"/>
        <v>6577.9442327861398</v>
      </c>
      <c r="V14" s="63">
        <f t="shared" si="5"/>
        <v>7090.0793237070975</v>
      </c>
      <c r="W14" s="63">
        <f t="shared" si="5"/>
        <v>6809.1707540979141</v>
      </c>
      <c r="X14" s="63">
        <f t="shared" ref="X14:Y14" si="7">IF(X4=0,0,X4/X8)</f>
        <v>6277.6594267090713</v>
      </c>
      <c r="Y14" s="63">
        <f t="shared" si="7"/>
        <v>6322.5129905826307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17586.399208486</v>
      </c>
      <c r="C15" s="64">
        <f t="shared" si="5"/>
        <v>18583.98651987216</v>
      </c>
      <c r="D15" s="64">
        <f t="shared" si="5"/>
        <v>19106.530462513692</v>
      </c>
      <c r="E15" s="64">
        <f t="shared" si="5"/>
        <v>19011.854754688389</v>
      </c>
      <c r="F15" s="64">
        <f t="shared" si="5"/>
        <v>21479.890033792843</v>
      </c>
      <c r="G15" s="64">
        <f t="shared" si="5"/>
        <v>20380.864010250531</v>
      </c>
      <c r="H15" s="64">
        <f t="shared" si="5"/>
        <v>18193.983294455666</v>
      </c>
      <c r="I15" s="64">
        <f t="shared" si="5"/>
        <v>15776.520214242501</v>
      </c>
      <c r="J15" s="64">
        <f t="shared" si="5"/>
        <v>17871.811192393274</v>
      </c>
      <c r="K15" s="64">
        <f t="shared" si="5"/>
        <v>19545.108040832005</v>
      </c>
      <c r="L15" s="64">
        <f t="shared" si="5"/>
        <v>19587.362814943528</v>
      </c>
      <c r="M15" s="64">
        <f t="shared" si="5"/>
        <v>22052.490328420645</v>
      </c>
      <c r="N15" s="64">
        <f t="shared" si="5"/>
        <v>23762.59613704517</v>
      </c>
      <c r="O15" s="64">
        <f t="shared" si="5"/>
        <v>26634.780720923562</v>
      </c>
      <c r="P15" s="64">
        <f t="shared" si="5"/>
        <v>28059.898111158829</v>
      </c>
      <c r="Q15" s="64">
        <f t="shared" si="5"/>
        <v>26746.749950800964</v>
      </c>
      <c r="R15" s="64">
        <f t="shared" si="5"/>
        <v>30425.427154804798</v>
      </c>
      <c r="S15" s="64">
        <f t="shared" si="5"/>
        <v>30341.274897848674</v>
      </c>
      <c r="T15" s="64">
        <f t="shared" si="5"/>
        <v>27866.155601277998</v>
      </c>
      <c r="U15" s="64">
        <f t="shared" si="5"/>
        <v>29842.310589126046</v>
      </c>
      <c r="V15" s="64">
        <f t="shared" si="5"/>
        <v>25431.180950803799</v>
      </c>
      <c r="W15" s="64">
        <f t="shared" si="5"/>
        <v>29316.94543431811</v>
      </c>
      <c r="X15" s="64">
        <f t="shared" ref="X15:Y15" si="8">IF(X5=0,0,X5/X9)</f>
        <v>24958.556232927851</v>
      </c>
      <c r="Y15" s="64">
        <f t="shared" si="8"/>
        <v>27515.615975829838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0.46697835951233335</v>
      </c>
      <c r="C18" s="66">
        <f t="shared" si="9"/>
        <v>0.46213095645108904</v>
      </c>
      <c r="D18" s="66">
        <f t="shared" si="9"/>
        <v>0.46164634816407984</v>
      </c>
      <c r="E18" s="66">
        <f t="shared" si="9"/>
        <v>0.46241057668055796</v>
      </c>
      <c r="F18" s="66">
        <f t="shared" si="9"/>
        <v>0.31117721087013794</v>
      </c>
      <c r="G18" s="66">
        <f t="shared" si="9"/>
        <v>0.45869407274369911</v>
      </c>
      <c r="H18" s="66">
        <f t="shared" si="9"/>
        <v>0.43803514472555583</v>
      </c>
      <c r="I18" s="66">
        <f t="shared" si="9"/>
        <v>0.42036857429859964</v>
      </c>
      <c r="J18" s="66">
        <f t="shared" si="9"/>
        <v>0.51031659452072076</v>
      </c>
      <c r="K18" s="66">
        <f t="shared" si="9"/>
        <v>0.47307867893811628</v>
      </c>
      <c r="L18" s="66">
        <f t="shared" si="9"/>
        <v>0.47352127762217733</v>
      </c>
      <c r="M18" s="66">
        <f t="shared" si="9"/>
        <v>0.41662820086211827</v>
      </c>
      <c r="N18" s="66">
        <f t="shared" si="9"/>
        <v>0.5149372659289938</v>
      </c>
      <c r="O18" s="66">
        <f t="shared" si="9"/>
        <v>0.49501411533000689</v>
      </c>
      <c r="P18" s="66">
        <f t="shared" si="9"/>
        <v>0.38581509043769502</v>
      </c>
      <c r="Q18" s="66">
        <f t="shared" si="9"/>
        <v>0.52791697302654372</v>
      </c>
      <c r="R18" s="66">
        <f t="shared" si="9"/>
        <v>0.42467667628789119</v>
      </c>
      <c r="S18" s="66">
        <f t="shared" si="9"/>
        <v>0.40912854910597118</v>
      </c>
      <c r="T18" s="66">
        <f t="shared" si="9"/>
        <v>0.46898281328976732</v>
      </c>
      <c r="U18" s="66">
        <f t="shared" si="9"/>
        <v>0.34169664869078131</v>
      </c>
      <c r="V18" s="66">
        <f t="shared" si="9"/>
        <v>0.58951333854520183</v>
      </c>
      <c r="W18" s="66">
        <f t="shared" si="9"/>
        <v>0.54674991782591587</v>
      </c>
      <c r="X18" s="66">
        <f t="shared" ref="X18:Y18" si="11">IF(X4=0,0,X4/X$3)</f>
        <v>0.48363031272466595</v>
      </c>
      <c r="Y18" s="66">
        <f t="shared" si="11"/>
        <v>0.45826530044532054</v>
      </c>
      <c r="DA18" s="181"/>
    </row>
    <row r="19" spans="1:105" ht="11.45" customHeight="1" x14ac:dyDescent="0.25">
      <c r="A19" s="57" t="s">
        <v>167</v>
      </c>
      <c r="B19" s="67">
        <f t="shared" si="9"/>
        <v>0.53302164048766676</v>
      </c>
      <c r="C19" s="67">
        <f t="shared" si="9"/>
        <v>0.53786904354891096</v>
      </c>
      <c r="D19" s="67">
        <f t="shared" si="9"/>
        <v>0.5383536518359201</v>
      </c>
      <c r="E19" s="67">
        <f t="shared" si="9"/>
        <v>0.53758942331944204</v>
      </c>
      <c r="F19" s="67">
        <f t="shared" si="9"/>
        <v>0.68882278912986206</v>
      </c>
      <c r="G19" s="67">
        <f t="shared" si="9"/>
        <v>0.54130592725630078</v>
      </c>
      <c r="H19" s="67">
        <f t="shared" si="9"/>
        <v>0.56196485527444429</v>
      </c>
      <c r="I19" s="67">
        <f t="shared" si="9"/>
        <v>0.57963142570140047</v>
      </c>
      <c r="J19" s="67">
        <f t="shared" si="9"/>
        <v>0.48968340547927935</v>
      </c>
      <c r="K19" s="67">
        <f t="shared" si="9"/>
        <v>0.52692132106188372</v>
      </c>
      <c r="L19" s="67">
        <f t="shared" si="9"/>
        <v>0.52647872237782256</v>
      </c>
      <c r="M19" s="67">
        <f t="shared" si="9"/>
        <v>0.58337179913788173</v>
      </c>
      <c r="N19" s="67">
        <f t="shared" si="9"/>
        <v>0.48506273407100631</v>
      </c>
      <c r="O19" s="67">
        <f t="shared" si="9"/>
        <v>0.50498588466999328</v>
      </c>
      <c r="P19" s="67">
        <f t="shared" si="9"/>
        <v>0.61418490956230509</v>
      </c>
      <c r="Q19" s="67">
        <f t="shared" si="9"/>
        <v>0.47208302697345617</v>
      </c>
      <c r="R19" s="67">
        <f t="shared" si="9"/>
        <v>0.57532332371210881</v>
      </c>
      <c r="S19" s="67">
        <f t="shared" si="9"/>
        <v>0.59087145089402882</v>
      </c>
      <c r="T19" s="67">
        <f t="shared" si="9"/>
        <v>0.53101718671023279</v>
      </c>
      <c r="U19" s="67">
        <f t="shared" si="9"/>
        <v>0.65830335130921869</v>
      </c>
      <c r="V19" s="67">
        <f t="shared" si="9"/>
        <v>0.41048666145479829</v>
      </c>
      <c r="W19" s="67">
        <f t="shared" si="9"/>
        <v>0.45325008217408413</v>
      </c>
      <c r="X19" s="67">
        <f t="shared" ref="X19:Y19" si="12">IF(X5=0,0,X5/X$3)</f>
        <v>0.51636968727533405</v>
      </c>
      <c r="Y19" s="67">
        <f t="shared" si="12"/>
        <v>0.54173469955467946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0.69093366200972262</v>
      </c>
      <c r="C22" s="66">
        <f t="shared" si="13"/>
        <v>0.69135290682369033</v>
      </c>
      <c r="D22" s="66">
        <f t="shared" si="13"/>
        <v>0.68687704079444711</v>
      </c>
      <c r="E22" s="66">
        <f t="shared" si="13"/>
        <v>0.68492595401812917</v>
      </c>
      <c r="F22" s="66">
        <f t="shared" si="13"/>
        <v>0.56211185959769627</v>
      </c>
      <c r="G22" s="66">
        <f t="shared" si="13"/>
        <v>0.68912015242594582</v>
      </c>
      <c r="H22" s="66">
        <f t="shared" si="13"/>
        <v>0.63051584100398617</v>
      </c>
      <c r="I22" s="66">
        <f t="shared" si="13"/>
        <v>0.57756028624691802</v>
      </c>
      <c r="J22" s="66">
        <f t="shared" si="13"/>
        <v>0.743500887898913</v>
      </c>
      <c r="K22" s="66">
        <f t="shared" si="13"/>
        <v>0.72822589225312107</v>
      </c>
      <c r="L22" s="66">
        <f t="shared" si="13"/>
        <v>0.73382695493495465</v>
      </c>
      <c r="M22" s="66">
        <f t="shared" si="13"/>
        <v>0.72121893673788895</v>
      </c>
      <c r="N22" s="66">
        <f t="shared" si="13"/>
        <v>0.80356086802245896</v>
      </c>
      <c r="O22" s="66">
        <f t="shared" si="13"/>
        <v>0.80523634487650741</v>
      </c>
      <c r="P22" s="66">
        <f t="shared" si="13"/>
        <v>0.73848706516579643</v>
      </c>
      <c r="Q22" s="66">
        <f t="shared" si="13"/>
        <v>0.81561472643748234</v>
      </c>
      <c r="R22" s="66">
        <f t="shared" si="13"/>
        <v>0.75804345281728747</v>
      </c>
      <c r="S22" s="66">
        <f t="shared" si="13"/>
        <v>0.74228949137920097</v>
      </c>
      <c r="T22" s="66">
        <f t="shared" si="13"/>
        <v>0.77825503953173936</v>
      </c>
      <c r="U22" s="66">
        <f t="shared" si="13"/>
        <v>0.70192102741382256</v>
      </c>
      <c r="V22" s="66">
        <f t="shared" si="13"/>
        <v>0.83743059913063822</v>
      </c>
      <c r="W22" s="66">
        <f t="shared" si="13"/>
        <v>0.83854514144299808</v>
      </c>
      <c r="X22" s="66">
        <f t="shared" ref="X22:Y22" si="15">IF(X8=0,0,X8/X$7)</f>
        <v>0.78830146546825353</v>
      </c>
      <c r="Y22" s="66">
        <f t="shared" si="15"/>
        <v>0.78639132544603152</v>
      </c>
      <c r="DA22" s="181"/>
    </row>
    <row r="23" spans="1:105" ht="11.45" customHeight="1" x14ac:dyDescent="0.25">
      <c r="A23" s="57" t="s">
        <v>167</v>
      </c>
      <c r="B23" s="67">
        <f t="shared" si="13"/>
        <v>0.30906633799027733</v>
      </c>
      <c r="C23" s="67">
        <f t="shared" si="13"/>
        <v>0.30864709317630967</v>
      </c>
      <c r="D23" s="67">
        <f t="shared" si="13"/>
        <v>0.31312295920555278</v>
      </c>
      <c r="E23" s="67">
        <f t="shared" si="13"/>
        <v>0.31507404598187089</v>
      </c>
      <c r="F23" s="67">
        <f t="shared" si="13"/>
        <v>0.43788814040230367</v>
      </c>
      <c r="G23" s="67">
        <f t="shared" si="13"/>
        <v>0.31087984757405418</v>
      </c>
      <c r="H23" s="67">
        <f t="shared" si="13"/>
        <v>0.36948415899601378</v>
      </c>
      <c r="I23" s="67">
        <f t="shared" si="13"/>
        <v>0.42243971375308192</v>
      </c>
      <c r="J23" s="67">
        <f t="shared" si="13"/>
        <v>0.256499112101087</v>
      </c>
      <c r="K23" s="67">
        <f t="shared" si="13"/>
        <v>0.27177410774687893</v>
      </c>
      <c r="L23" s="67">
        <f t="shared" si="13"/>
        <v>0.26617304506504535</v>
      </c>
      <c r="M23" s="67">
        <f t="shared" si="13"/>
        <v>0.27878106326211111</v>
      </c>
      <c r="N23" s="67">
        <f t="shared" si="13"/>
        <v>0.19643913197754106</v>
      </c>
      <c r="O23" s="67">
        <f t="shared" si="13"/>
        <v>0.19476365512349259</v>
      </c>
      <c r="P23" s="67">
        <f t="shared" si="13"/>
        <v>0.26151293483420357</v>
      </c>
      <c r="Q23" s="67">
        <f t="shared" si="13"/>
        <v>0.18438527356251772</v>
      </c>
      <c r="R23" s="67">
        <f t="shared" si="13"/>
        <v>0.24195654718271245</v>
      </c>
      <c r="S23" s="67">
        <f t="shared" si="13"/>
        <v>0.25771050862079903</v>
      </c>
      <c r="T23" s="67">
        <f t="shared" si="13"/>
        <v>0.2217449604682605</v>
      </c>
      <c r="U23" s="67">
        <f t="shared" si="13"/>
        <v>0.2980789725861776</v>
      </c>
      <c r="V23" s="67">
        <f t="shared" si="13"/>
        <v>0.16256940086936172</v>
      </c>
      <c r="W23" s="67">
        <f t="shared" si="13"/>
        <v>0.16145485855700201</v>
      </c>
      <c r="X23" s="67">
        <f t="shared" ref="X23:Y23" si="16">IF(X9=0,0,X9/X$7)</f>
        <v>0.2116985345317465</v>
      </c>
      <c r="Y23" s="67">
        <f t="shared" si="16"/>
        <v>0.2136086745539684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658.31659501289755</v>
      </c>
      <c r="C3" s="62">
        <f t="shared" ref="C3:W3" si="0">SUM(C4,C10)</f>
        <v>724.99286328460869</v>
      </c>
      <c r="D3" s="62">
        <f t="shared" si="0"/>
        <v>743.07351676698204</v>
      </c>
      <c r="E3" s="62">
        <f t="shared" si="0"/>
        <v>915.98357695614789</v>
      </c>
      <c r="F3" s="62">
        <f t="shared" si="0"/>
        <v>980.9400687876182</v>
      </c>
      <c r="G3" s="62">
        <f t="shared" si="0"/>
        <v>658.49819432502136</v>
      </c>
      <c r="H3" s="62">
        <f t="shared" si="0"/>
        <v>752.57953568357698</v>
      </c>
      <c r="I3" s="62">
        <f t="shared" si="0"/>
        <v>842.17059329320716</v>
      </c>
      <c r="J3" s="62">
        <f t="shared" si="0"/>
        <v>912.34350816852975</v>
      </c>
      <c r="K3" s="62">
        <f t="shared" si="0"/>
        <v>1132.7266552020637</v>
      </c>
      <c r="L3" s="62">
        <f t="shared" si="0"/>
        <v>1449.4362854686158</v>
      </c>
      <c r="M3" s="62">
        <f t="shared" si="0"/>
        <v>1334.3365434221841</v>
      </c>
      <c r="N3" s="62">
        <f t="shared" si="0"/>
        <v>1185.2249355116078</v>
      </c>
      <c r="O3" s="62">
        <f t="shared" si="0"/>
        <v>1187.0640584694759</v>
      </c>
      <c r="P3" s="62">
        <f t="shared" si="0"/>
        <v>1223.4498710232153</v>
      </c>
      <c r="Q3" s="62">
        <f t="shared" si="0"/>
        <v>1536.6628546861562</v>
      </c>
      <c r="R3" s="62">
        <f t="shared" si="0"/>
        <v>1751.839036973344</v>
      </c>
      <c r="S3" s="62">
        <f t="shared" si="0"/>
        <v>2134.4228718830605</v>
      </c>
      <c r="T3" s="62">
        <f t="shared" si="0"/>
        <v>2207.1673258813407</v>
      </c>
      <c r="U3" s="62">
        <f t="shared" si="0"/>
        <v>2262.3583834909714</v>
      </c>
      <c r="V3" s="62">
        <f t="shared" si="0"/>
        <v>2185.7777300085986</v>
      </c>
      <c r="W3" s="62">
        <f t="shared" si="0"/>
        <v>1939.3180567497848</v>
      </c>
      <c r="X3" s="62">
        <f t="shared" ref="X3:Y3" si="1">SUM(X4,X10)</f>
        <v>2124.8377472055031</v>
      </c>
      <c r="Y3" s="62">
        <f t="shared" si="1"/>
        <v>2251.8276010318141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382.08913456261263</v>
      </c>
      <c r="C4" s="71">
        <f t="shared" ref="C4:W4" si="2">SUM(C5:C9)</f>
        <v>421.00678337243443</v>
      </c>
      <c r="D4" s="71">
        <f t="shared" si="2"/>
        <v>429.80487505061711</v>
      </c>
      <c r="E4" s="71">
        <f t="shared" si="2"/>
        <v>529.92830930633977</v>
      </c>
      <c r="F4" s="71">
        <f t="shared" si="2"/>
        <v>486.70674541168637</v>
      </c>
      <c r="G4" s="71">
        <f t="shared" si="2"/>
        <v>383.29418867872687</v>
      </c>
      <c r="H4" s="71">
        <f t="shared" si="2"/>
        <v>395.10975024672894</v>
      </c>
      <c r="I4" s="71">
        <f t="shared" si="2"/>
        <v>402.89749414218215</v>
      </c>
      <c r="J4" s="71">
        <f t="shared" si="2"/>
        <v>548.49669684568676</v>
      </c>
      <c r="K4" s="71">
        <f t="shared" si="2"/>
        <v>673.16206050095207</v>
      </c>
      <c r="L4" s="71">
        <f t="shared" si="2"/>
        <v>859.47683061200735</v>
      </c>
      <c r="M4" s="71">
        <f t="shared" si="2"/>
        <v>771.97633201604526</v>
      </c>
      <c r="N4" s="71">
        <f t="shared" si="2"/>
        <v>757.98623539721427</v>
      </c>
      <c r="O4" s="71">
        <f t="shared" si="2"/>
        <v>760.86467306207783</v>
      </c>
      <c r="P4" s="71">
        <f t="shared" si="2"/>
        <v>721.44652803683584</v>
      </c>
      <c r="Q4" s="71">
        <f t="shared" si="2"/>
        <v>997.29669968966095</v>
      </c>
      <c r="R4" s="71">
        <f t="shared" si="2"/>
        <v>1061.12660644683</v>
      </c>
      <c r="S4" s="71">
        <f t="shared" si="2"/>
        <v>1263.8976870801459</v>
      </c>
      <c r="T4" s="71">
        <f t="shared" si="2"/>
        <v>1361.9675518671852</v>
      </c>
      <c r="U4" s="71">
        <f t="shared" si="2"/>
        <v>1253.7848265848218</v>
      </c>
      <c r="V4" s="71">
        <f t="shared" si="2"/>
        <v>1367.5601892359064</v>
      </c>
      <c r="W4" s="71">
        <f t="shared" si="2"/>
        <v>1161.1104116164774</v>
      </c>
      <c r="X4" s="71">
        <f t="shared" ref="X4:Y4" si="3">SUM(X5:X9)</f>
        <v>1304.0408295960137</v>
      </c>
      <c r="Y4" s="71">
        <f t="shared" si="3"/>
        <v>1402.1360055271616</v>
      </c>
      <c r="DA4" s="186" t="s">
        <v>971</v>
      </c>
    </row>
    <row r="5" spans="1:105" ht="11.45" customHeight="1" x14ac:dyDescent="0.25">
      <c r="A5" s="72" t="s">
        <v>144</v>
      </c>
      <c r="B5" s="73">
        <v>114.91426289776412</v>
      </c>
      <c r="C5" s="73">
        <v>102.36488381143944</v>
      </c>
      <c r="D5" s="73">
        <v>126.45620987372467</v>
      </c>
      <c r="E5" s="73">
        <v>129.15466865940908</v>
      </c>
      <c r="F5" s="73">
        <v>153.73721750997586</v>
      </c>
      <c r="G5" s="73">
        <v>134.80407689827996</v>
      </c>
      <c r="H5" s="73">
        <v>159.19309581874219</v>
      </c>
      <c r="I5" s="73">
        <v>151.77165525249345</v>
      </c>
      <c r="J5" s="73">
        <v>205.0691539340537</v>
      </c>
      <c r="K5" s="73">
        <v>321.06339326548175</v>
      </c>
      <c r="L5" s="73">
        <v>230.4901932442244</v>
      </c>
      <c r="M5" s="73">
        <v>199.23261448756813</v>
      </c>
      <c r="N5" s="73">
        <v>204.22615373510487</v>
      </c>
      <c r="O5" s="73">
        <v>160.87493718797288</v>
      </c>
      <c r="P5" s="73">
        <v>166.94322483222123</v>
      </c>
      <c r="Q5" s="73">
        <v>240.22394230245567</v>
      </c>
      <c r="R5" s="73">
        <v>238.26430910262371</v>
      </c>
      <c r="S5" s="73">
        <v>291.00766013075753</v>
      </c>
      <c r="T5" s="73">
        <v>329.48035065538465</v>
      </c>
      <c r="U5" s="73">
        <v>335.58679246317621</v>
      </c>
      <c r="V5" s="73">
        <v>362.06682714078528</v>
      </c>
      <c r="W5" s="73">
        <v>342.97420328533434</v>
      </c>
      <c r="X5" s="73">
        <v>382.85489644400548</v>
      </c>
      <c r="Y5" s="73">
        <v>421.01218570775285</v>
      </c>
      <c r="DA5" s="187" t="s">
        <v>972</v>
      </c>
    </row>
    <row r="6" spans="1:105" ht="11.45" customHeight="1" x14ac:dyDescent="0.25">
      <c r="A6" s="72" t="s">
        <v>145</v>
      </c>
      <c r="B6" s="73">
        <v>267.17487166484852</v>
      </c>
      <c r="C6" s="73">
        <v>318.641899560995</v>
      </c>
      <c r="D6" s="73">
        <v>303.34866517689244</v>
      </c>
      <c r="E6" s="73">
        <v>400.77364064693063</v>
      </c>
      <c r="F6" s="73">
        <v>332.96952790171048</v>
      </c>
      <c r="G6" s="73">
        <v>248.49011178044694</v>
      </c>
      <c r="H6" s="73">
        <v>235.91665442798677</v>
      </c>
      <c r="I6" s="73">
        <v>251.12583888968874</v>
      </c>
      <c r="J6" s="73">
        <v>343.427542911633</v>
      </c>
      <c r="K6" s="73">
        <v>352.09866723547026</v>
      </c>
      <c r="L6" s="73">
        <v>628.98663736778292</v>
      </c>
      <c r="M6" s="73">
        <v>572.74371752847708</v>
      </c>
      <c r="N6" s="73">
        <v>553.76008166210943</v>
      </c>
      <c r="O6" s="73">
        <v>599.98973587410489</v>
      </c>
      <c r="P6" s="73">
        <v>554.50330320461455</v>
      </c>
      <c r="Q6" s="73">
        <v>757.07275738720523</v>
      </c>
      <c r="R6" s="73">
        <v>822.86229734420635</v>
      </c>
      <c r="S6" s="73">
        <v>972.89002694938836</v>
      </c>
      <c r="T6" s="73">
        <v>1032.4872012118005</v>
      </c>
      <c r="U6" s="73">
        <v>918.19803412164561</v>
      </c>
      <c r="V6" s="73">
        <v>1005.493362095121</v>
      </c>
      <c r="W6" s="73">
        <v>818.13620833114305</v>
      </c>
      <c r="X6" s="73">
        <v>921.18593315200826</v>
      </c>
      <c r="Y6" s="73">
        <v>979.85252152931275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1.2712982900959766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276.22746045028498</v>
      </c>
      <c r="C10" s="71">
        <f t="shared" ref="C10:W10" si="4">SUM(C11:C15)</f>
        <v>303.98607991217426</v>
      </c>
      <c r="D10" s="71">
        <f t="shared" si="4"/>
        <v>313.26864171636498</v>
      </c>
      <c r="E10" s="71">
        <f t="shared" si="4"/>
        <v>386.05526764980812</v>
      </c>
      <c r="F10" s="71">
        <f t="shared" si="4"/>
        <v>494.23332337593177</v>
      </c>
      <c r="G10" s="71">
        <f t="shared" si="4"/>
        <v>275.20400564629449</v>
      </c>
      <c r="H10" s="71">
        <f t="shared" si="4"/>
        <v>357.46978543684804</v>
      </c>
      <c r="I10" s="71">
        <f t="shared" si="4"/>
        <v>439.27309915102501</v>
      </c>
      <c r="J10" s="71">
        <f t="shared" si="4"/>
        <v>363.84681132284294</v>
      </c>
      <c r="K10" s="71">
        <f t="shared" si="4"/>
        <v>459.56459470111173</v>
      </c>
      <c r="L10" s="71">
        <f t="shared" si="4"/>
        <v>589.95945485660843</v>
      </c>
      <c r="M10" s="71">
        <f t="shared" si="4"/>
        <v>562.36021140613889</v>
      </c>
      <c r="N10" s="71">
        <f t="shared" si="4"/>
        <v>427.23870011439345</v>
      </c>
      <c r="O10" s="71">
        <f t="shared" si="4"/>
        <v>426.1993854073981</v>
      </c>
      <c r="P10" s="71">
        <f t="shared" si="4"/>
        <v>502.00334298637949</v>
      </c>
      <c r="Q10" s="71">
        <f t="shared" si="4"/>
        <v>539.36615499649508</v>
      </c>
      <c r="R10" s="71">
        <f t="shared" si="4"/>
        <v>690.71243052651403</v>
      </c>
      <c r="S10" s="71">
        <f t="shared" si="4"/>
        <v>870.52518480291451</v>
      </c>
      <c r="T10" s="71">
        <f t="shared" si="4"/>
        <v>845.19977401415531</v>
      </c>
      <c r="U10" s="71">
        <f t="shared" si="4"/>
        <v>1008.5735569061496</v>
      </c>
      <c r="V10" s="71">
        <f t="shared" si="4"/>
        <v>818.21754077269225</v>
      </c>
      <c r="W10" s="71">
        <f t="shared" si="4"/>
        <v>778.20764513330721</v>
      </c>
      <c r="X10" s="71">
        <f t="shared" ref="X10:Y10" si="5">SUM(X11:X15)</f>
        <v>820.79691760948936</v>
      </c>
      <c r="Y10" s="71">
        <f t="shared" si="5"/>
        <v>849.69159550465224</v>
      </c>
      <c r="DA10" s="186" t="s">
        <v>977</v>
      </c>
    </row>
    <row r="11" spans="1:105" ht="11.45" customHeight="1" x14ac:dyDescent="0.25">
      <c r="A11" s="72" t="s">
        <v>144</v>
      </c>
      <c r="B11" s="73">
        <v>16.546528159845487</v>
      </c>
      <c r="C11" s="73">
        <v>14.717403376866653</v>
      </c>
      <c r="D11" s="73">
        <v>18.356085913033727</v>
      </c>
      <c r="E11" s="73">
        <v>18.738710532336437</v>
      </c>
      <c r="F11" s="73">
        <v>31.12950647970592</v>
      </c>
      <c r="G11" s="73">
        <v>19.251555087962441</v>
      </c>
      <c r="H11" s="73">
        <v>28.754711575926819</v>
      </c>
      <c r="I11" s="73">
        <v>33.095068737188342</v>
      </c>
      <c r="J11" s="73">
        <v>27.041250193203407</v>
      </c>
      <c r="K11" s="73">
        <v>43.53488704406255</v>
      </c>
      <c r="L11" s="73">
        <v>31.404303746317304</v>
      </c>
      <c r="M11" s="73">
        <v>28.769707094547066</v>
      </c>
      <c r="N11" s="73">
        <v>22.749082722332808</v>
      </c>
      <c r="O11" s="73">
        <v>17.829534007212033</v>
      </c>
      <c r="P11" s="73">
        <v>23.058666827280064</v>
      </c>
      <c r="Q11" s="73">
        <v>25.778723217750599</v>
      </c>
      <c r="R11" s="73">
        <v>30.819439822569674</v>
      </c>
      <c r="S11" s="73">
        <v>39.813406077324998</v>
      </c>
      <c r="T11" s="73">
        <v>40.596089585371921</v>
      </c>
      <c r="U11" s="73">
        <v>52.475202377752396</v>
      </c>
      <c r="V11" s="73">
        <v>42.908409316652296</v>
      </c>
      <c r="W11" s="73">
        <v>45.974120016471375</v>
      </c>
      <c r="X11" s="73">
        <v>48.195748439915349</v>
      </c>
      <c r="Y11" s="73">
        <v>51.026507327500724</v>
      </c>
      <c r="DA11" s="187" t="s">
        <v>978</v>
      </c>
    </row>
    <row r="12" spans="1:105" ht="11.45" customHeight="1" x14ac:dyDescent="0.25">
      <c r="A12" s="72" t="s">
        <v>145</v>
      </c>
      <c r="B12" s="73">
        <v>259.6809322904395</v>
      </c>
      <c r="C12" s="73">
        <v>289.26867653530763</v>
      </c>
      <c r="D12" s="73">
        <v>294.91255580333126</v>
      </c>
      <c r="E12" s="73">
        <v>367.31655711747169</v>
      </c>
      <c r="F12" s="73">
        <v>463.10381689622585</v>
      </c>
      <c r="G12" s="73">
        <v>255.95245055833203</v>
      </c>
      <c r="H12" s="73">
        <v>328.71507386092122</v>
      </c>
      <c r="I12" s="73">
        <v>406.17803041383667</v>
      </c>
      <c r="J12" s="73">
        <v>336.80556112963956</v>
      </c>
      <c r="K12" s="73">
        <v>416.02970765704919</v>
      </c>
      <c r="L12" s="73">
        <v>558.55515111029115</v>
      </c>
      <c r="M12" s="73">
        <v>533.59050431159187</v>
      </c>
      <c r="N12" s="73">
        <v>404.48961739206067</v>
      </c>
      <c r="O12" s="73">
        <v>408.36985140018606</v>
      </c>
      <c r="P12" s="73">
        <v>478.94467615909946</v>
      </c>
      <c r="Q12" s="73">
        <v>513.58743177874453</v>
      </c>
      <c r="R12" s="73">
        <v>659.89299070394441</v>
      </c>
      <c r="S12" s="73">
        <v>830.71177872558951</v>
      </c>
      <c r="T12" s="73">
        <v>804.60368442878337</v>
      </c>
      <c r="U12" s="73">
        <v>956.09835452839729</v>
      </c>
      <c r="V12" s="73">
        <v>775.30913145603995</v>
      </c>
      <c r="W12" s="73">
        <v>732.23352511683584</v>
      </c>
      <c r="X12" s="73">
        <v>772.60116916957406</v>
      </c>
      <c r="Y12" s="73">
        <v>797.89468397369637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0.77040420345518457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205938.88465238642</v>
      </c>
      <c r="C19" s="62">
        <f>IF(C3=0,0,C3/MBunk_act!C7*100)</f>
        <v>219375.05129935115</v>
      </c>
      <c r="D19" s="62">
        <f>IF(D3=0,0,D3/MBunk_act!D7*100)</f>
        <v>227611.30309648844</v>
      </c>
      <c r="E19" s="62">
        <f>IF(E3=0,0,E3/MBunk_act!E7*100)</f>
        <v>227791.44696321897</v>
      </c>
      <c r="F19" s="62">
        <f>IF(F3=0,0,F3/MBunk_act!F7*100)</f>
        <v>230403.91705600923</v>
      </c>
      <c r="G19" s="62">
        <f>IF(G3=0,0,G3/MBunk_act!G7*100)</f>
        <v>183428.74653198142</v>
      </c>
      <c r="H19" s="62">
        <f>IF(H3=0,0,H3/MBunk_act!H7*100)</f>
        <v>197754.25768757789</v>
      </c>
      <c r="I19" s="62">
        <f>IF(I3=0,0,I3/MBunk_act!I7*100)</f>
        <v>211019.55251197887</v>
      </c>
      <c r="J19" s="62">
        <f>IF(J3=0,0,J3/MBunk_act!J7*100)</f>
        <v>187299.14662516906</v>
      </c>
      <c r="K19" s="62">
        <f>IF(K3=0,0,K3/MBunk_act!K7*100)</f>
        <v>227387.11815181072</v>
      </c>
      <c r="L19" s="62">
        <f>IF(L3=0,0,L3/MBunk_act!L7*100)</f>
        <v>304715.95429346012</v>
      </c>
      <c r="M19" s="62">
        <f>IF(M3=0,0,M3/MBunk_act!M7*100)</f>
        <v>326915.86940927053</v>
      </c>
      <c r="N19" s="62">
        <f>IF(N3=0,0,N3/MBunk_act!N7*100)</f>
        <v>274874.92329583399</v>
      </c>
      <c r="O19" s="62">
        <f>IF(O3=0,0,O3/MBunk_act!O7*100)</f>
        <v>255167.35634863307</v>
      </c>
      <c r="P19" s="62">
        <f>IF(P3=0,0,P3/MBunk_act!P7*100)</f>
        <v>259258.2116327082</v>
      </c>
      <c r="Q19" s="62">
        <f>IF(Q3=0,0,Q3/MBunk_act!Q7*100)</f>
        <v>371732.20088252099</v>
      </c>
      <c r="R19" s="62">
        <f>IF(R3=0,0,R3/MBunk_act!R7*100)</f>
        <v>539568.62482777925</v>
      </c>
      <c r="S19" s="62">
        <f>IF(S3=0,0,S3/MBunk_act!S7*100)</f>
        <v>541587.36171402573</v>
      </c>
      <c r="T19" s="62">
        <f>IF(T3=0,0,T3/MBunk_act!T7*100)</f>
        <v>409350.99063615041</v>
      </c>
      <c r="U19" s="62">
        <f>IF(U3=0,0,U3/MBunk_act!U7*100)</f>
        <v>405226.3379559142</v>
      </c>
      <c r="V19" s="62">
        <f>IF(V3=0,0,V3/MBunk_act!V7*100)</f>
        <v>452651.62161612615</v>
      </c>
      <c r="W19" s="62">
        <f>IF(W3=0,0,W3/MBunk_act!W7*100)</f>
        <v>552918.6857433056</v>
      </c>
      <c r="X19" s="62">
        <f>IF(X3=0,0,X3/MBunk_act!X7*100)</f>
        <v>425161.42305001139</v>
      </c>
      <c r="Y19" s="62">
        <f>IF(Y3=0,0,Y3/MBunk_act!Y7*100)</f>
        <v>277339.84627296834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172994.3380492478</v>
      </c>
      <c r="C20" s="63">
        <f>IF(C4=0,0,C4/MBunk_act!C8*100)</f>
        <v>184264.97987667768</v>
      </c>
      <c r="D20" s="63">
        <f>IF(D4=0,0,D4/MBunk_act!D8*100)</f>
        <v>191670.10419574261</v>
      </c>
      <c r="E20" s="63">
        <f>IF(E4=0,0,E4/MBunk_act!E8*100)</f>
        <v>192408.04349240239</v>
      </c>
      <c r="F20" s="63">
        <f>IF(F4=0,0,F4/MBunk_act!F8*100)</f>
        <v>203372.39380727164</v>
      </c>
      <c r="G20" s="63">
        <f>IF(G4=0,0,G4/MBunk_act!G8*100)</f>
        <v>154935.19894851322</v>
      </c>
      <c r="H20" s="63">
        <f>IF(H4=0,0,H4/MBunk_act!H8*100)</f>
        <v>164662.68123355557</v>
      </c>
      <c r="I20" s="63">
        <f>IF(I4=0,0,I4/MBunk_act!I8*100)</f>
        <v>174791.32247971042</v>
      </c>
      <c r="J20" s="63">
        <f>IF(J4=0,0,J4/MBunk_act!J8*100)</f>
        <v>151450.23010238117</v>
      </c>
      <c r="K20" s="63">
        <f>IF(K4=0,0,K4/MBunk_act!K8*100)</f>
        <v>185564.22491170649</v>
      </c>
      <c r="L20" s="63">
        <f>IF(L4=0,0,L4/MBunk_act!L8*100)</f>
        <v>246227.51250852508</v>
      </c>
      <c r="M20" s="63">
        <f>IF(M4=0,0,M4/MBunk_act!M8*100)</f>
        <v>262245.16326826101</v>
      </c>
      <c r="N20" s="63">
        <f>IF(N4=0,0,N4/MBunk_act!N8*100)</f>
        <v>218764.51661607699</v>
      </c>
      <c r="O20" s="63">
        <f>IF(O4=0,0,O4/MBunk_act!O8*100)</f>
        <v>203111.73213902622</v>
      </c>
      <c r="P20" s="63">
        <f>IF(P4=0,0,P4/MBunk_act!P8*100)</f>
        <v>207017.75578898861</v>
      </c>
      <c r="Q20" s="63">
        <f>IF(Q4=0,0,Q4/MBunk_act!Q8*100)</f>
        <v>295795.05741808325</v>
      </c>
      <c r="R20" s="63">
        <f>IF(R4=0,0,R4/MBunk_act!R8*100)</f>
        <v>431147.22121870093</v>
      </c>
      <c r="S20" s="63">
        <f>IF(S4=0,0,S4/MBunk_act!S8*100)</f>
        <v>432042.69059962605</v>
      </c>
      <c r="T20" s="63">
        <f>IF(T4=0,0,T4/MBunk_act!T8*100)</f>
        <v>324567.78120159311</v>
      </c>
      <c r="U20" s="63">
        <f>IF(U4=0,0,U4/MBunk_act!U8*100)</f>
        <v>319941.82555962983</v>
      </c>
      <c r="V20" s="63">
        <f>IF(V4=0,0,V4/MBunk_act!V8*100)</f>
        <v>338186.06443821697</v>
      </c>
      <c r="W20" s="63">
        <f>IF(W4=0,0,W4/MBunk_act!W8*100)</f>
        <v>394783.7775332873</v>
      </c>
      <c r="X20" s="63">
        <f>IF(X4=0,0,X4/MBunk_act!X8*100)</f>
        <v>330999.19273144822</v>
      </c>
      <c r="Y20" s="63">
        <f>IF(Y4=0,0,Y4/MBunk_act!Y8*100)</f>
        <v>219598.09076683695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279588.10952679708</v>
      </c>
      <c r="C21" s="64">
        <f>IF(C10=0,0,C10/MBunk_act!C9*100)</f>
        <v>298019.72501732741</v>
      </c>
      <c r="D21" s="64">
        <f>IF(D10=0,0,D10/MBunk_act!D9*100)</f>
        <v>306453.12423341384</v>
      </c>
      <c r="E21" s="64">
        <f>IF(E10=0,0,E10/MBunk_act!E9*100)</f>
        <v>304709.91006015037</v>
      </c>
      <c r="F21" s="64">
        <f>IF(F10=0,0,F10/MBunk_act!F9*100)</f>
        <v>265103.96576513001</v>
      </c>
      <c r="G21" s="64">
        <f>IF(G10=0,0,G10/MBunk_act!G9*100)</f>
        <v>246589.73302596188</v>
      </c>
      <c r="H21" s="64">
        <f>IF(H10=0,0,H10/MBunk_act!H9*100)</f>
        <v>254224.23792908716</v>
      </c>
      <c r="I21" s="64">
        <f>IF(I10=0,0,I10/MBunk_act!I9*100)</f>
        <v>260550.8494673743</v>
      </c>
      <c r="J21" s="64">
        <f>IF(J10=0,0,J10/MBunk_act!J9*100)</f>
        <v>291212.57169153925</v>
      </c>
      <c r="K21" s="64">
        <f>IF(K10=0,0,K10/MBunk_act!K9*100)</f>
        <v>339452.66405270324</v>
      </c>
      <c r="L21" s="64">
        <f>IF(L10=0,0,L10/MBunk_act!L9*100)</f>
        <v>465965.92279962753</v>
      </c>
      <c r="M21" s="64">
        <f>IF(M10=0,0,M10/MBunk_act!M9*100)</f>
        <v>494221.84555892926</v>
      </c>
      <c r="N21" s="64">
        <f>IF(N10=0,0,N10/MBunk_act!N9*100)</f>
        <v>504402.1393997703</v>
      </c>
      <c r="O21" s="64">
        <f>IF(O10=0,0,O10/MBunk_act!O9*100)</f>
        <v>470387.59619384829</v>
      </c>
      <c r="P21" s="64">
        <f>IF(P10=0,0,P10/MBunk_act!P9*100)</f>
        <v>406780.17242371262</v>
      </c>
      <c r="Q21" s="64">
        <f>IF(Q10=0,0,Q10/MBunk_act!Q9*100)</f>
        <v>707634.58232835459</v>
      </c>
      <c r="R21" s="64">
        <f>IF(R10=0,0,R10/MBunk_act!R9*100)</f>
        <v>879250.01021743973</v>
      </c>
      <c r="S21" s="64">
        <f>IF(S10=0,0,S10/MBunk_act!S9*100)</f>
        <v>857111.39152553992</v>
      </c>
      <c r="T21" s="64">
        <f>IF(T10=0,0,T10/MBunk_act!T9*100)</f>
        <v>706913.37884457875</v>
      </c>
      <c r="U21" s="64">
        <f>IF(U10=0,0,U10/MBunk_act!U9*100)</f>
        <v>606055.64182900055</v>
      </c>
      <c r="V21" s="64">
        <f>IF(V10=0,0,V10/MBunk_act!V9*100)</f>
        <v>1042288.7834356987</v>
      </c>
      <c r="W21" s="64">
        <f>IF(W10=0,0,W10/MBunk_act!W9*100)</f>
        <v>1374221.061882264</v>
      </c>
      <c r="X21" s="64">
        <f>IF(X10=0,0,X10/MBunk_act!X9*100)</f>
        <v>775793.15659539076</v>
      </c>
      <c r="Y21" s="64">
        <f>IF(Y10=0,0,Y10/MBunk_act!Y9*100)</f>
        <v>489913.68364573427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201.95497873045025</v>
      </c>
      <c r="C23" s="62">
        <f>IF(C3=0,0,C3/MBunk_act!C3*1000)</f>
        <v>205.7134615338253</v>
      </c>
      <c r="D23" s="62">
        <f>IF(D3=0,0,D3/MBunk_act!D3*1000)</f>
        <v>204.81640772300528</v>
      </c>
      <c r="E23" s="62">
        <f>IF(E3=0,0,E3/MBunk_act!E3*1000)</f>
        <v>204.43300447107123</v>
      </c>
      <c r="F23" s="62">
        <f>IF(F3=0,0,F3/MBunk_act!F3*1000)</f>
        <v>168.73381598923845</v>
      </c>
      <c r="G23" s="62">
        <f>IF(G3=0,0,G3/MBunk_act!G3*1000)</f>
        <v>156.70938974446474</v>
      </c>
      <c r="H23" s="62">
        <f>IF(H3=0,0,H3/MBunk_act!H3*1000)</f>
        <v>165.31466587812162</v>
      </c>
      <c r="I23" s="62">
        <f>IF(I3=0,0,I3/MBunk_act!I3*1000)</f>
        <v>183.52644968718636</v>
      </c>
      <c r="J23" s="62">
        <f>IF(J3=0,0,J3/MBunk_act!J3*1000)</f>
        <v>200.07680871838409</v>
      </c>
      <c r="K23" s="62">
        <f>IF(K3=0,0,K3/MBunk_act!K3*1000)</f>
        <v>225.56176045770238</v>
      </c>
      <c r="L23" s="62">
        <f>IF(L3=0,0,L3/MBunk_act!L3*1000)</f>
        <v>307.70600845149579</v>
      </c>
      <c r="M23" s="62">
        <f>IF(M3=0,0,M3/MBunk_act!M3*1000)</f>
        <v>310.21337845452035</v>
      </c>
      <c r="N23" s="62">
        <f>IF(N3=0,0,N3/MBunk_act!N3*1000)</f>
        <v>285.63481321375531</v>
      </c>
      <c r="O23" s="62">
        <f>IF(O3=0,0,O3/MBunk_act!O3*1000)</f>
        <v>248.39755175992204</v>
      </c>
      <c r="P23" s="62">
        <f>IF(P3=0,0,P3/MBunk_act!P3*1000)</f>
        <v>216.99633473707817</v>
      </c>
      <c r="Q23" s="62">
        <f>IF(Q3=0,0,Q3/MBunk_act!Q3*1000)</f>
        <v>355.83717665808183</v>
      </c>
      <c r="R23" s="62">
        <f>IF(R3=0,0,R3/MBunk_act!R3*1000)</f>
        <v>421.68155659633857</v>
      </c>
      <c r="S23" s="62">
        <f>IF(S3=0,0,S3/MBunk_act!S3*1000)</f>
        <v>409.25648945175021</v>
      </c>
      <c r="T23" s="62">
        <f>IF(T3=0,0,T3/MBunk_act!T3*1000)</f>
        <v>351.78199449379247</v>
      </c>
      <c r="U23" s="62">
        <f>IF(U3=0,0,U3/MBunk_act!U3*1000)</f>
        <v>299.88859132607934</v>
      </c>
      <c r="V23" s="62">
        <f>IF(V3=0,0,V3/MBunk_act!V3*1000)</f>
        <v>449.42558961147415</v>
      </c>
      <c r="W23" s="62">
        <f>IF(W3=0,0,W3/MBunk_act!W3*1000)</f>
        <v>529.45532596503244</v>
      </c>
      <c r="X23" s="62">
        <f>IF(X3=0,0,X3/MBunk_act!X3*1000)</f>
        <v>415.50598211421732</v>
      </c>
      <c r="Y23" s="62">
        <f>IF(Y3=0,0,Y3/MBunk_act!Y3*1000)</f>
        <v>255.623513539329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251.00807542981579</v>
      </c>
      <c r="C24" s="63">
        <f>IF(C4=0,0,C4/MBunk_act!C4*1000)</f>
        <v>258.49551524103646</v>
      </c>
      <c r="D24" s="63">
        <f>IF(D4=0,0,D4/MBunk_act!D4*1000)</f>
        <v>256.62259613292969</v>
      </c>
      <c r="E24" s="63">
        <f>IF(E4=0,0,E4/MBunk_act!E4*1000)</f>
        <v>255.7718152366854</v>
      </c>
      <c r="F24" s="63">
        <f>IF(F4=0,0,F4/MBunk_act!F4*1000)</f>
        <v>269.04147492787877</v>
      </c>
      <c r="G24" s="63">
        <f>IF(G4=0,0,G4/MBunk_act!G4*1000)</f>
        <v>198.86096269025742</v>
      </c>
      <c r="H24" s="63">
        <f>IF(H4=0,0,H4/MBunk_act!H4*1000)</f>
        <v>198.13799752867834</v>
      </c>
      <c r="I24" s="63">
        <f>IF(I4=0,0,I4/MBunk_act!I4*1000)</f>
        <v>208.8636748746448</v>
      </c>
      <c r="J24" s="63">
        <f>IF(J4=0,0,J4/MBunk_act!J4*1000)</f>
        <v>235.70711434705274</v>
      </c>
      <c r="K24" s="63">
        <f>IF(K4=0,0,K4/MBunk_act!K4*1000)</f>
        <v>283.35221427538016</v>
      </c>
      <c r="L24" s="63">
        <f>IF(L4=0,0,L4/MBunk_act!L4*1000)</f>
        <v>385.32884633539959</v>
      </c>
      <c r="M24" s="63">
        <f>IF(M4=0,0,M4/MBunk_act!M4*1000)</f>
        <v>430.77497470073371</v>
      </c>
      <c r="N24" s="63">
        <f>IF(N4=0,0,N4/MBunk_act!N4*1000)</f>
        <v>354.74587544829603</v>
      </c>
      <c r="O24" s="63">
        <f>IF(O4=0,0,O4/MBunk_act!O4*1000)</f>
        <v>321.63477072771366</v>
      </c>
      <c r="P24" s="63">
        <f>IF(P4=0,0,P4/MBunk_act!P4*1000)</f>
        <v>331.65851834616774</v>
      </c>
      <c r="Q24" s="63">
        <f>IF(Q4=0,0,Q4/MBunk_act!Q4*1000)</f>
        <v>437.45308444988899</v>
      </c>
      <c r="R24" s="63">
        <f>IF(R4=0,0,R4/MBunk_act!R4*1000)</f>
        <v>601.44954550818954</v>
      </c>
      <c r="S24" s="63">
        <f>IF(S4=0,0,S4/MBunk_act!S4*1000)</f>
        <v>592.33479110859241</v>
      </c>
      <c r="T24" s="63">
        <f>IF(T4=0,0,T4/MBunk_act!T4*1000)</f>
        <v>462.85843422654307</v>
      </c>
      <c r="U24" s="63">
        <f>IF(U4=0,0,U4/MBunk_act!U4*1000)</f>
        <v>486.38573730217831</v>
      </c>
      <c r="V24" s="63">
        <f>IF(V4=0,0,V4/MBunk_act!V4*1000)</f>
        <v>476.98488126560767</v>
      </c>
      <c r="W24" s="63">
        <f>IF(W4=0,0,W4/MBunk_act!W4*1000)</f>
        <v>579.78246072871275</v>
      </c>
      <c r="X24" s="63">
        <f>IF(X4=0,0,X4/MBunk_act!X4*1000)</f>
        <v>527.26529146065411</v>
      </c>
      <c r="Y24" s="63">
        <f>IF(Y4=0,0,Y4/MBunk_act!Y4*1000)</f>
        <v>347.32722747098791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158.97973554011381</v>
      </c>
      <c r="C25" s="64">
        <f>IF(C10=0,0,C10/MBunk_act!C5*1000)</f>
        <v>160.36372212100454</v>
      </c>
      <c r="D25" s="64">
        <f>IF(D10=0,0,D10/MBunk_act!D5*1000)</f>
        <v>160.39182248952184</v>
      </c>
      <c r="E25" s="64">
        <f>IF(E10=0,0,E10/MBunk_act!E5*1000)</f>
        <v>160.27363662927621</v>
      </c>
      <c r="F25" s="64">
        <f>IF(F10=0,0,F10/MBunk_act!F5*1000)</f>
        <v>123.41961031833031</v>
      </c>
      <c r="G25" s="64">
        <f>IF(G10=0,0,G10/MBunk_act!G5*1000)</f>
        <v>120.99081417840769</v>
      </c>
      <c r="H25" s="64">
        <f>IF(H10=0,0,H10/MBunk_act!H5*1000)</f>
        <v>139.72984025249605</v>
      </c>
      <c r="I25" s="64">
        <f>IF(I10=0,0,I10/MBunk_act!I5*1000)</f>
        <v>165.15102565656903</v>
      </c>
      <c r="J25" s="64">
        <f>IF(J10=0,0,J10/MBunk_act!J5*1000)</f>
        <v>162.94519260335917</v>
      </c>
      <c r="K25" s="64">
        <f>IF(K10=0,0,K10/MBunk_act!K5*1000)</f>
        <v>173.67653498949565</v>
      </c>
      <c r="L25" s="64">
        <f>IF(L10=0,0,L10/MBunk_act!L5*1000)</f>
        <v>237.8910970312626</v>
      </c>
      <c r="M25" s="64">
        <f>IF(M10=0,0,M10/MBunk_act!M5*1000)</f>
        <v>224.11158023363453</v>
      </c>
      <c r="N25" s="64">
        <f>IF(N10=0,0,N10/MBunk_act!N5*1000)</f>
        <v>212.26726932139485</v>
      </c>
      <c r="O25" s="64">
        <f>IF(O10=0,0,O10/MBunk_act!O5*1000)</f>
        <v>176.60652104574095</v>
      </c>
      <c r="P25" s="64">
        <f>IF(P10=0,0,P10/MBunk_act!P5*1000)</f>
        <v>144.96851371742679</v>
      </c>
      <c r="Q25" s="64">
        <f>IF(Q10=0,0,Q10/MBunk_act!Q5*1000)</f>
        <v>264.56843677456357</v>
      </c>
      <c r="R25" s="64">
        <f>IF(R10=0,0,R10/MBunk_act!R5*1000)</f>
        <v>288.98526411603331</v>
      </c>
      <c r="S25" s="64">
        <f>IF(S10=0,0,S10/MBunk_act!S5*1000)</f>
        <v>282.4902362907344</v>
      </c>
      <c r="T25" s="64">
        <f>IF(T10=0,0,T10/MBunk_act!T5*1000)</f>
        <v>253.68170226256771</v>
      </c>
      <c r="U25" s="64">
        <f>IF(U10=0,0,U10/MBunk_act!U5*1000)</f>
        <v>203.08603116336289</v>
      </c>
      <c r="V25" s="64">
        <f>IF(V10=0,0,V10/MBunk_act!V5*1000)</f>
        <v>409.8467882604387</v>
      </c>
      <c r="W25" s="64">
        <f>IF(W10=0,0,W10/MBunk_act!W5*1000)</f>
        <v>468.74633135333914</v>
      </c>
      <c r="X25" s="64">
        <f>IF(X10=0,0,X10/MBunk_act!X5*1000)</f>
        <v>310.83254550272659</v>
      </c>
      <c r="Y25" s="64">
        <f>IF(Y10=0,0,Y10/MBunk_act!Y5*1000)</f>
        <v>178.04932445491403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0.58040331575588922</v>
      </c>
      <c r="C28" s="77">
        <f t="shared" si="6"/>
        <v>0.58070472785766003</v>
      </c>
      <c r="D28" s="77">
        <f t="shared" si="6"/>
        <v>0.57841500921825773</v>
      </c>
      <c r="E28" s="77">
        <f t="shared" si="6"/>
        <v>0.57853472773749282</v>
      </c>
      <c r="F28" s="77">
        <f t="shared" si="6"/>
        <v>0.49616358929371301</v>
      </c>
      <c r="G28" s="77">
        <f t="shared" si="6"/>
        <v>0.58207325696862977</v>
      </c>
      <c r="H28" s="77">
        <f t="shared" si="6"/>
        <v>0.52500730024215447</v>
      </c>
      <c r="I28" s="77">
        <f t="shared" si="6"/>
        <v>0.47840365996003231</v>
      </c>
      <c r="J28" s="77">
        <f t="shared" si="6"/>
        <v>0.60119537425849412</v>
      </c>
      <c r="K28" s="77">
        <f t="shared" si="6"/>
        <v>0.59428464705888706</v>
      </c>
      <c r="L28" s="77">
        <f t="shared" si="6"/>
        <v>0.59297317117608295</v>
      </c>
      <c r="M28" s="77">
        <f t="shared" si="6"/>
        <v>0.57854694591227418</v>
      </c>
      <c r="N28" s="77">
        <f t="shared" si="6"/>
        <v>0.63952943672251217</v>
      </c>
      <c r="O28" s="77">
        <f t="shared" si="6"/>
        <v>0.64096344896760493</v>
      </c>
      <c r="P28" s="77">
        <f t="shared" si="6"/>
        <v>0.58968213175212814</v>
      </c>
      <c r="Q28" s="77">
        <f t="shared" si="6"/>
        <v>0.64900163145633272</v>
      </c>
      <c r="R28" s="77">
        <f t="shared" si="6"/>
        <v>0.6057215212421232</v>
      </c>
      <c r="S28" s="77">
        <f t="shared" si="6"/>
        <v>0.59214961745846195</v>
      </c>
      <c r="T28" s="77">
        <f t="shared" si="6"/>
        <v>0.61706583633089074</v>
      </c>
      <c r="U28" s="77">
        <f t="shared" si="6"/>
        <v>0.55419372798493016</v>
      </c>
      <c r="V28" s="77">
        <f t="shared" si="6"/>
        <v>0.62566297133539128</v>
      </c>
      <c r="W28" s="77">
        <f t="shared" si="6"/>
        <v>0.59872098213866454</v>
      </c>
      <c r="X28" s="77">
        <f t="shared" ref="X28:Y28" si="8">IF(X4=0,0,X4/X$3)</f>
        <v>0.61371313236082758</v>
      </c>
      <c r="Y28" s="77">
        <f t="shared" si="8"/>
        <v>0.62266578706322206</v>
      </c>
      <c r="DA28" s="184"/>
    </row>
    <row r="29" spans="1:105" ht="11.45" customHeight="1" x14ac:dyDescent="0.25">
      <c r="A29" s="57" t="s">
        <v>167</v>
      </c>
      <c r="B29" s="78">
        <f>IF(B10=0,0,B10/B$3)</f>
        <v>0.41959668424411084</v>
      </c>
      <c r="C29" s="78">
        <f t="shared" ref="C29:W29" si="9">IF(C10=0,0,C10/C$3)</f>
        <v>0.41929527214233997</v>
      </c>
      <c r="D29" s="78">
        <f t="shared" si="9"/>
        <v>0.42158499078174233</v>
      </c>
      <c r="E29" s="78">
        <f t="shared" si="9"/>
        <v>0.42146527226250724</v>
      </c>
      <c r="F29" s="78">
        <f t="shared" si="9"/>
        <v>0.50383641070628693</v>
      </c>
      <c r="G29" s="78">
        <f t="shared" si="9"/>
        <v>0.41792674303137023</v>
      </c>
      <c r="H29" s="78">
        <f t="shared" si="9"/>
        <v>0.47499269975784547</v>
      </c>
      <c r="I29" s="78">
        <f t="shared" si="9"/>
        <v>0.52159634003996769</v>
      </c>
      <c r="J29" s="78">
        <f t="shared" si="9"/>
        <v>0.39880462574150577</v>
      </c>
      <c r="K29" s="78">
        <f t="shared" si="9"/>
        <v>0.40571535294111305</v>
      </c>
      <c r="L29" s="78">
        <f t="shared" si="9"/>
        <v>0.40702682882391705</v>
      </c>
      <c r="M29" s="78">
        <f t="shared" si="9"/>
        <v>0.42145305408772582</v>
      </c>
      <c r="N29" s="78">
        <f t="shared" si="9"/>
        <v>0.36047056327748783</v>
      </c>
      <c r="O29" s="78">
        <f t="shared" si="9"/>
        <v>0.35903655103239518</v>
      </c>
      <c r="P29" s="78">
        <f t="shared" si="9"/>
        <v>0.41031786824787186</v>
      </c>
      <c r="Q29" s="78">
        <f t="shared" si="9"/>
        <v>0.35099836854366717</v>
      </c>
      <c r="R29" s="78">
        <f t="shared" si="9"/>
        <v>0.3942784787578768</v>
      </c>
      <c r="S29" s="78">
        <f t="shared" si="9"/>
        <v>0.40785038254153805</v>
      </c>
      <c r="T29" s="78">
        <f t="shared" si="9"/>
        <v>0.38293416366910915</v>
      </c>
      <c r="U29" s="78">
        <f t="shared" si="9"/>
        <v>0.44580627201506984</v>
      </c>
      <c r="V29" s="78">
        <f t="shared" si="9"/>
        <v>0.37433702866460877</v>
      </c>
      <c r="W29" s="78">
        <f t="shared" si="9"/>
        <v>0.40127901786133541</v>
      </c>
      <c r="X29" s="78">
        <f t="shared" ref="X29:Y29" si="10">IF(X10=0,0,X10/X$3)</f>
        <v>0.38628686763917236</v>
      </c>
      <c r="Y29" s="78">
        <f t="shared" si="10"/>
        <v>0.37733421293677788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2115.16649676</v>
      </c>
      <c r="C3" s="62">
        <f t="shared" ref="C3:W3" si="1">SUM(C4:C5)</f>
        <v>2333.22308892</v>
      </c>
      <c r="D3" s="62">
        <f t="shared" si="1"/>
        <v>2387.9836508400003</v>
      </c>
      <c r="E3" s="62">
        <f t="shared" si="1"/>
        <v>2947.8873909600006</v>
      </c>
      <c r="F3" s="62">
        <f t="shared" si="1"/>
        <v>3153.2759071199998</v>
      </c>
      <c r="G3" s="62">
        <f t="shared" si="1"/>
        <v>2112.6331817999999</v>
      </c>
      <c r="H3" s="62">
        <f t="shared" si="1"/>
        <v>2412.8289039600004</v>
      </c>
      <c r="I3" s="62">
        <f t="shared" si="1"/>
        <v>2703.5818761600008</v>
      </c>
      <c r="J3" s="62">
        <f t="shared" si="1"/>
        <v>2924.4556504800003</v>
      </c>
      <c r="K3" s="62">
        <f t="shared" si="1"/>
        <v>3620.3204664</v>
      </c>
      <c r="L3" s="62">
        <f t="shared" si="1"/>
        <v>4660.8343801200008</v>
      </c>
      <c r="M3" s="62">
        <f t="shared" si="1"/>
        <v>4292.5267818000011</v>
      </c>
      <c r="N3" s="62">
        <f t="shared" si="1"/>
        <v>3809.46011688</v>
      </c>
      <c r="O3" s="62">
        <f t="shared" si="1"/>
        <v>3822.0892491600021</v>
      </c>
      <c r="P3" s="62">
        <f t="shared" si="1"/>
        <v>3938.4396007199994</v>
      </c>
      <c r="Q3" s="62">
        <f t="shared" si="1"/>
        <v>4942.9317322799998</v>
      </c>
      <c r="R3" s="62">
        <f t="shared" si="1"/>
        <v>5639.8023575999987</v>
      </c>
      <c r="S3" s="62">
        <f t="shared" si="1"/>
        <v>6871.0672062000012</v>
      </c>
      <c r="T3" s="62">
        <f t="shared" si="1"/>
        <v>7101.3779665199982</v>
      </c>
      <c r="U3" s="62">
        <f t="shared" si="1"/>
        <v>7277.7442172400015</v>
      </c>
      <c r="V3" s="62">
        <f t="shared" si="1"/>
        <v>7027.2414302400011</v>
      </c>
      <c r="W3" s="62">
        <f t="shared" si="1"/>
        <v>6230.7827024399994</v>
      </c>
      <c r="X3" s="62">
        <f t="shared" ref="X3:Y3" si="2">SUM(X4:X5)</f>
        <v>6826.1576526000008</v>
      </c>
      <c r="Y3" s="62">
        <f t="shared" si="2"/>
        <v>7230.1949837999982</v>
      </c>
      <c r="DA3" s="172" t="s">
        <v>987</v>
      </c>
    </row>
    <row r="4" spans="1:105" ht="11.45" customHeight="1" x14ac:dyDescent="0.25">
      <c r="A4" s="55" t="s">
        <v>166</v>
      </c>
      <c r="B4" s="63">
        <v>1222.3145701814301</v>
      </c>
      <c r="C4" s="63">
        <v>1350.1643265298733</v>
      </c>
      <c r="D4" s="63">
        <v>1375.3467110036515</v>
      </c>
      <c r="E4" s="63">
        <v>1699.4321990400024</v>
      </c>
      <c r="F4" s="63">
        <v>1555.9726920928526</v>
      </c>
      <c r="G4" s="63">
        <v>1223.4715840877079</v>
      </c>
      <c r="H4" s="63">
        <v>1258.391200237807</v>
      </c>
      <c r="I4" s="63">
        <v>1284.6534111542867</v>
      </c>
      <c r="J4" s="63">
        <v>1749.1159244418193</v>
      </c>
      <c r="K4" s="63">
        <v>2137.0781330442792</v>
      </c>
      <c r="L4" s="63">
        <v>2753.3606388150447</v>
      </c>
      <c r="M4" s="63">
        <v>2474.1266776877123</v>
      </c>
      <c r="N4" s="63">
        <v>2428.1006762643397</v>
      </c>
      <c r="O4" s="63">
        <v>2443.4180878268485</v>
      </c>
      <c r="P4" s="63">
        <v>2314.8418879614906</v>
      </c>
      <c r="Q4" s="63">
        <v>3198.6325335759079</v>
      </c>
      <c r="R4" s="63">
        <v>3405.7494086160314</v>
      </c>
      <c r="S4" s="63">
        <v>4055.5587125134093</v>
      </c>
      <c r="T4" s="63">
        <v>4368.0467125658388</v>
      </c>
      <c r="U4" s="63">
        <v>4016.6278976170888</v>
      </c>
      <c r="V4" s="63">
        <v>4381.6678282948887</v>
      </c>
      <c r="W4" s="63">
        <v>3715.2880682170453</v>
      </c>
      <c r="X4" s="63">
        <v>4172.9558874486565</v>
      </c>
      <c r="Y4" s="63">
        <v>4484.4357585273792</v>
      </c>
      <c r="DA4" s="181" t="s">
        <v>988</v>
      </c>
    </row>
    <row r="5" spans="1:105" ht="11.45" customHeight="1" x14ac:dyDescent="0.25">
      <c r="A5" s="57" t="s">
        <v>167</v>
      </c>
      <c r="B5" s="64">
        <v>892.85192657856987</v>
      </c>
      <c r="C5" s="64">
        <v>983.05876239012673</v>
      </c>
      <c r="D5" s="64">
        <v>1012.6369398363486</v>
      </c>
      <c r="E5" s="64">
        <v>1248.455191919998</v>
      </c>
      <c r="F5" s="64">
        <v>1597.3032150271474</v>
      </c>
      <c r="G5" s="64">
        <v>889.16159771229184</v>
      </c>
      <c r="H5" s="64">
        <v>1154.4377037221934</v>
      </c>
      <c r="I5" s="64">
        <v>1418.9284650057141</v>
      </c>
      <c r="J5" s="64">
        <v>1175.339726038181</v>
      </c>
      <c r="K5" s="64">
        <v>1483.2423333557208</v>
      </c>
      <c r="L5" s="64">
        <v>1907.4737413049563</v>
      </c>
      <c r="M5" s="64">
        <v>1818.4001041122883</v>
      </c>
      <c r="N5" s="64">
        <v>1381.3594406156603</v>
      </c>
      <c r="O5" s="64">
        <v>1378.6711613331536</v>
      </c>
      <c r="P5" s="64">
        <v>1623.5977127585088</v>
      </c>
      <c r="Q5" s="64">
        <v>1744.2991987040921</v>
      </c>
      <c r="R5" s="64">
        <v>2234.0529489839673</v>
      </c>
      <c r="S5" s="64">
        <v>2815.5084936865915</v>
      </c>
      <c r="T5" s="64">
        <v>2733.3312539541598</v>
      </c>
      <c r="U5" s="64">
        <v>3261.1163196229127</v>
      </c>
      <c r="V5" s="64">
        <v>2645.5736019451119</v>
      </c>
      <c r="W5" s="64">
        <v>2515.4946342229537</v>
      </c>
      <c r="X5" s="64">
        <v>2653.2017651513438</v>
      </c>
      <c r="Y5" s="64">
        <v>2745.7592252726195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3.2129928256154021</v>
      </c>
      <c r="C9" s="79">
        <f>IF(C3=0,0,C3/MBunk_ene!C3)</f>
        <v>3.2182704231725001</v>
      </c>
      <c r="D9" s="79">
        <f>IF(D3=0,0,D3/MBunk_ene!D3)</f>
        <v>3.2136573258993435</v>
      </c>
      <c r="E9" s="79">
        <f>IF(E3=0,0,E3/MBunk_ene!E3)</f>
        <v>3.2182753764603018</v>
      </c>
      <c r="F9" s="79">
        <f>IF(F3=0,0,F3/MBunk_ene!F3)</f>
        <v>3.214544912022256</v>
      </c>
      <c r="G9" s="79">
        <f>IF(G3=0,0,G3/MBunk_ene!G3)</f>
        <v>3.2082596429372243</v>
      </c>
      <c r="H9" s="79">
        <f>IF(H3=0,0,H3/MBunk_ene!H3)</f>
        <v>3.206078280840309</v>
      </c>
      <c r="I9" s="79">
        <f>IF(I3=0,0,I3/MBunk_ene!I3)</f>
        <v>3.2102544278920591</v>
      </c>
      <c r="J9" s="79">
        <f>IF(J3=0,0,J3/MBunk_ene!J3)</f>
        <v>3.2054326295921749</v>
      </c>
      <c r="K9" s="79">
        <f>IF(K3=0,0,K3/MBunk_ene!K3)</f>
        <v>3.1961113034407949</v>
      </c>
      <c r="L9" s="79">
        <f>IF(L3=0,0,L3/MBunk_ene!L3)</f>
        <v>3.2156186697182836</v>
      </c>
      <c r="M9" s="79">
        <f>IF(M3=0,0,M3/MBunk_ene!M3)</f>
        <v>3.2169746103115195</v>
      </c>
      <c r="N9" s="79">
        <f>IF(N3=0,0,N3/MBunk_ene!N3)</f>
        <v>3.2141241740207138</v>
      </c>
      <c r="O9" s="79">
        <f>IF(O3=0,0,O3/MBunk_ene!O3)</f>
        <v>3.2197834833681664</v>
      </c>
      <c r="P9" s="79">
        <f>IF(P3=0,0,P3/MBunk_ene!P3)</f>
        <v>3.2191262543729233</v>
      </c>
      <c r="Q9" s="79">
        <f>IF(Q3=0,0,Q3/MBunk_ene!Q3)</f>
        <v>3.2166663736330965</v>
      </c>
      <c r="R9" s="79">
        <f>IF(R3=0,0,R3/MBunk_ene!R3)</f>
        <v>3.2193610477729147</v>
      </c>
      <c r="S9" s="79">
        <f>IF(S3=0,0,S3/MBunk_ene!S3)</f>
        <v>3.219168655243144</v>
      </c>
      <c r="T9" s="79">
        <f>IF(T3=0,0,T3/MBunk_ene!T3)</f>
        <v>3.2174171315644848</v>
      </c>
      <c r="U9" s="79">
        <f>IF(U3=0,0,U3/MBunk_ene!U3)</f>
        <v>3.2168838811514697</v>
      </c>
      <c r="V9" s="79">
        <f>IF(V3=0,0,V3/MBunk_ene!V3)</f>
        <v>3.2149844578260738</v>
      </c>
      <c r="W9" s="79">
        <f>IF(W3=0,0,W3/MBunk_ene!W3)</f>
        <v>3.2128730409918052</v>
      </c>
      <c r="X9" s="79">
        <f>IF(X3=0,0,X3/MBunk_ene!X3)</f>
        <v>3.2125547758069883</v>
      </c>
      <c r="Y9" s="79">
        <f>IF(Y3=0,0,Y3/MBunk_ene!Y3)</f>
        <v>3.2108119558029387</v>
      </c>
      <c r="DA9" s="172"/>
    </row>
    <row r="10" spans="1:105" ht="11.45" customHeight="1" x14ac:dyDescent="0.25">
      <c r="A10" s="55" t="s">
        <v>166</v>
      </c>
      <c r="B10" s="80">
        <f>IF(B4=0,0,B4/MBunk_ene!B4)</f>
        <v>3.1990299111243909</v>
      </c>
      <c r="C10" s="80">
        <f>IF(C4=0,0,C4/MBunk_ene!C4)</f>
        <v>3.2069894829591856</v>
      </c>
      <c r="D10" s="80">
        <f>IF(D4=0,0,D4/MBunk_ene!D4)</f>
        <v>3.1999327854103101</v>
      </c>
      <c r="E10" s="80">
        <f>IF(E4=0,0,E4/MBunk_ene!E4)</f>
        <v>3.2069096313509049</v>
      </c>
      <c r="F10" s="80">
        <f>IF(F4=0,0,F4/MBunk_ene!F4)</f>
        <v>3.1969408822898391</v>
      </c>
      <c r="G10" s="80">
        <f>IF(G4=0,0,G4/MBunk_ene!G4)</f>
        <v>3.1919909568814488</v>
      </c>
      <c r="H10" s="80">
        <f>IF(H4=0,0,H4/MBunk_ene!H4)</f>
        <v>3.1849155821945576</v>
      </c>
      <c r="I10" s="80">
        <f>IF(I4=0,0,I4/MBunk_ene!I4)</f>
        <v>3.1885366124936327</v>
      </c>
      <c r="J10" s="80">
        <f>IF(J4=0,0,J4/MBunk_ene!J4)</f>
        <v>3.1889269971919503</v>
      </c>
      <c r="K10" s="80">
        <f>IF(K4=0,0,K4/MBunk_ene!K4)</f>
        <v>3.1746859462844856</v>
      </c>
      <c r="L10" s="80">
        <f>IF(L4=0,0,L4/MBunk_ene!L4)</f>
        <v>3.2035309629632018</v>
      </c>
      <c r="M10" s="80">
        <f>IF(M4=0,0,M4/MBunk_ene!M4)</f>
        <v>3.2049255593451127</v>
      </c>
      <c r="N10" s="80">
        <f>IF(N4=0,0,N4/MBunk_ene!N4)</f>
        <v>3.2033572153086927</v>
      </c>
      <c r="O10" s="80">
        <f>IF(O4=0,0,O4/MBunk_ene!O4)</f>
        <v>3.2113701349720749</v>
      </c>
      <c r="P10" s="80">
        <f>IF(P4=0,0,P4/MBunk_ene!P4)</f>
        <v>3.2086118624210758</v>
      </c>
      <c r="Q10" s="80">
        <f>IF(Q4=0,0,Q4/MBunk_ene!Q4)</f>
        <v>3.2073028363287066</v>
      </c>
      <c r="R10" s="80">
        <f>IF(R4=0,0,R4/MBunk_ene!R4)</f>
        <v>3.2095599035256908</v>
      </c>
      <c r="S10" s="80">
        <f>IF(S4=0,0,S4/MBunk_ene!S4)</f>
        <v>3.2087713696846407</v>
      </c>
      <c r="T10" s="80">
        <f>IF(T4=0,0,T4/MBunk_ene!T4)</f>
        <v>3.207159162182299</v>
      </c>
      <c r="U10" s="80">
        <f>IF(U4=0,0,U4/MBunk_ene!U4)</f>
        <v>3.2036022549084131</v>
      </c>
      <c r="V10" s="80">
        <f>IF(V4=0,0,V4/MBunk_ene!V4)</f>
        <v>3.2040036429716836</v>
      </c>
      <c r="W10" s="80">
        <f>IF(W4=0,0,W4/MBunk_ene!W4)</f>
        <v>3.1997715557857127</v>
      </c>
      <c r="X10" s="80">
        <f>IF(X4=0,0,X4/MBunk_ene!X4)</f>
        <v>3.2000193496559617</v>
      </c>
      <c r="Y10" s="80">
        <f>IF(Y4=0,0,Y4/MBunk_ene!Y4)</f>
        <v>3.1982887115443299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3.2323069007082448</v>
      </c>
      <c r="C11" s="81">
        <f>IF(C5=0,0,C5/MBunk_ene!C10)</f>
        <v>3.2338940081537477</v>
      </c>
      <c r="D11" s="81">
        <f>IF(D5=0,0,D5/MBunk_ene!D10)</f>
        <v>3.2324874085328821</v>
      </c>
      <c r="E11" s="81">
        <f>IF(E5=0,0,E5/MBunk_ene!E10)</f>
        <v>3.2338768475307411</v>
      </c>
      <c r="F11" s="81">
        <f>IF(F5=0,0,F5/MBunk_ene!F10)</f>
        <v>3.2318808535946912</v>
      </c>
      <c r="G11" s="81">
        <f>IF(G5=0,0,G5/MBunk_ene!G10)</f>
        <v>3.2309180806586273</v>
      </c>
      <c r="H11" s="81">
        <f>IF(H5=0,0,H5/MBunk_ene!H10)</f>
        <v>3.2294693167183515</v>
      </c>
      <c r="I11" s="81">
        <f>IF(I5=0,0,I5/MBunk_ene!I10)</f>
        <v>3.2301738206779582</v>
      </c>
      <c r="J11" s="81">
        <f>IF(J5=0,0,J5/MBunk_ene!J10)</f>
        <v>3.2303147628667732</v>
      </c>
      <c r="K11" s="81">
        <f>IF(K5=0,0,K5/MBunk_ene!K10)</f>
        <v>3.2274947862778269</v>
      </c>
      <c r="L11" s="81">
        <f>IF(L5=0,0,L5/MBunk_ene!L10)</f>
        <v>3.2332285305412625</v>
      </c>
      <c r="M11" s="81">
        <f>IF(M5=0,0,M5/MBunk_ene!M10)</f>
        <v>3.23351486686001</v>
      </c>
      <c r="N11" s="81">
        <f>IF(N5=0,0,N5/MBunk_ene!N10)</f>
        <v>3.2332263913493802</v>
      </c>
      <c r="O11" s="81">
        <f>IF(O5=0,0,O5/MBunk_ene!O10)</f>
        <v>3.2348032600171419</v>
      </c>
      <c r="P11" s="81">
        <f>IF(P5=0,0,P5/MBunk_ene!P10)</f>
        <v>3.2342368540811903</v>
      </c>
      <c r="Q11" s="81">
        <f>IF(Q5=0,0,Q5/MBunk_ene!Q10)</f>
        <v>3.2339797047803769</v>
      </c>
      <c r="R11" s="81">
        <f>IF(R5=0,0,R5/MBunk_ene!R10)</f>
        <v>3.234418334242227</v>
      </c>
      <c r="S11" s="81">
        <f>IF(S5=0,0,S5/MBunk_ene!S10)</f>
        <v>3.2342642612045944</v>
      </c>
      <c r="T11" s="81">
        <f>IF(T5=0,0,T5/MBunk_ene!T10)</f>
        <v>3.2339469767870317</v>
      </c>
      <c r="U11" s="81">
        <f>IF(U5=0,0,U5/MBunk_ene!U10)</f>
        <v>3.2333946267900893</v>
      </c>
      <c r="V11" s="81">
        <f>IF(V5=0,0,V5/MBunk_ene!V10)</f>
        <v>3.2333376762452892</v>
      </c>
      <c r="W11" s="81">
        <f>IF(W5=0,0,W5/MBunk_ene!W10)</f>
        <v>3.2324208711571432</v>
      </c>
      <c r="X11" s="81">
        <f>IF(X5=0,0,X5/MBunk_ene!X10)</f>
        <v>3.2324704299311926</v>
      </c>
      <c r="Y11" s="81">
        <f>IF(Y5=0,0,Y5/MBunk_ene!Y10)</f>
        <v>3.2314774440505643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661680.15890335536</v>
      </c>
      <c r="C13" s="62">
        <f>IF(C3=0,0,C3/MBunk_act!C7*100)</f>
        <v>706008.23917865183</v>
      </c>
      <c r="D13" s="62">
        <f>IF(D3=0,0,D3/MBunk_act!D7*100)</f>
        <v>731464.73165352596</v>
      </c>
      <c r="E13" s="62">
        <f>IF(E3=0,0,E3/MBunk_act!E7*100)</f>
        <v>733095.60472999036</v>
      </c>
      <c r="F13" s="62">
        <f>IF(F3=0,0,F3/MBunk_act!F7*100)</f>
        <v>740643.73928239231</v>
      </c>
      <c r="G13" s="62">
        <f>IF(G3=0,0,G3/MBunk_act!G7*100)</f>
        <v>588487.04485311732</v>
      </c>
      <c r="H13" s="62">
        <f>IF(H3=0,0,H3/MBunk_act!H7*100)</f>
        <v>634015.63051584119</v>
      </c>
      <c r="I13" s="62">
        <f>IF(I3=0,0,I3/MBunk_act!I7*100)</f>
        <v>677426.45282338094</v>
      </c>
      <c r="J13" s="62">
        <f>IF(J3=0,0,J3/MBunk_act!J7*100)</f>
        <v>600374.79608708597</v>
      </c>
      <c r="K13" s="62">
        <f>IF(K3=0,0,K3/MBunk_act!K7*100)</f>
        <v>726754.53858182987</v>
      </c>
      <c r="L13" s="62">
        <f>IF(L3=0,0,L3/MBunk_act!L7*100)</f>
        <v>979850.31158707349</v>
      </c>
      <c r="M13" s="62">
        <f>IF(M3=0,0,M3/MBunk_act!M7*100)</f>
        <v>1051680.0515975396</v>
      </c>
      <c r="N13" s="62">
        <f>IF(N3=0,0,N3/MBunk_act!N7*100)</f>
        <v>883482.1357972296</v>
      </c>
      <c r="O13" s="62">
        <f>IF(O3=0,0,O3/MBunk_act!O7*100)</f>
        <v>821583.63946604799</v>
      </c>
      <c r="P13" s="62">
        <f>IF(P3=0,0,P3/MBunk_act!P7*100)</f>
        <v>834584.91572862258</v>
      </c>
      <c r="Q13" s="62">
        <f>IF(Q3=0,0,Q3/MBunk_act!Q7*100)</f>
        <v>1195738.4705754283</v>
      </c>
      <c r="R13" s="62">
        <f>IF(R3=0,0,R3/MBunk_act!R7*100)</f>
        <v>1737066.2133709502</v>
      </c>
      <c r="S13" s="62">
        <f>IF(S3=0,0,S3/MBunk_act!S7*100)</f>
        <v>1743461.0589056222</v>
      </c>
      <c r="T13" s="62">
        <f>IF(T3=0,0,T3/MBunk_act!T7*100)</f>
        <v>1317052.8900956435</v>
      </c>
      <c r="U13" s="62">
        <f>IF(U3=0,0,U3/MBunk_act!U7*100)</f>
        <v>1303566.0747884186</v>
      </c>
      <c r="V13" s="62">
        <f>IF(V3=0,0,V3/MBunk_act!V7*100)</f>
        <v>1455267.9283056145</v>
      </c>
      <c r="W13" s="62">
        <f>IF(W3=0,0,W3/MBunk_act!W7*100)</f>
        <v>1776457.5392852866</v>
      </c>
      <c r="X13" s="62">
        <f>IF(X3=0,0,X3/MBunk_act!X7*100)</f>
        <v>1365854.3601082095</v>
      </c>
      <c r="Y13" s="62">
        <f>IF(Y3=0,0,Y3/MBunk_act!Y7*100)</f>
        <v>890486.09423379588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553414.06187470804</v>
      </c>
      <c r="C14" s="63">
        <f>IF(C4=0,0,C4/MBunk_act!C8*100)</f>
        <v>590935.85254219128</v>
      </c>
      <c r="D14" s="63">
        <f>IF(D4=0,0,D4/MBunk_act!D8*100)</f>
        <v>613331.45039896702</v>
      </c>
      <c r="E14" s="63">
        <f>IF(E4=0,0,E4/MBunk_act!E8*100)</f>
        <v>617035.20782516897</v>
      </c>
      <c r="F14" s="63">
        <f>IF(F4=0,0,F4/MBunk_act!F8*100)</f>
        <v>650169.52009161562</v>
      </c>
      <c r="G14" s="63">
        <f>IF(G4=0,0,G4/MBunk_act!G8*100)</f>
        <v>494551.75394628232</v>
      </c>
      <c r="H14" s="63">
        <f>IF(H4=0,0,H4/MBunk_act!H8*100)</f>
        <v>524436.73926668649</v>
      </c>
      <c r="I14" s="63">
        <f>IF(I4=0,0,I4/MBunk_act!I8*100)</f>
        <v>557328.53127273801</v>
      </c>
      <c r="J14" s="63">
        <f>IF(J4=0,0,J4/MBunk_act!J8*100)</f>
        <v>482963.72750441631</v>
      </c>
      <c r="K14" s="63">
        <f>IF(K4=0,0,K4/MBunk_act!K8*100)</f>
        <v>589108.13696036802</v>
      </c>
      <c r="L14" s="63">
        <f>IF(L4=0,0,L4/MBunk_act!L8*100)</f>
        <v>788797.46025446907</v>
      </c>
      <c r="M14" s="63">
        <f>IF(M4=0,0,M4/MBunk_act!M8*100)</f>
        <v>840476.2265730818</v>
      </c>
      <c r="N14" s="63">
        <f>IF(N4=0,0,N4/MBunk_act!N8*100)</f>
        <v>700780.89275562856</v>
      </c>
      <c r="O14" s="63">
        <f>IF(O4=0,0,O4/MBunk_act!O8*100)</f>
        <v>652266.95065371646</v>
      </c>
      <c r="P14" s="63">
        <f>IF(P4=0,0,P4/MBunk_act!P8*100)</f>
        <v>664239.62695633806</v>
      </c>
      <c r="Q14" s="63">
        <f>IF(Q4=0,0,Q4/MBunk_act!Q8*100)</f>
        <v>948704.32662903098</v>
      </c>
      <c r="R14" s="63">
        <f>IF(R4=0,0,R4/MBunk_act!R8*100)</f>
        <v>1383792.8337400632</v>
      </c>
      <c r="S14" s="63">
        <f>IF(S4=0,0,S4/MBunk_act!S8*100)</f>
        <v>1386326.2160775997</v>
      </c>
      <c r="T14" s="63">
        <f>IF(T4=0,0,T4/MBunk_act!T8*100)</f>
        <v>1040940.5332298691</v>
      </c>
      <c r="U14" s="63">
        <f>IF(U4=0,0,U4/MBunk_act!U8*100)</f>
        <v>1024966.3538023442</v>
      </c>
      <c r="V14" s="63">
        <f>IF(V4=0,0,V4/MBunk_act!V8*100)</f>
        <v>1083549.3824623039</v>
      </c>
      <c r="W14" s="63">
        <f>IF(W4=0,0,W4/MBunk_act!W8*100)</f>
        <v>1263217.9020366475</v>
      </c>
      <c r="X14" s="63">
        <f>IF(X4=0,0,X4/MBunk_act!X8*100)</f>
        <v>1059203.8214611372</v>
      </c>
      <c r="Y14" s="63">
        <f>IF(Y4=0,0,Y4/MBunk_act!Y8*100)</f>
        <v>702338.09477626183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903714.57577943872</v>
      </c>
      <c r="C15" s="64">
        <f>IF(C5=0,0,C5/MBunk_act!C9*100)</f>
        <v>963764.20304516272</v>
      </c>
      <c r="D15" s="64">
        <f>IF(D5=0,0,D5/MBunk_act!D9*100)</f>
        <v>990605.86539007328</v>
      </c>
      <c r="E15" s="64">
        <f>IF(E5=0,0,E5/MBunk_act!E9*100)</f>
        <v>985394.32335669477</v>
      </c>
      <c r="F15" s="64">
        <f>IF(F5=0,0,F5/MBunk_act!F9*100)</f>
        <v>856784.43116834608</v>
      </c>
      <c r="G15" s="64">
        <f>IF(G5=0,0,G5/MBunk_act!G9*100)</f>
        <v>796711.2269383641</v>
      </c>
      <c r="H15" s="64">
        <f>IF(H5=0,0,H5/MBunk_act!H9*100)</f>
        <v>821009.37595809286</v>
      </c>
      <c r="I15" s="64">
        <f>IF(I5=0,0,I5/MBunk_act!I9*100)</f>
        <v>841624.53290491609</v>
      </c>
      <c r="J15" s="64">
        <f>IF(J5=0,0,J5/MBunk_act!J9*100)</f>
        <v>940708.26946757769</v>
      </c>
      <c r="K15" s="64">
        <f>IF(K5=0,0,K5/MBunk_act!K9*100)</f>
        <v>1095581.7034182185</v>
      </c>
      <c r="L15" s="64">
        <f>IF(L5=0,0,L5/MBunk_act!L9*100)</f>
        <v>1506574.3158557431</v>
      </c>
      <c r="M15" s="64">
        <f>IF(M5=0,0,M5/MBunk_act!M9*100)</f>
        <v>1598073.6851417897</v>
      </c>
      <c r="N15" s="64">
        <f>IF(N5=0,0,N5/MBunk_act!N9*100)</f>
        <v>1630846.3089604264</v>
      </c>
      <c r="O15" s="64">
        <f>IF(O5=0,0,O5/MBunk_act!O9*100)</f>
        <v>1521611.3296394872</v>
      </c>
      <c r="P15" s="64">
        <f>IF(P5=0,0,P5/MBunk_act!P9*100)</f>
        <v>1315623.4251622723</v>
      </c>
      <c r="Q15" s="64">
        <f>IF(Q5=0,0,Q5/MBunk_act!Q9*100)</f>
        <v>2288475.8776506372</v>
      </c>
      <c r="R15" s="64">
        <f>IF(R5=0,0,R5/MBunk_act!R9*100)</f>
        <v>2843862.3534299526</v>
      </c>
      <c r="S15" s="64">
        <f>IF(S5=0,0,S5/MBunk_act!S9*100)</f>
        <v>2772124.7414823924</v>
      </c>
      <c r="T15" s="64">
        <f>IF(T5=0,0,T5/MBunk_act!T9*100)</f>
        <v>2286120.3843647311</v>
      </c>
      <c r="U15" s="64">
        <f>IF(U5=0,0,U5/MBunk_act!U9*100)</f>
        <v>1959617.0558257094</v>
      </c>
      <c r="V15" s="64">
        <f>IF(V5=0,0,V5/MBunk_act!V9*100)</f>
        <v>3370071.5930105112</v>
      </c>
      <c r="W15" s="64">
        <f>IF(W5=0,0,W5/MBunk_act!W9*100)</f>
        <v>4442060.8420119612</v>
      </c>
      <c r="X15" s="64">
        <f>IF(X5=0,0,X5/MBunk_act!X9*100)</f>
        <v>2507728.4384375797</v>
      </c>
      <c r="Y15" s="64">
        <f>IF(Y5=0,0,Y5/MBunk_act!Y9*100)</f>
        <v>1583145.0182329142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648.87989775824781</v>
      </c>
      <c r="C17" s="62">
        <f>IF(C3=0,0,C3/MBunk_act!C3*1000)</f>
        <v>662.04154890274378</v>
      </c>
      <c r="D17" s="62">
        <f>IF(D3=0,0,D3/MBunk_act!D3*1000)</f>
        <v>658.20974914342264</v>
      </c>
      <c r="E17" s="62">
        <f>IF(E3=0,0,E3/MBunk_act!E3*1000)</f>
        <v>657.92170442504732</v>
      </c>
      <c r="F17" s="62">
        <f>IF(F3=0,0,F3/MBunk_act!F3*1000)</f>
        <v>542.40242967430606</v>
      </c>
      <c r="G17" s="62">
        <f>IF(G3=0,0,G3/MBunk_act!G3*1000)</f>
        <v>502.76441078648668</v>
      </c>
      <c r="H17" s="62">
        <f>IF(H3=0,0,H3/MBunk_act!H3*1000)</f>
        <v>530.01175977621813</v>
      </c>
      <c r="I17" s="62">
        <f>IF(I3=0,0,I3/MBunk_act!I3*1000)</f>
        <v>589.16659774359914</v>
      </c>
      <c r="J17" s="62">
        <f>IF(J3=0,0,J3/MBunk_act!J3*1000)</f>
        <v>641.33273109058052</v>
      </c>
      <c r="K17" s="62">
        <f>IF(K3=0,0,K3/MBunk_act!K3*1000)</f>
        <v>720.92049222286755</v>
      </c>
      <c r="L17" s="62">
        <f>IF(L3=0,0,L3/MBunk_act!L3*1000)</f>
        <v>989.46518556112198</v>
      </c>
      <c r="M17" s="62">
        <f>IF(M3=0,0,M3/MBunk_act!M3*1000)</f>
        <v>997.94856226715058</v>
      </c>
      <c r="N17" s="62">
        <f>IF(N3=0,0,N3/MBunk_act!N3*1000)</f>
        <v>918.06575809222227</v>
      </c>
      <c r="O17" s="62">
        <f>IF(O3=0,0,O3/MBunk_act!O3*1000)</f>
        <v>799.78633446568631</v>
      </c>
      <c r="P17" s="62">
        <f>IF(P3=0,0,P3/MBunk_act!P3*1000)</f>
        <v>698.53859825482357</v>
      </c>
      <c r="Q17" s="62">
        <f>IF(Q3=0,0,Q3/MBunk_act!Q3*1000)</f>
        <v>1144.6094806445917</v>
      </c>
      <c r="R17" s="62">
        <f>IF(R3=0,0,R3/MBunk_act!R3*1000)</f>
        <v>1357.5451778705021</v>
      </c>
      <c r="S17" s="62">
        <f>IF(S3=0,0,S3/MBunk_act!S3*1000)</f>
        <v>1317.4656627979207</v>
      </c>
      <c r="T17" s="62">
        <f>IF(T3=0,0,T3/MBunk_act!T3*1000)</f>
        <v>1131.8294156602512</v>
      </c>
      <c r="U17" s="62">
        <f>IF(U3=0,0,U3/MBunk_act!U3*1000)</f>
        <v>964.70677557808494</v>
      </c>
      <c r="V17" s="62">
        <f>IF(V3=0,0,V3/MBunk_act!V3*1000)</f>
        <v>1444.8962855502089</v>
      </c>
      <c r="W17" s="62">
        <f>IF(W3=0,0,W3/MBunk_act!W3*1000)</f>
        <v>1701.0727432025815</v>
      </c>
      <c r="X17" s="62">
        <f>IF(X3=0,0,X3/MBunk_act!X3*1000)</f>
        <v>1334.8357272174017</v>
      </c>
      <c r="Y17" s="62">
        <f>IF(Y3=0,0,Y3/MBunk_act!Y3*1000)</f>
        <v>820.75903345643201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802.98234123374812</v>
      </c>
      <c r="C18" s="63">
        <f>IF(C4=0,0,C4/MBunk_act!C4*1000)</f>
        <v>828.99239877011973</v>
      </c>
      <c r="D18" s="63">
        <f>IF(D4=0,0,D4/MBunk_act!D4*1000)</f>
        <v>821.17505884287095</v>
      </c>
      <c r="E18" s="63">
        <f>IF(E4=0,0,E4/MBunk_act!E4*1000)</f>
        <v>820.23709771063056</v>
      </c>
      <c r="F18" s="63">
        <f>IF(F4=0,0,F4/MBunk_act!F4*1000)</f>
        <v>860.10969022849224</v>
      </c>
      <c r="G18" s="63">
        <f>IF(G4=0,0,G4/MBunk_act!G4*1000)</f>
        <v>634.76239458404098</v>
      </c>
      <c r="H18" s="63">
        <f>IF(H4=0,0,H4/MBunk_act!H4*1000)</f>
        <v>631.05279575391432</v>
      </c>
      <c r="I18" s="63">
        <f>IF(I4=0,0,I4/MBunk_act!I4*1000)</f>
        <v>665.96947435777133</v>
      </c>
      <c r="J18" s="63">
        <f>IF(J4=0,0,J4/MBunk_act!J4*1000)</f>
        <v>751.65278037152666</v>
      </c>
      <c r="K18" s="63">
        <f>IF(K4=0,0,K4/MBunk_act!K4*1000)</f>
        <v>899.55429250863949</v>
      </c>
      <c r="L18" s="63">
        <f>IF(L4=0,0,L4/MBunk_act!L4*1000)</f>
        <v>1234.4128901583422</v>
      </c>
      <c r="M18" s="63">
        <f>IF(M4=0,0,M4/MBunk_act!M4*1000)</f>
        <v>1380.6017267446257</v>
      </c>
      <c r="N18" s="63">
        <f>IF(N4=0,0,N4/MBunk_act!N4*1000)</f>
        <v>1136.377759718298</v>
      </c>
      <c r="O18" s="63">
        <f>IF(O4=0,0,O4/MBunk_act!O4*1000)</f>
        <v>1032.8882970835703</v>
      </c>
      <c r="P18" s="63">
        <f>IF(P4=0,0,P4/MBunk_act!P4*1000)</f>
        <v>1064.1634562385116</v>
      </c>
      <c r="Q18" s="63">
        <f>IF(Q4=0,0,Q4/MBunk_act!Q4*1000)</f>
        <v>1403.0445185168703</v>
      </c>
      <c r="R18" s="63">
        <f>IF(R4=0,0,R4/MBunk_act!R4*1000)</f>
        <v>1930.388345256835</v>
      </c>
      <c r="S18" s="63">
        <f>IF(S4=0,0,S4/MBunk_act!S4*1000)</f>
        <v>1900.6669189773836</v>
      </c>
      <c r="T18" s="63">
        <f>IF(T4=0,0,T4/MBunk_act!T4*1000)</f>
        <v>1484.4606681230107</v>
      </c>
      <c r="U18" s="63">
        <f>IF(U4=0,0,U4/MBunk_act!U4*1000)</f>
        <v>1558.1864447765495</v>
      </c>
      <c r="V18" s="63">
        <f>IF(V4=0,0,V4/MBunk_act!V4*1000)</f>
        <v>1528.2612972174229</v>
      </c>
      <c r="W18" s="63">
        <f>IF(W4=0,0,W4/MBunk_act!W4*1000)</f>
        <v>1855.1714263831821</v>
      </c>
      <c r="X18" s="63">
        <f>IF(X4=0,0,X4/MBunk_act!X4*1000)</f>
        <v>1687.2591350760836</v>
      </c>
      <c r="Y18" s="63">
        <f>IF(Y4=0,0,Y4/MBunk_act!Y4*1000)</f>
        <v>1110.8527508324503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513.87129625908153</v>
      </c>
      <c r="C19" s="64">
        <f>IF(C5=0,0,C5/MBunk_act!C5*1000)</f>
        <v>518.59928009234932</v>
      </c>
      <c r="D19" s="64">
        <f>IF(D5=0,0,D5/MBunk_act!D5*1000)</f>
        <v>518.46454662902056</v>
      </c>
      <c r="E19" s="64">
        <f>IF(E5=0,0,E5/MBunk_act!E5*1000)</f>
        <v>518.30520276497123</v>
      </c>
      <c r="F19" s="64">
        <f>IF(F5=0,0,F5/MBunk_act!F5*1000)</f>
        <v>398.87747554592949</v>
      </c>
      <c r="G19" s="64">
        <f>IF(G5=0,0,G5/MBunk_act!G5*1000)</f>
        <v>390.91140912262563</v>
      </c>
      <c r="H19" s="64">
        <f>IF(H5=0,0,H5/MBunk_act!H5*1000)</f>
        <v>451.25323172539277</v>
      </c>
      <c r="I19" s="64">
        <f>IF(I5=0,0,I5/MBunk_act!I5*1000)</f>
        <v>533.46651953396304</v>
      </c>
      <c r="J19" s="64">
        <f>IF(J5=0,0,J5/MBunk_act!J5*1000)</f>
        <v>526.36426120480098</v>
      </c>
      <c r="K19" s="64">
        <f>IF(K5=0,0,K5/MBunk_act!K5*1000)</f>
        <v>560.54011117739583</v>
      </c>
      <c r="L19" s="64">
        <f>IF(L5=0,0,L5/MBunk_act!L5*1000)</f>
        <v>769.15628208323801</v>
      </c>
      <c r="M19" s="64">
        <f>IF(M5=0,0,M5/MBunk_act!M5*1000)</f>
        <v>724.66812652094723</v>
      </c>
      <c r="N19" s="64">
        <f>IF(N5=0,0,N5/MBunk_act!N5*1000)</f>
        <v>686.30813718960042</v>
      </c>
      <c r="O19" s="64">
        <f>IF(O5=0,0,O5/MBunk_act!O5*1000)</f>
        <v>571.28735001904874</v>
      </c>
      <c r="P19" s="64">
        <f>IF(P5=0,0,P5/MBunk_act!P5*1000)</f>
        <v>468.86250974627626</v>
      </c>
      <c r="Q19" s="64">
        <f>IF(Q5=0,0,Q5/MBunk_act!Q5*1000)</f>
        <v>855.60895505440885</v>
      </c>
      <c r="R19" s="64">
        <f>IF(R5=0,0,R5/MBunk_act!R5*1000)</f>
        <v>934.69923658273046</v>
      </c>
      <c r="S19" s="64">
        <f>IF(S5=0,0,S5/MBunk_act!S5*1000)</f>
        <v>913.64807537436332</v>
      </c>
      <c r="T19" s="64">
        <f>IF(T5=0,0,T5/MBunk_act!T5*1000)</f>
        <v>820.39317409821865</v>
      </c>
      <c r="U19" s="64">
        <f>IF(U5=0,0,U5/MBunk_act!U5*1000)</f>
        <v>656.65728193974212</v>
      </c>
      <c r="V19" s="64">
        <f>IF(V5=0,0,V5/MBunk_act!V5*1000)</f>
        <v>1325.173061970602</v>
      </c>
      <c r="W19" s="64">
        <f>IF(W5=0,0,W5/MBunk_act!W5*1000)</f>
        <v>1515.1854247448753</v>
      </c>
      <c r="X19" s="64">
        <f>IF(X5=0,0,X5/MBunk_act!X5*1000)</f>
        <v>1004.7570119978058</v>
      </c>
      <c r="Y19" s="64">
        <f>IF(Y5=0,0,Y5/MBunk_act!Y5*1000)</f>
        <v>575.36237590449525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0.57788101884828669</v>
      </c>
      <c r="C22" s="77">
        <f t="shared" si="3"/>
        <v>0.57866919496105107</v>
      </c>
      <c r="D22" s="77">
        <f t="shared" si="3"/>
        <v>0.57594477689152423</v>
      </c>
      <c r="E22" s="77">
        <f t="shared" si="3"/>
        <v>0.57649155943048769</v>
      </c>
      <c r="F22" s="77">
        <f t="shared" si="3"/>
        <v>0.49344641506932974</v>
      </c>
      <c r="G22" s="77">
        <f t="shared" si="3"/>
        <v>0.57912163579921105</v>
      </c>
      <c r="H22" s="77">
        <f t="shared" si="3"/>
        <v>0.52154182924968329</v>
      </c>
      <c r="I22" s="77">
        <f t="shared" si="3"/>
        <v>0.47516719300505461</v>
      </c>
      <c r="J22" s="77">
        <f t="shared" si="3"/>
        <v>0.59809965801831577</v>
      </c>
      <c r="K22" s="77">
        <f t="shared" si="3"/>
        <v>0.59030081808458301</v>
      </c>
      <c r="L22" s="77">
        <f t="shared" si="3"/>
        <v>0.590744148850051</v>
      </c>
      <c r="M22" s="77">
        <f t="shared" si="3"/>
        <v>0.57638002124478949</v>
      </c>
      <c r="N22" s="77">
        <f t="shared" si="3"/>
        <v>0.63738708419737633</v>
      </c>
      <c r="O22" s="77">
        <f t="shared" si="3"/>
        <v>0.63928860069498628</v>
      </c>
      <c r="P22" s="77">
        <f t="shared" si="3"/>
        <v>0.58775609699290721</v>
      </c>
      <c r="Q22" s="77">
        <f t="shared" si="3"/>
        <v>0.64711242372358069</v>
      </c>
      <c r="R22" s="77">
        <f t="shared" si="3"/>
        <v>0.60387743978768393</v>
      </c>
      <c r="S22" s="77">
        <f t="shared" si="3"/>
        <v>0.59023708993181423</v>
      </c>
      <c r="T22" s="77">
        <f t="shared" si="3"/>
        <v>0.61509846865767981</v>
      </c>
      <c r="U22" s="77">
        <f t="shared" si="3"/>
        <v>0.55190561494346491</v>
      </c>
      <c r="V22" s="77">
        <f t="shared" si="3"/>
        <v>0.62352601256012941</v>
      </c>
      <c r="W22" s="77">
        <f t="shared" si="3"/>
        <v>0.5962795118440134</v>
      </c>
      <c r="X22" s="77">
        <f t="shared" ref="X22:Y22" si="5">IF(X4=0,0,X4/X$3)</f>
        <v>0.61131841657059127</v>
      </c>
      <c r="Y22" s="77">
        <f t="shared" si="5"/>
        <v>0.62023718151104124</v>
      </c>
      <c r="DA22" s="184"/>
    </row>
    <row r="23" spans="1:105" ht="11.45" customHeight="1" x14ac:dyDescent="0.25">
      <c r="A23" s="57" t="s">
        <v>167</v>
      </c>
      <c r="B23" s="78">
        <f t="shared" si="3"/>
        <v>0.42211898115171331</v>
      </c>
      <c r="C23" s="78">
        <f t="shared" si="3"/>
        <v>0.42133080503894893</v>
      </c>
      <c r="D23" s="78">
        <f t="shared" si="3"/>
        <v>0.42405522310847565</v>
      </c>
      <c r="E23" s="78">
        <f t="shared" si="3"/>
        <v>0.42350844056951226</v>
      </c>
      <c r="F23" s="78">
        <f t="shared" si="3"/>
        <v>0.50655358493067038</v>
      </c>
      <c r="G23" s="78">
        <f t="shared" si="3"/>
        <v>0.42087836420078889</v>
      </c>
      <c r="H23" s="78">
        <f t="shared" si="3"/>
        <v>0.47845817075031671</v>
      </c>
      <c r="I23" s="78">
        <f t="shared" si="3"/>
        <v>0.52483280699494539</v>
      </c>
      <c r="J23" s="78">
        <f t="shared" si="3"/>
        <v>0.40190034198168423</v>
      </c>
      <c r="K23" s="78">
        <f t="shared" si="3"/>
        <v>0.40969918191541699</v>
      </c>
      <c r="L23" s="78">
        <f t="shared" si="3"/>
        <v>0.40925585114994911</v>
      </c>
      <c r="M23" s="78">
        <f t="shared" si="3"/>
        <v>0.42361997875521046</v>
      </c>
      <c r="N23" s="78">
        <f t="shared" si="3"/>
        <v>0.36261291580262367</v>
      </c>
      <c r="O23" s="78">
        <f t="shared" si="3"/>
        <v>0.36071139930501372</v>
      </c>
      <c r="P23" s="78">
        <f t="shared" si="3"/>
        <v>0.41224390300709285</v>
      </c>
      <c r="Q23" s="78">
        <f t="shared" si="3"/>
        <v>0.35288757627641937</v>
      </c>
      <c r="R23" s="78">
        <f t="shared" si="3"/>
        <v>0.39612256021231601</v>
      </c>
      <c r="S23" s="78">
        <f t="shared" si="3"/>
        <v>0.40976291006818577</v>
      </c>
      <c r="T23" s="78">
        <f t="shared" si="3"/>
        <v>0.3849015313423203</v>
      </c>
      <c r="U23" s="78">
        <f t="shared" si="3"/>
        <v>0.44809438505653509</v>
      </c>
      <c r="V23" s="78">
        <f t="shared" si="3"/>
        <v>0.37647398743987054</v>
      </c>
      <c r="W23" s="78">
        <f t="shared" si="3"/>
        <v>0.40372048815598655</v>
      </c>
      <c r="X23" s="78">
        <f t="shared" ref="X23:Y23" si="6">IF(X5=0,0,X5/X$3)</f>
        <v>0.38868158342940867</v>
      </c>
      <c r="Y23" s="78">
        <f t="shared" si="6"/>
        <v>0.37976281848895882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2025-11-06T10:28:27Z</dcterms:created>
  <dcterms:modified xsi:type="dcterms:W3CDTF">2025-11-06T10:28:28Z</dcterms:modified>
</cp:coreProperties>
</file>