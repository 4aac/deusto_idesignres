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MT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119" i="6"/>
  <c r="Y173" i="6" s="1"/>
  <c r="X119" i="6"/>
  <c r="X173" i="6" s="1"/>
  <c r="X24" i="12"/>
  <c r="Y14" i="13"/>
  <c r="X13" i="12"/>
  <c r="Y24" i="12"/>
  <c r="X21" i="12"/>
  <c r="X20" i="12"/>
  <c r="X16" i="8"/>
  <c r="X12" i="12"/>
  <c r="X8" i="12"/>
  <c r="Y6" i="12"/>
  <c r="Y33" i="10"/>
  <c r="Y22" i="13"/>
  <c r="X22" i="13"/>
  <c r="Y21" i="13"/>
  <c r="X21" i="13"/>
  <c r="Y20" i="13"/>
  <c r="Y18" i="13"/>
  <c r="Y17" i="13"/>
  <c r="X17" i="10"/>
  <c r="Y6" i="13"/>
  <c r="X6" i="10"/>
  <c r="X5" i="10"/>
  <c r="Y18" i="10"/>
  <c r="X18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6" i="12"/>
  <c r="X23" i="12"/>
  <c r="Y22" i="12"/>
  <c r="X17" i="12"/>
  <c r="X14" i="12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Y14" i="24"/>
  <c r="X13" i="23"/>
  <c r="Y10" i="24"/>
  <c r="Y7" i="25"/>
  <c r="X25" i="23"/>
  <c r="X24" i="23"/>
  <c r="Y23" i="23"/>
  <c r="Y20" i="23"/>
  <c r="Y20" i="26" s="1"/>
  <c r="Y33" i="24"/>
  <c r="Y22" i="24"/>
  <c r="X21" i="21"/>
  <c r="X18" i="24"/>
  <c r="Y17" i="24"/>
  <c r="X5" i="21"/>
  <c r="Y20" i="21"/>
  <c r="X20" i="21"/>
  <c r="Y18" i="21"/>
  <c r="Y33" i="25"/>
  <c r="Y33" i="28" s="1"/>
  <c r="X33" i="25"/>
  <c r="X33" i="28" s="1"/>
  <c r="Y26" i="25"/>
  <c r="Y26" i="28" s="1"/>
  <c r="X25" i="25"/>
  <c r="X25" i="28" s="1"/>
  <c r="Y24" i="25"/>
  <c r="Y23" i="25"/>
  <c r="X23" i="25"/>
  <c r="Y22" i="25"/>
  <c r="Y19" i="22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X28" i="23"/>
  <c r="Y26" i="23"/>
  <c r="X23" i="23"/>
  <c r="Y22" i="23"/>
  <c r="Y8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X24" i="25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9" i="36"/>
  <c r="Y27" i="6" l="1"/>
  <c r="Y24" i="28" s="1"/>
  <c r="Y33" i="13"/>
  <c r="Y14" i="36"/>
  <c r="X9" i="23"/>
  <c r="Y17" i="10"/>
  <c r="X7" i="12"/>
  <c r="Y24" i="23"/>
  <c r="Y24" i="26" s="1"/>
  <c r="Y5" i="10"/>
  <c r="X25" i="12"/>
  <c r="X7" i="21"/>
  <c r="X23" i="21"/>
  <c r="Y7" i="24"/>
  <c r="Y7" i="27" s="1"/>
  <c r="Y23" i="10"/>
  <c r="Y10" i="12"/>
  <c r="X8" i="13"/>
  <c r="X11" i="12"/>
  <c r="Y8" i="13"/>
  <c r="X17" i="24"/>
  <c r="X17" i="27" s="1"/>
  <c r="X25" i="13"/>
  <c r="X25" i="24"/>
  <c r="X14" i="30"/>
  <c r="Y23" i="28"/>
  <c r="X7" i="14"/>
  <c r="Y25" i="13"/>
  <c r="X16" i="7"/>
  <c r="X9" i="21"/>
  <c r="X31" i="23"/>
  <c r="X26" i="13"/>
  <c r="Y16" i="7"/>
  <c r="Y26" i="24"/>
  <c r="Y31" i="23"/>
  <c r="Y31" i="26" s="1"/>
  <c r="Y10" i="13"/>
  <c r="Y10" i="16" s="1"/>
  <c r="Y26" i="13"/>
  <c r="X27" i="21"/>
  <c r="X32" i="23"/>
  <c r="X11" i="13"/>
  <c r="Y14" i="12"/>
  <c r="X12" i="13"/>
  <c r="X30" i="13"/>
  <c r="Y13" i="29"/>
  <c r="Y5" i="29" s="1"/>
  <c r="Y9" i="25"/>
  <c r="Y9" i="28" s="1"/>
  <c r="Y12" i="24"/>
  <c r="Y21" i="25"/>
  <c r="Y21" i="28" s="1"/>
  <c r="X10" i="14"/>
  <c r="X30" i="14"/>
  <c r="Y12" i="13"/>
  <c r="X13" i="29"/>
  <c r="X5" i="31" s="1"/>
  <c r="X12" i="24"/>
  <c r="Y52" i="38"/>
  <c r="X14" i="29"/>
  <c r="X6" i="29" s="1"/>
  <c r="X10" i="25"/>
  <c r="X13" i="21"/>
  <c r="X31" i="24"/>
  <c r="X17" i="23"/>
  <c r="X22" i="24"/>
  <c r="Y10" i="14"/>
  <c r="X31" i="13"/>
  <c r="Y33" i="12"/>
  <c r="Y8" i="25"/>
  <c r="Y8" i="28" s="1"/>
  <c r="Y17" i="23"/>
  <c r="Y17" i="26" s="1"/>
  <c r="X31" i="14"/>
  <c r="Y31" i="13"/>
  <c r="X8" i="25"/>
  <c r="X8" i="28" s="1"/>
  <c r="X9" i="36"/>
  <c r="Y53" i="38"/>
  <c r="Y31" i="14"/>
  <c r="X32" i="10"/>
  <c r="Y8" i="24"/>
  <c r="Y8" i="27" s="1"/>
  <c r="Y14" i="21"/>
  <c r="Y32" i="21"/>
  <c r="X17" i="13"/>
  <c r="X8" i="24"/>
  <c r="X8" i="27" s="1"/>
  <c r="Y11" i="24"/>
  <c r="Y45" i="37"/>
  <c r="X15" i="21"/>
  <c r="X33" i="21"/>
  <c r="X33" i="10"/>
  <c r="Y33" i="21"/>
  <c r="Y12" i="23"/>
  <c r="X6" i="14"/>
  <c r="X10" i="12"/>
  <c r="X14" i="13"/>
  <c r="X13" i="24"/>
  <c r="X32" i="25"/>
  <c r="X11" i="24"/>
  <c r="X29" i="19"/>
  <c r="X71" i="6"/>
  <c r="X7" i="25"/>
  <c r="X17" i="25"/>
  <c r="X17" i="28" s="1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22" i="28" s="1"/>
  <c r="X17" i="21"/>
  <c r="X32" i="21"/>
  <c r="X7" i="23"/>
  <c r="X11" i="23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1" i="27" s="1"/>
  <c r="Y8" i="14"/>
  <c r="Y12" i="12"/>
  <c r="Y18" i="12"/>
  <c r="Y28" i="12"/>
  <c r="X82" i="6"/>
  <c r="X81" i="6" s="1"/>
  <c r="X11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Y12" i="27"/>
  <c r="X29" i="8"/>
  <c r="X30" i="12"/>
  <c r="X30" i="10"/>
  <c r="X4" i="7"/>
  <c r="X5" i="12"/>
  <c r="X32" i="14"/>
  <c r="X29" i="11"/>
  <c r="Y20" i="12"/>
  <c r="Y20" i="10"/>
  <c r="X33" i="6"/>
  <c r="X5" i="24"/>
  <c r="X5" i="23"/>
  <c r="X5" i="26" s="1"/>
  <c r="X30" i="23"/>
  <c r="X18" i="13"/>
  <c r="X20" i="10"/>
  <c r="X10" i="13"/>
  <c r="X14" i="10"/>
  <c r="X19" i="9"/>
  <c r="X19" i="10" s="1"/>
  <c r="X24" i="13"/>
  <c r="X29" i="9"/>
  <c r="X29" i="10" s="1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5" i="28" s="1"/>
  <c r="X28" i="13"/>
  <c r="X11" i="26"/>
  <c r="Y9" i="13"/>
  <c r="Y16" i="9"/>
  <c r="Y16" i="13" s="1"/>
  <c r="Y9" i="39"/>
  <c r="Y5" i="39" s="1"/>
  <c r="Y37" i="39" s="1"/>
  <c r="Y17" i="38"/>
  <c r="Y46" i="37"/>
  <c r="Y17" i="27"/>
  <c r="X6" i="25"/>
  <c r="X6" i="28" s="1"/>
  <c r="Y15" i="21"/>
  <c r="X51" i="39"/>
  <c r="Y32" i="24"/>
  <c r="Y32" i="27" s="1"/>
  <c r="Y16" i="22"/>
  <c r="Y16" i="25" s="1"/>
  <c r="Y16" i="28" s="1"/>
  <c r="X6" i="24"/>
  <c r="X24" i="24"/>
  <c r="X30" i="24"/>
  <c r="X6" i="13"/>
  <c r="Y11" i="10"/>
  <c r="Y15" i="10"/>
  <c r="X8" i="14"/>
  <c r="Y22" i="26"/>
  <c r="X13" i="13"/>
  <c r="X9" i="39"/>
  <c r="X5" i="39" s="1"/>
  <c r="X46" i="37"/>
  <c r="X25" i="26"/>
  <c r="X21" i="23"/>
  <c r="Y13" i="13"/>
  <c r="X19" i="7"/>
  <c r="X27" i="12" s="1"/>
  <c r="X29" i="7"/>
  <c r="Y19" i="18"/>
  <c r="Y31" i="25"/>
  <c r="Y31" i="28" s="1"/>
  <c r="Y9" i="38"/>
  <c r="Y52" i="37"/>
  <c r="X32" i="24"/>
  <c r="X32" i="27" s="1"/>
  <c r="Y51" i="39"/>
  <c r="Y6" i="24"/>
  <c r="Y24" i="24"/>
  <c r="Y24" i="27" s="1"/>
  <c r="Y18" i="23"/>
  <c r="Y18" i="26" s="1"/>
  <c r="X16" i="9"/>
  <c r="X16" i="13" s="1"/>
  <c r="X19" i="8"/>
  <c r="Y33" i="6"/>
  <c r="Y31" i="6" s="1"/>
  <c r="X16" i="10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X12" i="26" s="1"/>
  <c r="Y22" i="21"/>
  <c r="Y13" i="21"/>
  <c r="Y16" i="19"/>
  <c r="X8" i="10"/>
  <c r="X26" i="10"/>
  <c r="X30" i="25"/>
  <c r="Y23" i="21"/>
  <c r="X14" i="21"/>
  <c r="X33" i="23"/>
  <c r="X4" i="11"/>
  <c r="X4" i="14" s="1"/>
  <c r="Y8" i="10"/>
  <c r="Y26" i="10"/>
  <c r="X15" i="7"/>
  <c r="X15" i="13" s="1"/>
  <c r="Y19" i="7"/>
  <c r="Y27" i="12" s="1"/>
  <c r="Y17" i="37"/>
  <c r="Y5" i="37" s="1"/>
  <c r="X31" i="25"/>
  <c r="X31" i="28" s="1"/>
  <c r="Y24" i="21"/>
  <c r="Y27" i="24"/>
  <c r="Y27" i="27" s="1"/>
  <c r="X7" i="13"/>
  <c r="X9" i="10"/>
  <c r="X115" i="6"/>
  <c r="X10" i="28"/>
  <c r="X23" i="24"/>
  <c r="X23" i="27" s="1"/>
  <c r="X25" i="21"/>
  <c r="Y9" i="10"/>
  <c r="Y6" i="21"/>
  <c r="Y103" i="6"/>
  <c r="Y19" i="36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12" i="36" s="1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23" i="26"/>
  <c r="X4" i="19"/>
  <c r="X4" i="23" s="1"/>
  <c r="X26" i="23"/>
  <c r="Y9" i="14"/>
  <c r="Y25" i="6"/>
  <c r="Y49" i="37"/>
  <c r="X16" i="29"/>
  <c r="Y9" i="23"/>
  <c r="X26" i="6"/>
  <c r="X33" i="39"/>
  <c r="Y51" i="38"/>
  <c r="X9" i="38"/>
  <c r="X52" i="38"/>
  <c r="X68" i="29"/>
  <c r="X6" i="30" s="1"/>
  <c r="X10" i="23"/>
  <c r="X10" i="26" s="1"/>
  <c r="Y12" i="29"/>
  <c r="Y16" i="29"/>
  <c r="X8" i="23"/>
  <c r="X8" i="26" s="1"/>
  <c r="Y30" i="23"/>
  <c r="Y30" i="26" s="1"/>
  <c r="X24" i="21"/>
  <c r="X29" i="20"/>
  <c r="X31" i="21"/>
  <c r="X4" i="18"/>
  <c r="X3" i="18" s="1"/>
  <c r="X15" i="18"/>
  <c r="X6" i="23"/>
  <c r="Y32" i="14"/>
  <c r="Y29" i="11"/>
  <c r="Y29" i="8"/>
  <c r="Y30" i="12"/>
  <c r="X3" i="7"/>
  <c r="X69" i="29"/>
  <c r="X6" i="31" s="1"/>
  <c r="Y22" i="28"/>
  <c r="Y8" i="26"/>
  <c r="Y13" i="24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X22" i="26" s="1"/>
  <c r="Y22" i="14"/>
  <c r="Y13" i="10"/>
  <c r="Y16" i="8"/>
  <c r="Y16" i="12" s="1"/>
  <c r="Y17" i="12"/>
  <c r="Y107" i="6"/>
  <c r="Y32" i="10"/>
  <c r="Y29" i="9"/>
  <c r="Y32" i="13"/>
  <c r="Y9" i="24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0" i="27" s="1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Y11" i="27"/>
  <c r="Y12" i="26"/>
  <c r="X14" i="24"/>
  <c r="Y6" i="27"/>
  <c r="Y10" i="27"/>
  <c r="Y14" i="27"/>
  <c r="Y22" i="27"/>
  <c r="X16" i="22"/>
  <c r="Y7" i="21"/>
  <c r="X16" i="20"/>
  <c r="X18" i="21"/>
  <c r="Y28" i="23"/>
  <c r="Y28" i="26" s="1"/>
  <c r="X16" i="18"/>
  <c r="X18" i="23"/>
  <c r="Y7" i="13"/>
  <c r="Y11" i="13"/>
  <c r="Y23" i="13"/>
  <c r="X92" i="6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7" i="28" l="1"/>
  <c r="X9" i="29"/>
  <c r="Y26" i="27"/>
  <c r="Y9" i="26"/>
  <c r="Y9" i="27"/>
  <c r="Y33" i="26"/>
  <c r="Y13" i="27"/>
  <c r="Y18" i="27"/>
  <c r="X21" i="26"/>
  <c r="X7" i="27"/>
  <c r="X3" i="19"/>
  <c r="X3" i="23" s="1"/>
  <c r="X26" i="27"/>
  <c r="X29" i="23"/>
  <c r="X29" i="26" s="1"/>
  <c r="Y12" i="36"/>
  <c r="Y32" i="36" s="1"/>
  <c r="Y5" i="31"/>
  <c r="X29" i="13"/>
  <c r="X29" i="16" s="1"/>
  <c r="X30" i="26"/>
  <c r="X114" i="6"/>
  <c r="X144" i="6" s="1"/>
  <c r="Y139" i="6"/>
  <c r="Y30" i="15"/>
  <c r="X91" i="6"/>
  <c r="X14" i="27"/>
  <c r="Y16" i="23"/>
  <c r="Y16" i="26" s="1"/>
  <c r="Y29" i="12"/>
  <c r="Y29" i="15" s="1"/>
  <c r="X3" i="8"/>
  <c r="X90" i="6"/>
  <c r="Y29" i="14"/>
  <c r="Y29" i="17" s="1"/>
  <c r="X94" i="6"/>
  <c r="X89" i="6"/>
  <c r="X4" i="13"/>
  <c r="X4" i="16" s="1"/>
  <c r="X15" i="12"/>
  <c r="X15" i="15" s="1"/>
  <c r="X93" i="6"/>
  <c r="X5" i="29"/>
  <c r="X3" i="31" s="1"/>
  <c r="X14" i="26"/>
  <c r="X163" i="6"/>
  <c r="X26" i="26"/>
  <c r="X4" i="26"/>
  <c r="X31" i="6"/>
  <c r="X25" i="27"/>
  <c r="X13" i="26"/>
  <c r="X5" i="27"/>
  <c r="X5" i="32"/>
  <c r="X17" i="26"/>
  <c r="X11" i="27"/>
  <c r="X27" i="13"/>
  <c r="X28" i="26"/>
  <c r="X33" i="27"/>
  <c r="X9" i="27"/>
  <c r="X13" i="27"/>
  <c r="X6" i="27"/>
  <c r="X21" i="28"/>
  <c r="X4" i="12"/>
  <c r="X4" i="15" s="1"/>
  <c r="X30" i="27"/>
  <c r="X24" i="27"/>
  <c r="Y15" i="13"/>
  <c r="Y15" i="16" s="1"/>
  <c r="X33" i="26"/>
  <c r="X32" i="26"/>
  <c r="Y10" i="17"/>
  <c r="X22" i="15"/>
  <c r="X18" i="26"/>
  <c r="X6" i="26"/>
  <c r="X23" i="28"/>
  <c r="X22" i="27"/>
  <c r="X7" i="26"/>
  <c r="Y7" i="28"/>
  <c r="X30" i="28"/>
  <c r="X18" i="27"/>
  <c r="Y19" i="23"/>
  <c r="Y19" i="26" s="1"/>
  <c r="Y33" i="27"/>
  <c r="X31" i="26"/>
  <c r="X57" i="6"/>
  <c r="X56" i="6"/>
  <c r="X19" i="13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53" i="6" s="1"/>
  <c r="X12" i="27"/>
  <c r="X24" i="26"/>
  <c r="X58" i="6"/>
  <c r="Y50" i="39"/>
  <c r="Y48" i="38"/>
  <c r="X19" i="14"/>
  <c r="X19" i="17" s="1"/>
  <c r="X31" i="27"/>
  <c r="X16" i="23"/>
  <c r="X16" i="26" s="1"/>
  <c r="X5" i="37"/>
  <c r="X35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0" i="15"/>
  <c r="X27" i="16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19" i="1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4" i="17"/>
  <c r="X140" i="6"/>
  <c r="X16" i="15"/>
  <c r="X20" i="17"/>
  <c r="X32" i="16"/>
  <c r="X8" i="15"/>
  <c r="X23" i="15"/>
  <c r="Y31" i="36"/>
  <c r="Y34" i="36"/>
  <c r="X8" i="36"/>
  <c r="X3" i="11"/>
  <c r="X3" i="35"/>
  <c r="Y159" i="6"/>
  <c r="Y135" i="6"/>
  <c r="Y34" i="37"/>
  <c r="X5" i="38"/>
  <c r="X38" i="38" s="1"/>
  <c r="X44" i="37"/>
  <c r="Y163" i="6"/>
  <c r="Y165" i="6"/>
  <c r="Y37" i="37"/>
  <c r="Y3" i="31"/>
  <c r="X158" i="6"/>
  <c r="X125" i="6"/>
  <c r="Y164" i="6"/>
  <c r="X3" i="32"/>
  <c r="X3" i="30"/>
  <c r="X3" i="33"/>
  <c r="Y171" i="6"/>
  <c r="Y162" i="6"/>
  <c r="Y38" i="37"/>
  <c r="Y157" i="6"/>
  <c r="Y124" i="6"/>
  <c r="Y134" i="6"/>
  <c r="Y125" i="6"/>
  <c r="X12" i="15"/>
  <c r="X13" i="16"/>
  <c r="X16" i="16"/>
  <c r="Y169" i="6"/>
  <c r="X35" i="39"/>
  <c r="X16" i="25"/>
  <c r="X16" i="28" s="1"/>
  <c r="X30" i="16"/>
  <c r="X9" i="17"/>
  <c r="X31" i="17"/>
  <c r="X147" i="6"/>
  <c r="X26" i="15"/>
  <c r="Y33" i="37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36" i="39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X143" i="6"/>
  <c r="X167" i="6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8" i="39"/>
  <c r="Y44" i="39"/>
  <c r="Y36" i="37"/>
  <c r="Y35" i="37"/>
  <c r="Y35" i="39"/>
  <c r="X31" i="36"/>
  <c r="X34" i="36"/>
  <c r="X32" i="36"/>
  <c r="X38" i="39"/>
  <c r="Y39" i="37"/>
  <c r="Y40" i="37"/>
  <c r="Y32" i="37"/>
  <c r="X37" i="39"/>
  <c r="X34" i="37"/>
  <c r="X168" i="6" l="1"/>
  <c r="X36" i="37"/>
  <c r="X38" i="37"/>
  <c r="X3" i="29"/>
  <c r="X32" i="37"/>
  <c r="X33" i="37"/>
  <c r="X39" i="37"/>
  <c r="X40" i="37"/>
  <c r="X37" i="37"/>
  <c r="X31" i="37" s="1"/>
  <c r="X44" i="39"/>
  <c r="X3" i="12"/>
  <c r="Y39" i="38"/>
  <c r="Y44" i="38"/>
  <c r="X3" i="13"/>
  <c r="X3" i="16" s="1"/>
  <c r="X129" i="6"/>
  <c r="X3" i="10"/>
  <c r="X3" i="14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/>
  <c r="X3" i="17" l="1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R7" i="29" l="1"/>
  <c r="V4" i="29"/>
  <c r="T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U3" i="34"/>
  <c r="S8" i="34"/>
  <c r="W3" i="33"/>
  <c r="W8" i="32"/>
  <c r="S3" i="31"/>
  <c r="S8" i="30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S3" i="35" l="1"/>
  <c r="U19" i="23"/>
  <c r="W3" i="31"/>
  <c r="W3" i="30"/>
  <c r="T3" i="35"/>
  <c r="N3" i="29"/>
  <c r="U3" i="32"/>
  <c r="R3" i="35"/>
  <c r="G3" i="29"/>
  <c r="S3" i="33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2" l="1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29" i="23" l="1"/>
  <c r="C4" i="24"/>
  <c r="J29" i="12"/>
  <c r="F16" i="12"/>
  <c r="P29" i="25"/>
  <c r="P29" i="28" s="1"/>
  <c r="F29" i="23"/>
  <c r="I29" i="24"/>
  <c r="K29" i="12"/>
  <c r="K16" i="24"/>
  <c r="J19" i="24"/>
  <c r="N19" i="24"/>
  <c r="O4" i="24"/>
  <c r="E19" i="14"/>
  <c r="E19" i="17" s="1"/>
  <c r="K29" i="13"/>
  <c r="E4" i="24"/>
  <c r="O4" i="23"/>
  <c r="C16" i="13"/>
  <c r="E4" i="23"/>
  <c r="H4" i="12"/>
  <c r="N19" i="23"/>
  <c r="P19" i="13"/>
  <c r="G16" i="12"/>
  <c r="C4" i="13"/>
  <c r="O4" i="12"/>
  <c r="J29" i="13"/>
  <c r="J29" i="16" s="1"/>
  <c r="C4" i="12"/>
  <c r="C4" i="15" s="1"/>
  <c r="F4" i="24"/>
  <c r="F4" i="27" s="1"/>
  <c r="G19" i="24"/>
  <c r="G19" i="27" s="1"/>
  <c r="P29" i="12"/>
  <c r="H29" i="23"/>
  <c r="H29" i="26" s="1"/>
  <c r="O29" i="13"/>
  <c r="O29" i="16" s="1"/>
  <c r="P19" i="24"/>
  <c r="J19" i="23"/>
  <c r="J19" i="26" s="1"/>
  <c r="P29" i="13"/>
  <c r="P29" i="16" s="1"/>
  <c r="H29" i="24"/>
  <c r="H29" i="27" s="1"/>
  <c r="G19" i="23"/>
  <c r="G19" i="26" s="1"/>
  <c r="O29" i="23"/>
  <c r="O29" i="26" s="1"/>
  <c r="O29" i="12"/>
  <c r="C17" i="16"/>
  <c r="E4" i="13"/>
  <c r="P4" i="12"/>
  <c r="O4" i="13"/>
  <c r="O4" i="16" s="1"/>
  <c r="K4" i="24"/>
  <c r="D16" i="13"/>
  <c r="O16" i="24"/>
  <c r="B16" i="13"/>
  <c r="M29" i="24"/>
  <c r="L19" i="24"/>
  <c r="N29" i="13"/>
  <c r="K19" i="12"/>
  <c r="K19" i="15" s="1"/>
  <c r="H29" i="12"/>
  <c r="D16" i="25"/>
  <c r="D16" i="28" s="1"/>
  <c r="O29" i="24"/>
  <c r="J4" i="12"/>
  <c r="J4" i="15" s="1"/>
  <c r="H4" i="23"/>
  <c r="H4" i="26" s="1"/>
  <c r="Q16" i="13"/>
  <c r="Q16" i="16" s="1"/>
  <c r="O16" i="12"/>
  <c r="O16" i="15" s="1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F4" i="12"/>
  <c r="E19" i="24"/>
  <c r="E19" i="27" s="1"/>
  <c r="P16" i="25"/>
  <c r="G29" i="12"/>
  <c r="G29" i="13"/>
  <c r="G29" i="16" s="1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16" s="1"/>
  <c r="O16" i="23"/>
  <c r="O16" i="26" s="1"/>
  <c r="F19" i="12"/>
  <c r="F19" i="15" s="1"/>
  <c r="M16" i="24"/>
  <c r="M16" i="27" s="1"/>
  <c r="J4" i="23"/>
  <c r="J4" i="26" s="1"/>
  <c r="P19" i="12"/>
  <c r="P19" i="15" s="1"/>
  <c r="H4" i="24"/>
  <c r="H4" i="27" s="1"/>
  <c r="M4" i="12"/>
  <c r="O19" i="24"/>
  <c r="O19" i="27" s="1"/>
  <c r="P16" i="24"/>
  <c r="P16" i="27" s="1"/>
  <c r="L19" i="13"/>
  <c r="L19" i="16" s="1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19" i="27" s="1"/>
  <c r="D4" i="24"/>
  <c r="D4" i="27" s="1"/>
  <c r="P19" i="23"/>
  <c r="P19" i="26" s="1"/>
  <c r="N16" i="14"/>
  <c r="N16" i="17" s="1"/>
  <c r="D4" i="13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I4" i="15" s="1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Q4" i="15" s="1"/>
  <c r="B4" i="14"/>
  <c r="B4" i="17" s="1"/>
  <c r="N19" i="12"/>
  <c r="N19" i="15" s="1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B4" i="16" s="1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H19" i="16" s="1"/>
  <c r="I19" i="24"/>
  <c r="I19" i="27" s="1"/>
  <c r="K16" i="23"/>
  <c r="K16" i="26" s="1"/>
  <c r="E29" i="13"/>
  <c r="E29" i="16" s="1"/>
  <c r="L16" i="24"/>
  <c r="L16" i="27" s="1"/>
  <c r="M4" i="13"/>
  <c r="M4" i="16" s="1"/>
  <c r="D27" i="13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M16" i="15" s="1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I27" i="15" s="1"/>
  <c r="E27" i="12"/>
  <c r="E27" i="13"/>
  <c r="E27" i="16" s="1"/>
  <c r="E19" i="23"/>
  <c r="E19" i="26" s="1"/>
  <c r="D15" i="23"/>
  <c r="D15" i="26" s="1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B16" i="15" s="1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I19" i="23"/>
  <c r="I19" i="26" s="1"/>
  <c r="Q19" i="23"/>
  <c r="Q19" i="26" s="1"/>
  <c r="G15" i="23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P4" i="16" s="1"/>
  <c r="G29" i="23"/>
  <c r="B19" i="13"/>
  <c r="B19" i="16" s="1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Q19" i="27" s="1"/>
  <c r="K15" i="23"/>
  <c r="K15" i="26" s="1"/>
  <c r="K15" i="24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H19" i="26" s="1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D27" i="27" s="1"/>
  <c r="L29" i="24"/>
  <c r="L29" i="27" s="1"/>
  <c r="L19" i="23"/>
  <c r="L19" i="26" s="1"/>
  <c r="C15" i="24"/>
  <c r="C15" i="27" s="1"/>
  <c r="C15" i="23"/>
  <c r="C15" i="26" s="1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5" i="2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P29" i="15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4" i="15"/>
  <c r="F3" i="8"/>
  <c r="F16" i="15"/>
  <c r="G16" i="21"/>
  <c r="G16" i="27"/>
  <c r="O3" i="19"/>
  <c r="O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3" i="8"/>
  <c r="J16" i="15"/>
  <c r="J19" i="15"/>
  <c r="J29" i="15"/>
  <c r="D19" i="21"/>
  <c r="G19" i="21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4" i="16"/>
  <c r="D3" i="9"/>
  <c r="H16" i="10"/>
  <c r="F17" i="16"/>
  <c r="B18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E8" i="15"/>
  <c r="E12" i="15"/>
  <c r="C17" i="15"/>
  <c r="C44" i="37"/>
  <c r="Q44" i="37"/>
  <c r="P10" i="30"/>
  <c r="H10" i="31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0"/>
  <c r="O19" i="10"/>
  <c r="O29" i="10"/>
  <c r="N3" i="8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1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C15" i="15"/>
  <c r="E9" i="16"/>
  <c r="C21" i="15"/>
  <c r="M32" i="15"/>
  <c r="M5" i="15"/>
  <c r="M9" i="15"/>
  <c r="M13" i="15"/>
  <c r="B130" i="6" l="1"/>
  <c r="B154" i="6"/>
  <c r="G3" i="13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4" i="4"/>
  <c r="B7" i="4"/>
  <c r="B39" i="4"/>
  <c r="B24" i="4"/>
  <c r="B15" i="4"/>
  <c r="B20" i="4"/>
  <c r="B45" i="4"/>
  <c r="B43" i="4"/>
  <c r="B29" i="4"/>
  <c r="B25" i="4"/>
  <c r="B8" i="4"/>
  <c r="B23" i="4"/>
  <c r="B17" i="4"/>
  <c r="B10" i="4"/>
  <c r="B16" i="4"/>
  <c r="B4" i="4"/>
  <c r="B30" i="4"/>
  <c r="B38" i="4"/>
  <c r="B44" i="4"/>
  <c r="B11" i="4"/>
  <c r="B42" i="4"/>
  <c r="B9" i="4"/>
  <c r="B34" i="4"/>
  <c r="B37" i="4"/>
  <c r="B35" i="4"/>
  <c r="B27" i="4"/>
  <c r="B22" i="4"/>
  <c r="B13" i="4"/>
  <c r="B21" i="4"/>
  <c r="B33" i="4"/>
  <c r="B28" i="4"/>
  <c r="B12" i="4"/>
  <c r="B36" i="4"/>
  <c r="B26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<sst xmlns="http://schemas.openxmlformats.org/spreadsheetml/2006/main" count="2101" uniqueCount="1057">
  <si>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</si>
  <si>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</si>
  <si>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</si>
  <si>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</si>
  <si>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</si>
  <si>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</si>
  <si>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</si>
  <si>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</si>
  <si>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</si>
  <si>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</si>
  <si>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</si>
  <si>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</si>
  <si>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</si>
  <si>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</si>
  <si>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</si>
  <si>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</si>
  <si>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</si>
  <si>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</si>
  <si>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</si>
  <si>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</si>
  <si>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</si>
  <si>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</si>
  <si>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</si>
  <si>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</si>
  <si>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</si>
  <si>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</si>
  <si>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</si>
  <si>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</si>
  <si>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</si>
  <si>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</si>
  <si>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</si>
  <si>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</si>
  <si>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</si>
  <si>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</si>
  <si>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</si>
  <si>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</si>
  <si>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</si>
  <si>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</si>
  <si>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</si>
  <si>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</si>
  <si>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</si>
  <si>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</si>
  <si>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</si>
  <si>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</si>
  <si>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</si>
  <si>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</si>
  <si>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</si>
  <si>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</si>
  <si>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</si>
  <si>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</si>
  <si>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</si>
  <si>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</si>
  <si>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</si>
  <si>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</si>
  <si>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</si>
  <si>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</si>
  <si>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</si>
  <si>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</si>
  <si>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</si>
  <si>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</si>
  <si>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</si>
  <si>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</si>
  <si>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</si>
  <si>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</si>
  <si>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</si>
  <si>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</si>
  <si>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</si>
  <si>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</si>
  <si>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</si>
  <si>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</si>
  <si>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</si>
  <si>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</si>
  <si>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</si>
  <si>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</si>
  <si>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</si>
  <si>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</si>
  <si>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</si>
  <si>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</si>
  <si>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</si>
  <si>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</si>
  <si>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</si>
  <si>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</si>
  <si>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</si>
  <si>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</si>
  <si>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</si>
  <si>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</si>
  <si>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</si>
  <si>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</si>
  <si>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</si>
  <si>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</si>
  <si>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</si>
  <si>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</si>
  <si>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</si>
  <si>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</si>
  <si>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</si>
  <si>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</si>
  <si>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</si>
  <si>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</si>
  <si>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</si>
  <si>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</si>
  <si>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</si>
  <si>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</si>
  <si>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</si>
  <si>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</si>
  <si>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</si>
  <si>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</si>
  <si>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</si>
  <si>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</si>
  <si>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</si>
  <si>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</si>
  <si>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</si>
  <si>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</si>
  <si>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</si>
  <si>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</si>
  <si>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</si>
  <si>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</si>
  <si>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</si>
  <si>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</si>
  <si>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</si>
  <si>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</si>
  <si>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</si>
  <si>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</si>
  <si>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</si>
  <si>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</si>
  <si>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</si>
  <si>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</si>
  <si>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</si>
  <si>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</si>
  <si>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</si>
  <si>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</si>
  <si>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</si>
  <si>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</si>
  <si>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</si>
  <si>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</si>
  <si>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</si>
  <si>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</si>
  <si>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</si>
  <si>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</si>
  <si>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</si>
  <si>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</si>
  <si>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</si>
  <si>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</si>
  <si>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</si>
  <si>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</si>
  <si>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</si>
  <si>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</si>
  <si>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</si>
  <si>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</si>
  <si>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</si>
  <si>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</si>
  <si>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</si>
  <si>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</si>
  <si>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</si>
  <si>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</si>
  <si>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</si>
  <si>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</si>
  <si>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</si>
  <si>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</si>
  <si>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</si>
  <si>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</si>
  <si>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</si>
  <si>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</si>
  <si>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</si>
  <si>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</si>
  <si>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</si>
  <si>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</si>
  <si>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</si>
  <si>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</si>
  <si>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</si>
  <si>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</si>
  <si>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</si>
  <si>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</si>
  <si>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</si>
  <si>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</si>
  <si>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</si>
  <si>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</si>
  <si>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</si>
  <si>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</si>
  <si>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</si>
  <si>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</si>
  <si>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</si>
  <si>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</si>
  <si>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</si>
  <si>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</si>
  <si>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</si>
  <si>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MT</t>
  </si>
  <si>
    <t>Malta</t>
  </si>
  <si>
    <t>MT - Services sector summary</t>
  </si>
  <si>
    <t>Macro.number.MT.Population</t>
  </si>
  <si>
    <t>Macro.Meuro2015.MT.GDP</t>
  </si>
  <si>
    <t>Macro.Meuro2015.MT.VA</t>
  </si>
  <si>
    <t>Macro.number.MT.Employees</t>
  </si>
  <si>
    <t>NUM.number.MT.Ser.Bld</t>
  </si>
  <si>
    <t>SurfaceArea.ksqm.MT.Ser.Bld</t>
  </si>
  <si>
    <t>NUM.number.MT.Ser.BldNew</t>
  </si>
  <si>
    <t>SurfaceArea.ksqm.MT.Ser.BldNew</t>
  </si>
  <si>
    <t>HDD.Celsius.MT.Actual</t>
  </si>
  <si>
    <t>HDD.Celsius.MT.Mean</t>
  </si>
  <si>
    <t>HDD.ratio.MT.Relative</t>
  </si>
  <si>
    <t>FEC.ktoe.MT.ES.Ser</t>
  </si>
  <si>
    <t>FEC.ktoe.MT.ES.Ser.Solids</t>
  </si>
  <si>
    <t>FEC.ktoe.MT.ES.Ser.LPG</t>
  </si>
  <si>
    <t>FEC.ktoe.MT.ES.Ser.Oil</t>
  </si>
  <si>
    <t>FEC.ktoe.MT.ES.Ser.NG</t>
  </si>
  <si>
    <t>FEC.ktoe.MT.ES.Ser.Biomass_Waste</t>
  </si>
  <si>
    <t>FEC.ktoe.MT.ES.Ser.Biogas</t>
  </si>
  <si>
    <t>FEC.ktoe.MT.ES.Ser.LiqBio</t>
  </si>
  <si>
    <t>FEC.ktoe.MT.ES.Ser.Solar</t>
  </si>
  <si>
    <t>FEC.ktoe.MT.ES.Ser.Geo</t>
  </si>
  <si>
    <t>FEC.ktoe.MT.ES.Ser.Ambient</t>
  </si>
  <si>
    <t>FEC.ktoe.MT.ES.Ser.Steam_Distr</t>
  </si>
  <si>
    <t>FEC.ktoe.MT.ES.Ser.Elec</t>
  </si>
  <si>
    <t>FEC.ktoe.MT.Ser</t>
  </si>
  <si>
    <t>FEC.ktoe.MT.Ser.Bld.Thermal</t>
  </si>
  <si>
    <t>FEC.ktoe.MT.Ser.Bld.Thermal.SH</t>
  </si>
  <si>
    <t>FEC.ktoe.MT.Ser.Bld.Thermal.SC</t>
  </si>
  <si>
    <t>FEC.ktoe.MT.Ser.Bld.Thermal.HW</t>
  </si>
  <si>
    <t>FEC.ktoe.MT.Ser.Bld.Thermal.CA</t>
  </si>
  <si>
    <t>FEC.ktoe.MT.Ser.SEU</t>
  </si>
  <si>
    <t>EMI.ktCO2.MT.ES.Ser</t>
  </si>
  <si>
    <t>EMI.ktCO2.MT.ES.Ser.Solids</t>
  </si>
  <si>
    <t>EMI.ktCO2.MT.ES.Ser.LPG</t>
  </si>
  <si>
    <t>EMI.ktCO2.MT.ES.Ser.Oil</t>
  </si>
  <si>
    <t>EMI.ktCO2.MT.ES.Ser.NG</t>
  </si>
  <si>
    <t>EMI.ktCO2.MT.ES.Ser.Biomass_Waste</t>
  </si>
  <si>
    <t>EMI.ktCO2.MT.ES.Ser.Biogas</t>
  </si>
  <si>
    <t>EMI.ktCO2.MT.ES.Ser.LiqBio</t>
  </si>
  <si>
    <t>EMI.ktCO2.MT.ES.Ser.Solar</t>
  </si>
  <si>
    <t>EMI.ktCO2.MT.ES.Ser.Geo</t>
  </si>
  <si>
    <t>EMI.ktCO2.MT.ES.Ser.Ambient</t>
  </si>
  <si>
    <t>EMI.ktCO2.MT.ES.Ser.Steam_Distr</t>
  </si>
  <si>
    <t>EMI.ktCO2.MT.ES.Ser.Elec</t>
  </si>
  <si>
    <t>EMI.ktCO2.MT.Ser</t>
  </si>
  <si>
    <t>EMI.ktCO2.MT.Ser.Bld.Thermal</t>
  </si>
  <si>
    <t>EMI.ktCO2.MT.Ser.Bld.Thermal.SH</t>
  </si>
  <si>
    <t>EMI.ktCO2.MT.Ser.Bld.Thermal.SC</t>
  </si>
  <si>
    <t>EMI.ktCO2.MT.Ser.Bld.Thermal.HW</t>
  </si>
  <si>
    <t>EMI.ktCO2.MT.Ser.Bld.Thermal.CA</t>
  </si>
  <si>
    <t>EMI.ktCO2.MT.Ser.SEU</t>
  </si>
  <si>
    <t>Eff.ratio.MT.Ser.Bld.Thermal</t>
  </si>
  <si>
    <t>Eff.ratio.MT.Ser.Bld.Thermal.SH</t>
  </si>
  <si>
    <t>Eff.ratio.MT.Ser.Bld.Thermal.SC</t>
  </si>
  <si>
    <t>Eff.ratio.MT.Ser.Bld.Thermal.HW</t>
  </si>
  <si>
    <t>Eff.ratio.MT.Ser.Bld.Thermal.CA</t>
  </si>
  <si>
    <t>MT - Number of buildings</t>
  </si>
  <si>
    <t>NUM.number.MT.Ser.Bld.Thermal</t>
  </si>
  <si>
    <t>NUM.number.MT.Ser.Bld.Thermal.SH</t>
  </si>
  <si>
    <t>NUM.number.MT.Ser.Bld.Thermal.SH.Solids</t>
  </si>
  <si>
    <t>NUM.number.MT.Ser.Bld.Thermal.SH.LPG</t>
  </si>
  <si>
    <t>NUM.number.MT.Ser.Bld.Thermal.SH.Oil</t>
  </si>
  <si>
    <t>NUM.number.MT.Ser.Bld.Thermal.SH.GasHP</t>
  </si>
  <si>
    <t>NUM.number.MT.Ser.Bld.Thermal.SH.GasTH</t>
  </si>
  <si>
    <t>NUM.number.MT.Ser.Bld.Thermal.SH.Biomass</t>
  </si>
  <si>
    <t>NUM.number.MT.Ser.Bld.Thermal.SH.Geo</t>
  </si>
  <si>
    <t>NUM.number.MT.Ser.Bld.Thermal.SH.DistrHeat</t>
  </si>
  <si>
    <t>NUM.number.MT.Ser.Bld.Thermal.SH.AdvElc</t>
  </si>
  <si>
    <t>NUM.number.MT.Ser.Bld.Thermal.SH.ConvElc</t>
  </si>
  <si>
    <t>NUM.number.MT.Ser.Bld.Thermal.SC</t>
  </si>
  <si>
    <t>NUM.number.MT.Ser.Bld.Thermal.SC.GasHP</t>
  </si>
  <si>
    <t>NUM.number.MT.Ser.Bld.Thermal.SC.AC</t>
  </si>
  <si>
    <t>NUM.number.MT.Ser.Bld.Thermal.HW</t>
  </si>
  <si>
    <t>NUM.number.MT.Ser.Bld.Thermal.HW.Solids</t>
  </si>
  <si>
    <t>NUM.number.MT.Ser.Bld.Thermal.HW.LPG</t>
  </si>
  <si>
    <t>NUM.number.MT.Ser.Bld.Thermal.HW.Oil</t>
  </si>
  <si>
    <t>NUM.number.MT.Ser.Bld.Thermal.HW.Gas</t>
  </si>
  <si>
    <t>NUM.number.MT.Ser.Bld.Thermal.HW.Biomass</t>
  </si>
  <si>
    <t>NUM.number.MT.Ser.Bld.Thermal.HW.DistrHeat</t>
  </si>
  <si>
    <t>NUM.number.MT.Ser.Bld.Thermal.HW.Elc</t>
  </si>
  <si>
    <t>NUM.number.MT.Ser.Bld.Thermal.HW.Solar</t>
  </si>
  <si>
    <t>NUM.number.MT.Ser.Bld.Thermal.CA</t>
  </si>
  <si>
    <t>NUM.number.MT.Ser.Bld.Thermal.CA.LPG</t>
  </si>
  <si>
    <t>NUM.number.MT.Ser.Bld.Thermal.CA.Gas</t>
  </si>
  <si>
    <t>NUM.number.MT.Ser.Bld.Thermal.CA.Biomass</t>
  </si>
  <si>
    <t>NUM.number.MT.Ser.Bld.Thermal.CA.Elc</t>
  </si>
  <si>
    <t>MT - Final energy consumption</t>
  </si>
  <si>
    <t>FEC.ktoe.MT.Ser.Bld.Thermal.SH.Solids.Solids</t>
  </si>
  <si>
    <t>FEC.ktoe.MT.Ser.Bld.Thermal.SH.LPG.LPG</t>
  </si>
  <si>
    <t>FEC.ktoe.MT.Ser.Bld.Thermal.SH.Oil.Oil_LiqBio</t>
  </si>
  <si>
    <t>FEC.ktoe.MT.Ser.Bld.Thermal.SH.GasHP.NG_Biogas</t>
  </si>
  <si>
    <t>FEC.ktoe.MT.Ser.Bld.Thermal.SH.GasTH.NG_Biogas</t>
  </si>
  <si>
    <t>FEC.ktoe.MT.Ser.Bld.Thermal.SH.Biomass.Biomass_Waste</t>
  </si>
  <si>
    <t>FEC.ktoe.MT.Ser.Bld.Thermal.SH.Geo.Geo</t>
  </si>
  <si>
    <t>FEC.ktoe.MT.Ser.Bld.Thermal.SH.DistrHeat.Steam_Distr</t>
  </si>
  <si>
    <t>FEC.ktoe.MT.Ser.Bld.Thermal.SH.AdvElc.Elec</t>
  </si>
  <si>
    <t>FEC.ktoe.MT.Ser.Bld.Thermal.SH.ConvElc.Elec</t>
  </si>
  <si>
    <t>FEC.ktoe.MT.Ser.Bld.Thermal.SH.TotalCirculation.Elec</t>
  </si>
  <si>
    <t>FEC.ktoe.MT.Ser.Bld.Thermal.SC.GasHP.NG_Biogas</t>
  </si>
  <si>
    <t>FEC.ktoe.MT.Ser.Bld.Thermal.SC.AC.Elec</t>
  </si>
  <si>
    <t>FEC.ktoe.MT.Ser.Bld.Thermal.HW.Solids.Solids</t>
  </si>
  <si>
    <t>FEC.ktoe.MT.Ser.Bld.Thermal.HW.LPG.LPG</t>
  </si>
  <si>
    <t>FEC.ktoe.MT.Ser.Bld.Thermal.HW.Oil.Oil_LiqBio</t>
  </si>
  <si>
    <t>FEC.ktoe.MT.Ser.Bld.Thermal.HW.Gas.NG_Biogas</t>
  </si>
  <si>
    <t>FEC.ktoe.MT.Ser.Bld.Thermal.HW.Biomass.Biomass_Waste</t>
  </si>
  <si>
    <t>FEC.ktoe.MT.Ser.Bld.Thermal.HW.DistrHeat.Steam_Distr</t>
  </si>
  <si>
    <t>FEC.ktoe.MT.Ser.Bld.Thermal.HW.Elc.Elec</t>
  </si>
  <si>
    <t>FEC.ktoe.MT.Ser.Bld.Thermal.HW.TotalSolar.Solar</t>
  </si>
  <si>
    <t>FEC.ktoe.MT.Ser.Bld.Thermal.CA.LPG</t>
  </si>
  <si>
    <t>FEC.ktoe.MT.Ser.Bld.Thermal.CA.Gas.NG_Biogas</t>
  </si>
  <si>
    <t>FEC.ktoe.MT.Ser.Bld.Thermal.CA.Biomass.Biomass_Waste</t>
  </si>
  <si>
    <t>FEC.ktoe.MT.Ser.Bld.Thermal.CA.Elc.Elec</t>
  </si>
  <si>
    <t>MT - Thermal energy service</t>
  </si>
  <si>
    <t>TES.ktoe.MT.Ser.Bld.Thermal</t>
  </si>
  <si>
    <t>TES.ktoe.MT.Ser.Bld.Thermal.SH</t>
  </si>
  <si>
    <t>TES.ktoe.MT.Ser.Bld.Thermal.SH.Solids.Solids</t>
  </si>
  <si>
    <t>TES.ktoe.MT.Ser.Bld.Thermal.SH.LPG.LPG</t>
  </si>
  <si>
    <t>TES.ktoe.MT.Ser.Bld.Thermal.SH.Oil.Oil_LiqBio</t>
  </si>
  <si>
    <t>TES.ktoe.MT.Ser.Bld.Thermal.SH.GasHP.NG_Biogas</t>
  </si>
  <si>
    <t>TES.ktoe.MT.Ser.Bld.Thermal.SH.GasTH.NG_Biogas</t>
  </si>
  <si>
    <t>TES.ktoe.MT.Ser.Bld.Thermal.SH.Biomass.Biomass_Waste</t>
  </si>
  <si>
    <t>TES.ktoe.MT.Ser.Bld.Thermal.SH.Geo.Geo</t>
  </si>
  <si>
    <t>TES.ktoe.MT.Ser.Bld.Thermal.SH.DistrHeat.Steam_Distr</t>
  </si>
  <si>
    <t>TES.ktoe.MT.Ser.Bld.Thermal.SH.AdvElc.Elec</t>
  </si>
  <si>
    <t>TES.ktoe.MT.Ser.Bld.Thermal.SH.ConvElc.Elec</t>
  </si>
  <si>
    <t>TES.ktoe.MT.Ser.Bld.Thermal.SH.TotalCirculation.Elec</t>
  </si>
  <si>
    <t>TES.ktoe.MT.Ser.Bld.Thermal.SC</t>
  </si>
  <si>
    <t>TES.ktoe.MT.Ser.Bld.Thermal.SC.GasHP.NG_Biogas</t>
  </si>
  <si>
    <t>TES.ktoe.MT.Ser.Bld.Thermal.SC.AC.Elec</t>
  </si>
  <si>
    <t>TES.ktoe.MT.Ser.Bld.Thermal.HW</t>
  </si>
  <si>
    <t>TES.ktoe.MT.Ser.Bld.Thermal.HW.Solids.Solids</t>
  </si>
  <si>
    <t>TES.ktoe.MT.Ser.Bld.Thermal.HW.LPG.LPG</t>
  </si>
  <si>
    <t>TES.ktoe.MT.Ser.Bld.Thermal.HW.Oil.Oil_LiqBio</t>
  </si>
  <si>
    <t>TES.ktoe.MT.Ser.Bld.Thermal.HW.Gas.NG_Biogas</t>
  </si>
  <si>
    <t>TES.ktoe.MT.Ser.Bld.Thermal.HW.Biomass.Biomass_Waste</t>
  </si>
  <si>
    <t>TES.ktoe.MT.Ser.Bld.Thermal.HW.DistrHeat.Steam_Distr</t>
  </si>
  <si>
    <t>TES.ktoe.MT.Ser.Bld.Thermal.HW.Elc.Elec</t>
  </si>
  <si>
    <t>TES.ktoe.MT.Ser.Bld.Thermal.HW.TotalSolar.Solar</t>
  </si>
  <si>
    <t>TES.ktoe.MT.Ser.Bld.Thermal.CA</t>
  </si>
  <si>
    <t>TES.ktoe.MT.Ser.Bld.Thermal.CA.LPG</t>
  </si>
  <si>
    <t>TES.ktoe.MT.Ser.Bld.Thermal.CA.Gas.NG_Biogas</t>
  </si>
  <si>
    <t>TES.ktoe.MT.Ser.Bld.Thermal.CA.Biomass.Biomass_Waste</t>
  </si>
  <si>
    <t>TES.ktoe.MT.Ser.Bld.Thermal.CA.Elc.Elec</t>
  </si>
  <si>
    <t>MT - System efficiency indicator of total stock</t>
  </si>
  <si>
    <t>Eff.ratio.MT.Ser.Bld.Thermal.SH.Solids.Solids</t>
  </si>
  <si>
    <t>Eff.ratio.MT.Ser.Bld.Thermal.SH.LPG.LPG</t>
  </si>
  <si>
    <t>Eff.ratio.MT.Ser.Bld.Thermal.SH.Oil.Oil_LiqBio</t>
  </si>
  <si>
    <t>Eff.ratio.MT.Ser.Bld.Thermal.SH.GasHP.NG_Biogas</t>
  </si>
  <si>
    <t>Eff.ratio.MT.Ser.Bld.Thermal.SH.GasTH.NG_Biogas</t>
  </si>
  <si>
    <t>Eff.ratio.MT.Ser.Bld.Thermal.SH.Biomass.Biomass_Waste</t>
  </si>
  <si>
    <t>Eff.ratio.MT.Ser.Bld.Thermal.SH.Geo.Geo</t>
  </si>
  <si>
    <t>Eff.ratio.MT.Ser.Bld.Thermal.SH.DistrHeat.Steam_Distr</t>
  </si>
  <si>
    <t>Eff.ratio.MT.Ser.Bld.Thermal.SH.AdvElc.Elec</t>
  </si>
  <si>
    <t>Eff.ratio.MT.Ser.Bld.Thermal.SH.ConvElc.Elec</t>
  </si>
  <si>
    <t>Eff.ratio.MT.Ser.Bld.Thermal.SH.TotalCirculation.Elec</t>
  </si>
  <si>
    <t>Eff.ratio.MT.Ser.Bld.Thermal.SC.GasHP.NG_Biogas</t>
  </si>
  <si>
    <t>Eff.ratio.MT.Ser.Bld.Thermal.SC.AC.Elec</t>
  </si>
  <si>
    <t>Eff.ratio.MT.Ser.Bld.Thermal.HW.Solids.Solids</t>
  </si>
  <si>
    <t>Eff.ratio.MT.Ser.Bld.Thermal.HW.LPG.LPG</t>
  </si>
  <si>
    <t>Eff.ratio.MT.Ser.Bld.Thermal.HW.Oil.Oil_LiqBio</t>
  </si>
  <si>
    <t>Eff.ratio.MT.Ser.Bld.Thermal.HW.Gas.NG_Biogas</t>
  </si>
  <si>
    <t>Eff.ratio.MT.Ser.Bld.Thermal.HW.Biomass.Biomass_Waste</t>
  </si>
  <si>
    <t>Eff.ratio.MT.Ser.Bld.Thermal.HW.DistrHeat.Steam_Distr</t>
  </si>
  <si>
    <t>Eff.ratio.MT.Ser.Bld.Thermal.HW.Elc.Elec</t>
  </si>
  <si>
    <t>Eff.ratio.MT.Ser.Bld.Thermal.HW.TotalSolar.Solar</t>
  </si>
  <si>
    <t>Eff.ratio.MT.Ser.Bld.Thermal.CA.LPG</t>
  </si>
  <si>
    <t>Eff.ratio.MT.Ser.Bld.Thermal.CA.Gas.NG_Biogas</t>
  </si>
  <si>
    <t>Eff.ratio.MT.Ser.Bld.Thermal.CA.Biomass.Biomass_Waste</t>
  </si>
  <si>
    <t>Eff.ratio.MT.Ser.Bld.Thermal.CA.Elc.Elec</t>
  </si>
  <si>
    <t>MT - CO2 emissions</t>
  </si>
  <si>
    <t>EMI.ktCO2.MT.Ser.Bld.Thermal.SH.Solids.Solids</t>
  </si>
  <si>
    <t>EMI.ktCO2.MT.Ser.Bld.Thermal.SH.LPG.LPG</t>
  </si>
  <si>
    <t>EMI.ktCO2.MT.Ser.Bld.Thermal.SH.Oil.Oil_LiqBio</t>
  </si>
  <si>
    <t>EMI.ktCO2.MT.Ser.Bld.Thermal.SH.GasHP.NG_Biogas</t>
  </si>
  <si>
    <t>EMI.ktCO2.MT.Ser.Bld.Thermal.SH.GasTH.NG_Biogas</t>
  </si>
  <si>
    <t>EMI.ktCO2.MT.Ser.Bld.Thermal.SH.Biomass.Biomass_Waste</t>
  </si>
  <si>
    <t>EMI.ktCO2.MT.Ser.Bld.Thermal.SH.Geo.Geo</t>
  </si>
  <si>
    <t>EMI.ktCO2.MT.Ser.Bld.Thermal.SH.DistrHeat.Steam_Distr</t>
  </si>
  <si>
    <t>EMI.ktCO2.MT.Ser.Bld.Thermal.SH.AdvElc.Elec</t>
  </si>
  <si>
    <t>EMI.ktCO2.MT.Ser.Bld.Thermal.SH.ConvElc.Elec</t>
  </si>
  <si>
    <t>EMI.ktCO2.MT.Ser.Bld.Thermal.SH.TotalCirculation.Elec</t>
  </si>
  <si>
    <t>EMI.ktCO2.MT.Ser.Bld.Thermal.SC.GasHP.NG_Biogas</t>
  </si>
  <si>
    <t>EMI.ktCO2.MT.Ser.Bld.Thermal.SC.AC.Elec</t>
  </si>
  <si>
    <t>EMI.ktCO2.MT.Ser.Bld.Thermal.HW.Solids.Solids</t>
  </si>
  <si>
    <t>EMI.ktCO2.MT.Ser.Bld.Thermal.HW.LPG.LPG</t>
  </si>
  <si>
    <t>EMI.ktCO2.MT.Ser.Bld.Thermal.HW.Oil.Oil_LiqBio</t>
  </si>
  <si>
    <t>EMI.ktCO2.MT.Ser.Bld.Thermal.HW.Gas.NG_Biogas</t>
  </si>
  <si>
    <t>EMI.ktCO2.MT.Ser.Bld.Thermal.HW.Biomass.Biomass_Waste</t>
  </si>
  <si>
    <t>EMI.ktCO2.MT.Ser.Bld.Thermal.HW.DistrHeat.Steam_Distr</t>
  </si>
  <si>
    <t>EMI.ktCO2.MT.Ser.Bld.Thermal.HW.Elc.Elec</t>
  </si>
  <si>
    <t>EMI.ktCO2.MT.Ser.Bld.Thermal.HW.TotalSolar.Solar</t>
  </si>
  <si>
    <t>EMI.ktCO2.MT.Ser.Bld.Thermal.CA.LPG</t>
  </si>
  <si>
    <t>EMI.ktCO2.MT.Ser.Bld.Thermal.CA.Gas.NG_Biogas</t>
  </si>
  <si>
    <t>EMI.ktCO2.MT.Ser.Bld.Thermal.CA.Biomass.Biomass_Waste</t>
  </si>
  <si>
    <t>EMI.ktCO2.MT.Ser.Bld.Thermal.CA.Elc.Elec</t>
  </si>
  <si>
    <t>MT - Final energy consumption per building</t>
  </si>
  <si>
    <t>FEC_per_building.kWh.MT.Ser.Bld.Thermal</t>
  </si>
  <si>
    <t>FEC_per_building.kWh.MT.Ser.Bld.Thermal.SH</t>
  </si>
  <si>
    <t>FEC_per_building.kWh.MT.Ser.Bld.Thermal.SH.Solids.Solids</t>
  </si>
  <si>
    <t>FEC_per_building.kWh.MT.Ser.Bld.Thermal.SH.LPG.LPG</t>
  </si>
  <si>
    <t>FEC_per_building.kWh.MT.Ser.Bld.Thermal.SH.Oil.Oil_LiqBio</t>
  </si>
  <si>
    <t>FEC_per_building.kWh.MT.Ser.Bld.Thermal.SH.GasHP.NG_Biogas</t>
  </si>
  <si>
    <t>FEC_per_building.kWh.MT.Ser.Bld.Thermal.SH.GasTH.NG_Biogas</t>
  </si>
  <si>
    <t>FEC_per_building.kWh.MT.Ser.Bld.Thermal.SH.Biomass.Biomass_Waste</t>
  </si>
  <si>
    <t>FEC_per_building.kWh.MT.Ser.Bld.Thermal.SH.Geo.Geo</t>
  </si>
  <si>
    <t>FEC_per_building.kWh.MT.Ser.Bld.Thermal.SH.DistrHeat.Steam_Distr</t>
  </si>
  <si>
    <t>FEC_per_building.kWh.MT.Ser.Bld.Thermal.SH.AdvElc.Elec</t>
  </si>
  <si>
    <t>FEC_per_building.kWh.MT.Ser.Bld.Thermal.SH.ConvElc.Elec</t>
  </si>
  <si>
    <t>FEC_per_building.kWh.MT.Ser.Bld.Thermal.SH.TotalCirculation.Elec</t>
  </si>
  <si>
    <t>FEC_per_building.kWh.MT.Ser.Bld.Thermal.SC</t>
  </si>
  <si>
    <t>FEC_per_building.kWh.MT.Ser.Bld.Thermal.SC.GasHP.NG_Biogas</t>
  </si>
  <si>
    <t>FEC_per_building.kWh.MT.Ser.Bld.Thermal.SC.AC.Elec</t>
  </si>
  <si>
    <t>FEC_per_building.kWh.MT.Ser.Bld.Thermal.HW</t>
  </si>
  <si>
    <t>FEC_per_building.kWh.MT.Ser.Bld.Thermal.HW.Solids.Solids</t>
  </si>
  <si>
    <t>FEC_per_building.kWh.MT.Ser.Bld.Thermal.HW.LPG.LPG</t>
  </si>
  <si>
    <t>FEC_per_building.kWh.MT.Ser.Bld.Thermal.HW.Oil.Oil_LiqBio</t>
  </si>
  <si>
    <t>FEC_per_building.kWh.MT.Ser.Bld.Thermal.HW.Gas.NG_Biogas</t>
  </si>
  <si>
    <t>FEC_per_building.kWh.MT.Ser.Bld.Thermal.HW.Biomass.Biomass_Waste</t>
  </si>
  <si>
    <t>FEC_per_building.kWh.MT.Ser.Bld.Thermal.HW.DistrHeat.Steam_Distr</t>
  </si>
  <si>
    <t>FEC_per_building.kWh.MT.Ser.Bld.Thermal.HW.Elc.Elec</t>
  </si>
  <si>
    <t>FEC_per_building.kWh.MT.Ser.Bld.Thermal.HW.TotalSolar.Solar</t>
  </si>
  <si>
    <t>FEC_per_building.kWh.MT.Ser.Bld.Thermal.CA</t>
  </si>
  <si>
    <t>FEC_per_building.kWh.MT.Ser.Bld.Thermal.CA.LPG</t>
  </si>
  <si>
    <t>FEC_per_building.kWh.MT.Ser.Bld.Thermal.CA.Gas.NG_Biogas</t>
  </si>
  <si>
    <t>FEC_per_building.kWh.MT.Ser.Bld.Thermal.CA.Biomass.Biomass_Waste</t>
  </si>
  <si>
    <t>FEC_per_building.kWh.MT.Ser.Bld.Thermal.CA.Elc.Elec</t>
  </si>
  <si>
    <t>MT - Thermal energy service per building</t>
  </si>
  <si>
    <t>TES_per_building.kWh.MT.Ser.Bld.Thermal</t>
  </si>
  <si>
    <t>TES_per_building.kWh.MT.Ser.Bld.Thermal.SH</t>
  </si>
  <si>
    <t>TES_per_building.kWh.MT.Ser.Bld.Thermal.SH.Solids.Solids</t>
  </si>
  <si>
    <t>TES_per_building.kWh.MT.Ser.Bld.Thermal.SH.LPG.LPG</t>
  </si>
  <si>
    <t>TES_per_building.kWh.MT.Ser.Bld.Thermal.SH.Oil.Oil_LiqBio</t>
  </si>
  <si>
    <t>TES_per_building.kWh.MT.Ser.Bld.Thermal.SH.GasHP.NG_Biogas</t>
  </si>
  <si>
    <t>TES_per_building.kWh.MT.Ser.Bld.Thermal.SH.GasTH.NG_Biogas</t>
  </si>
  <si>
    <t>TES_per_building.kWh.MT.Ser.Bld.Thermal.SH.Biomass.Biomass_Waste</t>
  </si>
  <si>
    <t>TES_per_building.kWh.MT.Ser.Bld.Thermal.SH.Geo.Geo</t>
  </si>
  <si>
    <t>TES_per_building.kWh.MT.Ser.Bld.Thermal.SH.DistrHeat.Steam_Distr</t>
  </si>
  <si>
    <t>TES_per_building.kWh.MT.Ser.Bld.Thermal.SH.AdvElc.Elec</t>
  </si>
  <si>
    <t>TES_per_building.kWh.MT.Ser.Bld.Thermal.SH.ConvElc.Elec</t>
  </si>
  <si>
    <t>TES_per_building.kWh.MT.Ser.Bld.Thermal.SH.TotalCirculation.Elec</t>
  </si>
  <si>
    <t>TES_per_building.kWh.MT.Ser.Bld.Thermal.SC</t>
  </si>
  <si>
    <t>TES_per_building.kWh.MT.Ser.Bld.Thermal.SC.GasHP.NG_Biogas</t>
  </si>
  <si>
    <t>TES_per_building.kWh.MT.Ser.Bld.Thermal.SC.AC.Elec</t>
  </si>
  <si>
    <t>TES_per_building.kWh.MT.Ser.Bld.Thermal.HW</t>
  </si>
  <si>
    <t>TES_per_building.kWh.MT.Ser.Bld.Thermal.HW.Solids.Solids</t>
  </si>
  <si>
    <t>TES_per_building.kWh.MT.Ser.Bld.Thermal.HW.LPG.LPG</t>
  </si>
  <si>
    <t>TES_per_building.kWh.MT.Ser.Bld.Thermal.HW.Oil.Oil_LiqBio</t>
  </si>
  <si>
    <t>TES_per_building.kWh.MT.Ser.Bld.Thermal.HW.Gas.NG_Biogas</t>
  </si>
  <si>
    <t>TES_per_building.kWh.MT.Ser.Bld.Thermal.HW.Biomass.Biomass_Waste</t>
  </si>
  <si>
    <t>TES_per_building.kWh.MT.Ser.Bld.Thermal.HW.DistrHeat.Steam_Distr</t>
  </si>
  <si>
    <t>TES_per_building.kWh.MT.Ser.Bld.Thermal.HW.Elc.Elec</t>
  </si>
  <si>
    <t>TES_per_building.kWh.MT.Ser.Bld.Thermal.HW.TotalSolar.Solar</t>
  </si>
  <si>
    <t>TES_per_building.kWh.MT.Ser.Bld.Thermal.CA</t>
  </si>
  <si>
    <t>TES_per_building.kWh.MT.Ser.Bld.Thermal.CA.LPG</t>
  </si>
  <si>
    <t>TES_per_building.kWh.MT.Ser.Bld.Thermal.CA.Gas.NG_Biogas</t>
  </si>
  <si>
    <t>TES_per_building.kWh.MT.Ser.Bld.Thermal.CA.Biomass.Biomass_Waste</t>
  </si>
  <si>
    <t>TES_per_building.kWh.MT.Ser.Bld.Thermal.CA.Elc.Elec</t>
  </si>
  <si>
    <t>MT - CO2 emissions per building</t>
  </si>
  <si>
    <t>EMI_per_building.kgCO2.MT.Ser.Bld.Thermal</t>
  </si>
  <si>
    <t>EMI_per_building.kgCO2.MT.Ser.Bld.Thermal.SH</t>
  </si>
  <si>
    <t>EMI_per_building.kgCO2.MT.Ser.Bld.Thermal.SH.Solids.Solids</t>
  </si>
  <si>
    <t>EMI_per_building.kgCO2.MT.Ser.Bld.Thermal.SH.LPG.LPG</t>
  </si>
  <si>
    <t>EMI_per_building.kgCO2.MT.Ser.Bld.Thermal.SH.Oil.Oil_LiqBio</t>
  </si>
  <si>
    <t>EMI_per_building.kgCO2.MT.Ser.Bld.Thermal.SH.GasHP.NG_Biogas</t>
  </si>
  <si>
    <t>EMI_per_building.kgCO2.MT.Ser.Bld.Thermal.SH.GasTH.NG_Biogas</t>
  </si>
  <si>
    <t>EMI_per_building.kgCO2.MT.Ser.Bld.Thermal.SH.Biomass.Biomass_Waste</t>
  </si>
  <si>
    <t>EMI_per_building.kgCO2.MT.Ser.Bld.Thermal.SH.Geo.Geo</t>
  </si>
  <si>
    <t>EMI_per_building.kgCO2.MT.Ser.Bld.Thermal.SH.DistrHeat.Steam_Distr</t>
  </si>
  <si>
    <t>EMI_per_building.kgCO2.MT.Ser.Bld.Thermal.SH.AdvElc.Elec</t>
  </si>
  <si>
    <t>EMI_per_building.kgCO2.MT.Ser.Bld.Thermal.SH.ConvElc.Elec</t>
  </si>
  <si>
    <t>EMI_per_building.kgCO2.MT.Ser.Bld.Thermal.SH.TotalCirculation.Elec</t>
  </si>
  <si>
    <t>EMI_per_building.kgCO2.MT.Ser.Bld.Thermal.SC</t>
  </si>
  <si>
    <t>EMI_per_building.kgCO2.MT.Ser.Bld.Thermal.SC.GasHP.NG_Biogas</t>
  </si>
  <si>
    <t>EMI_per_building.kgCO2.MT.Ser.Bld.Thermal.SC.AC.Elec</t>
  </si>
  <si>
    <t>EMI_per_building.kgCO2.MT.Ser.Bld.Thermal.HW</t>
  </si>
  <si>
    <t>EMI_per_building.kgCO2.MT.Ser.Bld.Thermal.HW.Solids.Solids</t>
  </si>
  <si>
    <t>EMI_per_building.kgCO2.MT.Ser.Bld.Thermal.HW.LPG.LPG</t>
  </si>
  <si>
    <t>EMI_per_building.kgCO2.MT.Ser.Bld.Thermal.HW.Oil.Oil_LiqBio</t>
  </si>
  <si>
    <t>EMI_per_building.kgCO2.MT.Ser.Bld.Thermal.HW.Gas.NG_Biogas</t>
  </si>
  <si>
    <t>EMI_per_building.kgCO2.MT.Ser.Bld.Thermal.HW.Biomass.Biomass_Waste</t>
  </si>
  <si>
    <t>EMI_per_building.kgCO2.MT.Ser.Bld.Thermal.HW.DistrHeat.Steam_Distr</t>
  </si>
  <si>
    <t>EMI_per_building.kgCO2.MT.Ser.Bld.Thermal.HW.Elc.Elec</t>
  </si>
  <si>
    <t>EMI_per_building.kgCO2.MT.Ser.Bld.Thermal.HW.TotalSolar.Solar</t>
  </si>
  <si>
    <t>EMI_per_building.kgCO2.MT.Ser.Bld.Thermal.CA</t>
  </si>
  <si>
    <t>EMI_per_building.kgCO2.MT.Ser.Bld.Thermal.CA.LPG</t>
  </si>
  <si>
    <t>EMI_per_building.kgCO2.MT.Ser.Bld.Thermal.CA.Gas.NG_Biogas</t>
  </si>
  <si>
    <t>EMI_per_building.kgCO2.MT.Ser.Bld.Thermal.CA.Biomass.Biomass_Waste</t>
  </si>
  <si>
    <t>EMI_per_building.kgCO2.MT.Ser.Bld.Thermal.CA.Elc.Elec</t>
  </si>
  <si>
    <t>MT - Final energy consumption per useful surface area</t>
  </si>
  <si>
    <t>FEC_per_sqm.kWh.MT.Ser.Bld.Thermal</t>
  </si>
  <si>
    <t>FEC_per_sqm.kWh.MT.Ser.Bld.Thermal.SH</t>
  </si>
  <si>
    <t>FEC_per_sqm.kWh.MT.Ser.Bld.Thermal.SH.Solids.Solids</t>
  </si>
  <si>
    <t>FEC_per_sqm.kWh.MT.Ser.Bld.Thermal.SH.LPG.LPG</t>
  </si>
  <si>
    <t>FEC_per_sqm.kWh.MT.Ser.Bld.Thermal.SH.Oil.Oil_LiqBio</t>
  </si>
  <si>
    <t>FEC_per_sqm.kWh.MT.Ser.Bld.Thermal.SH.GasHP.NG_Biogas</t>
  </si>
  <si>
    <t>FEC_per_sqm.kWh.MT.Ser.Bld.Thermal.SH.GasTH.NG_Biogas</t>
  </si>
  <si>
    <t>FEC_per_sqm.kWh.MT.Ser.Bld.Thermal.SH.Biomass.Biomass_Waste</t>
  </si>
  <si>
    <t>FEC_per_sqm.kWh.MT.Ser.Bld.Thermal.SH.Geo.Geo</t>
  </si>
  <si>
    <t>FEC_per_sqm.kWh.MT.Ser.Bld.Thermal.SH.DistrHeat.Steam_Distr</t>
  </si>
  <si>
    <t>FEC_per_sqm.kWh.MT.Ser.Bld.Thermal.SH.AdvElc.Elec</t>
  </si>
  <si>
    <t>FEC_per_sqm.kWh.MT.Ser.Bld.Thermal.SH.ConvElc.Elec</t>
  </si>
  <si>
    <t>FEC_per_sqm.kWh.MT.Ser.Bld.Thermal.SH.TotalCirculation.Elec</t>
  </si>
  <si>
    <t>FEC_per_sqm.kWh.MT.Ser.Bld.Thermal.SC</t>
  </si>
  <si>
    <t>FEC_per_sqm.kWh.MT.Ser.Bld.Thermal.SC.GasHP.NG_Biogas</t>
  </si>
  <si>
    <t>FEC_per_sqm.kWh.MT.Ser.Bld.Thermal.SC.AC.Elec</t>
  </si>
  <si>
    <t>FEC_per_sqm.kWh.MT.Ser.Bld.Thermal.HW</t>
  </si>
  <si>
    <t>FEC_per_sqm.kWh.MT.Ser.Bld.Thermal.HW.Solids.Solids</t>
  </si>
  <si>
    <t>FEC_per_sqm.kWh.MT.Ser.Bld.Thermal.HW.LPG.LPG</t>
  </si>
  <si>
    <t>FEC_per_sqm.kWh.MT.Ser.Bld.Thermal.HW.Oil.Oil_LiqBio</t>
  </si>
  <si>
    <t>FEC_per_sqm.kWh.MT.Ser.Bld.Thermal.HW.Gas.NG_Biogas</t>
  </si>
  <si>
    <t>FEC_per_sqm.kWh.MT.Ser.Bld.Thermal.HW.Biomass.Biomass_Waste</t>
  </si>
  <si>
    <t>FEC_per_sqm.kWh.MT.Ser.Bld.Thermal.HW.DistrHeat.Steam_Distr</t>
  </si>
  <si>
    <t>FEC_per_sqm.kWh.MT.Ser.Bld.Thermal.HW.Elc.Elec</t>
  </si>
  <si>
    <t>FEC_per_sqm.kWh.MT.Ser.Bld.Thermal.HW.TotalSolar.Solar</t>
  </si>
  <si>
    <t>FEC_per_sqm.kWh.MT.Ser.Bld.Thermal.CA</t>
  </si>
  <si>
    <t>FEC_per_sqm.kWh.MT.Ser.Bld.Thermal.CA.LPG</t>
  </si>
  <si>
    <t>FEC_per_sqm.kWh.MT.Ser.Bld.Thermal.CA.Gas.NG_Biogas</t>
  </si>
  <si>
    <t>FEC_per_sqm.kWh.MT.Ser.Bld.Thermal.CA.Biomass.Biomass_Waste</t>
  </si>
  <si>
    <t>FEC_per_sqm.kWh.MT.Ser.Bld.Thermal.CA.Elc.Elec</t>
  </si>
  <si>
    <t>MT - Thermal energy service per useful surface area</t>
  </si>
  <si>
    <t>TES_per_sqm.kWh.MT.Ser.Bld.Thermal</t>
  </si>
  <si>
    <t>TES_per_sqm.kWh.MT.Ser.Bld.Thermal.SH</t>
  </si>
  <si>
    <t>TES_per_sqm.kWh.MT.Ser.Bld.Thermal.SH.Solids.Solids</t>
  </si>
  <si>
    <t>TES_per_sqm.kWh.MT.Ser.Bld.Thermal.SH.LPG.LPG</t>
  </si>
  <si>
    <t>TES_per_sqm.kWh.MT.Ser.Bld.Thermal.SH.Oil.Oil_LiqBio</t>
  </si>
  <si>
    <t>TES_per_sqm.kWh.MT.Ser.Bld.Thermal.SH.GasHP.NG_Biogas</t>
  </si>
  <si>
    <t>TES_per_sqm.kWh.MT.Ser.Bld.Thermal.SH.GasTH.NG_Biogas</t>
  </si>
  <si>
    <t>TES_per_sqm.kWh.MT.Ser.Bld.Thermal.SH.Biomass.Biomass_Waste</t>
  </si>
  <si>
    <t>TES_per_sqm.kWh.MT.Ser.Bld.Thermal.SH.Geo.Geo</t>
  </si>
  <si>
    <t>TES_per_sqm.kWh.MT.Ser.Bld.Thermal.SH.DistrHeat.Steam_Distr</t>
  </si>
  <si>
    <t>TES_per_sqm.kWh.MT.Ser.Bld.Thermal.SH.AdvElc.Elec</t>
  </si>
  <si>
    <t>TES_per_sqm.kWh.MT.Ser.Bld.Thermal.SH.ConvElc.Elec</t>
  </si>
  <si>
    <t>TES_per_sqm.kWh.MT.Ser.Bld.Thermal.SH.TotalCirculation.Elec</t>
  </si>
  <si>
    <t>TES_per_sqm.kWh.MT.Ser.Bld.Thermal.SC</t>
  </si>
  <si>
    <t>TES_per_sqm.kWh.MT.Ser.Bld.Thermal.SC.GasHP.NG_Biogas</t>
  </si>
  <si>
    <t>TES_per_sqm.kWh.MT.Ser.Bld.Thermal.SC.AC.Elec</t>
  </si>
  <si>
    <t>TES_per_sqm.kWh.MT.Ser.Bld.Thermal.HW</t>
  </si>
  <si>
    <t>TES_per_sqm.kWh.MT.Ser.Bld.Thermal.HW.Solids.Solids</t>
  </si>
  <si>
    <t>TES_per_sqm.kWh.MT.Ser.Bld.Thermal.HW.LPG.LPG</t>
  </si>
  <si>
    <t>TES_per_sqm.kWh.MT.Ser.Bld.Thermal.HW.Oil.Oil_LiqBio</t>
  </si>
  <si>
    <t>TES_per_sqm.kWh.MT.Ser.Bld.Thermal.HW.Gas.NG_Biogas</t>
  </si>
  <si>
    <t>TES_per_sqm.kWh.MT.Ser.Bld.Thermal.HW.Biomass.Biomass_Waste</t>
  </si>
  <si>
    <t>TES_per_sqm.kWh.MT.Ser.Bld.Thermal.HW.DistrHeat.Steam_Distr</t>
  </si>
  <si>
    <t>TES_per_sqm.kWh.MT.Ser.Bld.Thermal.HW.Elc.Elec</t>
  </si>
  <si>
    <t>TES_per_sqm.kWh.MT.Ser.Bld.Thermal.HW.TotalSolar.Solar</t>
  </si>
  <si>
    <t>TES_per_sqm.kWh.MT.Ser.Bld.Thermal.CA</t>
  </si>
  <si>
    <t>TES_per_sqm.kWh.MT.Ser.Bld.Thermal.CA.LPG</t>
  </si>
  <si>
    <t>TES_per_sqm.kWh.MT.Ser.Bld.Thermal.CA.Gas.NG_Biogas</t>
  </si>
  <si>
    <t>TES_per_sqm.kWh.MT.Ser.Bld.Thermal.CA.Biomass.Biomass_Waste</t>
  </si>
  <si>
    <t>TES_per_sqm.kWh.MT.Ser.Bld.Thermal.CA.Elc.Elec</t>
  </si>
  <si>
    <t>MT - CO2 emissions per useful surface area</t>
  </si>
  <si>
    <t>EMI_per_sqm.kgCO2.MT.Ser.Bld.Thermal</t>
  </si>
  <si>
    <t>EMI_per_sqm.kgCO2.MT.Ser.Bld.Thermal.SH</t>
  </si>
  <si>
    <t>EMI_per_sqm.kgCO2.MT.Ser.Bld.Thermal.SH.Solids.Solids</t>
  </si>
  <si>
    <t>EMI_per_sqm.kgCO2.MT.Ser.Bld.Thermal.SH.LPG.LPG</t>
  </si>
  <si>
    <t>EMI_per_sqm.kgCO2.MT.Ser.Bld.Thermal.SH.Oil.Oil_LiqBio</t>
  </si>
  <si>
    <t>EMI_per_sqm.kgCO2.MT.Ser.Bld.Thermal.SH.GasHP.NG_Biogas</t>
  </si>
  <si>
    <t>EMI_per_sqm.kgCO2.MT.Ser.Bld.Thermal.SH.GasTH.NG_Biogas</t>
  </si>
  <si>
    <t>EMI_per_sqm.kgCO2.MT.Ser.Bld.Thermal.SH.Biomass.Biomass_Waste</t>
  </si>
  <si>
    <t>EMI_per_sqm.kgCO2.MT.Ser.Bld.Thermal.SH.Geo.Geo</t>
  </si>
  <si>
    <t>EMI_per_sqm.kgCO2.MT.Ser.Bld.Thermal.SH.DistrHeat.Steam_Distr</t>
  </si>
  <si>
    <t>EMI_per_sqm.kgCO2.MT.Ser.Bld.Thermal.SH.AdvElc.Elec</t>
  </si>
  <si>
    <t>EMI_per_sqm.kgCO2.MT.Ser.Bld.Thermal.SH.ConvElc.Elec</t>
  </si>
  <si>
    <t>EMI_per_sqm.kgCO2.MT.Ser.Bld.Thermal.SH.TotalCirculation.Elec</t>
  </si>
  <si>
    <t>EMI_per_sqm.kgCO2.MT.Ser.Bld.Thermal.SC</t>
  </si>
  <si>
    <t>EMI_per_sqm.kgCO2.MT.Ser.Bld.Thermal.SC.GasHP.NG_Biogas</t>
  </si>
  <si>
    <t>EMI_per_sqm.kgCO2.MT.Ser.Bld.Thermal.SC.AC.Elec</t>
  </si>
  <si>
    <t>EMI_per_sqm.kgCO2.MT.Ser.Bld.Thermal.HW</t>
  </si>
  <si>
    <t>EMI_per_sqm.kgCO2.MT.Ser.Bld.Thermal.HW.Solids.Solids</t>
  </si>
  <si>
    <t>EMI_per_sqm.kgCO2.MT.Ser.Bld.Thermal.HW.LPG.LPG</t>
  </si>
  <si>
    <t>EMI_per_sqm.kgCO2.MT.Ser.Bld.Thermal.HW.Oil.Oil_LiqBio</t>
  </si>
  <si>
    <t>EMI_per_sqm.kgCO2.MT.Ser.Bld.Thermal.HW.Gas.NG_Biogas</t>
  </si>
  <si>
    <t>EMI_per_sqm.kgCO2.MT.Ser.Bld.Thermal.HW.Biomass.Biomass_Waste</t>
  </si>
  <si>
    <t>EMI_per_sqm.kgCO2.MT.Ser.Bld.Thermal.HW.DistrHeat.Steam_Distr</t>
  </si>
  <si>
    <t>EMI_per_sqm.kgCO2.MT.Ser.Bld.Thermal.HW.Elc.Elec</t>
  </si>
  <si>
    <t>EMI_per_sqm.kgCO2.MT.Ser.Bld.Thermal.HW.TotalSolar.Solar</t>
  </si>
  <si>
    <t>EMI_per_sqm.kgCO2.MT.Ser.Bld.Thermal.CA</t>
  </si>
  <si>
    <t>EMI_per_sqm.kgCO2.MT.Ser.Bld.Thermal.CA.LPG</t>
  </si>
  <si>
    <t>EMI_per_sqm.kgCO2.MT.Ser.Bld.Thermal.CA.Gas.NG_Biogas</t>
  </si>
  <si>
    <t>EMI_per_sqm.kgCO2.MT.Ser.Bld.Thermal.CA.Biomass.Biomass_Waste</t>
  </si>
  <si>
    <t>EMI_per_sqm.kgCO2.MT.Ser.Bld.Thermal.CA.Elc.Elec</t>
  </si>
  <si>
    <t>MT - Number of new and renovated buildings</t>
  </si>
  <si>
    <t>NUM.number.MT.Ser.BldNew.Thermal</t>
  </si>
  <si>
    <t>NUM.number.MT.Ser.BldNew.Thermal.SH</t>
  </si>
  <si>
    <t>NUM.number.MT.Ser.BldNew.Thermal.SH.Solids</t>
  </si>
  <si>
    <t>NUM.number.MT.Ser.BldNew.Thermal.SH.LPG</t>
  </si>
  <si>
    <t>NUM.number.MT.Ser.BldNew.Thermal.SH.Oil</t>
  </si>
  <si>
    <t>NUM.number.MT.Ser.BldNew.Thermal.SH.GasHP</t>
  </si>
  <si>
    <t>NUM.number.MT.Ser.BldNew.Thermal.SH.GasTH</t>
  </si>
  <si>
    <t>NUM.number.MT.Ser.BldNew.Thermal.SH.Biomass</t>
  </si>
  <si>
    <t>NUM.number.MT.Ser.BldNew.Thermal.SH.Geo</t>
  </si>
  <si>
    <t>NUM.number.MT.Ser.BldNew.Thermal.SH.DistrHeat</t>
  </si>
  <si>
    <t>NUM.number.MT.Ser.BldNew.Thermal.SH.AdvElc</t>
  </si>
  <si>
    <t>NUM.number.MT.Ser.BldNew.Thermal.SH.ConvElc</t>
  </si>
  <si>
    <t>NUM.number.MT.Ser.BldNew.Thermal.SC</t>
  </si>
  <si>
    <t>NUM.number.MT.Ser.BldNew.Thermal.SC.GasHP</t>
  </si>
  <si>
    <t>NUM.number.MT.Ser.BldNew.Thermal.SC.AC</t>
  </si>
  <si>
    <t>NUM.number.MT.Ser.BldNew.Thermal.HW</t>
  </si>
  <si>
    <t>NUM.number.MT.Ser.BldNew.Thermal.HW.Solids</t>
  </si>
  <si>
    <t>NUM.number.MT.Ser.BldNew.Thermal.HW.LPG</t>
  </si>
  <si>
    <t>NUM.number.MT.Ser.BldNew.Thermal.HW.Oil</t>
  </si>
  <si>
    <t>NUM.number.MT.Ser.BldNew.Thermal.HW.Gas</t>
  </si>
  <si>
    <t>NUM.number.MT.Ser.BldNew.Thermal.HW.Biomass</t>
  </si>
  <si>
    <t>NUM.number.MT.Ser.BldNew.Thermal.HW.DistrHeat</t>
  </si>
  <si>
    <t>NUM.number.MT.Ser.BldNew.Thermal.HW.Elc</t>
  </si>
  <si>
    <t>NUM.number.MT.Ser.BldNew.Thermal.HW.Solar</t>
  </si>
  <si>
    <t>NUM.number.MT.Ser.BldNew.Thermal.CA</t>
  </si>
  <si>
    <t>NUM.number.MT.Ser.BldNew.Thermal.CA.LPG</t>
  </si>
  <si>
    <t>NUM.number.MT.Ser.BldNew.Thermal.CA.Gas</t>
  </si>
  <si>
    <t>NUM.number.MT.Ser.BldNew.Thermal.CA.Biomass</t>
  </si>
  <si>
    <t>NUM.number.MT.Ser.BldNew.Thermal.CA.Elc</t>
  </si>
  <si>
    <t>MT - Final energy consumption in new and renovated buildings</t>
  </si>
  <si>
    <t>FEC.ktoe.MT.Ser.BldNew.Thermal</t>
  </si>
  <si>
    <t>FEC.ktoe.MT.Ser.BldNew.Thermal.SH</t>
  </si>
  <si>
    <t>FEC.ktoe.MT.Ser.BldNew.Thermal.SH.Solids.Solids</t>
  </si>
  <si>
    <t>FEC.ktoe.MT.Ser.BldNew.Thermal.SH.LPG.LPG</t>
  </si>
  <si>
    <t>FEC.ktoe.MT.Ser.BldNew.Thermal.SH.Oil.Oil_LiqBio</t>
  </si>
  <si>
    <t>FEC.ktoe.MT.Ser.BldNew.Thermal.SH.GasHP.NG_Biogas</t>
  </si>
  <si>
    <t>FEC.ktoe.MT.Ser.BldNew.Thermal.SH.GasTH.NG_Biogas</t>
  </si>
  <si>
    <t>FEC.ktoe.MT.Ser.BldNew.Thermal.SH.Biomass.Biomass_Waste</t>
  </si>
  <si>
    <t>FEC.ktoe.MT.Ser.BldNew.Thermal.SH.Geo.Geo</t>
  </si>
  <si>
    <t>FEC.ktoe.MT.Ser.BldNew.Thermal.SH.DistrHeat.Steam_Distr</t>
  </si>
  <si>
    <t>FEC.ktoe.MT.Ser.BldNew.Thermal.SH.AdvElc.Elec</t>
  </si>
  <si>
    <t>FEC.ktoe.MT.Ser.BldNew.Thermal.SH.ConvElc.Elec</t>
  </si>
  <si>
    <t>FEC.ktoe.MT.Ser.BldNew.Thermal.SH.TotalCirculation.Elec</t>
  </si>
  <si>
    <t>FEC.ktoe.MT.Ser.BldNew.Thermal.SC</t>
  </si>
  <si>
    <t>FEC.ktoe.MT.Ser.BldNew.Thermal.SC.GasHP.NG_Biogas</t>
  </si>
  <si>
    <t>FEC.ktoe.MT.Ser.BldNew.Thermal.SC.AC.Elec</t>
  </si>
  <si>
    <t>FEC.ktoe.MT.Ser.BldNew.Thermal.HW</t>
  </si>
  <si>
    <t>FEC.ktoe.MT.Ser.BldNew.Thermal.HW.Solids.Solids</t>
  </si>
  <si>
    <t>FEC.ktoe.MT.Ser.BldNew.Thermal.HW.LPG.LPG</t>
  </si>
  <si>
    <t>FEC.ktoe.MT.Ser.BldNew.Thermal.HW.Oil.Oil_LiqBio</t>
  </si>
  <si>
    <t>FEC.ktoe.MT.Ser.BldNew.Thermal.HW.Gas.NG_Biogas</t>
  </si>
  <si>
    <t>FEC.ktoe.MT.Ser.BldNew.Thermal.HW.Biomass.Biomass_Waste</t>
  </si>
  <si>
    <t>FEC.ktoe.MT.Ser.BldNew.Thermal.HW.DistrHeat.Steam_Distr</t>
  </si>
  <si>
    <t>FEC.ktoe.MT.Ser.BldNew.Thermal.HW.Elc.Elec</t>
  </si>
  <si>
    <t>FEC.ktoe.MT.Ser.BldNew.Thermal.HW.TotalSolar.Solar</t>
  </si>
  <si>
    <t>FEC.ktoe.MT.Ser.BldNew.Thermal.CA</t>
  </si>
  <si>
    <t>FEC.ktoe.MT.Ser.BldNew.Thermal.CA.LPG</t>
  </si>
  <si>
    <t>FEC.ktoe.MT.Ser.BldNew.Thermal.CA.Gas.NG_Biogas</t>
  </si>
  <si>
    <t>FEC.ktoe.MT.Ser.BldNew.Thermal.CA.Biomass.Biomass_Waste</t>
  </si>
  <si>
    <t>FEC.ktoe.MT.Ser.BldNew.Thermal.CA.Elc.Elec</t>
  </si>
  <si>
    <t>MT - Thermal energy service in new and renovated buildings</t>
  </si>
  <si>
    <t>TES.ktoe.MT.Ser.BldNew.Thermal</t>
  </si>
  <si>
    <t>TES.ktoe.MT.Ser.BldNew.Thermal.SH</t>
  </si>
  <si>
    <t>TES.ktoe.MT.Ser.BldNew.Thermal.SH.Solids.Solids</t>
  </si>
  <si>
    <t>TES.ktoe.MT.Ser.BldNew.Thermal.SH.LPG.LPG</t>
  </si>
  <si>
    <t>TES.ktoe.MT.Ser.BldNew.Thermal.SH.Oil.Oil_LiqBio</t>
  </si>
  <si>
    <t>TES.ktoe.MT.Ser.BldNew.Thermal.SH.GasHP.NG_Biogas</t>
  </si>
  <si>
    <t>TES.ktoe.MT.Ser.BldNew.Thermal.SH.GasTH.NG_Biogas</t>
  </si>
  <si>
    <t>TES.ktoe.MT.Ser.BldNew.Thermal.SH.Biomass.Biomass_Waste</t>
  </si>
  <si>
    <t>TES.ktoe.MT.Ser.BldNew.Thermal.SH.Geo.Geo</t>
  </si>
  <si>
    <t>TES.ktoe.MT.Ser.BldNew.Thermal.SH.DistrHeat.Steam_Distr</t>
  </si>
  <si>
    <t>TES.ktoe.MT.Ser.BldNew.Thermal.SH.AdvElc.Elec</t>
  </si>
  <si>
    <t>TES.ktoe.MT.Ser.BldNew.Thermal.SH.ConvElc.Elec</t>
  </si>
  <si>
    <t>TES.ktoe.MT.Ser.BldNew.Thermal.SH.TotalCirculation.Elec</t>
  </si>
  <si>
    <t>TES.ktoe.MT.Ser.BldNew.Thermal.SC</t>
  </si>
  <si>
    <t>TES.ktoe.MT.Ser.BldNew.Thermal.SC.GasHP.NG_Biogas</t>
  </si>
  <si>
    <t>TES.ktoe.MT.Ser.BldNew.Thermal.SC.AC.Elec</t>
  </si>
  <si>
    <t>TES.ktoe.MT.Ser.BldNew.Thermal.HW</t>
  </si>
  <si>
    <t>TES.ktoe.MT.Ser.BldNew.Thermal.HW.Solids.Solids</t>
  </si>
  <si>
    <t>TES.ktoe.MT.Ser.BldNew.Thermal.HW.LPG.LPG</t>
  </si>
  <si>
    <t>TES.ktoe.MT.Ser.BldNew.Thermal.HW.Oil.Oil_LiqBio</t>
  </si>
  <si>
    <t>TES.ktoe.MT.Ser.BldNew.Thermal.HW.Gas.NG_Biogas</t>
  </si>
  <si>
    <t>TES.ktoe.MT.Ser.BldNew.Thermal.HW.Biomass.Biomass_Waste</t>
  </si>
  <si>
    <t>TES.ktoe.MT.Ser.BldNew.Thermal.HW.DistrHeat.Steam_Distr</t>
  </si>
  <si>
    <t>TES.ktoe.MT.Ser.BldNew.Thermal.HW.Elc.Elec</t>
  </si>
  <si>
    <t>TES.ktoe.MT.Ser.BldNew.Thermal.HW.TotalSolar.Solar</t>
  </si>
  <si>
    <t>TES.ktoe.MT.Ser.BldNew.Thermal.CA</t>
  </si>
  <si>
    <t>TES.ktoe.MT.Ser.BldNew.Thermal.CA.LPG</t>
  </si>
  <si>
    <t>TES.ktoe.MT.Ser.BldNew.Thermal.CA.Gas.NG_Biogas</t>
  </si>
  <si>
    <t>TES.ktoe.MT.Ser.BldNew.Thermal.CA.Biomass.Biomass_Waste</t>
  </si>
  <si>
    <t>TES.ktoe.MT.Ser.BldNew.Thermal.CA.Elc.Elec</t>
  </si>
  <si>
    <t>MT - System efficiency indicator of new and renovated buildings</t>
  </si>
  <si>
    <t>Eff.ratio.MT.Ser.BldNew.Thermal</t>
  </si>
  <si>
    <t>Eff.ratio.MT.Ser.BldNew.Thermal.SH</t>
  </si>
  <si>
    <t>Eff.ratio.MT.Ser.BldNew.Thermal.SH.Solids.Solids</t>
  </si>
  <si>
    <t>Eff.ratio.MT.Ser.BldNew.Thermal.SH.LPG.LPG</t>
  </si>
  <si>
    <t>Eff.ratio.MT.Ser.BldNew.Thermal.SH.Oil.Oil_LiqBio</t>
  </si>
  <si>
    <t>Eff.ratio.MT.Ser.BldNew.Thermal.SH.GasHP.NG_Biogas</t>
  </si>
  <si>
    <t>Eff.ratio.MT.Ser.BldNew.Thermal.SH.GasTH.NG_Biogas</t>
  </si>
  <si>
    <t>Eff.ratio.MT.Ser.BldNew.Thermal.SH.Biomass.Biomass_Waste</t>
  </si>
  <si>
    <t>Eff.ratio.MT.Ser.BldNew.Thermal.SH.Geo.Geo</t>
  </si>
  <si>
    <t>Eff.ratio.MT.Ser.BldNew.Thermal.SH.DistrHeat.Steam_Distr</t>
  </si>
  <si>
    <t>Eff.ratio.MT.Ser.BldNew.Thermal.SH.AdvElc.Elec</t>
  </si>
  <si>
    <t>Eff.ratio.MT.Ser.BldNew.Thermal.SH.ConvElc.Elec</t>
  </si>
  <si>
    <t>Eff.ratio.MT.Ser.BldNew.Thermal.SH.TotalCirculation.Elec</t>
  </si>
  <si>
    <t>Eff.ratio.MT.Ser.BldNew.Thermal.SC</t>
  </si>
  <si>
    <t>Eff.ratio.MT.Ser.BldNew.Thermal.SC.GasHP.NG_Biogas</t>
  </si>
  <si>
    <t>Eff.ratio.MT.Ser.BldNew.Thermal.SC.AC.Elec</t>
  </si>
  <si>
    <t>Eff.ratio.MT.Ser.BldNew.Thermal.HW</t>
  </si>
  <si>
    <t>Eff.ratio.MT.Ser.BldNew.Thermal.HW.Solids.Solids</t>
  </si>
  <si>
    <t>Eff.ratio.MT.Ser.BldNew.Thermal.HW.LPG.LPG</t>
  </si>
  <si>
    <t>Eff.ratio.MT.Ser.BldNew.Thermal.HW.Oil.Oil_LiqBio</t>
  </si>
  <si>
    <t>Eff.ratio.MT.Ser.BldNew.Thermal.HW.Gas.NG_Biogas</t>
  </si>
  <si>
    <t>Eff.ratio.MT.Ser.BldNew.Thermal.HW.Biomass.Biomass_Waste</t>
  </si>
  <si>
    <t>Eff.ratio.MT.Ser.BldNew.Thermal.HW.DistrHeat.Steam_Distr</t>
  </si>
  <si>
    <t>Eff.ratio.MT.Ser.BldNew.Thermal.HW.Elc.Elec</t>
  </si>
  <si>
    <t>Eff.ratio.MT.Ser.BldNew.Thermal.HW.TotalSolar.Solar</t>
  </si>
  <si>
    <t>Eff.ratio.MT.Ser.BldNew.Thermal.CA</t>
  </si>
  <si>
    <t>Eff.ratio.MT.Ser.BldNew.Thermal.CA.LPG</t>
  </si>
  <si>
    <t>Eff.ratio.MT.Ser.BldNew.Thermal.CA.Gas.NG_Biogas</t>
  </si>
  <si>
    <t>Eff.ratio.MT.Ser.BldNew.Thermal.CA.Biomass.Biomass_Waste</t>
  </si>
  <si>
    <t>Eff.ratio.MT.Ser.BldNew.Thermal.CA.Elc.Elec</t>
  </si>
  <si>
    <t>MT - CO2 emissions in new and renovated buildings</t>
  </si>
  <si>
    <t>EMI.ktCO2.MT.Ser.BldNew.Thermal</t>
  </si>
  <si>
    <t>EMI.ktCO2.MT.Ser.BldNew.Thermal.SH</t>
  </si>
  <si>
    <t>EMI.ktCO2.MT.Ser.BldNew.Thermal.SH.Solids.Solids</t>
  </si>
  <si>
    <t>EMI.ktCO2.MT.Ser.BldNew.Thermal.SH.LPG.LPG</t>
  </si>
  <si>
    <t>EMI.ktCO2.MT.Ser.BldNew.Thermal.SH.Oil.Oil_LiqBio</t>
  </si>
  <si>
    <t>EMI.ktCO2.MT.Ser.BldNew.Thermal.SH.GasHP.NG_Biogas</t>
  </si>
  <si>
    <t>EMI.ktCO2.MT.Ser.BldNew.Thermal.SH.GasTH.NG_Biogas</t>
  </si>
  <si>
    <t>EMI.ktCO2.MT.Ser.BldNew.Thermal.SH.Biomass.Biomass_Waste</t>
  </si>
  <si>
    <t>EMI.ktCO2.MT.Ser.BldNew.Thermal.SH.Geo.Geo</t>
  </si>
  <si>
    <t>EMI.ktCO2.MT.Ser.BldNew.Thermal.SH.DistrHeat.Steam_Distr</t>
  </si>
  <si>
    <t>EMI.ktCO2.MT.Ser.BldNew.Thermal.SH.AdvElc.Elec</t>
  </si>
  <si>
    <t>EMI.ktCO2.MT.Ser.BldNew.Thermal.SH.ConvElc.Elec</t>
  </si>
  <si>
    <t>EMI.ktCO2.MT.Ser.BldNew.Thermal.SH.TotalCirculation.Elec</t>
  </si>
  <si>
    <t>EMI.ktCO2.MT.Ser.BldNew.Thermal.SC</t>
  </si>
  <si>
    <t>EMI.ktCO2.MT.Ser.BldNew.Thermal.SC.GasHP.NG_Biogas</t>
  </si>
  <si>
    <t>EMI.ktCO2.MT.Ser.BldNew.Thermal.SC.AC.Elec</t>
  </si>
  <si>
    <t>EMI.ktCO2.MT.Ser.BldNew.Thermal.HW</t>
  </si>
  <si>
    <t>EMI.ktCO2.MT.Ser.BldNew.Thermal.HW.Solids.Solids</t>
  </si>
  <si>
    <t>EMI.ktCO2.MT.Ser.BldNew.Thermal.HW.LPG.LPG</t>
  </si>
  <si>
    <t>EMI.ktCO2.MT.Ser.BldNew.Thermal.HW.Oil.Oil_LiqBio</t>
  </si>
  <si>
    <t>EMI.ktCO2.MT.Ser.BldNew.Thermal.HW.Gas.NG_Biogas</t>
  </si>
  <si>
    <t>EMI.ktCO2.MT.Ser.BldNew.Thermal.HW.Biomass.Biomass_Waste</t>
  </si>
  <si>
    <t>EMI.ktCO2.MT.Ser.BldNew.Thermal.HW.DistrHeat.Steam_Distr</t>
  </si>
  <si>
    <t>EMI.ktCO2.MT.Ser.BldNew.Thermal.HW.Elc.Elec</t>
  </si>
  <si>
    <t>EMI.ktCO2.MT.Ser.BldNew.Thermal.HW.TotalSolar.Solar</t>
  </si>
  <si>
    <t>EMI.ktCO2.MT.Ser.BldNew.Thermal.CA</t>
  </si>
  <si>
    <t>EMI.ktCO2.MT.Ser.BldNew.Thermal.CA.LPG</t>
  </si>
  <si>
    <t>EMI.ktCO2.MT.Ser.BldNew.Thermal.CA.Gas.NG_Biogas</t>
  </si>
  <si>
    <t>EMI.ktCO2.MT.Ser.BldNew.Thermal.CA.Biomass.Biomass_Waste</t>
  </si>
  <si>
    <t>EMI.ktCO2.MT.Ser.BldNew.Thermal.CA.Elc.Elec</t>
  </si>
  <si>
    <t>MT - Final energy consumption of new and renovated buildings (per building)</t>
  </si>
  <si>
    <t>FEC_per_building.kWh.MT.Ser.BldNew.Thermal</t>
  </si>
  <si>
    <t>FEC_per_building.kWh.MT.Ser.BldNew.Thermal.SH</t>
  </si>
  <si>
    <t>FEC_per_building.kWh.MT.Ser.BldNew.Thermal.SH.Solids.Solids</t>
  </si>
  <si>
    <t>FEC_per_building.kWh.MT.Ser.BldNew.Thermal.SH.LPG.LPG</t>
  </si>
  <si>
    <t>FEC_per_building.kWh.MT.Ser.BldNew.Thermal.SH.Oil.Oil_LiqBio</t>
  </si>
  <si>
    <t>FEC_per_building.kWh.MT.Ser.BldNew.Thermal.SH.GasHP.NG_Biogas</t>
  </si>
  <si>
    <t>FEC_per_building.kWh.MT.Ser.BldNew.Thermal.SH.GasTH.NG_Biogas</t>
  </si>
  <si>
    <t>FEC_per_building.kWh.MT.Ser.BldNew.Thermal.SH.Biomass.Biomass_Waste</t>
  </si>
  <si>
    <t>FEC_per_building.kWh.MT.Ser.BldNew.Thermal.SH.Geo.Geo</t>
  </si>
  <si>
    <t>FEC_per_building.kWh.MT.Ser.BldNew.Thermal.SH.DistrHeat.Steam_Distr</t>
  </si>
  <si>
    <t>FEC_per_building.kWh.MT.Ser.BldNew.Thermal.SH.AdvElc.Elec</t>
  </si>
  <si>
    <t>FEC_per_building.kWh.MT.Ser.BldNew.Thermal.SH.ConvElc.Elec</t>
  </si>
  <si>
    <t>FEC_per_building.kWh.MT.Ser.BldNew.Thermal.SH.TotalCirculation.Elec</t>
  </si>
  <si>
    <t>FEC_per_building.kWh.MT.Ser.BldNew.Thermal.SC</t>
  </si>
  <si>
    <t>FEC_per_building.kWh.MT.Ser.BldNew.Thermal.SC.GasHP.NG_Biogas</t>
  </si>
  <si>
    <t>FEC_per_building.kWh.MT.Ser.BldNew.Thermal.SC.AC.Elec</t>
  </si>
  <si>
    <t>FEC_per_building.kWh.MT.Ser.BldNew.Thermal.HW</t>
  </si>
  <si>
    <t>FEC_per_building.kWh.MT.Ser.BldNew.Thermal.HW.Solids.Solids</t>
  </si>
  <si>
    <t>FEC_per_building.kWh.MT.Ser.BldNew.Thermal.HW.LPG.LPG</t>
  </si>
  <si>
    <t>FEC_per_building.kWh.MT.Ser.BldNew.Thermal.HW.Oil.Oil_LiqBio</t>
  </si>
  <si>
    <t>FEC_per_building.kWh.MT.Ser.BldNew.Thermal.HW.Gas.NG_Biogas</t>
  </si>
  <si>
    <t>FEC_per_building.kWh.MT.Ser.BldNew.Thermal.HW.Biomass.Biomass_Waste</t>
  </si>
  <si>
    <t>FEC_per_building.kWh.MT.Ser.BldNew.Thermal.HW.DistrHeat.Steam_Distr</t>
  </si>
  <si>
    <t>FEC_per_building.kWh.MT.Ser.BldNew.Thermal.HW.Elc.Elec</t>
  </si>
  <si>
    <t>FEC_per_building.kWh.MT.Ser.BldNew.Thermal.HW.TotalSolar.Solar</t>
  </si>
  <si>
    <t>FEC_per_building.kWh.MT.Ser.BldNew.Thermal.CA</t>
  </si>
  <si>
    <t>FEC_per_building.kWh.MT.Ser.BldNew.Thermal.CA.LPG</t>
  </si>
  <si>
    <t>FEC_per_building.kWh.MT.Ser.BldNew.Thermal.CA.Gas.NG_Biogas</t>
  </si>
  <si>
    <t>FEC_per_building.kWh.MT.Ser.BldNew.Thermal.CA.Biomass.Biomass_Waste</t>
  </si>
  <si>
    <t>FEC_per_building.kWh.MT.Ser.BldNew.Thermal.CA.Elc.Elec</t>
  </si>
  <si>
    <t>MT - Thermal energy service of new and renovated buildings (per building)</t>
  </si>
  <si>
    <t>TES_per_building.kWh.MT.Ser.BldNew.Thermal</t>
  </si>
  <si>
    <t>TES_per_building.kWh.MT.Ser.BldNew.Thermal.SH</t>
  </si>
  <si>
    <t>TES_per_building.kWh.MT.Ser.BldNew.Thermal.SH.Solids.Solids</t>
  </si>
  <si>
    <t>TES_per_building.kWh.MT.Ser.BldNew.Thermal.SH.LPG.LPG</t>
  </si>
  <si>
    <t>TES_per_building.kWh.MT.Ser.BldNew.Thermal.SH.Oil.Oil_LiqBio</t>
  </si>
  <si>
    <t>TES_per_building.kWh.MT.Ser.BldNew.Thermal.SH.GasHP.NG_Biogas</t>
  </si>
  <si>
    <t>TES_per_building.kWh.MT.Ser.BldNew.Thermal.SH.GasTH.NG_Biogas</t>
  </si>
  <si>
    <t>TES_per_building.kWh.MT.Ser.BldNew.Thermal.SH.Biomass.Biomass_Waste</t>
  </si>
  <si>
    <t>TES_per_building.kWh.MT.Ser.BldNew.Thermal.SH.Geo.Geo</t>
  </si>
  <si>
    <t>TES_per_building.kWh.MT.Ser.BldNew.Thermal.SH.DistrHeat.Steam_Distr</t>
  </si>
  <si>
    <t>TES_per_building.kWh.MT.Ser.BldNew.Thermal.SH.AdvElc.Elec</t>
  </si>
  <si>
    <t>TES_per_building.kWh.MT.Ser.BldNew.Thermal.SH.ConvElc.Elec</t>
  </si>
  <si>
    <t>TES_per_building.kWh.MT.Ser.BldNew.Thermal.SH.TotalCirculation.Elec</t>
  </si>
  <si>
    <t>TES_per_building.kWh.MT.Ser.BldNew.Thermal.SC</t>
  </si>
  <si>
    <t>TES_per_building.kWh.MT.Ser.BldNew.Thermal.SC.GasHP.NG_Biogas</t>
  </si>
  <si>
    <t>TES_per_building.kWh.MT.Ser.BldNew.Thermal.SC.AC.Elec</t>
  </si>
  <si>
    <t>TES_per_building.kWh.MT.Ser.BldNew.Thermal.HW</t>
  </si>
  <si>
    <t>TES_per_building.kWh.MT.Ser.BldNew.Thermal.HW.Solids.Solids</t>
  </si>
  <si>
    <t>TES_per_building.kWh.MT.Ser.BldNew.Thermal.HW.LPG.LPG</t>
  </si>
  <si>
    <t>TES_per_building.kWh.MT.Ser.BldNew.Thermal.HW.Oil.Oil_LiqBio</t>
  </si>
  <si>
    <t>TES_per_building.kWh.MT.Ser.BldNew.Thermal.HW.Gas.NG_Biogas</t>
  </si>
  <si>
    <t>TES_per_building.kWh.MT.Ser.BldNew.Thermal.HW.Biomass.Biomass_Waste</t>
  </si>
  <si>
    <t>TES_per_building.kWh.MT.Ser.BldNew.Thermal.HW.DistrHeat.Steam_Distr</t>
  </si>
  <si>
    <t>TES_per_building.kWh.MT.Ser.BldNew.Thermal.HW.Elc.Elec</t>
  </si>
  <si>
    <t>TES_per_building.kWh.MT.Ser.BldNew.Thermal.HW.TotalSolar.Solar</t>
  </si>
  <si>
    <t>TES_per_building.kWh.MT.Ser.BldNew.Thermal.CA</t>
  </si>
  <si>
    <t>TES_per_building.kWh.MT.Ser.BldNew.Thermal.CA.LPG</t>
  </si>
  <si>
    <t>TES_per_building.kWh.MT.Ser.BldNew.Thermal.CA.Gas.NG_Biogas</t>
  </si>
  <si>
    <t>TES_per_building.kWh.MT.Ser.BldNew.Thermal.CA.Biomass.Biomass_Waste</t>
  </si>
  <si>
    <t>TES_per_building.kWh.MT.Ser.BldNew.Thermal.CA.Elc.Elec</t>
  </si>
  <si>
    <t>MT - CO2 emissions in new and renovated buildings (per building)</t>
  </si>
  <si>
    <t>EMI_per_building.kgCO2.MT.Ser.BldNew.Thermal</t>
  </si>
  <si>
    <t>EMI_per_building.kgCO2.MT.Ser.BldNew.Thermal.SH</t>
  </si>
  <si>
    <t>EMI_per_building.kgCO2.MT.Ser.BldNew.Thermal.SH.Solids.Solids</t>
  </si>
  <si>
    <t>EMI_per_building.kgCO2.MT.Ser.BldNew.Thermal.SH.LPG.LPG</t>
  </si>
  <si>
    <t>EMI_per_building.kgCO2.MT.Ser.BldNew.Thermal.SH.Oil.Oil_LiqBio</t>
  </si>
  <si>
    <t>EMI_per_building.kgCO2.MT.Ser.BldNew.Thermal.SH.GasHP.NG_Biogas</t>
  </si>
  <si>
    <t>EMI_per_building.kgCO2.MT.Ser.BldNew.Thermal.SH.GasTH.NG_Biogas</t>
  </si>
  <si>
    <t>EMI_per_building.kgCO2.MT.Ser.BldNew.Thermal.SH.Biomass.Biomass_Waste</t>
  </si>
  <si>
    <t>EMI_per_building.kgCO2.MT.Ser.BldNew.Thermal.SH.Geo.Geo</t>
  </si>
  <si>
    <t>EMI_per_building.kgCO2.MT.Ser.BldNew.Thermal.SH.DistrHeat.Steam_Distr</t>
  </si>
  <si>
    <t>EMI_per_building.kgCO2.MT.Ser.BldNew.Thermal.SH.AdvElc.Elec</t>
  </si>
  <si>
    <t>EMI_per_building.kgCO2.MT.Ser.BldNew.Thermal.SH.ConvElc.Elec</t>
  </si>
  <si>
    <t>EMI_per_building.kgCO2.MT.Ser.BldNew.Thermal.SH.TotalCirculation.Elec</t>
  </si>
  <si>
    <t>EMI_per_building.kgCO2.MT.Ser.BldNew.Thermal.SC</t>
  </si>
  <si>
    <t>EMI_per_building.kgCO2.MT.Ser.BldNew.Thermal.SC.GasHP.NG_Biogas</t>
  </si>
  <si>
    <t>EMI_per_building.kgCO2.MT.Ser.BldNew.Thermal.SC.AC.Elec</t>
  </si>
  <si>
    <t>EMI_per_building.kgCO2.MT.Ser.BldNew.Thermal.HW</t>
  </si>
  <si>
    <t>EMI_per_building.kgCO2.MT.Ser.BldNew.Thermal.HW.Solids.Solids</t>
  </si>
  <si>
    <t>EMI_per_building.kgCO2.MT.Ser.BldNew.Thermal.HW.LPG.LPG</t>
  </si>
  <si>
    <t>EMI_per_building.kgCO2.MT.Ser.BldNew.Thermal.HW.Oil.Oil_LiqBio</t>
  </si>
  <si>
    <t>EMI_per_building.kgCO2.MT.Ser.BldNew.Thermal.HW.Gas.NG_Biogas</t>
  </si>
  <si>
    <t>EMI_per_building.kgCO2.MT.Ser.BldNew.Thermal.HW.Biomass.Biomass_Waste</t>
  </si>
  <si>
    <t>EMI_per_building.kgCO2.MT.Ser.BldNew.Thermal.HW.DistrHeat.Steam_Distr</t>
  </si>
  <si>
    <t>EMI_per_building.kgCO2.MT.Ser.BldNew.Thermal.HW.Elc.Elec</t>
  </si>
  <si>
    <t>EMI_per_building.kgCO2.MT.Ser.BldNew.Thermal.HW.TotalSolar.Solar</t>
  </si>
  <si>
    <t>EMI_per_building.kgCO2.MT.Ser.BldNew.Thermal.CA</t>
  </si>
  <si>
    <t>EMI_per_building.kgCO2.MT.Ser.BldNew.Thermal.CA.LPG</t>
  </si>
  <si>
    <t>EMI_per_building.kgCO2.MT.Ser.BldNew.Thermal.CA.Gas.NG_Biogas</t>
  </si>
  <si>
    <t>EMI_per_building.kgCO2.MT.Ser.BldNew.Thermal.CA.Biomass.Biomass_Waste</t>
  </si>
  <si>
    <t>EMI_per_building.kgCO2.MT.Ser.BldNew.Thermal.CA.Elc.Elec</t>
  </si>
  <si>
    <t>MT - Final energy consumption in new and renovated buildings per surface area</t>
  </si>
  <si>
    <t>FEC_per_sqm.kWh.MT.Ser.BldNew.Thermal</t>
  </si>
  <si>
    <t>FEC_per_sqm.kWh.MT.Ser.BldNew.Thermal.SH</t>
  </si>
  <si>
    <t>FEC_per_sqm.kWh.MT.Ser.BldNew.Thermal.SH.Solids.Solids</t>
  </si>
  <si>
    <t>FEC_per_sqm.kWh.MT.Ser.BldNew.Thermal.SH.LPG.LPG</t>
  </si>
  <si>
    <t>FEC_per_sqm.kWh.MT.Ser.BldNew.Thermal.SH.Oil.Oil_LiqBio</t>
  </si>
  <si>
    <t>FEC_per_sqm.kWh.MT.Ser.BldNew.Thermal.SH.GasHP.NG_Biogas</t>
  </si>
  <si>
    <t>FEC_per_sqm.kWh.MT.Ser.BldNew.Thermal.SH.GasTH.NG_Biogas</t>
  </si>
  <si>
    <t>FEC_per_sqm.kWh.MT.Ser.BldNew.Thermal.SH.Biomass.Biomass_Waste</t>
  </si>
  <si>
    <t>FEC_per_sqm.kWh.MT.Ser.BldNew.Thermal.SH.Geo.Geo</t>
  </si>
  <si>
    <t>FEC_per_sqm.kWh.MT.Ser.BldNew.Thermal.SH.DistrHeat.Steam_Distr</t>
  </si>
  <si>
    <t>FEC_per_sqm.kWh.MT.Ser.BldNew.Thermal.SH.AdvElc.Elec</t>
  </si>
  <si>
    <t>FEC_per_sqm.kWh.MT.Ser.BldNew.Thermal.SH.ConvElc.Elec</t>
  </si>
  <si>
    <t>FEC_per_sqm.kWh.MT.Ser.BldNew.Thermal.SH.TotalCirculation.Elec</t>
  </si>
  <si>
    <t>FEC_per_sqm.kWh.MT.Ser.BldNew.Thermal.SC</t>
  </si>
  <si>
    <t>FEC_per_sqm.kWh.MT.Ser.BldNew.Thermal.SC.GasHP.NG_Biogas</t>
  </si>
  <si>
    <t>FEC_per_sqm.kWh.MT.Ser.BldNew.Thermal.SC.AC.Elec</t>
  </si>
  <si>
    <t>FEC_per_sqm.kWh.MT.Ser.BldNew.Thermal.HW</t>
  </si>
  <si>
    <t>FEC_per_sqm.kWh.MT.Ser.BldNew.Thermal.HW.Solids.Solids</t>
  </si>
  <si>
    <t>FEC_per_sqm.kWh.MT.Ser.BldNew.Thermal.HW.LPG.LPG</t>
  </si>
  <si>
    <t>FEC_per_sqm.kWh.MT.Ser.BldNew.Thermal.HW.Oil.Oil_LiqBio</t>
  </si>
  <si>
    <t>FEC_per_sqm.kWh.MT.Ser.BldNew.Thermal.HW.Gas.NG_Biogas</t>
  </si>
  <si>
    <t>FEC_per_sqm.kWh.MT.Ser.BldNew.Thermal.HW.Biomass.Biomass_Waste</t>
  </si>
  <si>
    <t>FEC_per_sqm.kWh.MT.Ser.BldNew.Thermal.HW.DistrHeat.Steam_Distr</t>
  </si>
  <si>
    <t>FEC_per_sqm.kWh.MT.Ser.BldNew.Thermal.HW.Elc.Elec</t>
  </si>
  <si>
    <t>FEC_per_sqm.kWh.MT.Ser.BldNew.Thermal.HW.TotalSolar.Solar</t>
  </si>
  <si>
    <t>FEC_per_sqm.kWh.MT.Ser.BldNew.Thermal.CA</t>
  </si>
  <si>
    <t>FEC_per_sqm.kWh.MT.Ser.BldNew.Thermal.CA.LPG</t>
  </si>
  <si>
    <t>FEC_per_sqm.kWh.MT.Ser.BldNew.Thermal.CA.Gas.NG_Biogas</t>
  </si>
  <si>
    <t>FEC_per_sqm.kWh.MT.Ser.BldNew.Thermal.CA.Biomass.Biomass_Waste</t>
  </si>
  <si>
    <t>FEC_per_sqm.kWh.MT.Ser.BldNew.Thermal.CA.Elc.Elec</t>
  </si>
  <si>
    <t>MT - Thermal energy service in new and renovated buildings per surface area</t>
  </si>
  <si>
    <t>TES_per_sqm.kWh.MT.Ser.BldNew.Thermal</t>
  </si>
  <si>
    <t>TES_per_sqm.kWh.MT.Ser.BldNew.Thermal.SH</t>
  </si>
  <si>
    <t>TES_per_sqm.kWh.MT.Ser.BldNew.Thermal.SH.Solids.Solids</t>
  </si>
  <si>
    <t>TES_per_sqm.kWh.MT.Ser.BldNew.Thermal.SH.LPG.LPG</t>
  </si>
  <si>
    <t>TES_per_sqm.kWh.MT.Ser.BldNew.Thermal.SH.Oil.Oil_LiqBio</t>
  </si>
  <si>
    <t>TES_per_sqm.kWh.MT.Ser.BldNew.Thermal.SH.GasHP.NG_Biogas</t>
  </si>
  <si>
    <t>TES_per_sqm.kWh.MT.Ser.BldNew.Thermal.SH.GasTH.NG_Biogas</t>
  </si>
  <si>
    <t>TES_per_sqm.kWh.MT.Ser.BldNew.Thermal.SH.Biomass.Biomass_Waste</t>
  </si>
  <si>
    <t>TES_per_sqm.kWh.MT.Ser.BldNew.Thermal.SH.Geo.Geo</t>
  </si>
  <si>
    <t>TES_per_sqm.kWh.MT.Ser.BldNew.Thermal.SH.DistrHeat.Steam_Distr</t>
  </si>
  <si>
    <t>TES_per_sqm.kWh.MT.Ser.BldNew.Thermal.SH.AdvElc.Elec</t>
  </si>
  <si>
    <t>TES_per_sqm.kWh.MT.Ser.BldNew.Thermal.SH.ConvElc.Elec</t>
  </si>
  <si>
    <t>TES_per_sqm.kWh.MT.Ser.BldNew.Thermal.SH.TotalCirculation.Elec</t>
  </si>
  <si>
    <t>TES_per_sqm.kWh.MT.Ser.BldNew.Thermal.SC</t>
  </si>
  <si>
    <t>TES_per_sqm.kWh.MT.Ser.BldNew.Thermal.SC.GasHP.NG_Biogas</t>
  </si>
  <si>
    <t>TES_per_sqm.kWh.MT.Ser.BldNew.Thermal.SC.AC.Elec</t>
  </si>
  <si>
    <t>TES_per_sqm.kWh.MT.Ser.BldNew.Thermal.HW</t>
  </si>
  <si>
    <t>TES_per_sqm.kWh.MT.Ser.BldNew.Thermal.HW.Solids.Solids</t>
  </si>
  <si>
    <t>TES_per_sqm.kWh.MT.Ser.BldNew.Thermal.HW.LPG.LPG</t>
  </si>
  <si>
    <t>TES_per_sqm.kWh.MT.Ser.BldNew.Thermal.HW.Oil.Oil_LiqBio</t>
  </si>
  <si>
    <t>TES_per_sqm.kWh.MT.Ser.BldNew.Thermal.HW.Gas.NG_Biogas</t>
  </si>
  <si>
    <t>TES_per_sqm.kWh.MT.Ser.BldNew.Thermal.HW.Biomass.Biomass_Waste</t>
  </si>
  <si>
    <t>TES_per_sqm.kWh.MT.Ser.BldNew.Thermal.HW.DistrHeat.Steam_Distr</t>
  </si>
  <si>
    <t>TES_per_sqm.kWh.MT.Ser.BldNew.Thermal.HW.Elc.Elec</t>
  </si>
  <si>
    <t>TES_per_sqm.kWh.MT.Ser.BldNew.Thermal.HW.TotalSolar.Solar</t>
  </si>
  <si>
    <t>TES_per_sqm.kWh.MT.Ser.BldNew.Thermal.CA</t>
  </si>
  <si>
    <t>TES_per_sqm.kWh.MT.Ser.BldNew.Thermal.CA.LPG</t>
  </si>
  <si>
    <t>TES_per_sqm.kWh.MT.Ser.BldNew.Thermal.CA.Gas.NG_Biogas</t>
  </si>
  <si>
    <t>TES_per_sqm.kWh.MT.Ser.BldNew.Thermal.CA.Biomass.Biomass_Waste</t>
  </si>
  <si>
    <t>TES_per_sqm.kWh.MT.Ser.BldNew.Thermal.CA.Elc.Elec</t>
  </si>
  <si>
    <t>MT - CO2 emissions in new and renovated buildings per surface area</t>
  </si>
  <si>
    <t>EMI_per_sqm.kgCO2.MT.Ser.BldNew.Thermal</t>
  </si>
  <si>
    <t>EMI_per_sqm.kgCO2.MT.Ser.BldNew.Thermal.SH</t>
  </si>
  <si>
    <t>EMI_per_sqm.kgCO2.MT.Ser.BldNew.Thermal.SH.Solids.Solids</t>
  </si>
  <si>
    <t>EMI_per_sqm.kgCO2.MT.Ser.BldNew.Thermal.SH.LPG.LPG</t>
  </si>
  <si>
    <t>EMI_per_sqm.kgCO2.MT.Ser.BldNew.Thermal.SH.Oil.Oil_LiqBio</t>
  </si>
  <si>
    <t>EMI_per_sqm.kgCO2.MT.Ser.BldNew.Thermal.SH.GasHP.NG_Biogas</t>
  </si>
  <si>
    <t>EMI_per_sqm.kgCO2.MT.Ser.BldNew.Thermal.SH.GasTH.NG_Biogas</t>
  </si>
  <si>
    <t>EMI_per_sqm.kgCO2.MT.Ser.BldNew.Thermal.SH.Biomass.Biomass_Waste</t>
  </si>
  <si>
    <t>EMI_per_sqm.kgCO2.MT.Ser.BldNew.Thermal.SH.Geo.Geo</t>
  </si>
  <si>
    <t>EMI_per_sqm.kgCO2.MT.Ser.BldNew.Thermal.SH.DistrHeat.Steam_Distr</t>
  </si>
  <si>
    <t>EMI_per_sqm.kgCO2.MT.Ser.BldNew.Thermal.SH.AdvElc.Elec</t>
  </si>
  <si>
    <t>EMI_per_sqm.kgCO2.MT.Ser.BldNew.Thermal.SH.ConvElc.Elec</t>
  </si>
  <si>
    <t>EMI_per_sqm.kgCO2.MT.Ser.BldNew.Thermal.SH.TotalCirculation.Elec</t>
  </si>
  <si>
    <t>EMI_per_sqm.kgCO2.MT.Ser.BldNew.Thermal.SC</t>
  </si>
  <si>
    <t>EMI_per_sqm.kgCO2.MT.Ser.BldNew.Thermal.SC.GasHP.NG_Biogas</t>
  </si>
  <si>
    <t>EMI_per_sqm.kgCO2.MT.Ser.BldNew.Thermal.SC.AC.Elec</t>
  </si>
  <si>
    <t>EMI_per_sqm.kgCO2.MT.Ser.BldNew.Thermal.HW</t>
  </si>
  <si>
    <t>EMI_per_sqm.kgCO2.MT.Ser.BldNew.Thermal.HW.Solids.Solids</t>
  </si>
  <si>
    <t>EMI_per_sqm.kgCO2.MT.Ser.BldNew.Thermal.HW.LPG.LPG</t>
  </si>
  <si>
    <t>EMI_per_sqm.kgCO2.MT.Ser.BldNew.Thermal.HW.Oil.Oil_LiqBio</t>
  </si>
  <si>
    <t>EMI_per_sqm.kgCO2.MT.Ser.BldNew.Thermal.HW.Gas.NG_Biogas</t>
  </si>
  <si>
    <t>EMI_per_sqm.kgCO2.MT.Ser.BldNew.Thermal.HW.Biomass.Biomass_Waste</t>
  </si>
  <si>
    <t>EMI_per_sqm.kgCO2.MT.Ser.BldNew.Thermal.HW.DistrHeat.Steam_Distr</t>
  </si>
  <si>
    <t>EMI_per_sqm.kgCO2.MT.Ser.BldNew.Thermal.HW.Elc.Elec</t>
  </si>
  <si>
    <t>EMI_per_sqm.kgCO2.MT.Ser.BldNew.Thermal.HW.TotalSolar.Solar</t>
  </si>
  <si>
    <t>EMI_per_sqm.kgCO2.MT.Ser.BldNew.Thermal.CA</t>
  </si>
  <si>
    <t>EMI_per_sqm.kgCO2.MT.Ser.BldNew.Thermal.CA.LPG</t>
  </si>
  <si>
    <t>EMI_per_sqm.kgCO2.MT.Ser.BldNew.Thermal.CA.Gas.NG_Biogas</t>
  </si>
  <si>
    <t>EMI_per_sqm.kgCO2.MT.Ser.BldNew.Thermal.CA.Biomass.Biomass_Waste</t>
  </si>
  <si>
    <t>EMI_per_sqm.kgCO2.MT.Ser.BldNew.Thermal.CA.Elc.Elec</t>
  </si>
  <si>
    <t>FEC.ktoe.MT.Ser.SEU.VE</t>
  </si>
  <si>
    <t>FEC.ktoe.MT.Ser.SEU.SL</t>
  </si>
  <si>
    <t>FEC.ktoe.MT.Ser.SEU.BL</t>
  </si>
  <si>
    <t>FEC.ktoe.MT.Ser.SEU.CR</t>
  </si>
  <si>
    <t>FEC.ktoe.MT.Ser.SEU.BT</t>
  </si>
  <si>
    <t>FEC.ktoe.MT.Ser.SEU.IT</t>
  </si>
  <si>
    <t>Size.MW.MT.Ser.SEU</t>
  </si>
  <si>
    <t>Size.MW.MT.Ser.SEU.VE</t>
  </si>
  <si>
    <t>Size.MW.MT.Ser.SEU.SL</t>
  </si>
  <si>
    <t>Size.MW.MT.Ser.SEU.BL</t>
  </si>
  <si>
    <t>Size.MW.MT.Ser.SEU.CR</t>
  </si>
  <si>
    <t>Size.MW.MT.Ser.SEU.BT</t>
  </si>
  <si>
    <t>Size.MW.MT.Ser.SEU.IT</t>
  </si>
  <si>
    <t>NUM.Msqm.MT.Ser.SEU.VE</t>
  </si>
  <si>
    <t>NUM.k.MT.Ser.SEU.SL</t>
  </si>
  <si>
    <t>NUM.M.MT.Ser.SEU.BL</t>
  </si>
  <si>
    <t>NUM.k.MT.Ser.SEU.CR</t>
  </si>
  <si>
    <t>NUM.Msqm.MT.Ser.SEU.BT</t>
  </si>
  <si>
    <t>NUM.k.MT.Ser.SEU.IT</t>
  </si>
  <si>
    <t>NUM.Msqm.MT.Ser.SEUnew.VE</t>
  </si>
  <si>
    <t>NUM.k.MT.Ser.SEUnew.SL</t>
  </si>
  <si>
    <t>NUM.M.MT.Ser.SEUnew.BL</t>
  </si>
  <si>
    <t>NUM.k.MT.Ser.SEUnew.CR</t>
  </si>
  <si>
    <t>NUM.Msqm.MT.Ser.SEUnew.BT</t>
  </si>
  <si>
    <t>NUM.k.MT.Ser.SEUnew.IT</t>
  </si>
  <si>
    <t>NUM.Msqm.MT.Ser.SEUrepl.VE</t>
  </si>
  <si>
    <t>NUM.k.MT.Ser.SEUrepl.SL</t>
  </si>
  <si>
    <t>NUM.M.MT.Ser.SEUrepl.BL</t>
  </si>
  <si>
    <t>NUM.k.MT.Ser.SEUrepl.CR</t>
  </si>
  <si>
    <t>NUM.Msqm.MT.Ser.SEUrepl.BT</t>
  </si>
  <si>
    <t>NUM.k.MT.Ser.SEUrepl.IT</t>
  </si>
  <si>
    <t>Op.hours.MT.Ser.SEU.VE</t>
  </si>
  <si>
    <t>Op.hours.MT.Ser.SEU.SL</t>
  </si>
  <si>
    <t>Op.hours.MT.Ser.SEU.BL</t>
  </si>
  <si>
    <t>Op.hours.MT.Ser.SEU.CR</t>
  </si>
  <si>
    <t>Op.hours.MT.Ser.SEU.BT</t>
  </si>
  <si>
    <t>Op.hours.MT.Ser.SEU.IT</t>
  </si>
  <si>
    <t>Size_per_appl.W.MT.Ser.SEU.VE</t>
  </si>
  <si>
    <t>Size_per_appl.W.MT.Ser.SEU.SL</t>
  </si>
  <si>
    <t>Size_per_appl.W.MT.Ser.SEU.BL</t>
  </si>
  <si>
    <t>Size_per_appl.W.MT.Ser.SEU.CR</t>
  </si>
  <si>
    <t>Size_per_appl.W.MT.Ser.SEU.BT</t>
  </si>
  <si>
    <t>Size_per_appl.W.MT.Ser.SEU.IT</t>
  </si>
  <si>
    <t>Size_per_appl.W.MT.Ser.SEUnew.VE</t>
  </si>
  <si>
    <t>Size_per_appl.W.MT.Ser.SEUnew.SL</t>
  </si>
  <si>
    <t>Size_per_appl.W.MT.Ser.SEUnew.BL</t>
  </si>
  <si>
    <t>Size_per_appl.W.MT.Ser.SEUnew.CR</t>
  </si>
  <si>
    <t>Size_per_appl.W.MT.Ser.SEUnew.BT</t>
  </si>
  <si>
    <t>Size_per_appl.W.MT.Ser.SEUnew.IT</t>
  </si>
  <si>
    <t>NUM.sqm_per_building.MT.Ser.SEU.VE</t>
  </si>
  <si>
    <t>NUM.number_per_capita.MT.Ser.SEU.SL</t>
  </si>
  <si>
    <t>NUM.number_per_building.MT.Ser.SEU.BL</t>
  </si>
  <si>
    <t>NUM.number_per_capita.MT.Ser.SEU.CR</t>
  </si>
  <si>
    <t>NUM.sqm_per_building.MT.Ser.SEU.BT</t>
  </si>
  <si>
    <t>NUM.number_per_capita.MT.Ser.SEU.IT</t>
  </si>
  <si>
    <t>Lumens_per_sqm.lumen.MT.Ser.SEU.BL</t>
  </si>
  <si>
    <t>FEC.ktoe.MT.Ser.SEU.IT.DataCenters</t>
  </si>
  <si>
    <t>MT - Services / specific electric uses</t>
  </si>
  <si>
    <t>MT - Ventilation and others</t>
  </si>
  <si>
    <t>MT - Street lighting</t>
  </si>
  <si>
    <t>MT - Building lighting</t>
  </si>
  <si>
    <t>MT - Commercial refrigeration</t>
  </si>
  <si>
    <t>MT - Miscellaneous building technologies</t>
  </si>
  <si>
    <t>MT - ICT and multimedia</t>
  </si>
  <si>
    <t>MT - Agriculture, forestry and fishing</t>
  </si>
  <si>
    <t>VA.Meuro2015.Meuro2023.MT.AGR.AGR</t>
  </si>
  <si>
    <t>OUTPUT.index.index.MT.AGR.AGR</t>
  </si>
  <si>
    <t>CAP.index.index.MT.AGR.AGR</t>
  </si>
  <si>
    <t>NEWCAP.index.index.MT.AGR.AGR</t>
  </si>
  <si>
    <t>CAPOUT.index.MT.AGR.AGR</t>
  </si>
  <si>
    <t>CAPIDLE.index.MT.AGR.AGR</t>
  </si>
  <si>
    <t>FEC.ktoe.MT.ES.AGR</t>
  </si>
  <si>
    <t>FEC.ktoe.MT.ES.AGR.Solids</t>
  </si>
  <si>
    <t>FEC.ktoe.MT.ES.AGR.LPG</t>
  </si>
  <si>
    <t>FEC.ktoe.MT.ES.AGR.Diesel</t>
  </si>
  <si>
    <t>FEC.ktoe.MT.ES.AGR.RFO</t>
  </si>
  <si>
    <t>FEC.ktoe.MT.ES.AGR.NG</t>
  </si>
  <si>
    <t>FEC.ktoe.MT.ES.AGR.Biomass_Waste</t>
  </si>
  <si>
    <t>FEC.ktoe.MT.ES.AGR.Biogas</t>
  </si>
  <si>
    <t>FEC.ktoe.MT.ES.AGR.LiqBio</t>
  </si>
  <si>
    <t>FEC.ktoe.MT.ES.AGR.Solar</t>
  </si>
  <si>
    <t>FEC.ktoe.MT.ES.AGR.Geo</t>
  </si>
  <si>
    <t>FEC.ktoe.MT.ES.AGR.Ambient</t>
  </si>
  <si>
    <t>FEC.ktoe.MT.ES.AGR.Steam_Distr</t>
  </si>
  <si>
    <t>FEC.ktoe.MT.ES.AGR.Elec</t>
  </si>
  <si>
    <t>MT - Agriculture, forestry and fishing / final energy consumption</t>
  </si>
  <si>
    <t>FEC.ktoe.ktoe.MT.AGR.AGR.LIGHT.GENERIC.ELEC</t>
  </si>
  <si>
    <t>FEC.ktoe.ktoe.MT.AGR.AGR.FANS.GENERIC.ELEC</t>
  </si>
  <si>
    <t>FEC.ktoe.ktoe.MT.AGR.AGR.MOTOR.GENERIC.ELEC</t>
  </si>
  <si>
    <t>FEC.ktoe.ktoe.MT.AGR.AGR.LOW_ENTH.THERM.DIESEL_LIQBIO</t>
  </si>
  <si>
    <t>FEC.ktoe.ktoe.MT.AGR.AGR.LOW_ENTH.THERM.NG_BIOGAS</t>
  </si>
  <si>
    <t>FEC.ktoe.ktoe.MT.AGR.AGR.LOW_ENTH.THERM.SOLAR_GEO</t>
  </si>
  <si>
    <t>FEC.ktoe.ktoe.MT.AGR.AGR.LOW_ENTH.HP.AMBIENT</t>
  </si>
  <si>
    <t>FEC.ktoe.ktoe.MT.AGR.AGR.LOW_ENTH.THERM.STEAM_DISTR</t>
  </si>
  <si>
    <t>FEC.ktoe.ktoe.MT.AGR.AGR.LOW_ENTH.THERM.ELEC</t>
  </si>
  <si>
    <t>FEC.ktoe.ktoe.MT.AGR.AGR.FARM_DRIVES.MECH.DIESEL_LIQBIO</t>
  </si>
  <si>
    <t>FEC.ktoe.ktoe.MT.AGR.AGR.HEAT_USE.THERM.SOLIDS</t>
  </si>
  <si>
    <t>FEC.ktoe.ktoe.MT.AGR.AGR.HEAT_USE.THERM.LPG</t>
  </si>
  <si>
    <t>FEC.ktoe.ktoe.MT.AGR.AGR.HEAT_USE.THERM.DIESEL_LIQBIO</t>
  </si>
  <si>
    <t>FEC.ktoe.ktoe.MT.AGR.AGR.HEAT_USE.THERM.RFO</t>
  </si>
  <si>
    <t>FEC.ktoe.ktoe.MT.AGR.AGR.HEAT_USE.THERM.NG_BIOGAS</t>
  </si>
  <si>
    <t>FEC.ktoe.ktoe.MT.AGR.AGR.HEAT_USE.THERM.BIOMASS_WASTE</t>
  </si>
  <si>
    <t>FEC.ktoe.ktoe.MT.AGR.AGR.HEAT_USE.THERM.SOLAR_GEO</t>
  </si>
  <si>
    <t>FEC.ktoe.ktoe.MT.AGR.AGR.FARM_PUMP.MECH.DIESEL_LIQBIO</t>
  </si>
  <si>
    <t>FEC.ktoe.ktoe.MT.AGR.AGR.FARM_PUMP_ELEC.MECH.ELEC</t>
  </si>
  <si>
    <t>FEC.ktoe.ktoe.MT.AGR.AGR.GENERIC.MECH.ELEC</t>
  </si>
  <si>
    <t>MT - Agriculture, forestry and fishing / useful energy demand</t>
  </si>
  <si>
    <t>UED.ktoe.ktoe.MT.AGR.AGR.LIGHT.GENERIC.ELEC</t>
  </si>
  <si>
    <t>UED.ktoe.ktoe.MT.AGR.AGR.FANS.GENERIC.ELEC</t>
  </si>
  <si>
    <t>UED.ktoe.ktoe.MT.AGR.AGR.MOTOR.GENERIC.ELEC</t>
  </si>
  <si>
    <t>UED.ktoe.ktoe.MT.AGR.AGR.LOW_ENTH.THERM.DIESEL_LIQBIO</t>
  </si>
  <si>
    <t>UED.ktoe.ktoe.MT.AGR.AGR.LOW_ENTH.THERM.NG_BIOGAS</t>
  </si>
  <si>
    <t>UED.ktoe.ktoe.MT.AGR.AGR.LOW_ENTH.THERM.SOLAR_GEO</t>
  </si>
  <si>
    <t>UED.ktoe.ktoe.MT.AGR.AGR.LOW_ENTH.HP.AMBIENT</t>
  </si>
  <si>
    <t>UED.ktoe.ktoe.MT.AGR.AGR.LOW_ENTH.THERM.STEAM_DISTR</t>
  </si>
  <si>
    <t>UED.ktoe.ktoe.MT.AGR.AGR.LOW_ENTH.THERM.ELEC</t>
  </si>
  <si>
    <t>UED.ktoe.ktoe.MT.AGR.AGR.FARM_DRIVES.MECH.DIESEL_LIQBIO</t>
  </si>
  <si>
    <t>UED.ktoe.ktoe.MT.AGR.AGR.HEAT_USE.THERM.SOLIDS</t>
  </si>
  <si>
    <t>UED.ktoe.ktoe.MT.AGR.AGR.HEAT_USE.THERM.LPG</t>
  </si>
  <si>
    <t>UED.ktoe.ktoe.MT.AGR.AGR.HEAT_USE.THERM.DIESEL_LIQBIO</t>
  </si>
  <si>
    <t>UED.ktoe.ktoe.MT.AGR.AGR.HEAT_USE.THERM.RFO</t>
  </si>
  <si>
    <t>UED.ktoe.ktoe.MT.AGR.AGR.HEAT_USE.THERM.NG_BIOGAS</t>
  </si>
  <si>
    <t>UED.ktoe.ktoe.MT.AGR.AGR.HEAT_USE.THERM.BIOMASS_WASTE</t>
  </si>
  <si>
    <t>UED.ktoe.ktoe.MT.AGR.AGR.HEAT_USE.THERM.SOLAR_GEO</t>
  </si>
  <si>
    <t>UED.ktoe.ktoe.MT.AGR.AGR.FARM_PUMP.MECH.DIESEL_LIQBIO</t>
  </si>
  <si>
    <t>UED.ktoe.ktoe.MT.AGR.AGR.FARM_PUMP_ELEC.MECH.ELEC</t>
  </si>
  <si>
    <t>UED.ktoe.ktoe.MT.AGR.AGR.GENERIC.MECH.ELEC</t>
  </si>
  <si>
    <t>MT - Agriculture, forestry and fishing / CO2 emissions</t>
  </si>
  <si>
    <t>FUEL_EMI.ktCO2.ktCO2.MT.AGR.AGR.LIGHT.GENERIC.ELEC</t>
  </si>
  <si>
    <t>FUEL_EMI.ktCO2.ktCO2.MT.AGR.AGR.FANS.GENERIC.ELEC</t>
  </si>
  <si>
    <t>FUEL_EMI.ktCO2.ktCO2.MT.AGR.AGR.MOTOR.GENERIC.ELEC</t>
  </si>
  <si>
    <t>FUEL_EMI.ktCO2.ktCO2.MT.AGR.AGR.LOW_ENTH.THERM.DIESEL_LIQBIO</t>
  </si>
  <si>
    <t>FUEL_EMI.ktCO2.ktCO2.MT.AGR.AGR.LOW_ENTH.THERM.NG_BIOGAS</t>
  </si>
  <si>
    <t>FUEL_EMI.ktCO2.ktCO2.MT.AGR.AGR.LOW_ENTH.THERM.SOLAR_GEO</t>
  </si>
  <si>
    <t>FUEL_EMI.ktCO2.ktCO2.MT.AGR.AGR.LOW_ENTH.HP.AMBIENT</t>
  </si>
  <si>
    <t>FUEL_EMI.ktCO2.ktCO2.MT.AGR.AGR.LOW_ENTH.THERM.STEAM_DISTR</t>
  </si>
  <si>
    <t>FUEL_EMI.ktCO2.ktCO2.MT.AGR.AGR.LOW_ENTH.THERM.ELEC</t>
  </si>
  <si>
    <t>FUEL_EMI.ktCO2.ktCO2.MT.AGR.AGR.FARM_DRIVES.MECH.DIESEL_LIQBIO</t>
  </si>
  <si>
    <t>FUEL_EMI.ktCO2.ktCO2.MT.AGR.AGR.HEAT_USE.THERM.SOLIDS</t>
  </si>
  <si>
    <t>FUEL_EMI.ktCO2.ktCO2.MT.AGR.AGR.HEAT_USE.THERM.LPG</t>
  </si>
  <si>
    <t>FUEL_EMI.ktCO2.ktCO2.MT.AGR.AGR.HEAT_USE.THERM.DIESEL_LIQBIO</t>
  </si>
  <si>
    <t>FUEL_EMI.ktCO2.ktCO2.MT.AGR.AGR.HEAT_USE.THERM.RFO</t>
  </si>
  <si>
    <t>FUEL_EMI.ktCO2.ktCO2.MT.AGR.AGR.HEAT_USE.THERM.NG_BIOGAS</t>
  </si>
  <si>
    <t>FUEL_EMI.ktCO2.ktCO2.MT.AGR.AGR.HEAT_USE.THERM.BIOMASS_WASTE</t>
  </si>
  <si>
    <t>FUEL_EMI.ktCO2.ktCO2.MT.AGR.AGR.HEAT_USE.THERM.SOLAR_GEO</t>
  </si>
  <si>
    <t>FUEL_EMI.ktCO2.ktCO2.MT.AGR.AGR.FARM_PUMP.MECH.DIESEL_LIQBIO</t>
  </si>
  <si>
    <t>FUEL_EMI.ktCO2.ktCO2.MT.AGR.AGR.FARM_PUMP_ELEC.MECH.ELEC</t>
  </si>
  <si>
    <t>FUEL_EMI.ktCO2.ktCO2.MT.AGR.AGR.GENERIC.MECH.ELEC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</si>
</sst>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45967.478067129632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388759</v>
      </c>
      <c r="C3" s="34">
        <v>391415</v>
      </c>
      <c r="D3" s="34">
        <v>394641</v>
      </c>
      <c r="E3" s="34">
        <v>397296</v>
      </c>
      <c r="F3" s="34">
        <v>399867</v>
      </c>
      <c r="G3" s="34">
        <v>402668</v>
      </c>
      <c r="H3" s="34">
        <v>404999</v>
      </c>
      <c r="I3" s="34">
        <v>405616</v>
      </c>
      <c r="J3" s="34">
        <v>407832</v>
      </c>
      <c r="K3" s="34">
        <v>410926</v>
      </c>
      <c r="L3" s="34">
        <v>414027</v>
      </c>
      <c r="M3" s="34">
        <v>414989</v>
      </c>
      <c r="N3" s="34">
        <v>417546</v>
      </c>
      <c r="O3" s="34">
        <v>421464</v>
      </c>
      <c r="P3" s="34">
        <v>428156</v>
      </c>
      <c r="Q3" s="34">
        <v>438805</v>
      </c>
      <c r="R3" s="34">
        <v>449635</v>
      </c>
      <c r="S3" s="34">
        <v>459375</v>
      </c>
      <c r="T3" s="34">
        <v>474837</v>
      </c>
      <c r="U3" s="34">
        <v>492968</v>
      </c>
      <c r="V3" s="34">
        <v>514855</v>
      </c>
      <c r="W3" s="34">
        <v>516125</v>
      </c>
      <c r="X3" s="34">
        <v>520174</v>
      </c>
      <c r="Y3" s="34">
        <v>542051</v>
      </c>
      <c r="DA3" s="88" t="s">
        <v>188</v>
      </c>
    </row>
    <row r="4" spans="1:105" ht="12" customHeight="1" x14ac:dyDescent="0.25">
      <c r="A4" s="35" t="s">
        <v>178</v>
      </c>
      <c r="B4" s="36">
        <v>7588.3904650200084</v>
      </c>
      <c r="C4" s="36">
        <v>7530.8398721075891</v>
      </c>
      <c r="D4" s="36">
        <v>7737.3094254281914</v>
      </c>
      <c r="E4" s="36">
        <v>8022.9940481895628</v>
      </c>
      <c r="F4" s="36">
        <v>8055.7339576865897</v>
      </c>
      <c r="G4" s="36">
        <v>8287.8148431778191</v>
      </c>
      <c r="H4" s="36">
        <v>8481.468955912982</v>
      </c>
      <c r="I4" s="36">
        <v>8908.5901217297396</v>
      </c>
      <c r="J4" s="36">
        <v>9301.4101981220538</v>
      </c>
      <c r="K4" s="36">
        <v>9171.6340032275675</v>
      </c>
      <c r="L4" s="36">
        <v>9740.1405637462576</v>
      </c>
      <c r="M4" s="36">
        <v>9836.7754105113163</v>
      </c>
      <c r="N4" s="36">
        <v>10240.300099163107</v>
      </c>
      <c r="O4" s="36">
        <v>10884.566437903621</v>
      </c>
      <c r="P4" s="36">
        <v>11715.225630151403</v>
      </c>
      <c r="Q4" s="36">
        <v>12842.269173999999</v>
      </c>
      <c r="R4" s="36">
        <v>13365.987919706242</v>
      </c>
      <c r="S4" s="36">
        <v>15099.782214829447</v>
      </c>
      <c r="T4" s="36">
        <v>16185.351402309243</v>
      </c>
      <c r="U4" s="36">
        <v>16846.557722591257</v>
      </c>
      <c r="V4" s="36">
        <v>16263.993099656605</v>
      </c>
      <c r="W4" s="36">
        <v>18445.30211727244</v>
      </c>
      <c r="X4" s="36">
        <v>18903.307826298038</v>
      </c>
      <c r="Y4" s="36">
        <v>20911.2</v>
      </c>
      <c r="DA4" s="89" t="s">
        <v>189</v>
      </c>
    </row>
    <row r="5" spans="1:105" ht="12" customHeight="1" x14ac:dyDescent="0.25">
      <c r="A5" s="35" t="s">
        <v>179</v>
      </c>
      <c r="B5" s="36">
        <v>4743.5810006264128</v>
      </c>
      <c r="C5" s="36">
        <v>4885.140229705853</v>
      </c>
      <c r="D5" s="36">
        <v>4982.1464475203329</v>
      </c>
      <c r="E5" s="36">
        <v>5231.1701116686418</v>
      </c>
      <c r="F5" s="36">
        <v>5325.2227625344931</v>
      </c>
      <c r="G5" s="36">
        <v>5468.7694957323401</v>
      </c>
      <c r="H5" s="36">
        <v>5701.5613372381622</v>
      </c>
      <c r="I5" s="36">
        <v>6144.1201721120187</v>
      </c>
      <c r="J5" s="36">
        <v>6468.2428879310346</v>
      </c>
      <c r="K5" s="36">
        <v>6636.9269262401012</v>
      </c>
      <c r="L5" s="36">
        <v>7047.4784253890739</v>
      </c>
      <c r="M5" s="36">
        <v>7084.1460340552176</v>
      </c>
      <c r="N5" s="36">
        <v>7566.57577710019</v>
      </c>
      <c r="O5" s="36">
        <v>8220.9486551943937</v>
      </c>
      <c r="P5" s="36">
        <v>9146.0125747934271</v>
      </c>
      <c r="Q5" s="36">
        <v>10125.125908000002</v>
      </c>
      <c r="R5" s="36">
        <v>10508.742879559073</v>
      </c>
      <c r="S5" s="36">
        <v>12069.709437716432</v>
      </c>
      <c r="T5" s="36">
        <v>12962.085484983976</v>
      </c>
      <c r="U5" s="36">
        <v>13442.890260628481</v>
      </c>
      <c r="V5" s="36">
        <v>13125.134383897714</v>
      </c>
      <c r="W5" s="36">
        <v>14952.290777144641</v>
      </c>
      <c r="X5" s="36">
        <v>15570.779188014734</v>
      </c>
      <c r="Y5" s="36">
        <v>17207.600000000002</v>
      </c>
      <c r="DA5" s="89" t="s">
        <v>190</v>
      </c>
    </row>
    <row r="6" spans="1:105" ht="12" customHeight="1" x14ac:dyDescent="0.25">
      <c r="A6" s="37" t="s">
        <v>70</v>
      </c>
      <c r="B6" s="38">
        <v>111200.85072046109</v>
      </c>
      <c r="C6" s="38">
        <v>112638.59365994236</v>
      </c>
      <c r="D6" s="38">
        <v>116074.48876080691</v>
      </c>
      <c r="E6" s="38">
        <v>119526.25821325649</v>
      </c>
      <c r="F6" s="38">
        <v>121858.53602305475</v>
      </c>
      <c r="G6" s="38">
        <v>123344.7204610951</v>
      </c>
      <c r="H6" s="38">
        <v>126589.24726224785</v>
      </c>
      <c r="I6" s="38">
        <v>130341.2069164265</v>
      </c>
      <c r="J6" s="38">
        <v>135640.00000000003</v>
      </c>
      <c r="K6" s="38">
        <v>137390</v>
      </c>
      <c r="L6" s="38">
        <v>138410.00000000003</v>
      </c>
      <c r="M6" s="38">
        <v>142300.08764894592</v>
      </c>
      <c r="N6" s="38">
        <v>146926.3703024748</v>
      </c>
      <c r="O6" s="38">
        <v>155333.93847387718</v>
      </c>
      <c r="P6" s="38">
        <v>163389.25183318058</v>
      </c>
      <c r="Q6" s="38">
        <v>171850</v>
      </c>
      <c r="R6" s="38">
        <v>183380</v>
      </c>
      <c r="S6" s="38">
        <v>193519.99999999997</v>
      </c>
      <c r="T6" s="38">
        <v>207572.67885983674</v>
      </c>
      <c r="U6" s="38">
        <v>220490</v>
      </c>
      <c r="V6" s="38">
        <v>227079.99999999997</v>
      </c>
      <c r="W6" s="38">
        <v>233650</v>
      </c>
      <c r="X6" s="38">
        <v>246650</v>
      </c>
      <c r="Y6" s="38">
        <v>264260.00000000006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2210.6560818885187</v>
      </c>
      <c r="C8" s="34">
        <v>2316.0767675022571</v>
      </c>
      <c r="D8" s="34">
        <v>2371.2598397942861</v>
      </c>
      <c r="E8" s="34">
        <v>2403.7493363877511</v>
      </c>
      <c r="F8" s="34">
        <v>2421.3376395772962</v>
      </c>
      <c r="G8" s="34">
        <v>2520.5529065411833</v>
      </c>
      <c r="H8" s="34">
        <v>2597.8158225967418</v>
      </c>
      <c r="I8" s="34">
        <v>2686.0449151457242</v>
      </c>
      <c r="J8" s="34">
        <v>2857.8379515995066</v>
      </c>
      <c r="K8" s="34">
        <v>2882.6565980032892</v>
      </c>
      <c r="L8" s="34">
        <v>2923.8745676865724</v>
      </c>
      <c r="M8" s="34">
        <v>2995.8589012000907</v>
      </c>
      <c r="N8" s="34">
        <v>3125.8315881562476</v>
      </c>
      <c r="O8" s="34">
        <v>3204.207407648702</v>
      </c>
      <c r="P8" s="34">
        <v>3313.149489429255</v>
      </c>
      <c r="Q8" s="34">
        <v>3418.5282662421687</v>
      </c>
      <c r="R8" s="34">
        <v>3527.8804115755675</v>
      </c>
      <c r="S8" s="34">
        <v>3643.562758390603</v>
      </c>
      <c r="T8" s="34">
        <v>3756.6038958266336</v>
      </c>
      <c r="U8" s="34">
        <v>3863.8237926747502</v>
      </c>
      <c r="V8" s="34">
        <v>3969.0411111111111</v>
      </c>
      <c r="W8" s="34">
        <v>4070.8990180187925</v>
      </c>
      <c r="X8" s="34">
        <v>4170.748495256702</v>
      </c>
      <c r="Y8" s="34">
        <v>4268.7454051200293</v>
      </c>
      <c r="DA8" s="88" t="s">
        <v>192</v>
      </c>
    </row>
    <row r="9" spans="1:105" ht="12" customHeight="1" x14ac:dyDescent="0.25">
      <c r="A9" s="39" t="s">
        <v>68</v>
      </c>
      <c r="B9" s="40">
        <v>1989.5904736996667</v>
      </c>
      <c r="C9" s="40">
        <v>2084.4690907520312</v>
      </c>
      <c r="D9" s="40">
        <v>2134.1338558148573</v>
      </c>
      <c r="E9" s="40">
        <v>2163.3744027489756</v>
      </c>
      <c r="F9" s="40">
        <v>2179.2038756195666</v>
      </c>
      <c r="G9" s="40">
        <v>2268.497615887065</v>
      </c>
      <c r="H9" s="40">
        <v>2338.0342403370673</v>
      </c>
      <c r="I9" s="40">
        <v>2417.440423631152</v>
      </c>
      <c r="J9" s="40">
        <v>2572.0541564395562</v>
      </c>
      <c r="K9" s="40">
        <v>2594.3909382029606</v>
      </c>
      <c r="L9" s="40">
        <v>2631.4871109179153</v>
      </c>
      <c r="M9" s="40">
        <v>2696.2730110800817</v>
      </c>
      <c r="N9" s="40">
        <v>2813.2484293406228</v>
      </c>
      <c r="O9" s="40">
        <v>2883.7866668838319</v>
      </c>
      <c r="P9" s="40">
        <v>2981.8345404863294</v>
      </c>
      <c r="Q9" s="40">
        <v>3076.6754396179517</v>
      </c>
      <c r="R9" s="40">
        <v>3175.0923704180109</v>
      </c>
      <c r="S9" s="40">
        <v>3279.2064825515426</v>
      </c>
      <c r="T9" s="40">
        <v>3380.9435062439702</v>
      </c>
      <c r="U9" s="40">
        <v>3477.4414134072754</v>
      </c>
      <c r="V9" s="40">
        <v>3572.1370000000002</v>
      </c>
      <c r="W9" s="40">
        <v>3663.8091162169135</v>
      </c>
      <c r="X9" s="40">
        <v>3753.6736457310321</v>
      </c>
      <c r="Y9" s="40">
        <v>3841.8708646080258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114.23356153047267</v>
      </c>
      <c r="D10" s="41">
        <v>64.322351020494267</v>
      </c>
      <c r="E10" s="41">
        <v>41.955178133661725</v>
      </c>
      <c r="F10" s="41">
        <v>27.053984729741202</v>
      </c>
      <c r="G10" s="41">
        <v>109.00735131581456</v>
      </c>
      <c r="H10" s="41">
        <v>87.381403219216566</v>
      </c>
      <c r="I10" s="41">
        <v>98.67398252437205</v>
      </c>
      <c r="J10" s="41">
        <v>182.56432924090257</v>
      </c>
      <c r="K10" s="41">
        <v>36.242744814363952</v>
      </c>
      <c r="L10" s="41">
        <v>52.642068093864118</v>
      </c>
      <c r="M10" s="41">
        <v>83.734834735830987</v>
      </c>
      <c r="N10" s="41">
        <v>142.04959099020132</v>
      </c>
      <c r="O10" s="41">
        <v>90.779126338228778</v>
      </c>
      <c r="P10" s="41">
        <v>121.67179143805814</v>
      </c>
      <c r="Q10" s="41">
        <v>118.76129209388023</v>
      </c>
      <c r="R10" s="41">
        <v>126.88305951925649</v>
      </c>
      <c r="S10" s="41">
        <v>133.77404123337172</v>
      </c>
      <c r="T10" s="41">
        <v>131.72607465854603</v>
      </c>
      <c r="U10" s="41">
        <v>126.4845322113313</v>
      </c>
      <c r="V10" s="41">
        <v>125.03179942443523</v>
      </c>
      <c r="W10" s="41">
        <v>122.21196388773834</v>
      </c>
      <c r="X10" s="41">
        <v>120.72588245851959</v>
      </c>
      <c r="Y10" s="41">
        <v>119.3853636851552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102.81020537742539</v>
      </c>
      <c r="D11" s="42">
        <v>57.890115918444849</v>
      </c>
      <c r="E11" s="42">
        <v>37.759660320295545</v>
      </c>
      <c r="F11" s="42">
        <v>24.348586256767081</v>
      </c>
      <c r="G11" s="42">
        <v>98.106616184233104</v>
      </c>
      <c r="H11" s="42">
        <v>78.643262897294917</v>
      </c>
      <c r="I11" s="42">
        <v>88.806584271934852</v>
      </c>
      <c r="J11" s="42">
        <v>164.30789631681233</v>
      </c>
      <c r="K11" s="42">
        <v>32.618470332927558</v>
      </c>
      <c r="L11" s="42">
        <v>47.377861284477703</v>
      </c>
      <c r="M11" s="42">
        <v>75.361351262247894</v>
      </c>
      <c r="N11" s="42">
        <v>127.84463189118118</v>
      </c>
      <c r="O11" s="42">
        <v>81.701213704405902</v>
      </c>
      <c r="P11" s="42">
        <v>109.50461229425233</v>
      </c>
      <c r="Q11" s="42">
        <v>106.8851628844922</v>
      </c>
      <c r="R11" s="42">
        <v>114.19475356733085</v>
      </c>
      <c r="S11" s="42">
        <v>120.39663711003455</v>
      </c>
      <c r="T11" s="42">
        <v>118.55346719269141</v>
      </c>
      <c r="U11" s="42">
        <v>113.83607899019816</v>
      </c>
      <c r="V11" s="42">
        <v>112.52861948199171</v>
      </c>
      <c r="W11" s="42">
        <v>109.9907674989645</v>
      </c>
      <c r="X11" s="42">
        <v>108.65329421266765</v>
      </c>
      <c r="Y11" s="42">
        <v>107.44682731663967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512.79</v>
      </c>
      <c r="C13" s="43">
        <v>419.81</v>
      </c>
      <c r="D13" s="43">
        <v>449.86</v>
      </c>
      <c r="E13" s="43">
        <v>646.01</v>
      </c>
      <c r="F13" s="43">
        <v>550.67999999999995</v>
      </c>
      <c r="G13" s="43">
        <v>713.46</v>
      </c>
      <c r="H13" s="43">
        <v>506.75</v>
      </c>
      <c r="I13" s="43">
        <v>367.07</v>
      </c>
      <c r="J13" s="43">
        <v>345.03</v>
      </c>
      <c r="K13" s="43">
        <v>534.04999999999995</v>
      </c>
      <c r="L13" s="43">
        <v>402.95</v>
      </c>
      <c r="M13" s="43">
        <v>549.19000000000005</v>
      </c>
      <c r="N13" s="43">
        <v>662.36</v>
      </c>
      <c r="O13" s="43">
        <v>460.65</v>
      </c>
      <c r="P13" s="43">
        <v>374.61</v>
      </c>
      <c r="Q13" s="43">
        <v>543.9</v>
      </c>
      <c r="R13" s="43">
        <v>322.36</v>
      </c>
      <c r="S13" s="43">
        <v>534.15</v>
      </c>
      <c r="T13" s="43">
        <v>365.57</v>
      </c>
      <c r="U13" s="43">
        <v>515.23</v>
      </c>
      <c r="V13" s="43">
        <v>401.93</v>
      </c>
      <c r="W13" s="43">
        <v>465.87</v>
      </c>
      <c r="X13" s="43">
        <v>543.62</v>
      </c>
      <c r="Y13" s="43">
        <v>392.62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484.6861904761904</v>
      </c>
      <c r="C14" s="44">
        <f t="shared" ref="C14:Y14" si="0">AVERAGE($B$13:$V$13)</f>
        <v>484.6861904761904</v>
      </c>
      <c r="D14" s="44">
        <f t="shared" si="0"/>
        <v>484.6861904761904</v>
      </c>
      <c r="E14" s="44">
        <f t="shared" si="0"/>
        <v>484.6861904761904</v>
      </c>
      <c r="F14" s="44">
        <f t="shared" si="0"/>
        <v>484.6861904761904</v>
      </c>
      <c r="G14" s="44">
        <f t="shared" si="0"/>
        <v>484.6861904761904</v>
      </c>
      <c r="H14" s="44">
        <f t="shared" si="0"/>
        <v>484.6861904761904</v>
      </c>
      <c r="I14" s="44">
        <f t="shared" si="0"/>
        <v>484.6861904761904</v>
      </c>
      <c r="J14" s="44">
        <f t="shared" si="0"/>
        <v>484.6861904761904</v>
      </c>
      <c r="K14" s="44">
        <f t="shared" si="0"/>
        <v>484.6861904761904</v>
      </c>
      <c r="L14" s="44">
        <f t="shared" si="0"/>
        <v>484.6861904761904</v>
      </c>
      <c r="M14" s="44">
        <f t="shared" si="0"/>
        <v>484.6861904761904</v>
      </c>
      <c r="N14" s="44">
        <f t="shared" si="0"/>
        <v>484.6861904761904</v>
      </c>
      <c r="O14" s="44">
        <f t="shared" si="0"/>
        <v>484.6861904761904</v>
      </c>
      <c r="P14" s="44">
        <f t="shared" si="0"/>
        <v>484.6861904761904</v>
      </c>
      <c r="Q14" s="44">
        <f t="shared" si="0"/>
        <v>484.6861904761904</v>
      </c>
      <c r="R14" s="44">
        <f t="shared" si="0"/>
        <v>484.6861904761904</v>
      </c>
      <c r="S14" s="44">
        <f t="shared" si="0"/>
        <v>484.6861904761904</v>
      </c>
      <c r="T14" s="44">
        <f t="shared" si="0"/>
        <v>484.6861904761904</v>
      </c>
      <c r="U14" s="44">
        <f t="shared" si="0"/>
        <v>484.6861904761904</v>
      </c>
      <c r="V14" s="44">
        <f t="shared" si="0"/>
        <v>484.6861904761904</v>
      </c>
      <c r="W14" s="44">
        <f t="shared" si="0"/>
        <v>484.6861904761904</v>
      </c>
      <c r="X14" s="44">
        <f t="shared" si="0"/>
        <v>484.6861904761904</v>
      </c>
      <c r="Y14" s="44">
        <f t="shared" si="0"/>
        <v>484.6861904761904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1.0579835160894482</v>
      </c>
      <c r="C15" s="46">
        <f t="shared" ref="C15:W15" si="1">C13/C14</f>
        <v>0.86614805259367633</v>
      </c>
      <c r="D15" s="46">
        <f t="shared" si="1"/>
        <v>0.92814693061096987</v>
      </c>
      <c r="E15" s="46">
        <f t="shared" si="1"/>
        <v>1.3328417699817556</v>
      </c>
      <c r="F15" s="46">
        <f t="shared" si="1"/>
        <v>1.1361578085378758</v>
      </c>
      <c r="G15" s="46">
        <f t="shared" si="1"/>
        <v>1.4720039770455309</v>
      </c>
      <c r="H15" s="46">
        <f t="shared" si="1"/>
        <v>1.0455218447675032</v>
      </c>
      <c r="I15" s="46">
        <f t="shared" si="1"/>
        <v>0.75733537949443985</v>
      </c>
      <c r="J15" s="46">
        <f t="shared" si="1"/>
        <v>0.71186265831303719</v>
      </c>
      <c r="K15" s="46">
        <f t="shared" si="1"/>
        <v>1.1018469485902023</v>
      </c>
      <c r="L15" s="46">
        <f t="shared" si="1"/>
        <v>0.83136265880427307</v>
      </c>
      <c r="M15" s="46">
        <f t="shared" si="1"/>
        <v>1.133083654519714</v>
      </c>
      <c r="N15" s="46">
        <f t="shared" si="1"/>
        <v>1.3665749365568889</v>
      </c>
      <c r="O15" s="46">
        <f t="shared" si="1"/>
        <v>0.95040875735994135</v>
      </c>
      <c r="P15" s="46">
        <f t="shared" si="1"/>
        <v>0.77289183674070916</v>
      </c>
      <c r="Q15" s="46">
        <f t="shared" si="1"/>
        <v>1.1221693761599307</v>
      </c>
      <c r="R15" s="46">
        <f t="shared" si="1"/>
        <v>0.66509012704341852</v>
      </c>
      <c r="S15" s="46">
        <f t="shared" si="1"/>
        <v>1.102053267651824</v>
      </c>
      <c r="T15" s="46">
        <f t="shared" si="1"/>
        <v>0.75424059357011564</v>
      </c>
      <c r="U15" s="46">
        <f t="shared" si="1"/>
        <v>1.0630177011930155</v>
      </c>
      <c r="V15" s="46">
        <f t="shared" si="1"/>
        <v>0.82925820437573272</v>
      </c>
      <c r="W15" s="46">
        <f t="shared" si="1"/>
        <v>0.96117861237658941</v>
      </c>
      <c r="X15" s="46">
        <f t="shared" ref="X15:Y15" si="2">X13/X14</f>
        <v>1.1215916827873904</v>
      </c>
      <c r="Y15" s="46">
        <f t="shared" si="2"/>
        <v>0.81004989973876085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19519.523573782237</v>
      </c>
      <c r="C19" s="34">
        <f t="shared" si="3"/>
        <v>19240.03901768606</v>
      </c>
      <c r="D19" s="34">
        <f t="shared" ref="D19:W19" si="4">D4*1000000/D3</f>
        <v>19605.944201003422</v>
      </c>
      <c r="E19" s="34">
        <f t="shared" si="4"/>
        <v>20193.996537064464</v>
      </c>
      <c r="F19" s="34">
        <f t="shared" si="4"/>
        <v>20146.033450338713</v>
      </c>
      <c r="G19" s="34">
        <f t="shared" si="4"/>
        <v>20582.253477251281</v>
      </c>
      <c r="H19" s="34">
        <f t="shared" si="4"/>
        <v>20941.950365094683</v>
      </c>
      <c r="I19" s="34">
        <f t="shared" si="4"/>
        <v>21963.113195065627</v>
      </c>
      <c r="J19" s="34">
        <f t="shared" si="4"/>
        <v>22806.965118289034</v>
      </c>
      <c r="K19" s="34">
        <f t="shared" si="4"/>
        <v>22319.429783531748</v>
      </c>
      <c r="L19" s="34">
        <f t="shared" si="4"/>
        <v>23525.375310659107</v>
      </c>
      <c r="M19" s="34">
        <f t="shared" si="4"/>
        <v>23703.70156922549</v>
      </c>
      <c r="N19" s="34">
        <f t="shared" si="4"/>
        <v>24524.96275658995</v>
      </c>
      <c r="O19" s="34">
        <f t="shared" si="4"/>
        <v>25825.613665469933</v>
      </c>
      <c r="P19" s="34">
        <f t="shared" si="4"/>
        <v>27362.049416921411</v>
      </c>
      <c r="Q19" s="34">
        <f t="shared" si="4"/>
        <v>29266.460441426145</v>
      </c>
      <c r="R19" s="34">
        <f t="shared" si="4"/>
        <v>29726.306714793649</v>
      </c>
      <c r="S19" s="34">
        <f t="shared" si="4"/>
        <v>32870.274209152536</v>
      </c>
      <c r="T19" s="34">
        <f t="shared" si="4"/>
        <v>34086.120926358395</v>
      </c>
      <c r="U19" s="34">
        <f t="shared" si="4"/>
        <v>34173.734852143054</v>
      </c>
      <c r="V19" s="34">
        <f t="shared" si="4"/>
        <v>31589.463246266627</v>
      </c>
      <c r="W19" s="34">
        <f t="shared" si="4"/>
        <v>35738.052055747045</v>
      </c>
      <c r="X19" s="34">
        <f t="shared" ref="X19:Y19" si="5">X4*1000000/X3</f>
        <v>36340.355008704857</v>
      </c>
      <c r="Y19" s="34">
        <f t="shared" si="5"/>
        <v>38577.919789835272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42657.776176109663</v>
      </c>
      <c r="C20" s="36">
        <f t="shared" si="6"/>
        <v>43370.039264287749</v>
      </c>
      <c r="D20" s="36">
        <f t="shared" ref="D20:W20" si="7">D5*1000000/D6</f>
        <v>42921.976230168657</v>
      </c>
      <c r="E20" s="36">
        <f t="shared" si="7"/>
        <v>43765.86525728336</v>
      </c>
      <c r="F20" s="36">
        <f t="shared" si="7"/>
        <v>43700.038883833302</v>
      </c>
      <c r="G20" s="36">
        <f t="shared" si="7"/>
        <v>44337.28071447758</v>
      </c>
      <c r="H20" s="36">
        <f t="shared" si="7"/>
        <v>45039.854968301981</v>
      </c>
      <c r="I20" s="36">
        <f t="shared" si="7"/>
        <v>47138.739294101892</v>
      </c>
      <c r="J20" s="36">
        <f t="shared" si="7"/>
        <v>47686.839338919446</v>
      </c>
      <c r="K20" s="36">
        <f t="shared" si="7"/>
        <v>48307.20522774657</v>
      </c>
      <c r="L20" s="36">
        <f t="shared" si="7"/>
        <v>50917.407885189459</v>
      </c>
      <c r="M20" s="36">
        <f t="shared" si="7"/>
        <v>49783.145963562543</v>
      </c>
      <c r="N20" s="36">
        <f t="shared" si="7"/>
        <v>51499.099593374631</v>
      </c>
      <c r="O20" s="36">
        <f t="shared" si="7"/>
        <v>52924.355977601947</v>
      </c>
      <c r="P20" s="36">
        <f t="shared" si="7"/>
        <v>55976.831230804884</v>
      </c>
      <c r="Q20" s="36">
        <f t="shared" si="7"/>
        <v>58918.393412860067</v>
      </c>
      <c r="R20" s="36">
        <f t="shared" si="7"/>
        <v>57305.828768453881</v>
      </c>
      <c r="S20" s="36">
        <f t="shared" si="7"/>
        <v>62369.312927430932</v>
      </c>
      <c r="T20" s="36">
        <f t="shared" si="7"/>
        <v>62446.00954317602</v>
      </c>
      <c r="U20" s="36">
        <f t="shared" si="7"/>
        <v>60968.253710501522</v>
      </c>
      <c r="V20" s="36">
        <f t="shared" si="7"/>
        <v>57799.605354490552</v>
      </c>
      <c r="W20" s="36">
        <f t="shared" si="7"/>
        <v>63994.39664945277</v>
      </c>
      <c r="X20" s="36">
        <f t="shared" ref="X20:Y20" si="8">X5*1000000/X6</f>
        <v>63129.045968030543</v>
      </c>
      <c r="Y20" s="36">
        <f t="shared" si="8"/>
        <v>65116.173465526379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12201.855135511751</v>
      </c>
      <c r="C21" s="36">
        <f t="shared" si="9"/>
        <v>12480.717983996152</v>
      </c>
      <c r="D21" s="36">
        <f t="shared" ref="D21:W21" si="10">D5*1000000/D3</f>
        <v>12624.502896354747</v>
      </c>
      <c r="E21" s="36">
        <f t="shared" si="10"/>
        <v>13166.9337513306</v>
      </c>
      <c r="F21" s="36">
        <f t="shared" si="10"/>
        <v>13317.484970088788</v>
      </c>
      <c r="G21" s="36">
        <f t="shared" si="10"/>
        <v>13581.33622669877</v>
      </c>
      <c r="H21" s="36">
        <f t="shared" si="10"/>
        <v>14077.963988153457</v>
      </c>
      <c r="I21" s="36">
        <f t="shared" si="10"/>
        <v>15147.627736854607</v>
      </c>
      <c r="J21" s="36">
        <f t="shared" si="10"/>
        <v>15860.067105894179</v>
      </c>
      <c r="K21" s="36">
        <f t="shared" si="10"/>
        <v>16151.148689155958</v>
      </c>
      <c r="L21" s="36">
        <f t="shared" si="10"/>
        <v>17021.784630927632</v>
      </c>
      <c r="M21" s="36">
        <f t="shared" si="10"/>
        <v>17070.683883320322</v>
      </c>
      <c r="N21" s="36">
        <f t="shared" si="10"/>
        <v>18121.538170884622</v>
      </c>
      <c r="O21" s="36">
        <f t="shared" si="10"/>
        <v>19505.695991103377</v>
      </c>
      <c r="P21" s="36">
        <f t="shared" si="10"/>
        <v>21361.402327173801</v>
      </c>
      <c r="Q21" s="36">
        <f t="shared" si="10"/>
        <v>23074.31753968164</v>
      </c>
      <c r="R21" s="36">
        <f t="shared" si="10"/>
        <v>23371.719015555002</v>
      </c>
      <c r="S21" s="36">
        <f t="shared" si="10"/>
        <v>26274.197415437131</v>
      </c>
      <c r="T21" s="36">
        <f t="shared" si="10"/>
        <v>27297.968534431766</v>
      </c>
      <c r="U21" s="36">
        <f t="shared" si="10"/>
        <v>27269.295898777367</v>
      </c>
      <c r="V21" s="36">
        <f t="shared" si="10"/>
        <v>25492.875438517083</v>
      </c>
      <c r="W21" s="36">
        <f t="shared" si="10"/>
        <v>28970.289711106107</v>
      </c>
      <c r="X21" s="36">
        <f t="shared" ref="X21:Y21" si="11">X5*1000000/X3</f>
        <v>29933.789824202544</v>
      </c>
      <c r="Y21" s="36">
        <f t="shared" si="11"/>
        <v>31745.352374592065</v>
      </c>
      <c r="DA21" s="89"/>
    </row>
    <row r="22" spans="1:105" ht="12" customHeight="1" x14ac:dyDescent="0.25">
      <c r="A22" s="51" t="s">
        <v>148</v>
      </c>
      <c r="B22" s="52">
        <v>0.66575589676860503</v>
      </c>
      <c r="C22" s="52">
        <v>0.66398875935350987</v>
      </c>
      <c r="D22" s="52">
        <v>0.65835430137607076</v>
      </c>
      <c r="E22" s="52">
        <v>0.67913791052677985</v>
      </c>
      <c r="F22" s="52">
        <v>0.67132853491251299</v>
      </c>
      <c r="G22" s="52">
        <v>0.67016917752484984</v>
      </c>
      <c r="H22" s="52">
        <v>0.67403051741457498</v>
      </c>
      <c r="I22" s="52">
        <v>0.70368362029669085</v>
      </c>
      <c r="J22" s="52">
        <v>0.72698918816816915</v>
      </c>
      <c r="K22" s="52">
        <v>0.75746399368270712</v>
      </c>
      <c r="L22" s="52">
        <v>0.7864645574699124</v>
      </c>
      <c r="M22" s="52">
        <v>0.77318774990887551</v>
      </c>
      <c r="N22" s="52">
        <v>0.82339440124338215</v>
      </c>
      <c r="O22" s="52">
        <v>0.8811866745166973</v>
      </c>
      <c r="P22" s="52">
        <v>0.94932738407945416</v>
      </c>
      <c r="Q22" s="52">
        <v>1.0086875932090997</v>
      </c>
      <c r="R22" s="52">
        <v>1.0047780010450318</v>
      </c>
      <c r="S22" s="52">
        <v>1.0999931299232495</v>
      </c>
      <c r="T22" s="52">
        <v>1.118727109391944</v>
      </c>
      <c r="U22" s="52">
        <v>1.0967642760303851</v>
      </c>
      <c r="V22" s="52">
        <v>1.083322823210624</v>
      </c>
      <c r="W22" s="52">
        <v>1.1600277953389999</v>
      </c>
      <c r="X22" s="52">
        <v>1.1624278487328297</v>
      </c>
      <c r="Y22" s="52">
        <v>1.2299082668918966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50.30219382902132</v>
      </c>
      <c r="C23" s="53">
        <f t="shared" si="12"/>
        <v>48.633359325742894</v>
      </c>
      <c r="D23" s="53">
        <f t="shared" ref="D23:W23" si="13">D6/D8</f>
        <v>48.950556498640282</v>
      </c>
      <c r="E23" s="53">
        <f t="shared" si="13"/>
        <v>49.724926140957486</v>
      </c>
      <c r="F23" s="53">
        <f t="shared" si="13"/>
        <v>50.326949051321954</v>
      </c>
      <c r="G23" s="53">
        <f t="shared" si="13"/>
        <v>48.935580816811459</v>
      </c>
      <c r="H23" s="53">
        <f t="shared" si="13"/>
        <v>48.729107799378532</v>
      </c>
      <c r="I23" s="53">
        <f t="shared" si="13"/>
        <v>48.52532665461969</v>
      </c>
      <c r="J23" s="53">
        <f t="shared" si="13"/>
        <v>47.462453189161238</v>
      </c>
      <c r="K23" s="53">
        <f t="shared" si="13"/>
        <v>47.660897276201759</v>
      </c>
      <c r="L23" s="53">
        <f t="shared" si="13"/>
        <v>47.337871990012474</v>
      </c>
      <c r="M23" s="53">
        <f t="shared" si="13"/>
        <v>47.498928468207531</v>
      </c>
      <c r="N23" s="53">
        <f t="shared" si="13"/>
        <v>47.003930365019571</v>
      </c>
      <c r="O23" s="53">
        <f t="shared" si="13"/>
        <v>48.478116024288099</v>
      </c>
      <c r="P23" s="53">
        <f t="shared" si="13"/>
        <v>49.315387776640009</v>
      </c>
      <c r="Q23" s="53">
        <f t="shared" si="13"/>
        <v>50.270170850132189</v>
      </c>
      <c r="R23" s="53">
        <f t="shared" si="13"/>
        <v>51.980220020582173</v>
      </c>
      <c r="S23" s="53">
        <f t="shared" si="13"/>
        <v>53.112849381927383</v>
      </c>
      <c r="T23" s="53">
        <f t="shared" si="13"/>
        <v>55.255407441396152</v>
      </c>
      <c r="U23" s="53">
        <f t="shared" si="13"/>
        <v>57.065231705963683</v>
      </c>
      <c r="V23" s="53">
        <f t="shared" si="13"/>
        <v>57.212811266757122</v>
      </c>
      <c r="W23" s="53">
        <f t="shared" si="13"/>
        <v>57.395184445943777</v>
      </c>
      <c r="X23" s="53">
        <f t="shared" ref="X23:Y23" si="14">X6/X8</f>
        <v>59.138066052294803</v>
      </c>
      <c r="Y23" s="53">
        <f t="shared" si="14"/>
        <v>61.905776737830436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5.1177991344243265</v>
      </c>
      <c r="C24" s="54">
        <f t="shared" si="15"/>
        <v>5.325470640501849</v>
      </c>
      <c r="D24" s="54">
        <f t="shared" ref="D24:W24" si="16">D9*1000/D3</f>
        <v>5.4077854450370273</v>
      </c>
      <c r="E24" s="54">
        <f t="shared" si="16"/>
        <v>5.4452458689465173</v>
      </c>
      <c r="F24" s="54">
        <f t="shared" si="16"/>
        <v>5.4498217547823815</v>
      </c>
      <c r="G24" s="54">
        <f t="shared" si="16"/>
        <v>5.6336674776417919</v>
      </c>
      <c r="H24" s="54">
        <f t="shared" si="16"/>
        <v>5.7729383043836338</v>
      </c>
      <c r="I24" s="54">
        <f t="shared" si="16"/>
        <v>5.9599237299099448</v>
      </c>
      <c r="J24" s="54">
        <f t="shared" si="16"/>
        <v>6.306651161359472</v>
      </c>
      <c r="K24" s="54">
        <f t="shared" si="16"/>
        <v>6.3135234524049597</v>
      </c>
      <c r="L24" s="54">
        <f t="shared" si="16"/>
        <v>6.3558345492393373</v>
      </c>
      <c r="M24" s="54">
        <f t="shared" si="16"/>
        <v>6.497215615546633</v>
      </c>
      <c r="N24" s="54">
        <f t="shared" si="16"/>
        <v>6.7375772473945936</v>
      </c>
      <c r="O24" s="54">
        <f t="shared" si="16"/>
        <v>6.8423083985437234</v>
      </c>
      <c r="P24" s="54">
        <f t="shared" si="16"/>
        <v>6.9643647186687314</v>
      </c>
      <c r="Q24" s="54">
        <f t="shared" si="16"/>
        <v>7.0114867415320061</v>
      </c>
      <c r="R24" s="54">
        <f t="shared" si="16"/>
        <v>7.0614884749141211</v>
      </c>
      <c r="S24" s="54">
        <f t="shared" si="16"/>
        <v>7.1384086694999569</v>
      </c>
      <c r="T24" s="54">
        <f t="shared" si="16"/>
        <v>7.1202191620365944</v>
      </c>
      <c r="U24" s="54">
        <f t="shared" si="16"/>
        <v>7.054091570664375</v>
      </c>
      <c r="V24" s="54">
        <f t="shared" si="16"/>
        <v>6.9381418069165104</v>
      </c>
      <c r="W24" s="54">
        <f t="shared" si="16"/>
        <v>7.0986856211516844</v>
      </c>
      <c r="X24" s="54">
        <f t="shared" ref="X24:Y24" si="17">X9*1000/X3</f>
        <v>7.2161885171712399</v>
      </c>
      <c r="Y24" s="54">
        <f t="shared" si="17"/>
        <v>7.0876557087949763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17.891863783498732</v>
      </c>
      <c r="C25" s="54">
        <f t="shared" si="18"/>
        <v>18.505816017599397</v>
      </c>
      <c r="D25" s="54">
        <f t="shared" ref="D25:W25" si="19">D9*1000/D6</f>
        <v>18.385899249684723</v>
      </c>
      <c r="E25" s="54">
        <f t="shared" si="19"/>
        <v>18.099574395520051</v>
      </c>
      <c r="F25" s="54">
        <f t="shared" si="19"/>
        <v>17.883062990411087</v>
      </c>
      <c r="G25" s="54">
        <f t="shared" si="19"/>
        <v>18.391525858640907</v>
      </c>
      <c r="H25" s="54">
        <f t="shared" si="19"/>
        <v>18.469453692962507</v>
      </c>
      <c r="I25" s="54">
        <f t="shared" si="19"/>
        <v>18.547015796632842</v>
      </c>
      <c r="J25" s="54">
        <f t="shared" si="19"/>
        <v>18.962357390442023</v>
      </c>
      <c r="K25" s="54">
        <f t="shared" si="19"/>
        <v>18.883404455949925</v>
      </c>
      <c r="L25" s="54">
        <f t="shared" si="19"/>
        <v>19.01226147617885</v>
      </c>
      <c r="M25" s="54">
        <f t="shared" si="19"/>
        <v>18.947795856119097</v>
      </c>
      <c r="N25" s="54">
        <f t="shared" si="19"/>
        <v>19.147334978391125</v>
      </c>
      <c r="O25" s="54">
        <f t="shared" si="19"/>
        <v>18.56507789100322</v>
      </c>
      <c r="P25" s="54">
        <f t="shared" si="19"/>
        <v>18.24988184370147</v>
      </c>
      <c r="Q25" s="54">
        <f t="shared" si="19"/>
        <v>17.903261213953751</v>
      </c>
      <c r="R25" s="54">
        <f t="shared" si="19"/>
        <v>17.314278385963632</v>
      </c>
      <c r="S25" s="54">
        <f t="shared" si="19"/>
        <v>16.945052100824427</v>
      </c>
      <c r="T25" s="54">
        <f t="shared" si="19"/>
        <v>16.287998617231072</v>
      </c>
      <c r="U25" s="54">
        <f t="shared" si="19"/>
        <v>15.771424615208288</v>
      </c>
      <c r="V25" s="54">
        <f t="shared" si="19"/>
        <v>15.730742469614235</v>
      </c>
      <c r="W25" s="54">
        <f t="shared" si="19"/>
        <v>15.680758040731494</v>
      </c>
      <c r="X25" s="54">
        <f t="shared" ref="X25:Y25" si="20">X9*1000/X6</f>
        <v>15.218624146487056</v>
      </c>
      <c r="Y25" s="54">
        <f t="shared" si="20"/>
        <v>14.538223206720748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</v>
      </c>
      <c r="C26" s="55">
        <f t="shared" si="21"/>
        <v>899.99999999999989</v>
      </c>
      <c r="D26" s="55">
        <f t="shared" ref="D26:W26" si="22">D9*1000/D8</f>
        <v>900</v>
      </c>
      <c r="E26" s="55">
        <f t="shared" si="22"/>
        <v>899.99999999999977</v>
      </c>
      <c r="F26" s="55">
        <f t="shared" si="22"/>
        <v>900</v>
      </c>
      <c r="G26" s="55">
        <f t="shared" si="22"/>
        <v>900</v>
      </c>
      <c r="H26" s="55">
        <f t="shared" si="22"/>
        <v>899.99999999999989</v>
      </c>
      <c r="I26" s="55">
        <f t="shared" si="22"/>
        <v>900.00000000000011</v>
      </c>
      <c r="J26" s="55">
        <f t="shared" si="22"/>
        <v>900.00000000000011</v>
      </c>
      <c r="K26" s="55">
        <f t="shared" si="22"/>
        <v>900</v>
      </c>
      <c r="L26" s="55">
        <f t="shared" si="22"/>
        <v>900</v>
      </c>
      <c r="M26" s="55">
        <f t="shared" si="22"/>
        <v>900</v>
      </c>
      <c r="N26" s="55">
        <f t="shared" si="22"/>
        <v>900</v>
      </c>
      <c r="O26" s="55">
        <f t="shared" si="22"/>
        <v>900</v>
      </c>
      <c r="P26" s="55">
        <f t="shared" si="22"/>
        <v>899.99999999999989</v>
      </c>
      <c r="Q26" s="55">
        <f t="shared" si="22"/>
        <v>900</v>
      </c>
      <c r="R26" s="55">
        <f t="shared" si="22"/>
        <v>900</v>
      </c>
      <c r="S26" s="55">
        <f t="shared" si="22"/>
        <v>900</v>
      </c>
      <c r="T26" s="55">
        <f t="shared" si="22"/>
        <v>900</v>
      </c>
      <c r="U26" s="55">
        <f t="shared" si="22"/>
        <v>900.00000000000011</v>
      </c>
      <c r="V26" s="55">
        <f t="shared" si="22"/>
        <v>900</v>
      </c>
      <c r="W26" s="55">
        <f t="shared" si="22"/>
        <v>900</v>
      </c>
      <c r="X26" s="55">
        <f t="shared" ref="X26:Y26" si="23">X9*1000/X8</f>
        <v>900.00000000000011</v>
      </c>
      <c r="Y26" s="55">
        <f t="shared" si="23"/>
        <v>899.99999999999977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899.99999999999989</v>
      </c>
      <c r="D27" s="57">
        <f t="shared" ref="D27:W27" si="25">IF(SUM(D11)=0,"",D11*1000/D10)</f>
        <v>900.00000000000011</v>
      </c>
      <c r="E27" s="57">
        <f t="shared" si="25"/>
        <v>899.99999999999977</v>
      </c>
      <c r="F27" s="57">
        <f t="shared" si="25"/>
        <v>900</v>
      </c>
      <c r="G27" s="57">
        <f t="shared" si="25"/>
        <v>900</v>
      </c>
      <c r="H27" s="57">
        <f t="shared" si="25"/>
        <v>900.00000000000011</v>
      </c>
      <c r="I27" s="57">
        <f t="shared" si="25"/>
        <v>900.00000000000011</v>
      </c>
      <c r="J27" s="57">
        <f t="shared" si="25"/>
        <v>900.00000000000023</v>
      </c>
      <c r="K27" s="57">
        <f t="shared" si="25"/>
        <v>900</v>
      </c>
      <c r="L27" s="57">
        <f t="shared" si="25"/>
        <v>899.99999999999989</v>
      </c>
      <c r="M27" s="57">
        <f t="shared" si="25"/>
        <v>900</v>
      </c>
      <c r="N27" s="57">
        <f t="shared" si="25"/>
        <v>899.99999999999989</v>
      </c>
      <c r="O27" s="57">
        <f t="shared" si="25"/>
        <v>900.00000000000011</v>
      </c>
      <c r="P27" s="57">
        <f t="shared" si="25"/>
        <v>900</v>
      </c>
      <c r="Q27" s="57">
        <f t="shared" si="25"/>
        <v>900</v>
      </c>
      <c r="R27" s="57">
        <f t="shared" si="25"/>
        <v>900</v>
      </c>
      <c r="S27" s="57">
        <f t="shared" si="25"/>
        <v>900</v>
      </c>
      <c r="T27" s="57">
        <f t="shared" si="25"/>
        <v>900</v>
      </c>
      <c r="U27" s="57">
        <f t="shared" si="25"/>
        <v>900</v>
      </c>
      <c r="V27" s="57">
        <f t="shared" si="25"/>
        <v>900</v>
      </c>
      <c r="W27" s="57">
        <f t="shared" si="25"/>
        <v>900</v>
      </c>
      <c r="X27" s="57">
        <f t="shared" ref="X27:Y27" si="26">IF(SUM(X11)=0,"",X11*1000/X10)</f>
        <v>900.00000000000011</v>
      </c>
      <c r="Y27" s="57">
        <f t="shared" si="26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59.641669319993817</v>
      </c>
      <c r="C31" s="80">
        <f t="shared" ref="C31:W31" si="27">SUM(C32:C33,C36:C37,C44:C45)</f>
        <v>63.253019277001556</v>
      </c>
      <c r="D31" s="80">
        <f t="shared" si="27"/>
        <v>68.207406265906315</v>
      </c>
      <c r="E31" s="80">
        <f t="shared" si="27"/>
        <v>75.1280689167247</v>
      </c>
      <c r="F31" s="80">
        <f t="shared" si="27"/>
        <v>76.431696318021096</v>
      </c>
      <c r="G31" s="80">
        <f t="shared" si="27"/>
        <v>83.643387456001065</v>
      </c>
      <c r="H31" s="80">
        <f t="shared" si="27"/>
        <v>75.248619666748795</v>
      </c>
      <c r="I31" s="80">
        <f t="shared" si="27"/>
        <v>78.155343181856679</v>
      </c>
      <c r="J31" s="80">
        <f t="shared" si="27"/>
        <v>77.033095100690019</v>
      </c>
      <c r="K31" s="80">
        <f t="shared" si="27"/>
        <v>71.4258889502768</v>
      </c>
      <c r="L31" s="80">
        <f t="shared" si="27"/>
        <v>94.392545014780637</v>
      </c>
      <c r="M31" s="80">
        <f t="shared" si="27"/>
        <v>91.34970886371913</v>
      </c>
      <c r="N31" s="80">
        <f t="shared" si="27"/>
        <v>103.74364856932992</v>
      </c>
      <c r="O31" s="80">
        <f t="shared" si="27"/>
        <v>107.84389538924599</v>
      </c>
      <c r="P31" s="80">
        <f t="shared" si="27"/>
        <v>113.86639000847413</v>
      </c>
      <c r="Q31" s="80">
        <f t="shared" si="27"/>
        <v>125.04154728745986</v>
      </c>
      <c r="R31" s="80">
        <f t="shared" si="27"/>
        <v>121.95406087306536</v>
      </c>
      <c r="S31" s="80">
        <f t="shared" si="27"/>
        <v>127.0072555173227</v>
      </c>
      <c r="T31" s="80">
        <f t="shared" si="27"/>
        <v>117.80167760990534</v>
      </c>
      <c r="U31" s="80">
        <f t="shared" si="27"/>
        <v>120.34284665268299</v>
      </c>
      <c r="V31" s="80">
        <f t="shared" si="27"/>
        <v>103.12776541605496</v>
      </c>
      <c r="W31" s="80">
        <f t="shared" si="27"/>
        <v>108.62341404432209</v>
      </c>
      <c r="X31" s="80">
        <f t="shared" ref="X31:Y31" si="28">SUM(X32:X33,X36:X37,X44:X45)</f>
        <v>123.21110479060334</v>
      </c>
      <c r="Y31" s="80">
        <f t="shared" si="28"/>
        <v>122.43086626644909</v>
      </c>
      <c r="DA31" s="103" t="s">
        <v>199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16.305469835900958</v>
      </c>
      <c r="C33" s="55">
        <f t="shared" ref="C33:W33" si="29">SUM(C34:C35)</f>
        <v>16.305469835900958</v>
      </c>
      <c r="D33" s="55">
        <f t="shared" si="29"/>
        <v>18.59433661844286</v>
      </c>
      <c r="E33" s="55">
        <f t="shared" si="29"/>
        <v>21.732771700128151</v>
      </c>
      <c r="F33" s="55">
        <f t="shared" si="29"/>
        <v>22.77894538886418</v>
      </c>
      <c r="G33" s="55">
        <f t="shared" si="29"/>
        <v>18.984918222937363</v>
      </c>
      <c r="H33" s="55">
        <f t="shared" si="29"/>
        <v>18.157057470079742</v>
      </c>
      <c r="I33" s="55">
        <f t="shared" si="29"/>
        <v>21.151077857286126</v>
      </c>
      <c r="J33" s="55">
        <f t="shared" si="29"/>
        <v>21.147513188050503</v>
      </c>
      <c r="K33" s="55">
        <f t="shared" si="29"/>
        <v>17.518366202301078</v>
      </c>
      <c r="L33" s="55">
        <f t="shared" si="29"/>
        <v>23.325759103785671</v>
      </c>
      <c r="M33" s="55">
        <f t="shared" si="29"/>
        <v>16.64153357525689</v>
      </c>
      <c r="N33" s="55">
        <f t="shared" si="29"/>
        <v>23.612259533708283</v>
      </c>
      <c r="O33" s="55">
        <f t="shared" si="29"/>
        <v>27.497385978741313</v>
      </c>
      <c r="P33" s="55">
        <f t="shared" si="29"/>
        <v>29.554907857010086</v>
      </c>
      <c r="Q33" s="55">
        <f t="shared" si="29"/>
        <v>35.715200944684398</v>
      </c>
      <c r="R33" s="55">
        <f t="shared" si="29"/>
        <v>32.783970625711731</v>
      </c>
      <c r="S33" s="55">
        <f t="shared" si="29"/>
        <v>30.369131556319864</v>
      </c>
      <c r="T33" s="55">
        <f t="shared" si="29"/>
        <v>22.528202923473774</v>
      </c>
      <c r="U33" s="55">
        <f t="shared" si="29"/>
        <v>22.431900257953565</v>
      </c>
      <c r="V33" s="55">
        <f t="shared" si="29"/>
        <v>17.375236457437659</v>
      </c>
      <c r="W33" s="55">
        <f t="shared" si="29"/>
        <v>18.831298366294064</v>
      </c>
      <c r="X33" s="55">
        <f t="shared" ref="X33:Y33" si="30">SUM(X34:X35)</f>
        <v>23.164488392089417</v>
      </c>
      <c r="Y33" s="55">
        <f t="shared" si="30"/>
        <v>20.734479793637146</v>
      </c>
      <c r="DA33" s="101"/>
    </row>
    <row r="34" spans="1:105" ht="12" customHeight="1" x14ac:dyDescent="0.25">
      <c r="A34" s="61" t="s">
        <v>52</v>
      </c>
      <c r="B34" s="55">
        <v>3.1898293517044385</v>
      </c>
      <c r="C34" s="55">
        <v>3.1898293517044385</v>
      </c>
      <c r="D34" s="55">
        <v>3.3891955828888274</v>
      </c>
      <c r="E34" s="55">
        <v>3.3891955828888274</v>
      </c>
      <c r="F34" s="55">
        <v>3.3891955828888269</v>
      </c>
      <c r="G34" s="55">
        <v>3.2960447119518479</v>
      </c>
      <c r="H34" s="55">
        <v>5.4934651762682716</v>
      </c>
      <c r="I34" s="55">
        <v>6.592175408426483</v>
      </c>
      <c r="J34" s="55">
        <v>6.592175408426483</v>
      </c>
      <c r="K34" s="55">
        <v>7.690799656061909</v>
      </c>
      <c r="L34" s="55">
        <v>7.690799656061909</v>
      </c>
      <c r="M34" s="55">
        <v>7.690799656061909</v>
      </c>
      <c r="N34" s="55">
        <v>7.690799656061909</v>
      </c>
      <c r="O34" s="55">
        <v>6.592175408426483</v>
      </c>
      <c r="P34" s="55">
        <v>6.592175408426483</v>
      </c>
      <c r="Q34" s="55">
        <v>7.690799656061909</v>
      </c>
      <c r="R34" s="55">
        <v>6.592175408426483</v>
      </c>
      <c r="S34" s="55">
        <v>8.0193465176268273</v>
      </c>
      <c r="T34" s="55">
        <v>10.51556319862425</v>
      </c>
      <c r="U34" s="55">
        <v>10.94625967325881</v>
      </c>
      <c r="V34" s="55">
        <v>7.6699914015477209</v>
      </c>
      <c r="W34" s="55">
        <v>8.5687016337059312</v>
      </c>
      <c r="X34" s="55">
        <v>10.494668959587271</v>
      </c>
      <c r="Y34" s="55">
        <v>10.816595012897681</v>
      </c>
      <c r="DA34" s="101" t="s">
        <v>201</v>
      </c>
    </row>
    <row r="35" spans="1:105" ht="12" customHeight="1" x14ac:dyDescent="0.25">
      <c r="A35" s="61" t="s">
        <v>163</v>
      </c>
      <c r="B35" s="55">
        <v>13.115640484196518</v>
      </c>
      <c r="C35" s="55">
        <v>13.115640484196518</v>
      </c>
      <c r="D35" s="55">
        <v>15.205141035554032</v>
      </c>
      <c r="E35" s="55">
        <v>18.343576117239323</v>
      </c>
      <c r="F35" s="55">
        <v>19.389749805975352</v>
      </c>
      <c r="G35" s="55">
        <v>15.688873510985516</v>
      </c>
      <c r="H35" s="55">
        <v>12.663592293811471</v>
      </c>
      <c r="I35" s="55">
        <v>14.558902448859643</v>
      </c>
      <c r="J35" s="55">
        <v>14.55533777962402</v>
      </c>
      <c r="K35" s="55">
        <v>9.8275665462391686</v>
      </c>
      <c r="L35" s="55">
        <v>15.634959447723762</v>
      </c>
      <c r="M35" s="55">
        <v>8.9507339191949811</v>
      </c>
      <c r="N35" s="55">
        <v>15.921459877646374</v>
      </c>
      <c r="O35" s="55">
        <v>20.905210570314829</v>
      </c>
      <c r="P35" s="55">
        <v>22.962732448583601</v>
      </c>
      <c r="Q35" s="55">
        <v>28.024401288622489</v>
      </c>
      <c r="R35" s="55">
        <v>26.191795217285247</v>
      </c>
      <c r="S35" s="55">
        <v>22.349785038693035</v>
      </c>
      <c r="T35" s="55">
        <v>12.012639724849524</v>
      </c>
      <c r="U35" s="55">
        <v>11.485640584694755</v>
      </c>
      <c r="V35" s="55">
        <v>9.7052450558899377</v>
      </c>
      <c r="W35" s="55">
        <v>10.262596732588133</v>
      </c>
      <c r="X35" s="55">
        <v>12.669819432502146</v>
      </c>
      <c r="Y35" s="55">
        <v>9.917884780739465</v>
      </c>
      <c r="DA35" s="101" t="s">
        <v>202</v>
      </c>
    </row>
    <row r="36" spans="1:105" ht="12" customHeight="1" x14ac:dyDescent="0.25">
      <c r="A36" s="60" t="s">
        <v>149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0</v>
      </c>
      <c r="C37" s="55">
        <f t="shared" ref="C37:W37" si="31">SUM(C38:C42)</f>
        <v>0</v>
      </c>
      <c r="D37" s="55">
        <f t="shared" si="31"/>
        <v>0</v>
      </c>
      <c r="E37" s="55">
        <f t="shared" si="31"/>
        <v>0</v>
      </c>
      <c r="F37" s="55">
        <f t="shared" si="31"/>
        <v>0</v>
      </c>
      <c r="G37" s="55">
        <f t="shared" si="31"/>
        <v>0</v>
      </c>
      <c r="H37" s="55">
        <f t="shared" si="31"/>
        <v>0</v>
      </c>
      <c r="I37" s="55">
        <f t="shared" si="31"/>
        <v>0</v>
      </c>
      <c r="J37" s="55">
        <f t="shared" si="31"/>
        <v>0</v>
      </c>
      <c r="K37" s="55">
        <f t="shared" si="31"/>
        <v>0</v>
      </c>
      <c r="L37" s="55">
        <f t="shared" si="31"/>
        <v>0</v>
      </c>
      <c r="M37" s="55">
        <f t="shared" si="31"/>
        <v>0.77050730868443662</v>
      </c>
      <c r="N37" s="55">
        <f t="shared" si="31"/>
        <v>1.0597592433361995</v>
      </c>
      <c r="O37" s="55">
        <f t="shared" si="31"/>
        <v>0.77841788478073926</v>
      </c>
      <c r="P37" s="55">
        <f t="shared" si="31"/>
        <v>0.85098882201203774</v>
      </c>
      <c r="Q37" s="55">
        <f t="shared" si="31"/>
        <v>0.75167669819432503</v>
      </c>
      <c r="R37" s="55">
        <f t="shared" si="31"/>
        <v>0.90765262252794487</v>
      </c>
      <c r="S37" s="55">
        <f t="shared" si="31"/>
        <v>0.74041272570937233</v>
      </c>
      <c r="T37" s="55">
        <f t="shared" si="31"/>
        <v>0.63731728288907996</v>
      </c>
      <c r="U37" s="55">
        <f t="shared" si="31"/>
        <v>1.0239036973344799</v>
      </c>
      <c r="V37" s="55">
        <f t="shared" si="31"/>
        <v>0.78374892519346517</v>
      </c>
      <c r="W37" s="55">
        <f t="shared" si="31"/>
        <v>0.59527085124677559</v>
      </c>
      <c r="X37" s="55">
        <f t="shared" ref="X37:Y37" si="32">SUM(X38:X42)</f>
        <v>0.99183147033533958</v>
      </c>
      <c r="Y37" s="55">
        <f t="shared" si="32"/>
        <v>1.076870163370593</v>
      </c>
      <c r="DA37" s="101"/>
    </row>
    <row r="38" spans="1:105" ht="12" customHeight="1" x14ac:dyDescent="0.25">
      <c r="A38" s="61" t="s">
        <v>164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X38" s="55">
        <v>0</v>
      </c>
      <c r="Y38" s="55">
        <v>0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0.76431642304385194</v>
      </c>
      <c r="N39" s="55">
        <v>1.050902837489252</v>
      </c>
      <c r="O39" s="55">
        <v>0.76431642304385194</v>
      </c>
      <c r="P39" s="55">
        <v>0.83594153052450548</v>
      </c>
      <c r="Q39" s="55">
        <v>0.74041272570937233</v>
      </c>
      <c r="R39" s="55">
        <v>0.90765262252794487</v>
      </c>
      <c r="S39" s="55">
        <v>0.74041272570937233</v>
      </c>
      <c r="T39" s="55">
        <v>0.63731728288907996</v>
      </c>
      <c r="U39" s="55">
        <v>1.0239036973344799</v>
      </c>
      <c r="V39" s="55">
        <v>0.78374892519346517</v>
      </c>
      <c r="W39" s="55">
        <v>0.59527085124677559</v>
      </c>
      <c r="X39" s="55">
        <v>0.99183147033533958</v>
      </c>
      <c r="Y39" s="55">
        <v>1.076870163370593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6.1908856405846939E-3</v>
      </c>
      <c r="N40" s="55">
        <v>8.856405846947548E-3</v>
      </c>
      <c r="O40" s="55">
        <v>1.4101461736887359E-2</v>
      </c>
      <c r="P40" s="55">
        <v>1.5047291487532239E-2</v>
      </c>
      <c r="Q40" s="55">
        <v>1.1263972484952711E-2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7.7813645741754041E-3</v>
      </c>
      <c r="C43" s="309">
        <v>2.1922838887676002E-2</v>
      </c>
      <c r="D43" s="55">
        <v>4.408178764061936E-2</v>
      </c>
      <c r="E43" s="55">
        <v>7.8487122851485416E-2</v>
      </c>
      <c r="F43" s="55">
        <v>0.10341985375844248</v>
      </c>
      <c r="G43" s="55">
        <v>0.17286478618316761</v>
      </c>
      <c r="H43" s="55">
        <v>0.244059111901481</v>
      </c>
      <c r="I43" s="55">
        <v>0.41304438949483185</v>
      </c>
      <c r="J43" s="55">
        <v>0.66092613418697932</v>
      </c>
      <c r="K43" s="55">
        <v>0.82985592481805015</v>
      </c>
      <c r="L43" s="55">
        <v>0.88389279591109549</v>
      </c>
      <c r="M43" s="55">
        <v>1.1023751535085622</v>
      </c>
      <c r="N43" s="55">
        <v>1.330049332375757</v>
      </c>
      <c r="O43" s="55">
        <v>1.5692319733195459</v>
      </c>
      <c r="P43" s="55">
        <v>2.1455561084045196</v>
      </c>
      <c r="Q43" s="55">
        <v>2.8219298425036667</v>
      </c>
      <c r="R43" s="55">
        <v>3.2630844204996854</v>
      </c>
      <c r="S43" s="55">
        <v>3.7348237317282984</v>
      </c>
      <c r="T43" s="55">
        <v>4.1822871883061019</v>
      </c>
      <c r="U43" s="55">
        <v>4.4196904557179728</v>
      </c>
      <c r="V43" s="55">
        <v>5.43662940670679</v>
      </c>
      <c r="W43" s="55">
        <v>6.9499570077386092</v>
      </c>
      <c r="X43" s="55">
        <v>8.0741186586414369</v>
      </c>
      <c r="Y43" s="55">
        <v>9.0943250214961306</v>
      </c>
      <c r="DA43" s="101" t="s">
        <v>209</v>
      </c>
    </row>
    <row r="44" spans="1:105" ht="12" customHeight="1" x14ac:dyDescent="0.25">
      <c r="A44" s="60" t="s">
        <v>162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0.1194325021496131</v>
      </c>
      <c r="N44" s="55">
        <v>0.19105760963026661</v>
      </c>
      <c r="O44" s="55">
        <v>2.3903697334479789E-2</v>
      </c>
      <c r="P44" s="55">
        <v>2.3903697334479789E-2</v>
      </c>
      <c r="Q44" s="55">
        <v>0.14333619948409279</v>
      </c>
      <c r="R44" s="55">
        <v>7.1625107480653469E-2</v>
      </c>
      <c r="S44" s="55">
        <v>1.0632383993522353E-2</v>
      </c>
      <c r="T44" s="55">
        <v>9.9742046431642306E-3</v>
      </c>
      <c r="U44" s="55">
        <v>2.106620808254514E-2</v>
      </c>
      <c r="V44" s="55">
        <v>0</v>
      </c>
      <c r="W44" s="55">
        <v>0</v>
      </c>
      <c r="X44" s="55">
        <v>0</v>
      </c>
      <c r="Y44" s="55">
        <v>0</v>
      </c>
      <c r="DA44" s="101" t="s">
        <v>210</v>
      </c>
    </row>
    <row r="45" spans="1:105" ht="12" customHeight="1" x14ac:dyDescent="0.25">
      <c r="A45" s="62" t="s">
        <v>24</v>
      </c>
      <c r="B45" s="63">
        <v>43.336199484092859</v>
      </c>
      <c r="C45" s="63">
        <v>46.947549441100598</v>
      </c>
      <c r="D45" s="63">
        <v>49.613069647463448</v>
      </c>
      <c r="E45" s="63">
        <v>53.395297216596546</v>
      </c>
      <c r="F45" s="63">
        <v>53.652750929156916</v>
      </c>
      <c r="G45" s="63">
        <v>64.658469233063698</v>
      </c>
      <c r="H45" s="63">
        <v>57.091562196669059</v>
      </c>
      <c r="I45" s="63">
        <v>57.004265324570554</v>
      </c>
      <c r="J45" s="63">
        <v>55.885581912639516</v>
      </c>
      <c r="K45" s="63">
        <v>53.907522747975719</v>
      </c>
      <c r="L45" s="63">
        <v>71.066785910994966</v>
      </c>
      <c r="M45" s="63">
        <v>73.818235477628193</v>
      </c>
      <c r="N45" s="63">
        <v>78.880572182655172</v>
      </c>
      <c r="O45" s="63">
        <v>79.544187828389454</v>
      </c>
      <c r="P45" s="63">
        <v>83.436589632117531</v>
      </c>
      <c r="Q45" s="63">
        <v>88.431333445097053</v>
      </c>
      <c r="R45" s="63">
        <v>88.190812517345023</v>
      </c>
      <c r="S45" s="63">
        <v>95.887078851299947</v>
      </c>
      <c r="T45" s="63">
        <v>94.626183198899326</v>
      </c>
      <c r="U45" s="63">
        <v>96.865976489312402</v>
      </c>
      <c r="V45" s="63">
        <v>84.968780033423826</v>
      </c>
      <c r="W45" s="63">
        <v>89.196844826781245</v>
      </c>
      <c r="X45" s="63">
        <v>99.054784928178591</v>
      </c>
      <c r="Y45" s="63">
        <v>100.61951630944135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59.641669319993809</v>
      </c>
      <c r="C47" s="82">
        <f t="shared" ref="C47:W47" si="34">SUM(C48,C53)</f>
        <v>63.253019277001549</v>
      </c>
      <c r="D47" s="82">
        <f t="shared" si="34"/>
        <v>68.2074062659063</v>
      </c>
      <c r="E47" s="82">
        <f t="shared" si="34"/>
        <v>75.128068916724686</v>
      </c>
      <c r="F47" s="82">
        <f t="shared" si="34"/>
        <v>76.43169631802111</v>
      </c>
      <c r="G47" s="82">
        <f t="shared" si="34"/>
        <v>83.643387456001051</v>
      </c>
      <c r="H47" s="82">
        <f t="shared" si="34"/>
        <v>75.24861966674878</v>
      </c>
      <c r="I47" s="82">
        <f t="shared" si="34"/>
        <v>78.155343181856679</v>
      </c>
      <c r="J47" s="82">
        <f t="shared" si="34"/>
        <v>77.033095100690019</v>
      </c>
      <c r="K47" s="82">
        <f t="shared" si="34"/>
        <v>71.425888950276786</v>
      </c>
      <c r="L47" s="82">
        <f t="shared" si="34"/>
        <v>94.392545014780666</v>
      </c>
      <c r="M47" s="82">
        <f t="shared" si="34"/>
        <v>91.349708863719115</v>
      </c>
      <c r="N47" s="82">
        <f t="shared" si="34"/>
        <v>103.74364856932993</v>
      </c>
      <c r="O47" s="82">
        <f t="shared" si="34"/>
        <v>107.84389538924597</v>
      </c>
      <c r="P47" s="82">
        <f t="shared" si="34"/>
        <v>113.86639000847414</v>
      </c>
      <c r="Q47" s="82">
        <f t="shared" si="34"/>
        <v>125.04154728745982</v>
      </c>
      <c r="R47" s="82">
        <f t="shared" si="34"/>
        <v>121.95406087306539</v>
      </c>
      <c r="S47" s="82">
        <f t="shared" si="34"/>
        <v>127.00725551732273</v>
      </c>
      <c r="T47" s="82">
        <f t="shared" si="34"/>
        <v>117.80167760990534</v>
      </c>
      <c r="U47" s="82">
        <f t="shared" si="34"/>
        <v>120.34284665268297</v>
      </c>
      <c r="V47" s="82">
        <f t="shared" si="34"/>
        <v>103.12776541605498</v>
      </c>
      <c r="W47" s="82">
        <f t="shared" si="34"/>
        <v>108.62341404432209</v>
      </c>
      <c r="X47" s="82">
        <f t="shared" ref="X47:Y47" si="35">SUM(X48,X53)</f>
        <v>123.21110479060334</v>
      </c>
      <c r="Y47" s="82">
        <f t="shared" si="35"/>
        <v>122.4308662664491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45.798651396277805</v>
      </c>
      <c r="C48" s="64">
        <f t="shared" ref="C48:W48" si="37">SUM(C49:C52)</f>
        <v>48.499439659905086</v>
      </c>
      <c r="D48" s="64">
        <f t="shared" si="37"/>
        <v>52.721738342130287</v>
      </c>
      <c r="E48" s="64">
        <f t="shared" si="37"/>
        <v>58.98426127973557</v>
      </c>
      <c r="F48" s="64">
        <f t="shared" si="37"/>
        <v>59.670970423296964</v>
      </c>
      <c r="G48" s="64">
        <f t="shared" si="37"/>
        <v>66.047087856359269</v>
      </c>
      <c r="H48" s="64">
        <f t="shared" si="37"/>
        <v>56.975252130351734</v>
      </c>
      <c r="I48" s="64">
        <f t="shared" si="37"/>
        <v>59.273999819144336</v>
      </c>
      <c r="J48" s="64">
        <f t="shared" si="37"/>
        <v>57.316380082491008</v>
      </c>
      <c r="K48" s="64">
        <f t="shared" si="37"/>
        <v>51.26329147287926</v>
      </c>
      <c r="L48" s="64">
        <f t="shared" si="37"/>
        <v>73.797331475834568</v>
      </c>
      <c r="M48" s="64">
        <f t="shared" si="37"/>
        <v>70.391501229295841</v>
      </c>
      <c r="N48" s="64">
        <f t="shared" si="37"/>
        <v>82.18642793047556</v>
      </c>
      <c r="O48" s="64">
        <f t="shared" si="37"/>
        <v>85.743585291355544</v>
      </c>
      <c r="P48" s="64">
        <f t="shared" si="37"/>
        <v>91.08712225614677</v>
      </c>
      <c r="Q48" s="64">
        <f t="shared" si="37"/>
        <v>101.31230038520857</v>
      </c>
      <c r="R48" s="64">
        <f t="shared" si="37"/>
        <v>97.93543657261398</v>
      </c>
      <c r="S48" s="64">
        <f t="shared" si="37"/>
        <v>102.80734836118167</v>
      </c>
      <c r="T48" s="64">
        <f t="shared" si="37"/>
        <v>93.335277841498851</v>
      </c>
      <c r="U48" s="64">
        <f t="shared" si="37"/>
        <v>95.489699048417094</v>
      </c>
      <c r="V48" s="64">
        <f t="shared" si="37"/>
        <v>79.643285245184174</v>
      </c>
      <c r="W48" s="64">
        <f t="shared" si="37"/>
        <v>84.778508336876442</v>
      </c>
      <c r="X48" s="64">
        <f t="shared" ref="X48:Y48" si="38">SUM(X49:X52)</f>
        <v>99.056657793195683</v>
      </c>
      <c r="Y48" s="64">
        <f t="shared" si="38"/>
        <v>97.814776673742529</v>
      </c>
      <c r="DA48" s="108" t="s">
        <v>213</v>
      </c>
    </row>
    <row r="49" spans="1:105" ht="12" customHeight="1" x14ac:dyDescent="0.25">
      <c r="A49" s="61" t="s">
        <v>32</v>
      </c>
      <c r="B49" s="65">
        <v>20.686412817019139</v>
      </c>
      <c r="C49" s="65">
        <v>22.186930740880808</v>
      </c>
      <c r="D49" s="65">
        <v>26.30015530399244</v>
      </c>
      <c r="E49" s="65">
        <v>30.018446720160391</v>
      </c>
      <c r="F49" s="65">
        <v>32.778428949976352</v>
      </c>
      <c r="G49" s="65">
        <v>38.809966614157091</v>
      </c>
      <c r="H49" s="65">
        <v>27.65295156802517</v>
      </c>
      <c r="I49" s="65">
        <v>29.184248855128843</v>
      </c>
      <c r="J49" s="65">
        <v>26.836594518230012</v>
      </c>
      <c r="K49" s="65">
        <v>19.649825881111163</v>
      </c>
      <c r="L49" s="65">
        <v>42.385691027925475</v>
      </c>
      <c r="M49" s="65">
        <v>37.813207158667581</v>
      </c>
      <c r="N49" s="65">
        <v>46.388418477131069</v>
      </c>
      <c r="O49" s="65">
        <v>51.237624436912924</v>
      </c>
      <c r="P49" s="65">
        <v>55.518306859010821</v>
      </c>
      <c r="Q49" s="65">
        <v>64.497756283252158</v>
      </c>
      <c r="R49" s="65">
        <v>61.457779418394509</v>
      </c>
      <c r="S49" s="65">
        <v>64.853941746784471</v>
      </c>
      <c r="T49" s="65">
        <v>54.743013032617398</v>
      </c>
      <c r="U49" s="65">
        <v>54.185119640303455</v>
      </c>
      <c r="V49" s="65">
        <v>42.090361423154945</v>
      </c>
      <c r="W49" s="65">
        <v>44.257129650075967</v>
      </c>
      <c r="X49" s="65">
        <v>56.829781518102649</v>
      </c>
      <c r="Y49" s="65">
        <v>54.57595414409564</v>
      </c>
      <c r="DA49" s="109" t="s">
        <v>214</v>
      </c>
    </row>
    <row r="50" spans="1:105" ht="12" customHeight="1" x14ac:dyDescent="0.25">
      <c r="A50" s="61" t="s">
        <v>31</v>
      </c>
      <c r="B50" s="65">
        <v>3.9836346396839355</v>
      </c>
      <c r="C50" s="65">
        <v>4.6836648702125876</v>
      </c>
      <c r="D50" s="65">
        <v>3.7153288741594617</v>
      </c>
      <c r="E50" s="65">
        <v>5.6453532485393998</v>
      </c>
      <c r="F50" s="65">
        <v>2.9379250563115886</v>
      </c>
      <c r="G50" s="65">
        <v>2.9546364533044702</v>
      </c>
      <c r="H50" s="65">
        <v>4.076332419766258</v>
      </c>
      <c r="I50" s="65">
        <v>4.2380454080335879</v>
      </c>
      <c r="J50" s="65">
        <v>3.6827758757808686</v>
      </c>
      <c r="K50" s="65">
        <v>4.0231676698537937</v>
      </c>
      <c r="L50" s="65">
        <v>3.3412465978857258</v>
      </c>
      <c r="M50" s="65">
        <v>3.6570043285760816</v>
      </c>
      <c r="N50" s="65">
        <v>6.5252086460998093</v>
      </c>
      <c r="O50" s="65">
        <v>4.6648772650699071</v>
      </c>
      <c r="P50" s="65">
        <v>4.8873747920889468</v>
      </c>
      <c r="Q50" s="65">
        <v>5.3057792021241044</v>
      </c>
      <c r="R50" s="65">
        <v>4.4395314535984332</v>
      </c>
      <c r="S50" s="65">
        <v>5.33094202887533</v>
      </c>
      <c r="T50" s="65">
        <v>4.8596073811740075</v>
      </c>
      <c r="U50" s="65">
        <v>6.8642009698926545</v>
      </c>
      <c r="V50" s="65">
        <v>5.3897590987996331</v>
      </c>
      <c r="W50" s="65">
        <v>6.9817879993326812</v>
      </c>
      <c r="X50" s="65">
        <v>7.6323969363503528</v>
      </c>
      <c r="Y50" s="65">
        <v>7.0313520403693897</v>
      </c>
      <c r="DA50" s="109" t="s">
        <v>215</v>
      </c>
    </row>
    <row r="51" spans="1:105" ht="12" customHeight="1" x14ac:dyDescent="0.25">
      <c r="A51" s="61" t="s">
        <v>35</v>
      </c>
      <c r="B51" s="65">
        <v>10.016346150522867</v>
      </c>
      <c r="C51" s="65">
        <v>10.027414768442085</v>
      </c>
      <c r="D51" s="65">
        <v>10.493674933283407</v>
      </c>
      <c r="E51" s="65">
        <v>10.653515764346553</v>
      </c>
      <c r="F51" s="65">
        <v>10.951241109217886</v>
      </c>
      <c r="G51" s="65">
        <v>11.153676148968616</v>
      </c>
      <c r="H51" s="65">
        <v>11.60986903346768</v>
      </c>
      <c r="I51" s="65">
        <v>11.861369585720771</v>
      </c>
      <c r="J51" s="65">
        <v>12.167615337081997</v>
      </c>
      <c r="K51" s="65">
        <v>12.311189500028723</v>
      </c>
      <c r="L51" s="65">
        <v>12.662044401114875</v>
      </c>
      <c r="M51" s="65">
        <v>13.004592667817898</v>
      </c>
      <c r="N51" s="65">
        <v>13.071024437500308</v>
      </c>
      <c r="O51" s="65">
        <v>13.409845101185555</v>
      </c>
      <c r="P51" s="65">
        <v>13.652972248484318</v>
      </c>
      <c r="Q51" s="65">
        <v>13.852575555040989</v>
      </c>
      <c r="R51" s="65">
        <v>14.081931681805145</v>
      </c>
      <c r="S51" s="65">
        <v>14.189931838816813</v>
      </c>
      <c r="T51" s="65">
        <v>14.367736766150269</v>
      </c>
      <c r="U51" s="65">
        <v>14.543617353577051</v>
      </c>
      <c r="V51" s="65">
        <v>14.009497721410709</v>
      </c>
      <c r="W51" s="65">
        <v>14.421943045001429</v>
      </c>
      <c r="X51" s="65">
        <v>14.554324133338509</v>
      </c>
      <c r="Y51" s="65">
        <v>15.087022758360009</v>
      </c>
      <c r="DA51" s="109" t="s">
        <v>216</v>
      </c>
    </row>
    <row r="52" spans="1:105" ht="12" customHeight="1" x14ac:dyDescent="0.25">
      <c r="A52" s="66" t="s">
        <v>34</v>
      </c>
      <c r="B52" s="67">
        <v>11.112257789051865</v>
      </c>
      <c r="C52" s="67">
        <v>11.60142928036961</v>
      </c>
      <c r="D52" s="67">
        <v>12.212579230694978</v>
      </c>
      <c r="E52" s="67">
        <v>12.666945546689226</v>
      </c>
      <c r="F52" s="67">
        <v>13.003375307791128</v>
      </c>
      <c r="G52" s="67">
        <v>13.128808639929083</v>
      </c>
      <c r="H52" s="67">
        <v>13.63609910909263</v>
      </c>
      <c r="I52" s="67">
        <v>13.990335970261139</v>
      </c>
      <c r="J52" s="67">
        <v>14.629394351398131</v>
      </c>
      <c r="K52" s="67">
        <v>15.27910842188558</v>
      </c>
      <c r="L52" s="67">
        <v>15.40834944890849</v>
      </c>
      <c r="M52" s="67">
        <v>15.916697074234285</v>
      </c>
      <c r="N52" s="67">
        <v>16.201776369744366</v>
      </c>
      <c r="O52" s="67">
        <v>16.431238488187166</v>
      </c>
      <c r="P52" s="67">
        <v>17.028468356562684</v>
      </c>
      <c r="Q52" s="67">
        <v>17.656189344791322</v>
      </c>
      <c r="R52" s="67">
        <v>17.956194018815889</v>
      </c>
      <c r="S52" s="67">
        <v>18.43253274670505</v>
      </c>
      <c r="T52" s="67">
        <v>19.364920661557171</v>
      </c>
      <c r="U52" s="67">
        <v>19.896761084643931</v>
      </c>
      <c r="V52" s="67">
        <v>18.153667001818892</v>
      </c>
      <c r="W52" s="67">
        <v>19.117647642466363</v>
      </c>
      <c r="X52" s="67">
        <v>20.040155205404179</v>
      </c>
      <c r="Y52" s="67">
        <v>21.120447730917494</v>
      </c>
      <c r="DA52" s="110" t="s">
        <v>217</v>
      </c>
    </row>
    <row r="53" spans="1:105" ht="12" customHeight="1" x14ac:dyDescent="0.25">
      <c r="A53" s="78" t="s">
        <v>33</v>
      </c>
      <c r="B53" s="68">
        <v>13.843017923716005</v>
      </c>
      <c r="C53" s="68">
        <v>14.753579617096463</v>
      </c>
      <c r="D53" s="68">
        <v>15.485667923776019</v>
      </c>
      <c r="E53" s="68">
        <v>16.143807636989123</v>
      </c>
      <c r="F53" s="68">
        <v>16.76072589472415</v>
      </c>
      <c r="G53" s="68">
        <v>17.596299599641782</v>
      </c>
      <c r="H53" s="68">
        <v>18.27336753639705</v>
      </c>
      <c r="I53" s="68">
        <v>18.881343362712343</v>
      </c>
      <c r="J53" s="68">
        <v>19.716715018199011</v>
      </c>
      <c r="K53" s="68">
        <v>20.162597477397526</v>
      </c>
      <c r="L53" s="68">
        <v>20.595213538946091</v>
      </c>
      <c r="M53" s="68">
        <v>20.958207634423278</v>
      </c>
      <c r="N53" s="68">
        <v>21.557220638854378</v>
      </c>
      <c r="O53" s="68">
        <v>22.100310097890436</v>
      </c>
      <c r="P53" s="68">
        <v>22.779267752327371</v>
      </c>
      <c r="Q53" s="68">
        <v>23.729246902251248</v>
      </c>
      <c r="R53" s="68">
        <v>24.01862430045141</v>
      </c>
      <c r="S53" s="68">
        <v>24.199907156141059</v>
      </c>
      <c r="T53" s="68">
        <v>24.466399768406497</v>
      </c>
      <c r="U53" s="68">
        <v>24.853147604265864</v>
      </c>
      <c r="V53" s="68">
        <v>23.484480170870818</v>
      </c>
      <c r="W53" s="68">
        <v>23.844905707445641</v>
      </c>
      <c r="X53" s="68">
        <v>24.154446997407661</v>
      </c>
      <c r="Y53" s="68">
        <v>24.616089592706576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0.76789687341840751</v>
      </c>
      <c r="C56" s="70">
        <f t="shared" ref="C56:W56" si="43">IF(C48=0,0,C48/C$47)</f>
        <v>0.76675295842421887</v>
      </c>
      <c r="D56" s="70">
        <f t="shared" si="43"/>
        <v>0.77296207594516642</v>
      </c>
      <c r="E56" s="70">
        <f t="shared" si="43"/>
        <v>0.78511616404138329</v>
      </c>
      <c r="F56" s="70">
        <f t="shared" si="43"/>
        <v>0.78070974867566434</v>
      </c>
      <c r="G56" s="70">
        <f t="shared" si="43"/>
        <v>0.78962712851750572</v>
      </c>
      <c r="H56" s="70">
        <f t="shared" si="43"/>
        <v>0.75716009652637162</v>
      </c>
      <c r="I56" s="70">
        <f t="shared" si="43"/>
        <v>0.75841263573268347</v>
      </c>
      <c r="J56" s="70">
        <f t="shared" si="43"/>
        <v>0.74404877549802095</v>
      </c>
      <c r="K56" s="70">
        <f t="shared" si="43"/>
        <v>0.71771303411521081</v>
      </c>
      <c r="L56" s="70">
        <f t="shared" si="43"/>
        <v>0.78181313433469612</v>
      </c>
      <c r="M56" s="70">
        <f t="shared" si="43"/>
        <v>0.77057170849126666</v>
      </c>
      <c r="N56" s="70">
        <f t="shared" si="43"/>
        <v>0.79220683929919733</v>
      </c>
      <c r="O56" s="70">
        <f t="shared" si="43"/>
        <v>0.79507129246284403</v>
      </c>
      <c r="P56" s="70">
        <f t="shared" si="43"/>
        <v>0.79994739667576975</v>
      </c>
      <c r="Q56" s="70">
        <f t="shared" si="43"/>
        <v>0.8102291005108907</v>
      </c>
      <c r="R56" s="70">
        <f t="shared" si="43"/>
        <v>0.80305186946213347</v>
      </c>
      <c r="S56" s="70">
        <f t="shared" si="43"/>
        <v>0.8094604354879521</v>
      </c>
      <c r="T56" s="70">
        <f t="shared" si="43"/>
        <v>0.79230856245166714</v>
      </c>
      <c r="U56" s="70">
        <f t="shared" si="43"/>
        <v>0.79348047436509772</v>
      </c>
      <c r="V56" s="70">
        <f t="shared" si="43"/>
        <v>0.77227781406757079</v>
      </c>
      <c r="W56" s="70">
        <f t="shared" si="43"/>
        <v>0.78048097717020659</v>
      </c>
      <c r="X56" s="70">
        <f t="shared" ref="X56:Y56" si="44">IF(X48=0,0,X48/X$47)</f>
        <v>0.80395884739076062</v>
      </c>
      <c r="Y56" s="70">
        <f t="shared" si="44"/>
        <v>0.79893885959171429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0.34684496683067162</v>
      </c>
      <c r="C57" s="71">
        <f t="shared" ref="C57:W57" si="46">IF(C49=0,0,C49/C$47)</f>
        <v>0.3507647697214013</v>
      </c>
      <c r="D57" s="71">
        <f t="shared" si="46"/>
        <v>0.38559090198301033</v>
      </c>
      <c r="E57" s="71">
        <f t="shared" si="46"/>
        <v>0.39956366712199376</v>
      </c>
      <c r="F57" s="71">
        <f t="shared" si="46"/>
        <v>0.42885910596030868</v>
      </c>
      <c r="G57" s="71">
        <f t="shared" si="46"/>
        <v>0.46399324315472407</v>
      </c>
      <c r="H57" s="71">
        <f t="shared" si="46"/>
        <v>0.36748782489952553</v>
      </c>
      <c r="I57" s="71">
        <f t="shared" si="46"/>
        <v>0.37341335431438294</v>
      </c>
      <c r="J57" s="71">
        <f t="shared" si="46"/>
        <v>0.3483774666349817</v>
      </c>
      <c r="K57" s="71">
        <f t="shared" si="46"/>
        <v>0.27510789392891438</v>
      </c>
      <c r="L57" s="71">
        <f t="shared" si="46"/>
        <v>0.44903642571866687</v>
      </c>
      <c r="M57" s="71">
        <f t="shared" si="46"/>
        <v>0.41393900023348246</v>
      </c>
      <c r="N57" s="71">
        <f t="shared" si="46"/>
        <v>0.44714466010061865</v>
      </c>
      <c r="O57" s="71">
        <f t="shared" si="46"/>
        <v>0.47510917750122611</v>
      </c>
      <c r="P57" s="71">
        <f t="shared" si="46"/>
        <v>0.48757413715213987</v>
      </c>
      <c r="Q57" s="71">
        <f t="shared" si="46"/>
        <v>0.51581060601383422</v>
      </c>
      <c r="R57" s="71">
        <f t="shared" si="46"/>
        <v>0.50394204980482116</v>
      </c>
      <c r="S57" s="71">
        <f t="shared" si="46"/>
        <v>0.51063178621270922</v>
      </c>
      <c r="T57" s="71">
        <f t="shared" si="46"/>
        <v>0.46470486790431192</v>
      </c>
      <c r="U57" s="71">
        <f t="shared" si="46"/>
        <v>0.45025625658237189</v>
      </c>
      <c r="V57" s="71">
        <f t="shared" si="46"/>
        <v>0.40813801456229648</v>
      </c>
      <c r="W57" s="71">
        <f t="shared" si="46"/>
        <v>0.40743637124144833</v>
      </c>
      <c r="X57" s="71">
        <f t="shared" ref="X57:Y57" si="47">IF(X49=0,0,X49/X$47)</f>
        <v>0.46123911975860116</v>
      </c>
      <c r="Y57" s="71">
        <f t="shared" si="47"/>
        <v>0.44576956619191715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6.6792809207110726E-2</v>
      </c>
      <c r="C58" s="72">
        <f t="shared" ref="C58:W58" si="49">IF(C50=0,0,C50/C$47)</f>
        <v>7.4046502819123811E-2</v>
      </c>
      <c r="D58" s="72">
        <f t="shared" si="49"/>
        <v>5.4471047611387935E-2</v>
      </c>
      <c r="E58" s="72">
        <f t="shared" si="49"/>
        <v>7.5143063437407953E-2</v>
      </c>
      <c r="F58" s="72">
        <f t="shared" si="49"/>
        <v>3.8438569308828524E-2</v>
      </c>
      <c r="G58" s="72">
        <f t="shared" si="49"/>
        <v>3.5324208442164044E-2</v>
      </c>
      <c r="H58" s="72">
        <f t="shared" si="49"/>
        <v>5.4171524179699039E-2</v>
      </c>
      <c r="I58" s="72">
        <f t="shared" si="49"/>
        <v>5.4225920269740768E-2</v>
      </c>
      <c r="J58" s="72">
        <f t="shared" si="49"/>
        <v>4.7807710062371368E-2</v>
      </c>
      <c r="K58" s="72">
        <f t="shared" si="49"/>
        <v>5.6326462701143651E-2</v>
      </c>
      <c r="L58" s="72">
        <f t="shared" si="49"/>
        <v>3.5397356829000949E-2</v>
      </c>
      <c r="M58" s="72">
        <f t="shared" si="49"/>
        <v>4.0033015693917713E-2</v>
      </c>
      <c r="N58" s="72">
        <f t="shared" si="49"/>
        <v>6.2897427804836981E-2</v>
      </c>
      <c r="O58" s="72">
        <f t="shared" si="49"/>
        <v>4.3255830552417912E-2</v>
      </c>
      <c r="P58" s="72">
        <f t="shared" si="49"/>
        <v>4.292201405283174E-2</v>
      </c>
      <c r="Q58" s="72">
        <f t="shared" si="49"/>
        <v>4.2432130097739211E-2</v>
      </c>
      <c r="R58" s="72">
        <f t="shared" si="49"/>
        <v>3.6403309753000136E-2</v>
      </c>
      <c r="S58" s="72">
        <f t="shared" si="49"/>
        <v>4.1973523537387467E-2</v>
      </c>
      <c r="T58" s="72">
        <f t="shared" si="49"/>
        <v>4.1252446312915567E-2</v>
      </c>
      <c r="U58" s="72">
        <f t="shared" si="49"/>
        <v>5.7038711986788636E-2</v>
      </c>
      <c r="V58" s="72">
        <f t="shared" si="49"/>
        <v>5.2262929164181737E-2</v>
      </c>
      <c r="W58" s="72">
        <f t="shared" si="49"/>
        <v>6.4275166277538209E-2</v>
      </c>
      <c r="X58" s="72">
        <f t="shared" ref="X58:Y58" si="50">IF(X50=0,0,X50/X$47)</f>
        <v>6.1945690279472561E-2</v>
      </c>
      <c r="Y58" s="72">
        <f t="shared" si="50"/>
        <v>5.7431203868695144E-2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0.16794208251922729</v>
      </c>
      <c r="C59" s="72">
        <f t="shared" ref="C59:W59" si="52">IF(C51=0,0,C51/C$47)</f>
        <v>0.15852863441236548</v>
      </c>
      <c r="D59" s="72">
        <f t="shared" si="52"/>
        <v>0.15384949388595509</v>
      </c>
      <c r="E59" s="72">
        <f t="shared" si="52"/>
        <v>0.14180473314381856</v>
      </c>
      <c r="F59" s="72">
        <f t="shared" si="52"/>
        <v>0.14328140858802052</v>
      </c>
      <c r="G59" s="72">
        <f t="shared" si="52"/>
        <v>0.13334797272331644</v>
      </c>
      <c r="H59" s="72">
        <f t="shared" si="52"/>
        <v>0.15428680399566058</v>
      </c>
      <c r="I59" s="72">
        <f t="shared" si="52"/>
        <v>0.15176658565903811</v>
      </c>
      <c r="J59" s="72">
        <f t="shared" si="52"/>
        <v>0.15795308913886555</v>
      </c>
      <c r="K59" s="72">
        <f t="shared" si="52"/>
        <v>0.17236312604522391</v>
      </c>
      <c r="L59" s="72">
        <f t="shared" si="52"/>
        <v>0.13414241981855834</v>
      </c>
      <c r="M59" s="72">
        <f t="shared" si="52"/>
        <v>0.14236052670095442</v>
      </c>
      <c r="N59" s="72">
        <f t="shared" si="52"/>
        <v>0.12599349085708306</v>
      </c>
      <c r="O59" s="72">
        <f t="shared" si="52"/>
        <v>0.12434496225108319</v>
      </c>
      <c r="P59" s="72">
        <f t="shared" si="52"/>
        <v>0.11990344339069886</v>
      </c>
      <c r="Q59" s="72">
        <f t="shared" si="52"/>
        <v>0.11078378231513004</v>
      </c>
      <c r="R59" s="72">
        <f t="shared" si="52"/>
        <v>0.11546914945671367</v>
      </c>
      <c r="S59" s="72">
        <f t="shared" si="52"/>
        <v>0.1117253638858563</v>
      </c>
      <c r="T59" s="72">
        <f t="shared" si="52"/>
        <v>0.12196546821453891</v>
      </c>
      <c r="U59" s="72">
        <f t="shared" si="52"/>
        <v>0.12085153175369739</v>
      </c>
      <c r="V59" s="72">
        <f t="shared" si="52"/>
        <v>0.13584603200594225</v>
      </c>
      <c r="W59" s="72">
        <f t="shared" si="52"/>
        <v>0.13277011380913492</v>
      </c>
      <c r="X59" s="72">
        <f t="shared" ref="X59:Y59" si="53">IF(X51=0,0,X51/X$47)</f>
        <v>0.11812510047753821</v>
      </c>
      <c r="Y59" s="72">
        <f t="shared" si="53"/>
        <v>0.12322891455759021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0.1863170148613979</v>
      </c>
      <c r="C60" s="73">
        <f t="shared" ref="C60:W60" si="55">IF(C52=0,0,C52/C$47)</f>
        <v>0.18341305147132836</v>
      </c>
      <c r="D60" s="73">
        <f t="shared" si="55"/>
        <v>0.17905063246481309</v>
      </c>
      <c r="E60" s="73">
        <f t="shared" si="55"/>
        <v>0.16860470033816302</v>
      </c>
      <c r="F60" s="73">
        <f t="shared" si="55"/>
        <v>0.1701306648185065</v>
      </c>
      <c r="G60" s="73">
        <f t="shared" si="55"/>
        <v>0.1569617041973011</v>
      </c>
      <c r="H60" s="73">
        <f t="shared" si="55"/>
        <v>0.18121394345148653</v>
      </c>
      <c r="I60" s="73">
        <f t="shared" si="55"/>
        <v>0.17900677548952171</v>
      </c>
      <c r="J60" s="73">
        <f t="shared" si="55"/>
        <v>0.18991050966180234</v>
      </c>
      <c r="K60" s="73">
        <f t="shared" si="55"/>
        <v>0.21391555143992885</v>
      </c>
      <c r="L60" s="73">
        <f t="shared" si="55"/>
        <v>0.16323693196846997</v>
      </c>
      <c r="M60" s="73">
        <f t="shared" si="55"/>
        <v>0.17423916586291208</v>
      </c>
      <c r="N60" s="73">
        <f t="shared" si="55"/>
        <v>0.1561712605366585</v>
      </c>
      <c r="O60" s="73">
        <f t="shared" si="55"/>
        <v>0.15236132215811693</v>
      </c>
      <c r="P60" s="73">
        <f t="shared" si="55"/>
        <v>0.14954780208009927</v>
      </c>
      <c r="Q60" s="73">
        <f t="shared" si="55"/>
        <v>0.14120258208418721</v>
      </c>
      <c r="R60" s="73">
        <f t="shared" si="55"/>
        <v>0.14723736044759844</v>
      </c>
      <c r="S60" s="73">
        <f t="shared" si="55"/>
        <v>0.14512976185199913</v>
      </c>
      <c r="T60" s="73">
        <f t="shared" si="55"/>
        <v>0.16438578001990078</v>
      </c>
      <c r="U60" s="73">
        <f t="shared" si="55"/>
        <v>0.16533397404223982</v>
      </c>
      <c r="V60" s="73">
        <f t="shared" si="55"/>
        <v>0.17603083833515043</v>
      </c>
      <c r="W60" s="73">
        <f t="shared" si="55"/>
        <v>0.17599932584208505</v>
      </c>
      <c r="X60" s="73">
        <f t="shared" ref="X60:Y60" si="56">IF(X52=0,0,X52/X$47)</f>
        <v>0.16264893687514873</v>
      </c>
      <c r="Y60" s="73">
        <f t="shared" si="56"/>
        <v>0.17250917497351181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0.23210312658159249</v>
      </c>
      <c r="C61" s="70">
        <f t="shared" ref="C61:W61" si="58">IF(C53=0,0,C53/C$47)</f>
        <v>0.23324704157578108</v>
      </c>
      <c r="D61" s="70">
        <f t="shared" si="58"/>
        <v>0.22703792405483364</v>
      </c>
      <c r="E61" s="70">
        <f t="shared" si="58"/>
        <v>0.21488383595861676</v>
      </c>
      <c r="F61" s="70">
        <f t="shared" si="58"/>
        <v>0.21929025132433566</v>
      </c>
      <c r="G61" s="70">
        <f t="shared" si="58"/>
        <v>0.21037287148249426</v>
      </c>
      <c r="H61" s="70">
        <f t="shared" si="58"/>
        <v>0.24283990347362841</v>
      </c>
      <c r="I61" s="70">
        <f t="shared" si="58"/>
        <v>0.24158736426731653</v>
      </c>
      <c r="J61" s="70">
        <f t="shared" si="58"/>
        <v>0.25595122450197899</v>
      </c>
      <c r="K61" s="70">
        <f t="shared" si="58"/>
        <v>0.28228696588478919</v>
      </c>
      <c r="L61" s="70">
        <f t="shared" si="58"/>
        <v>0.21818686566530379</v>
      </c>
      <c r="M61" s="70">
        <f t="shared" si="58"/>
        <v>0.22942829150873342</v>
      </c>
      <c r="N61" s="70">
        <f t="shared" si="58"/>
        <v>0.20779316070080273</v>
      </c>
      <c r="O61" s="70">
        <f t="shared" si="58"/>
        <v>0.204928707537156</v>
      </c>
      <c r="P61" s="70">
        <f t="shared" si="58"/>
        <v>0.20005260332423025</v>
      </c>
      <c r="Q61" s="70">
        <f t="shared" si="58"/>
        <v>0.18977089948910933</v>
      </c>
      <c r="R61" s="70">
        <f t="shared" si="58"/>
        <v>0.19694813053786658</v>
      </c>
      <c r="S61" s="70">
        <f t="shared" si="58"/>
        <v>0.19053956451204784</v>
      </c>
      <c r="T61" s="70">
        <f t="shared" si="58"/>
        <v>0.20769143754833286</v>
      </c>
      <c r="U61" s="70">
        <f t="shared" si="58"/>
        <v>0.2065195256349022</v>
      </c>
      <c r="V61" s="70">
        <f t="shared" si="58"/>
        <v>0.22772218593242924</v>
      </c>
      <c r="W61" s="70">
        <f t="shared" si="58"/>
        <v>0.21951902282979338</v>
      </c>
      <c r="X61" s="70">
        <f t="shared" ref="X61:Y61" si="59">IF(X53=0,0,X53/X$47)</f>
        <v>0.19604115260923943</v>
      </c>
      <c r="Y61" s="70">
        <f t="shared" si="59"/>
        <v>0.20106114040828574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48.078090234720122</v>
      </c>
      <c r="C65" s="80">
        <v>48.078090234720122</v>
      </c>
      <c r="D65" s="80">
        <v>54.894832792548797</v>
      </c>
      <c r="E65" s="80">
        <v>64.342492792548782</v>
      </c>
      <c r="F65" s="80">
        <v>67.491799072548801</v>
      </c>
      <c r="G65" s="80">
        <v>58.074488507756001</v>
      </c>
      <c r="H65" s="80">
        <v>54.45815538710977</v>
      </c>
      <c r="I65" s="80">
        <v>63.600875463704718</v>
      </c>
      <c r="J65" s="80">
        <v>63.590144707109772</v>
      </c>
      <c r="K65" s="80">
        <v>51.108725811303472</v>
      </c>
      <c r="L65" s="80">
        <v>69.880292487855826</v>
      </c>
      <c r="M65" s="80">
        <v>48.124426424708204</v>
      </c>
      <c r="N65" s="80">
        <v>70.146533727855825</v>
      </c>
      <c r="O65" s="80">
        <v>83.111042811303463</v>
      </c>
      <c r="P65" s="80">
        <v>89.588933847855813</v>
      </c>
      <c r="Q65" s="80">
        <v>108.09093461656664</v>
      </c>
      <c r="R65" s="80">
        <v>99.106991847855838</v>
      </c>
      <c r="S65" s="80">
        <v>90.956541600000008</v>
      </c>
      <c r="T65" s="80">
        <v>65.24622324000002</v>
      </c>
      <c r="U65" s="80">
        <v>64.806378840000008</v>
      </c>
      <c r="V65" s="80">
        <v>50.699870280000006</v>
      </c>
      <c r="W65" s="80">
        <v>54.885231719999993</v>
      </c>
      <c r="X65" s="80">
        <v>67.44424751999999</v>
      </c>
      <c r="Y65" s="80">
        <v>59.754051360000005</v>
      </c>
      <c r="DA65" s="103" t="s">
        <v>219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48.078090234720122</v>
      </c>
      <c r="C67" s="55">
        <f t="shared" ref="C67:W67" si="60">SUM(C68:C69)</f>
        <v>48.078090234720122</v>
      </c>
      <c r="D67" s="55">
        <f t="shared" si="60"/>
        <v>54.894832792548797</v>
      </c>
      <c r="E67" s="55">
        <f t="shared" si="60"/>
        <v>64.342492792548782</v>
      </c>
      <c r="F67" s="55">
        <f t="shared" si="60"/>
        <v>67.491799072548801</v>
      </c>
      <c r="G67" s="55">
        <f t="shared" si="60"/>
        <v>58.074488507756001</v>
      </c>
      <c r="H67" s="55">
        <f t="shared" si="60"/>
        <v>54.45815538710977</v>
      </c>
      <c r="I67" s="55">
        <f t="shared" si="60"/>
        <v>63.600875463704718</v>
      </c>
      <c r="J67" s="55">
        <f t="shared" si="60"/>
        <v>63.590144707109772</v>
      </c>
      <c r="K67" s="55">
        <f t="shared" si="60"/>
        <v>51.108725811303472</v>
      </c>
      <c r="L67" s="55">
        <f t="shared" si="60"/>
        <v>69.880292487855826</v>
      </c>
      <c r="M67" s="55">
        <f t="shared" si="60"/>
        <v>48.124426424708204</v>
      </c>
      <c r="N67" s="55">
        <f t="shared" si="60"/>
        <v>70.146533727855825</v>
      </c>
      <c r="O67" s="55">
        <f t="shared" si="60"/>
        <v>83.111042811303463</v>
      </c>
      <c r="P67" s="55">
        <f t="shared" si="60"/>
        <v>89.588933847855799</v>
      </c>
      <c r="Q67" s="55">
        <f t="shared" si="60"/>
        <v>108.09093461656664</v>
      </c>
      <c r="R67" s="55">
        <f t="shared" si="60"/>
        <v>99.106991847855824</v>
      </c>
      <c r="S67" s="55">
        <f t="shared" si="60"/>
        <v>90.956541600000008</v>
      </c>
      <c r="T67" s="55">
        <f t="shared" si="60"/>
        <v>65.24622324000002</v>
      </c>
      <c r="U67" s="55">
        <f t="shared" si="60"/>
        <v>64.806378840000008</v>
      </c>
      <c r="V67" s="55">
        <f t="shared" si="60"/>
        <v>50.699870280000006</v>
      </c>
      <c r="W67" s="55">
        <f t="shared" si="60"/>
        <v>54.885231719999993</v>
      </c>
      <c r="X67" s="55">
        <f t="shared" ref="X67:Y67" si="61">SUM(X68:X69)</f>
        <v>67.44424751999999</v>
      </c>
      <c r="Y67" s="55">
        <f t="shared" si="61"/>
        <v>59.754051360000005</v>
      </c>
      <c r="DA67" s="101"/>
    </row>
    <row r="68" spans="1:105" ht="12" customHeight="1" x14ac:dyDescent="0.25">
      <c r="A68" s="61" t="s">
        <v>52</v>
      </c>
      <c r="B68" s="55">
        <v>8.4271170212508881</v>
      </c>
      <c r="C68" s="55">
        <v>8.4271170212508881</v>
      </c>
      <c r="D68" s="55">
        <v>8.9538168459229741</v>
      </c>
      <c r="E68" s="55">
        <v>8.9538168459229741</v>
      </c>
      <c r="F68" s="55">
        <v>8.9538168459229723</v>
      </c>
      <c r="G68" s="55">
        <v>8.707724279999999</v>
      </c>
      <c r="H68" s="55">
        <v>14.513025240000001</v>
      </c>
      <c r="I68" s="55">
        <v>17.415675720000003</v>
      </c>
      <c r="J68" s="55">
        <v>17.415675720000003</v>
      </c>
      <c r="K68" s="55">
        <v>20.318099040000003</v>
      </c>
      <c r="L68" s="55">
        <v>20.318099040000003</v>
      </c>
      <c r="M68" s="55">
        <v>20.318099040000003</v>
      </c>
      <c r="N68" s="55">
        <v>20.318099040000003</v>
      </c>
      <c r="O68" s="55">
        <v>17.415675720000003</v>
      </c>
      <c r="P68" s="55">
        <v>17.415675720000003</v>
      </c>
      <c r="Q68" s="55">
        <v>20.318099040000003</v>
      </c>
      <c r="R68" s="55">
        <v>17.415675720000003</v>
      </c>
      <c r="S68" s="55">
        <v>21.186077400000002</v>
      </c>
      <c r="T68" s="55">
        <v>27.780759360000008</v>
      </c>
      <c r="U68" s="55">
        <v>28.918603799999996</v>
      </c>
      <c r="V68" s="55">
        <v>20.263126320000001</v>
      </c>
      <c r="W68" s="55">
        <v>22.637402639999998</v>
      </c>
      <c r="X68" s="55">
        <v>27.725559479999994</v>
      </c>
      <c r="Y68" s="55">
        <v>28.576046520000009</v>
      </c>
      <c r="DA68" s="101" t="s">
        <v>221</v>
      </c>
    </row>
    <row r="69" spans="1:105" ht="12" customHeight="1" x14ac:dyDescent="0.25">
      <c r="A69" s="61" t="s">
        <v>163</v>
      </c>
      <c r="B69" s="55">
        <v>39.650973213469236</v>
      </c>
      <c r="C69" s="55">
        <v>39.650973213469236</v>
      </c>
      <c r="D69" s="55">
        <v>45.941015946625825</v>
      </c>
      <c r="E69" s="55">
        <v>55.38867594662581</v>
      </c>
      <c r="F69" s="55">
        <v>58.537982226625829</v>
      </c>
      <c r="G69" s="55">
        <v>49.366764227756001</v>
      </c>
      <c r="H69" s="55">
        <v>39.945130147109765</v>
      </c>
      <c r="I69" s="55">
        <v>46.185199743704715</v>
      </c>
      <c r="J69" s="55">
        <v>46.174468987109769</v>
      </c>
      <c r="K69" s="55">
        <v>30.790626771303469</v>
      </c>
      <c r="L69" s="55">
        <v>49.562193447855819</v>
      </c>
      <c r="M69" s="55">
        <v>27.806327384708201</v>
      </c>
      <c r="N69" s="55">
        <v>49.828434687855818</v>
      </c>
      <c r="O69" s="55">
        <v>65.695367091303467</v>
      </c>
      <c r="P69" s="55">
        <v>72.173258127855803</v>
      </c>
      <c r="Q69" s="55">
        <v>87.772835576566635</v>
      </c>
      <c r="R69" s="55">
        <v>81.691316127855828</v>
      </c>
      <c r="S69" s="55">
        <v>69.770464200000006</v>
      </c>
      <c r="T69" s="55">
        <v>37.465463880000016</v>
      </c>
      <c r="U69" s="55">
        <v>35.887775040000008</v>
      </c>
      <c r="V69" s="55">
        <v>30.436743960000005</v>
      </c>
      <c r="W69" s="55">
        <v>32.247829079999995</v>
      </c>
      <c r="X69" s="55">
        <v>39.718688039999996</v>
      </c>
      <c r="Y69" s="55">
        <v>31.178004839999996</v>
      </c>
      <c r="DA69" s="101" t="s">
        <v>222</v>
      </c>
    </row>
    <row r="70" spans="1:105" ht="12" customHeight="1" x14ac:dyDescent="0.25">
      <c r="A70" s="60" t="s">
        <v>149</v>
      </c>
      <c r="B70" s="55">
        <v>0</v>
      </c>
      <c r="C70" s="55">
        <v>0</v>
      </c>
      <c r="D70" s="55">
        <v>0</v>
      </c>
      <c r="E70" s="55">
        <v>0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0</v>
      </c>
      <c r="V70" s="55">
        <v>0</v>
      </c>
      <c r="W70" s="55">
        <v>0</v>
      </c>
      <c r="X70" s="55">
        <v>0</v>
      </c>
      <c r="Y70" s="55">
        <v>0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48.078090234720122</v>
      </c>
      <c r="C81" s="82">
        <f t="shared" ref="C81:W81" si="65">C82+C87</f>
        <v>48.078090234720129</v>
      </c>
      <c r="D81" s="82">
        <f t="shared" si="65"/>
        <v>54.89483279254879</v>
      </c>
      <c r="E81" s="82">
        <f t="shared" si="65"/>
        <v>64.342492792548768</v>
      </c>
      <c r="F81" s="82">
        <f t="shared" si="65"/>
        <v>67.491799072548815</v>
      </c>
      <c r="G81" s="82">
        <f t="shared" si="65"/>
        <v>58.074488507755994</v>
      </c>
      <c r="H81" s="82">
        <f t="shared" si="65"/>
        <v>54.458155387109763</v>
      </c>
      <c r="I81" s="82">
        <f t="shared" si="65"/>
        <v>63.600875463704739</v>
      </c>
      <c r="J81" s="82">
        <f t="shared" si="65"/>
        <v>63.590144707109779</v>
      </c>
      <c r="K81" s="82">
        <f t="shared" si="65"/>
        <v>51.108725811303451</v>
      </c>
      <c r="L81" s="82">
        <f t="shared" si="65"/>
        <v>69.880292487855826</v>
      </c>
      <c r="M81" s="82">
        <f t="shared" si="65"/>
        <v>48.124426424708211</v>
      </c>
      <c r="N81" s="82">
        <f t="shared" si="65"/>
        <v>70.146533727855811</v>
      </c>
      <c r="O81" s="82">
        <f t="shared" si="65"/>
        <v>83.111042811303435</v>
      </c>
      <c r="P81" s="82">
        <f t="shared" si="65"/>
        <v>89.588933847855813</v>
      </c>
      <c r="Q81" s="82">
        <f t="shared" si="65"/>
        <v>108.09093461656657</v>
      </c>
      <c r="R81" s="82">
        <f t="shared" si="65"/>
        <v>99.10699184785588</v>
      </c>
      <c r="S81" s="82">
        <f t="shared" si="65"/>
        <v>90.95654159999998</v>
      </c>
      <c r="T81" s="82">
        <f t="shared" si="65"/>
        <v>65.246223239999992</v>
      </c>
      <c r="U81" s="82">
        <f t="shared" si="65"/>
        <v>64.806378840000008</v>
      </c>
      <c r="V81" s="82">
        <f t="shared" si="65"/>
        <v>50.699870279999999</v>
      </c>
      <c r="W81" s="82">
        <f t="shared" si="65"/>
        <v>54.88523172</v>
      </c>
      <c r="X81" s="82">
        <f t="shared" ref="X81:Y81" si="66">X82+X87</f>
        <v>67.44424751999999</v>
      </c>
      <c r="Y81" s="82">
        <f t="shared" si="66"/>
        <v>59.75405135999997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48.078090234720122</v>
      </c>
      <c r="C82" s="64">
        <f t="shared" ref="C82:W82" si="68">SUM(C83:C86)</f>
        <v>48.078090234720129</v>
      </c>
      <c r="D82" s="64">
        <f t="shared" si="68"/>
        <v>54.89483279254879</v>
      </c>
      <c r="E82" s="64">
        <f t="shared" si="68"/>
        <v>64.342492792548768</v>
      </c>
      <c r="F82" s="64">
        <f t="shared" si="68"/>
        <v>67.491799072548815</v>
      </c>
      <c r="G82" s="64">
        <f t="shared" si="68"/>
        <v>58.074488507755994</v>
      </c>
      <c r="H82" s="64">
        <f t="shared" si="68"/>
        <v>54.458155387109763</v>
      </c>
      <c r="I82" s="64">
        <f t="shared" si="68"/>
        <v>63.600875463704739</v>
      </c>
      <c r="J82" s="64">
        <f t="shared" si="68"/>
        <v>63.590144707109779</v>
      </c>
      <c r="K82" s="64">
        <f t="shared" si="68"/>
        <v>51.108725811303451</v>
      </c>
      <c r="L82" s="64">
        <f t="shared" si="68"/>
        <v>69.880292487855826</v>
      </c>
      <c r="M82" s="64">
        <f t="shared" si="68"/>
        <v>48.124426424708211</v>
      </c>
      <c r="N82" s="64">
        <f t="shared" si="68"/>
        <v>70.146533727855811</v>
      </c>
      <c r="O82" s="64">
        <f t="shared" si="68"/>
        <v>83.111042811303435</v>
      </c>
      <c r="P82" s="64">
        <f t="shared" si="68"/>
        <v>89.588933847855813</v>
      </c>
      <c r="Q82" s="64">
        <f t="shared" si="68"/>
        <v>108.09093461656657</v>
      </c>
      <c r="R82" s="64">
        <f t="shared" si="68"/>
        <v>99.10699184785588</v>
      </c>
      <c r="S82" s="64">
        <f t="shared" si="68"/>
        <v>90.95654159999998</v>
      </c>
      <c r="T82" s="64">
        <f t="shared" si="68"/>
        <v>65.246223239999992</v>
      </c>
      <c r="U82" s="64">
        <f t="shared" si="68"/>
        <v>64.806378840000008</v>
      </c>
      <c r="V82" s="64">
        <f t="shared" si="68"/>
        <v>50.699870279999999</v>
      </c>
      <c r="W82" s="64">
        <f t="shared" si="68"/>
        <v>54.88523172</v>
      </c>
      <c r="X82" s="64">
        <f t="shared" ref="X82:Y82" si="69">SUM(X83:X86)</f>
        <v>67.44424751999999</v>
      </c>
      <c r="Y82" s="64">
        <f t="shared" si="69"/>
        <v>59.75405135999997</v>
      </c>
      <c r="DA82" s="108" t="s">
        <v>233</v>
      </c>
    </row>
    <row r="83" spans="1:105" ht="12" customHeight="1" x14ac:dyDescent="0.25">
      <c r="A83" s="61" t="s">
        <v>32</v>
      </c>
      <c r="B83" s="65">
        <v>43.838464921604739</v>
      </c>
      <c r="C83" s="65">
        <v>43.875259167795789</v>
      </c>
      <c r="D83" s="65">
        <v>50.15477920644085</v>
      </c>
      <c r="E83" s="65">
        <v>59.964650182768814</v>
      </c>
      <c r="F83" s="65">
        <v>63.359590352578188</v>
      </c>
      <c r="G83" s="65">
        <v>53.582931860638048</v>
      </c>
      <c r="H83" s="65">
        <v>44.861959294895883</v>
      </c>
      <c r="I83" s="65">
        <v>51.648458338828021</v>
      </c>
      <c r="J83" s="65">
        <v>49.087303382569445</v>
      </c>
      <c r="K83" s="65">
        <v>32.341227154923814</v>
      </c>
      <c r="L83" s="65">
        <v>56.837296905972806</v>
      </c>
      <c r="M83" s="65">
        <v>33.542516118989646</v>
      </c>
      <c r="N83" s="65">
        <v>56.731809944368926</v>
      </c>
      <c r="O83" s="65">
        <v>70.541850917808247</v>
      </c>
      <c r="P83" s="65">
        <v>77.217059408607909</v>
      </c>
      <c r="Q83" s="65">
        <v>93.885320553153221</v>
      </c>
      <c r="R83" s="65">
        <v>86.920417696338632</v>
      </c>
      <c r="S83" s="65">
        <v>75.884805535763476</v>
      </c>
      <c r="T83" s="65">
        <v>45.536140870138397</v>
      </c>
      <c r="U83" s="65">
        <v>44.025467232730485</v>
      </c>
      <c r="V83" s="65">
        <v>36.702016163973099</v>
      </c>
      <c r="W83" s="65">
        <v>39.490618078593208</v>
      </c>
      <c r="X83" s="65">
        <v>47.495683975106353</v>
      </c>
      <c r="Y83" s="65">
        <v>37.099857693999255</v>
      </c>
      <c r="DA83" s="109" t="s">
        <v>234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DA84" s="109" t="s">
        <v>235</v>
      </c>
    </row>
    <row r="85" spans="1:105" ht="12" customHeight="1" x14ac:dyDescent="0.25">
      <c r="A85" s="61" t="s">
        <v>35</v>
      </c>
      <c r="B85" s="65">
        <v>2.0793722428155901</v>
      </c>
      <c r="C85" s="65">
        <v>2.097643069257193</v>
      </c>
      <c r="D85" s="65">
        <v>2.0924178412658487</v>
      </c>
      <c r="E85" s="65">
        <v>1.8114491158021326</v>
      </c>
      <c r="F85" s="65">
        <v>1.6922201689637351</v>
      </c>
      <c r="G85" s="65">
        <v>1.8630327475555035</v>
      </c>
      <c r="H85" s="65">
        <v>4.7315472111352097</v>
      </c>
      <c r="I85" s="65">
        <v>5.9373260204199703</v>
      </c>
      <c r="J85" s="65">
        <v>5.5930910800577927</v>
      </c>
      <c r="K85" s="65">
        <v>5.1936595010821014</v>
      </c>
      <c r="L85" s="65">
        <v>2.5362080761190806</v>
      </c>
      <c r="M85" s="65">
        <v>2.3559328168350002</v>
      </c>
      <c r="N85" s="65">
        <v>1.7172409674084268</v>
      </c>
      <c r="O85" s="65">
        <v>0.9581164101252776</v>
      </c>
      <c r="P85" s="65">
        <v>0.75979704886940336</v>
      </c>
      <c r="Q85" s="65">
        <v>0.65484327730560798</v>
      </c>
      <c r="R85" s="65">
        <v>0.554552798106412</v>
      </c>
      <c r="S85" s="65">
        <v>0.67636673380403523</v>
      </c>
      <c r="T85" s="65">
        <v>0.9044039168112783</v>
      </c>
      <c r="U85" s="65">
        <v>0.91041064000750382</v>
      </c>
      <c r="V85" s="65">
        <v>0.69809527389997439</v>
      </c>
      <c r="W85" s="65">
        <v>0.76186901668852369</v>
      </c>
      <c r="X85" s="65">
        <v>0.94431921005208608</v>
      </c>
      <c r="Y85" s="65">
        <v>0.6597297207547288</v>
      </c>
      <c r="DA85" s="109" t="s">
        <v>236</v>
      </c>
    </row>
    <row r="86" spans="1:105" ht="12" customHeight="1" x14ac:dyDescent="0.25">
      <c r="A86" s="66" t="s">
        <v>34</v>
      </c>
      <c r="B86" s="67">
        <v>2.1602530702997971</v>
      </c>
      <c r="C86" s="67">
        <v>2.1051879976671422</v>
      </c>
      <c r="D86" s="67">
        <v>2.64763574484209</v>
      </c>
      <c r="E86" s="67">
        <v>2.5663934939778139</v>
      </c>
      <c r="F86" s="67">
        <v>2.4399885510068922</v>
      </c>
      <c r="G86" s="67">
        <v>2.6285238995624454</v>
      </c>
      <c r="H86" s="67">
        <v>4.8646488810786721</v>
      </c>
      <c r="I86" s="67">
        <v>6.0150911044567446</v>
      </c>
      <c r="J86" s="67">
        <v>8.9097502444825434</v>
      </c>
      <c r="K86" s="67">
        <v>13.573839155297533</v>
      </c>
      <c r="L86" s="67">
        <v>10.506787505763938</v>
      </c>
      <c r="M86" s="67">
        <v>12.225977488883565</v>
      </c>
      <c r="N86" s="67">
        <v>11.697482816078461</v>
      </c>
      <c r="O86" s="67">
        <v>11.61107548336992</v>
      </c>
      <c r="P86" s="67">
        <v>11.612077390378504</v>
      </c>
      <c r="Q86" s="67">
        <v>13.550770786107748</v>
      </c>
      <c r="R86" s="67">
        <v>11.632021353410831</v>
      </c>
      <c r="S86" s="67">
        <v>14.395369330432469</v>
      </c>
      <c r="T86" s="67">
        <v>18.805678453050319</v>
      </c>
      <c r="U86" s="67">
        <v>19.870500967262014</v>
      </c>
      <c r="V86" s="67">
        <v>13.299758842126923</v>
      </c>
      <c r="W86" s="67">
        <v>14.632744624718269</v>
      </c>
      <c r="X86" s="67">
        <v>19.004244334841548</v>
      </c>
      <c r="Y86" s="67">
        <v>21.99446394524599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0.91181793427281999</v>
      </c>
      <c r="C91" s="71">
        <f t="shared" ref="C91:W91" si="77">IF(C83=0,0,C83/C$81)</f>
        <v>0.91258323601445346</v>
      </c>
      <c r="D91" s="71">
        <f t="shared" si="77"/>
        <v>0.9136520990232192</v>
      </c>
      <c r="E91" s="71">
        <f t="shared" si="77"/>
        <v>0.93196032015895203</v>
      </c>
      <c r="F91" s="71">
        <f t="shared" si="77"/>
        <v>0.9387746544505533</v>
      </c>
      <c r="G91" s="71">
        <f t="shared" si="77"/>
        <v>0.92265869639957165</v>
      </c>
      <c r="H91" s="71">
        <f t="shared" si="77"/>
        <v>0.82378771326350697</v>
      </c>
      <c r="I91" s="71">
        <f t="shared" si="77"/>
        <v>0.81207149999534789</v>
      </c>
      <c r="J91" s="71">
        <f t="shared" si="77"/>
        <v>0.77193256295705792</v>
      </c>
      <c r="K91" s="71">
        <f t="shared" si="77"/>
        <v>0.63279267173143017</v>
      </c>
      <c r="L91" s="71">
        <f t="shared" si="77"/>
        <v>0.81335230409704273</v>
      </c>
      <c r="M91" s="71">
        <f t="shared" si="77"/>
        <v>0.69699565503326455</v>
      </c>
      <c r="N91" s="71">
        <f t="shared" si="77"/>
        <v>0.80876141598769014</v>
      </c>
      <c r="O91" s="71">
        <f t="shared" si="77"/>
        <v>0.84876628341636295</v>
      </c>
      <c r="P91" s="71">
        <f t="shared" si="77"/>
        <v>0.86190398849640948</v>
      </c>
      <c r="Q91" s="71">
        <f t="shared" si="77"/>
        <v>0.86857719277009449</v>
      </c>
      <c r="R91" s="71">
        <f t="shared" si="77"/>
        <v>0.87703618156198837</v>
      </c>
      <c r="S91" s="71">
        <f t="shared" si="77"/>
        <v>0.83429739302844708</v>
      </c>
      <c r="T91" s="71">
        <f t="shared" si="77"/>
        <v>0.69791228685589135</v>
      </c>
      <c r="U91" s="71">
        <f t="shared" si="77"/>
        <v>0.67933848520412843</v>
      </c>
      <c r="V91" s="71">
        <f t="shared" si="77"/>
        <v>0.72390749643498098</v>
      </c>
      <c r="W91" s="71">
        <f t="shared" si="77"/>
        <v>0.71951264194449882</v>
      </c>
      <c r="X91" s="71">
        <f t="shared" ref="X91:Y91" si="78">IF(X83=0,0,X83/X$81)</f>
        <v>0.70422142319879732</v>
      </c>
      <c r="Y91" s="71">
        <f t="shared" si="78"/>
        <v>0.62087602178610291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0</v>
      </c>
      <c r="C92" s="72">
        <f t="shared" ref="C92:W92" si="80">IF(C84=0,0,C84/C$81)</f>
        <v>0</v>
      </c>
      <c r="D92" s="72">
        <f t="shared" si="80"/>
        <v>0</v>
      </c>
      <c r="E92" s="72">
        <f t="shared" si="80"/>
        <v>0</v>
      </c>
      <c r="F92" s="72">
        <f t="shared" si="80"/>
        <v>0</v>
      </c>
      <c r="G92" s="72">
        <f t="shared" si="80"/>
        <v>0</v>
      </c>
      <c r="H92" s="72">
        <f t="shared" si="80"/>
        <v>0</v>
      </c>
      <c r="I92" s="72">
        <f t="shared" si="80"/>
        <v>0</v>
      </c>
      <c r="J92" s="72">
        <f t="shared" si="80"/>
        <v>0</v>
      </c>
      <c r="K92" s="72">
        <f t="shared" si="80"/>
        <v>0</v>
      </c>
      <c r="L92" s="72">
        <f t="shared" si="80"/>
        <v>0</v>
      </c>
      <c r="M92" s="72">
        <f t="shared" si="80"/>
        <v>0</v>
      </c>
      <c r="N92" s="72">
        <f t="shared" si="80"/>
        <v>0</v>
      </c>
      <c r="O92" s="72">
        <f t="shared" si="80"/>
        <v>0</v>
      </c>
      <c r="P92" s="72">
        <f t="shared" si="80"/>
        <v>0</v>
      </c>
      <c r="Q92" s="72">
        <f t="shared" si="80"/>
        <v>0</v>
      </c>
      <c r="R92" s="72">
        <f t="shared" si="80"/>
        <v>0</v>
      </c>
      <c r="S92" s="72">
        <f t="shared" si="80"/>
        <v>0</v>
      </c>
      <c r="T92" s="72">
        <f t="shared" si="80"/>
        <v>0</v>
      </c>
      <c r="U92" s="72">
        <f t="shared" si="80"/>
        <v>0</v>
      </c>
      <c r="V92" s="72">
        <f t="shared" si="80"/>
        <v>0</v>
      </c>
      <c r="W92" s="72">
        <f t="shared" si="80"/>
        <v>0</v>
      </c>
      <c r="X92" s="72">
        <f t="shared" ref="X92:Y92" si="81">IF(X84=0,0,X84/X$81)</f>
        <v>0</v>
      </c>
      <c r="Y92" s="72">
        <f t="shared" si="81"/>
        <v>0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4.3249892678015496E-2</v>
      </c>
      <c r="C93" s="72">
        <f t="shared" ref="C93:W93" si="83">IF(C85=0,0,C85/C$81)</f>
        <v>4.362991664220383E-2</v>
      </c>
      <c r="D93" s="72">
        <f t="shared" si="83"/>
        <v>3.8116845153226615E-2</v>
      </c>
      <c r="E93" s="72">
        <f t="shared" si="83"/>
        <v>2.8153231825234923E-2</v>
      </c>
      <c r="F93" s="72">
        <f t="shared" si="83"/>
        <v>2.5072974675704237E-2</v>
      </c>
      <c r="G93" s="72">
        <f t="shared" si="83"/>
        <v>3.2080054347903397E-2</v>
      </c>
      <c r="H93" s="72">
        <f t="shared" si="83"/>
        <v>8.6884088847694718E-2</v>
      </c>
      <c r="I93" s="72">
        <f t="shared" si="83"/>
        <v>9.3352897694124318E-2</v>
      </c>
      <c r="J93" s="72">
        <f t="shared" si="83"/>
        <v>8.7955312978434688E-2</v>
      </c>
      <c r="K93" s="72">
        <f t="shared" si="83"/>
        <v>0.10161981968123038</v>
      </c>
      <c r="L93" s="72">
        <f t="shared" si="83"/>
        <v>3.6293609912406086E-2</v>
      </c>
      <c r="M93" s="72">
        <f t="shared" si="83"/>
        <v>4.8955031610006035E-2</v>
      </c>
      <c r="N93" s="72">
        <f t="shared" si="83"/>
        <v>2.4480767275981523E-2</v>
      </c>
      <c r="O93" s="72">
        <f t="shared" si="83"/>
        <v>1.1528148098208797E-2</v>
      </c>
      <c r="P93" s="72">
        <f t="shared" si="83"/>
        <v>8.4809252240876844E-3</v>
      </c>
      <c r="Q93" s="72">
        <f t="shared" si="83"/>
        <v>6.0582626991666638E-3</v>
      </c>
      <c r="R93" s="72">
        <f t="shared" si="83"/>
        <v>5.5954962184477748E-3</v>
      </c>
      <c r="S93" s="72">
        <f t="shared" si="83"/>
        <v>7.4361527154198151E-3</v>
      </c>
      <c r="T93" s="72">
        <f t="shared" si="83"/>
        <v>1.3861398743104911E-2</v>
      </c>
      <c r="U93" s="72">
        <f t="shared" si="83"/>
        <v>1.4048164028038197E-2</v>
      </c>
      <c r="V93" s="72">
        <f t="shared" si="83"/>
        <v>1.3769172781796206E-2</v>
      </c>
      <c r="W93" s="72">
        <f t="shared" si="83"/>
        <v>1.3881129637481353E-2</v>
      </c>
      <c r="X93" s="72">
        <f t="shared" ref="X93:Y93" si="84">IF(X85=0,0,X85/X$81)</f>
        <v>1.4001478921861448E-2</v>
      </c>
      <c r="Y93" s="72">
        <f t="shared" si="84"/>
        <v>1.1040752982254844E-2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4.4932173049164637E-2</v>
      </c>
      <c r="C94" s="73">
        <f t="shared" ref="C94:W94" si="86">IF(C86=0,0,C86/C$81)</f>
        <v>4.3786847343342629E-2</v>
      </c>
      <c r="D94" s="73">
        <f t="shared" si="86"/>
        <v>4.8231055823554123E-2</v>
      </c>
      <c r="E94" s="73">
        <f t="shared" si="86"/>
        <v>3.9886448015812918E-2</v>
      </c>
      <c r="F94" s="73">
        <f t="shared" si="86"/>
        <v>3.6152370873742457E-2</v>
      </c>
      <c r="G94" s="73">
        <f t="shared" si="86"/>
        <v>4.5261249252525046E-2</v>
      </c>
      <c r="H94" s="73">
        <f t="shared" si="86"/>
        <v>8.932819788879838E-2</v>
      </c>
      <c r="I94" s="73">
        <f t="shared" si="86"/>
        <v>9.4575602310527793E-2</v>
      </c>
      <c r="J94" s="73">
        <f t="shared" si="86"/>
        <v>0.1401121240645074</v>
      </c>
      <c r="K94" s="73">
        <f t="shared" si="86"/>
        <v>0.26558750858733943</v>
      </c>
      <c r="L94" s="73">
        <f t="shared" si="86"/>
        <v>0.15035408599055111</v>
      </c>
      <c r="M94" s="73">
        <f t="shared" si="86"/>
        <v>0.25404931335672942</v>
      </c>
      <c r="N94" s="73">
        <f t="shared" si="86"/>
        <v>0.16675781673632845</v>
      </c>
      <c r="O94" s="73">
        <f t="shared" si="86"/>
        <v>0.13970556848542834</v>
      </c>
      <c r="P94" s="73">
        <f t="shared" si="86"/>
        <v>0.12961508627950286</v>
      </c>
      <c r="Q94" s="73">
        <f t="shared" si="86"/>
        <v>0.12536454453073892</v>
      </c>
      <c r="R94" s="73">
        <f t="shared" si="86"/>
        <v>0.11736832221956379</v>
      </c>
      <c r="S94" s="73">
        <f t="shared" si="86"/>
        <v>0.15826645425613317</v>
      </c>
      <c r="T94" s="73">
        <f t="shared" si="86"/>
        <v>0.28822631440100382</v>
      </c>
      <c r="U94" s="73">
        <f t="shared" si="86"/>
        <v>0.30661335076783336</v>
      </c>
      <c r="V94" s="73">
        <f t="shared" si="86"/>
        <v>0.26232333078322273</v>
      </c>
      <c r="W94" s="73">
        <f t="shared" si="86"/>
        <v>0.26660622841801984</v>
      </c>
      <c r="X94" s="73">
        <f t="shared" ref="X94:Y94" si="87">IF(X86=0,0,X86/X$81)</f>
        <v>0.28177709787934113</v>
      </c>
      <c r="Y94" s="73">
        <f t="shared" si="87"/>
        <v>0.36808322523164227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313767.76327820827</v>
      </c>
      <c r="C99" s="82">
        <f t="shared" ref="C99:W99" si="92">C47*11630*1000/C$8</f>
        <v>317620.13440722931</v>
      </c>
      <c r="D99" s="82">
        <f t="shared" si="92"/>
        <v>334527.71457610792</v>
      </c>
      <c r="E99" s="82">
        <f t="shared" si="92"/>
        <v>363490.24762062979</v>
      </c>
      <c r="F99" s="82">
        <f t="shared" si="92"/>
        <v>367111.3906831122</v>
      </c>
      <c r="G99" s="82">
        <f t="shared" si="92"/>
        <v>385936.19423294498</v>
      </c>
      <c r="H99" s="82">
        <f t="shared" si="92"/>
        <v>336875.86283522926</v>
      </c>
      <c r="I99" s="82">
        <f t="shared" si="92"/>
        <v>338395.92036594095</v>
      </c>
      <c r="J99" s="82">
        <f t="shared" si="92"/>
        <v>313486.9475435444</v>
      </c>
      <c r="K99" s="82">
        <f t="shared" si="92"/>
        <v>288165.81519529689</v>
      </c>
      <c r="L99" s="82">
        <f t="shared" si="92"/>
        <v>375455.67469075415</v>
      </c>
      <c r="M99" s="82">
        <f t="shared" si="92"/>
        <v>354621.87944147666</v>
      </c>
      <c r="N99" s="82">
        <f t="shared" si="92"/>
        <v>385989.64750144345</v>
      </c>
      <c r="O99" s="82">
        <f t="shared" si="92"/>
        <v>391430.49865717039</v>
      </c>
      <c r="P99" s="82">
        <f t="shared" si="92"/>
        <v>399700.0799461907</v>
      </c>
      <c r="Q99" s="82">
        <f t="shared" si="92"/>
        <v>425397.4464139007</v>
      </c>
      <c r="R99" s="82">
        <f t="shared" si="92"/>
        <v>402033.39186328021</v>
      </c>
      <c r="S99" s="82">
        <f t="shared" si="92"/>
        <v>405398.36407783197</v>
      </c>
      <c r="T99" s="82">
        <f t="shared" si="92"/>
        <v>364700.01857934124</v>
      </c>
      <c r="U99" s="82">
        <f t="shared" si="92"/>
        <v>362228.55432075285</v>
      </c>
      <c r="V99" s="82">
        <f t="shared" si="92"/>
        <v>302182.78879277234</v>
      </c>
      <c r="W99" s="82">
        <f t="shared" si="92"/>
        <v>310322.19166917057</v>
      </c>
      <c r="X99" s="82">
        <f t="shared" ref="X99:Y99" si="93">X47*11630*1000/X$8</f>
        <v>343570.26091224939</v>
      </c>
      <c r="Y99" s="82">
        <f t="shared" si="93"/>
        <v>333557.24915591831</v>
      </c>
      <c r="DA99" s="107"/>
    </row>
    <row r="100" spans="1:105" ht="12" customHeight="1" x14ac:dyDescent="0.25">
      <c r="A100" s="77" t="s">
        <v>36</v>
      </c>
      <c r="B100" s="64">
        <f t="shared" si="91"/>
        <v>240941.28440082315</v>
      </c>
      <c r="C100" s="64">
        <f t="shared" ref="C100:W100" si="94">C48*11630*1000/C$8</f>
        <v>243536.1777118411</v>
      </c>
      <c r="D100" s="64">
        <f t="shared" si="94"/>
        <v>258577.23671994047</v>
      </c>
      <c r="E100" s="64">
        <f t="shared" si="94"/>
        <v>285382.06887836137</v>
      </c>
      <c r="F100" s="64">
        <f t="shared" si="94"/>
        <v>286607.44155618612</v>
      </c>
      <c r="G100" s="64">
        <f t="shared" si="94"/>
        <v>304745.68884313473</v>
      </c>
      <c r="H100" s="64">
        <f t="shared" si="94"/>
        <v>255068.96082172697</v>
      </c>
      <c r="I100" s="64">
        <f t="shared" si="94"/>
        <v>256643.74188592058</v>
      </c>
      <c r="J100" s="64">
        <f t="shared" si="94"/>
        <v>233249.57945438652</v>
      </c>
      <c r="K100" s="64">
        <f t="shared" si="94"/>
        <v>206820.36155209964</v>
      </c>
      <c r="L100" s="64">
        <f t="shared" si="94"/>
        <v>293536.17783372651</v>
      </c>
      <c r="M100" s="64">
        <f t="shared" si="94"/>
        <v>273261.58750960266</v>
      </c>
      <c r="N100" s="64">
        <f t="shared" si="94"/>
        <v>305783.63864932983</v>
      </c>
      <c r="O100" s="64">
        <f t="shared" si="94"/>
        <v>311215.15247673204</v>
      </c>
      <c r="P100" s="64">
        <f t="shared" si="94"/>
        <v>319739.03840405232</v>
      </c>
      <c r="Q100" s="64">
        <f t="shared" si="94"/>
        <v>344669.39036756457</v>
      </c>
      <c r="R100" s="64">
        <f t="shared" si="94"/>
        <v>322853.66692200967</v>
      </c>
      <c r="S100" s="64">
        <f t="shared" si="94"/>
        <v>328153.93633254518</v>
      </c>
      <c r="T100" s="64">
        <f t="shared" si="94"/>
        <v>288954.94744669419</v>
      </c>
      <c r="U100" s="64">
        <f t="shared" si="94"/>
        <v>287421.2851110145</v>
      </c>
      <c r="V100" s="64">
        <f t="shared" si="94"/>
        <v>233369.06357772468</v>
      </c>
      <c r="W100" s="64">
        <f t="shared" si="94"/>
        <v>242200.56739155436</v>
      </c>
      <c r="X100" s="64">
        <f t="shared" ref="X100:Y100" si="95">X48*11630*1000/X$8</f>
        <v>276216.35096075496</v>
      </c>
      <c r="Y100" s="64">
        <f t="shared" si="95"/>
        <v>266491.84824917873</v>
      </c>
      <c r="DA100" s="108"/>
    </row>
    <row r="101" spans="1:105" ht="12" customHeight="1" x14ac:dyDescent="0.25">
      <c r="A101" s="61" t="s">
        <v>32</v>
      </c>
      <c r="B101" s="65">
        <f t="shared" si="91"/>
        <v>108828.76944676416</v>
      </c>
      <c r="C101" s="65">
        <f t="shared" ref="C101:W101" si="96">C49*11630*1000/C$8</f>
        <v>111409.95330423232</v>
      </c>
      <c r="D101" s="65">
        <f t="shared" si="96"/>
        <v>128990.84320171647</v>
      </c>
      <c r="E101" s="65">
        <f t="shared" si="96"/>
        <v>145237.4963023804</v>
      </c>
      <c r="F101" s="65">
        <f t="shared" si="96"/>
        <v>157439.06279620511</v>
      </c>
      <c r="G101" s="65">
        <f t="shared" si="96"/>
        <v>179071.78641293565</v>
      </c>
      <c r="H101" s="65">
        <f t="shared" si="96"/>
        <v>123797.77809446932</v>
      </c>
      <c r="I101" s="65">
        <f t="shared" si="96"/>
        <v>126361.55571014885</v>
      </c>
      <c r="J101" s="65">
        <f t="shared" si="96"/>
        <v>109211.7886083534</v>
      </c>
      <c r="K101" s="65">
        <f t="shared" si="96"/>
        <v>79276.690520686869</v>
      </c>
      <c r="L101" s="65">
        <f t="shared" si="96"/>
        <v>168593.27417892677</v>
      </c>
      <c r="M101" s="65">
        <f t="shared" si="96"/>
        <v>146791.8262369234</v>
      </c>
      <c r="N101" s="65">
        <f t="shared" si="96"/>
        <v>172593.20973439058</v>
      </c>
      <c r="O101" s="65">
        <f t="shared" si="96"/>
        <v>185972.22226590299</v>
      </c>
      <c r="P101" s="65">
        <f t="shared" si="96"/>
        <v>194883.42159940524</v>
      </c>
      <c r="Q101" s="65">
        <f t="shared" si="96"/>
        <v>219424.51463149165</v>
      </c>
      <c r="R101" s="65">
        <f t="shared" si="96"/>
        <v>202601.53158556635</v>
      </c>
      <c r="S101" s="65">
        <f t="shared" si="96"/>
        <v>207009.29077677356</v>
      </c>
      <c r="T101" s="65">
        <f t="shared" si="96"/>
        <v>169477.87395861288</v>
      </c>
      <c r="U101" s="65">
        <f t="shared" si="96"/>
        <v>163095.67289570649</v>
      </c>
      <c r="V101" s="65">
        <f t="shared" si="96"/>
        <v>123332.2834527799</v>
      </c>
      <c r="W101" s="65">
        <f t="shared" si="96"/>
        <v>126436.54768938007</v>
      </c>
      <c r="X101" s="65">
        <f t="shared" ref="X101:Y101" si="97">X49*11630*1000/X$8</f>
        <v>158468.04471839886</v>
      </c>
      <c r="Y101" s="65">
        <f t="shared" si="97"/>
        <v>148689.67025640295</v>
      </c>
      <c r="DA101" s="109"/>
    </row>
    <row r="102" spans="1:105" ht="12" customHeight="1" x14ac:dyDescent="0.25">
      <c r="A102" s="61" t="s">
        <v>31</v>
      </c>
      <c r="B102" s="65">
        <f t="shared" si="91"/>
        <v>20957.430347983245</v>
      </c>
      <c r="C102" s="65">
        <f t="shared" ref="C102:W102" si="98">C50*11630*1000/C$8</f>
        <v>23518.660177795387</v>
      </c>
      <c r="D102" s="65">
        <f t="shared" si="98"/>
        <v>18222.075068003964</v>
      </c>
      <c r="E102" s="65">
        <f t="shared" si="98"/>
        <v>27313.770735836108</v>
      </c>
      <c r="F102" s="65">
        <f t="shared" si="98"/>
        <v>14111.236634833236</v>
      </c>
      <c r="G102" s="65">
        <f t="shared" si="98"/>
        <v>13632.890570460058</v>
      </c>
      <c r="H102" s="65">
        <f t="shared" si="98"/>
        <v>18249.078949135601</v>
      </c>
      <c r="I102" s="65">
        <f t="shared" si="98"/>
        <v>18349.830197369061</v>
      </c>
      <c r="J102" s="65">
        <f t="shared" si="98"/>
        <v>14987.093096499591</v>
      </c>
      <c r="K102" s="65">
        <f t="shared" si="98"/>
        <v>16231.361041342543</v>
      </c>
      <c r="L102" s="65">
        <f t="shared" si="98"/>
        <v>13290.138490501926</v>
      </c>
      <c r="M102" s="65">
        <f t="shared" si="98"/>
        <v>14196.583265087231</v>
      </c>
      <c r="N102" s="65">
        <f t="shared" si="98"/>
        <v>24277.755987136512</v>
      </c>
      <c r="O102" s="65">
        <f t="shared" si="98"/>
        <v>16931.651322963007</v>
      </c>
      <c r="P102" s="65">
        <f t="shared" si="98"/>
        <v>17155.93244836837</v>
      </c>
      <c r="Q102" s="65">
        <f t="shared" si="98"/>
        <v>18050.519789480677</v>
      </c>
      <c r="R102" s="65">
        <f t="shared" si="98"/>
        <v>14635.346095048275</v>
      </c>
      <c r="S102" s="65">
        <f t="shared" si="98"/>
        <v>17015.997776639255</v>
      </c>
      <c r="T102" s="65">
        <f t="shared" si="98"/>
        <v>15044.767936763585</v>
      </c>
      <c r="U102" s="65">
        <f t="shared" si="98"/>
        <v>20661.050183292242</v>
      </c>
      <c r="V102" s="65">
        <f t="shared" si="98"/>
        <v>15792.957685311554</v>
      </c>
      <c r="W102" s="65">
        <f t="shared" si="98"/>
        <v>19946.010469146015</v>
      </c>
      <c r="X102" s="65">
        <f t="shared" ref="X102:Y102" si="99">X50*11630*1000/X$8</f>
        <v>21282.696971707781</v>
      </c>
      <c r="Y102" s="65">
        <f t="shared" si="99"/>
        <v>19156.594378154685</v>
      </c>
      <c r="DA102" s="109"/>
    </row>
    <row r="103" spans="1:105" ht="12" customHeight="1" x14ac:dyDescent="0.25">
      <c r="A103" s="61" t="s">
        <v>35</v>
      </c>
      <c r="B103" s="65">
        <f t="shared" si="91"/>
        <v>52694.811592342223</v>
      </c>
      <c r="C103" s="65">
        <f t="shared" ref="C103:W103" si="100">C51*11630*1000/C$8</f>
        <v>50351.886169450037</v>
      </c>
      <c r="D103" s="65">
        <f t="shared" si="100"/>
        <v>51466.91957835944</v>
      </c>
      <c r="E103" s="65">
        <f t="shared" si="100"/>
        <v>51544.637564223922</v>
      </c>
      <c r="F103" s="65">
        <f t="shared" si="100"/>
        <v>52600.23716578343</v>
      </c>
      <c r="G103" s="65">
        <f t="shared" si="100"/>
        <v>51463.809101515304</v>
      </c>
      <c r="H103" s="65">
        <f t="shared" si="100"/>
        <v>51975.500220128066</v>
      </c>
      <c r="I103" s="65">
        <f t="shared" si="100"/>
        <v>51357.193434886613</v>
      </c>
      <c r="J103" s="65">
        <f t="shared" si="100"/>
        <v>49516.231769216341</v>
      </c>
      <c r="K103" s="65">
        <f t="shared" si="100"/>
        <v>49669.160726431648</v>
      </c>
      <c r="L103" s="65">
        <f t="shared" si="100"/>
        <v>50364.532737627211</v>
      </c>
      <c r="M103" s="65">
        <f t="shared" si="100"/>
        <v>50484.157536970975</v>
      </c>
      <c r="N103" s="65">
        <f t="shared" si="100"/>
        <v>48632.183123401832</v>
      </c>
      <c r="O103" s="65">
        <f t="shared" si="100"/>
        <v>48672.410579448522</v>
      </c>
      <c r="P103" s="65">
        <f t="shared" si="100"/>
        <v>47925.415909085881</v>
      </c>
      <c r="Q103" s="65">
        <f t="shared" si="100"/>
        <v>47127.138100929769</v>
      </c>
      <c r="R103" s="65">
        <f t="shared" si="100"/>
        <v>46422.453811650637</v>
      </c>
      <c r="S103" s="65">
        <f t="shared" si="100"/>
        <v>45293.279745326639</v>
      </c>
      <c r="T103" s="65">
        <f t="shared" si="100"/>
        <v>44480.808523880398</v>
      </c>
      <c r="U103" s="65">
        <f t="shared" si="100"/>
        <v>43775.87563459036</v>
      </c>
      <c r="V103" s="65">
        <f t="shared" si="100"/>
        <v>41050.332797987838</v>
      </c>
      <c r="W103" s="65">
        <f t="shared" si="100"/>
        <v>41201.512705415953</v>
      </c>
      <c r="X103" s="65">
        <f t="shared" ref="X103:Y103" si="101">X51*11630*1000/X$8</f>
        <v>40584.271591353485</v>
      </c>
      <c r="Y103" s="65">
        <f t="shared" si="101"/>
        <v>41103.897756299484</v>
      </c>
      <c r="DA103" s="109"/>
    </row>
    <row r="104" spans="1:105" ht="12" customHeight="1" x14ac:dyDescent="0.25">
      <c r="A104" s="66" t="s">
        <v>34</v>
      </c>
      <c r="B104" s="67">
        <f t="shared" si="91"/>
        <v>58460.273013733495</v>
      </c>
      <c r="C104" s="67">
        <f t="shared" ref="C104:W104" si="102">C52*11630*1000/C$8</f>
        <v>58255.678060363374</v>
      </c>
      <c r="D104" s="67">
        <f t="shared" si="102"/>
        <v>59897.398871860583</v>
      </c>
      <c r="E104" s="67">
        <f t="shared" si="102"/>
        <v>61286.164275920964</v>
      </c>
      <c r="F104" s="67">
        <f t="shared" si="102"/>
        <v>62456.904959364358</v>
      </c>
      <c r="G104" s="67">
        <f t="shared" si="102"/>
        <v>60577.202758223662</v>
      </c>
      <c r="H104" s="67">
        <f t="shared" si="102"/>
        <v>61046.603557993978</v>
      </c>
      <c r="I104" s="67">
        <f t="shared" si="102"/>
        <v>60575.16254351606</v>
      </c>
      <c r="J104" s="67">
        <f t="shared" si="102"/>
        <v>59534.465980317225</v>
      </c>
      <c r="K104" s="67">
        <f t="shared" si="102"/>
        <v>61643.149263638559</v>
      </c>
      <c r="L104" s="67">
        <f t="shared" si="102"/>
        <v>61288.232426670627</v>
      </c>
      <c r="M104" s="67">
        <f t="shared" si="102"/>
        <v>61789.020470621064</v>
      </c>
      <c r="N104" s="67">
        <f t="shared" si="102"/>
        <v>60280.489804400902</v>
      </c>
      <c r="O104" s="67">
        <f t="shared" si="102"/>
        <v>59638.868308417492</v>
      </c>
      <c r="P104" s="67">
        <f t="shared" si="102"/>
        <v>59774.268447192786</v>
      </c>
      <c r="Q104" s="67">
        <f t="shared" si="102"/>
        <v>60067.217845662439</v>
      </c>
      <c r="R104" s="67">
        <f t="shared" si="102"/>
        <v>59194.33542974438</v>
      </c>
      <c r="S104" s="67">
        <f t="shared" si="102"/>
        <v>58835.368033805789</v>
      </c>
      <c r="T104" s="67">
        <f t="shared" si="102"/>
        <v>59951.497027437326</v>
      </c>
      <c r="U104" s="67">
        <f t="shared" si="102"/>
        <v>59888.686397425401</v>
      </c>
      <c r="V104" s="67">
        <f t="shared" si="102"/>
        <v>53193.489641645414</v>
      </c>
      <c r="W104" s="67">
        <f t="shared" si="102"/>
        <v>54616.496527612318</v>
      </c>
      <c r="X104" s="67">
        <f t="shared" ref="X104:Y104" si="103">X52*11630*1000/X$8</f>
        <v>55881.337679294847</v>
      </c>
      <c r="Y104" s="67">
        <f t="shared" si="103"/>
        <v>57541.685858321587</v>
      </c>
      <c r="DA104" s="110"/>
    </row>
    <row r="105" spans="1:105" ht="12" customHeight="1" x14ac:dyDescent="0.25">
      <c r="A105" s="78" t="s">
        <v>33</v>
      </c>
      <c r="B105" s="68">
        <f t="shared" si="91"/>
        <v>72826.478877385118</v>
      </c>
      <c r="C105" s="68">
        <f t="shared" ref="C105:W105" si="104">C53*11630*1000/C$8</f>
        <v>74083.956695388173</v>
      </c>
      <c r="D105" s="68">
        <f t="shared" si="104"/>
        <v>75950.477856167461</v>
      </c>
      <c r="E105" s="68">
        <f t="shared" si="104"/>
        <v>78108.178742268399</v>
      </c>
      <c r="F105" s="68">
        <f t="shared" si="104"/>
        <v>80503.949126926062</v>
      </c>
      <c r="G105" s="68">
        <f t="shared" si="104"/>
        <v>81190.505389810278</v>
      </c>
      <c r="H105" s="68">
        <f t="shared" si="104"/>
        <v>81806.90201350236</v>
      </c>
      <c r="I105" s="68">
        <f t="shared" si="104"/>
        <v>81752.178480020433</v>
      </c>
      <c r="J105" s="68">
        <f t="shared" si="104"/>
        <v>80237.368089157855</v>
      </c>
      <c r="K105" s="68">
        <f t="shared" si="104"/>
        <v>81345.453643197237</v>
      </c>
      <c r="L105" s="68">
        <f t="shared" si="104"/>
        <v>81919.496857027567</v>
      </c>
      <c r="M105" s="68">
        <f t="shared" si="104"/>
        <v>81360.291931874031</v>
      </c>
      <c r="N105" s="68">
        <f t="shared" si="104"/>
        <v>80206.008852113635</v>
      </c>
      <c r="O105" s="68">
        <f t="shared" si="104"/>
        <v>80215.346180438413</v>
      </c>
      <c r="P105" s="68">
        <f t="shared" si="104"/>
        <v>79961.04154213841</v>
      </c>
      <c r="Q105" s="68">
        <f t="shared" si="104"/>
        <v>80728.056046336118</v>
      </c>
      <c r="R105" s="68">
        <f t="shared" si="104"/>
        <v>79179.724941270586</v>
      </c>
      <c r="S105" s="68">
        <f t="shared" si="104"/>
        <v>77244.427745286725</v>
      </c>
      <c r="T105" s="68">
        <f t="shared" si="104"/>
        <v>75745.071132647092</v>
      </c>
      <c r="U105" s="68">
        <f t="shared" si="104"/>
        <v>74807.269209738268</v>
      </c>
      <c r="V105" s="68">
        <f t="shared" si="104"/>
        <v>68813.7252150477</v>
      </c>
      <c r="W105" s="68">
        <f t="shared" si="104"/>
        <v>68121.624277616167</v>
      </c>
      <c r="X105" s="68">
        <f t="shared" ref="X105:Y105" si="105">X53*11630*1000/X$8</f>
        <v>67353.909951494497</v>
      </c>
      <c r="Y105" s="68">
        <f t="shared" si="105"/>
        <v>67065.400906739625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165881.74927124032</v>
      </c>
      <c r="C107" s="85">
        <f t="shared" ref="C107:W107" si="107">SUM(C108:C111)</f>
        <v>174109.06641547789</v>
      </c>
      <c r="D107" s="85">
        <f t="shared" si="107"/>
        <v>178623.31033045778</v>
      </c>
      <c r="E107" s="85">
        <f t="shared" si="107"/>
        <v>210699.60612709116</v>
      </c>
      <c r="F107" s="85">
        <f t="shared" si="107"/>
        <v>194327.29641911248</v>
      </c>
      <c r="G107" s="85">
        <f t="shared" si="107"/>
        <v>207693.03624407822</v>
      </c>
      <c r="H107" s="85">
        <f t="shared" si="107"/>
        <v>190196.73801713189</v>
      </c>
      <c r="I107" s="85">
        <f t="shared" si="107"/>
        <v>196118.73896662143</v>
      </c>
      <c r="J107" s="85">
        <f t="shared" si="107"/>
        <v>180130.82210984427</v>
      </c>
      <c r="K107" s="85">
        <f t="shared" si="107"/>
        <v>168974.41866486554</v>
      </c>
      <c r="L107" s="85">
        <f t="shared" si="107"/>
        <v>218280.84539539041</v>
      </c>
      <c r="M107" s="85">
        <f t="shared" si="107"/>
        <v>212425.87709835029</v>
      </c>
      <c r="N107" s="85">
        <f t="shared" si="107"/>
        <v>265116.76773419778</v>
      </c>
      <c r="O107" s="85">
        <f t="shared" si="107"/>
        <v>253823.21368069173</v>
      </c>
      <c r="P107" s="85">
        <f t="shared" si="107"/>
        <v>266170.46932860394</v>
      </c>
      <c r="Q107" s="85">
        <f t="shared" si="107"/>
        <v>291635.37148238439</v>
      </c>
      <c r="R107" s="85">
        <f t="shared" si="107"/>
        <v>272660.36544475006</v>
      </c>
      <c r="S107" s="85">
        <f t="shared" si="107"/>
        <v>289099.23615626025</v>
      </c>
      <c r="T107" s="85">
        <f t="shared" si="107"/>
        <v>261065.99678613516</v>
      </c>
      <c r="U107" s="85">
        <f t="shared" si="107"/>
        <v>285285.51267986506</v>
      </c>
      <c r="V107" s="85">
        <f t="shared" si="107"/>
        <v>238060.38249233953</v>
      </c>
      <c r="W107" s="85">
        <f t="shared" si="107"/>
        <v>268051.12820490688</v>
      </c>
      <c r="X107" s="85">
        <f t="shared" ref="X107:Y107" si="108">SUM(X108:X111)</f>
        <v>303398.00160231721</v>
      </c>
      <c r="Y107" s="85">
        <f t="shared" si="108"/>
        <v>294291.98330684542</v>
      </c>
      <c r="DA107" s="117"/>
    </row>
    <row r="108" spans="1:105" ht="12" customHeight="1" x14ac:dyDescent="0.25">
      <c r="A108" s="61" t="s">
        <v>32</v>
      </c>
      <c r="B108" s="65">
        <v>60583.154000356844</v>
      </c>
      <c r="C108" s="65">
        <v>62748.349879646143</v>
      </c>
      <c r="D108" s="65">
        <v>73373.633567912184</v>
      </c>
      <c r="E108" s="65">
        <v>83362.617508544499</v>
      </c>
      <c r="F108" s="65">
        <v>91011.228276416921</v>
      </c>
      <c r="G108" s="65">
        <v>105147.51905513015</v>
      </c>
      <c r="H108" s="65">
        <v>73995.086080462745</v>
      </c>
      <c r="I108" s="65">
        <v>77131.238690569327</v>
      </c>
      <c r="J108" s="65">
        <v>68966.716258486776</v>
      </c>
      <c r="K108" s="65">
        <v>52311.277272650215</v>
      </c>
      <c r="L108" s="65">
        <v>107640.5961267658</v>
      </c>
      <c r="M108" s="65">
        <v>96855.949230858401</v>
      </c>
      <c r="N108" s="65">
        <v>115589.22398641864</v>
      </c>
      <c r="O108" s="65">
        <v>126361.57411968788</v>
      </c>
      <c r="P108" s="65">
        <v>135223.88074500434</v>
      </c>
      <c r="Q108" s="65">
        <v>154728.07505152549</v>
      </c>
      <c r="R108" s="65">
        <v>146039.5788504619</v>
      </c>
      <c r="S108" s="65">
        <v>151170.01224785813</v>
      </c>
      <c r="T108" s="65">
        <v>128607.11845401538</v>
      </c>
      <c r="U108" s="65">
        <v>126189.35193694368</v>
      </c>
      <c r="V108" s="65">
        <v>102800.22492741002</v>
      </c>
      <c r="W108" s="65">
        <v>110329.19832397127</v>
      </c>
      <c r="X108" s="65">
        <v>137174.53287603974</v>
      </c>
      <c r="Y108" s="65">
        <v>134445.26904864566</v>
      </c>
      <c r="DA108" s="109"/>
    </row>
    <row r="109" spans="1:105" ht="12" customHeight="1" x14ac:dyDescent="0.25">
      <c r="A109" s="61" t="s">
        <v>31</v>
      </c>
      <c r="B109" s="65">
        <v>36612.832949353324</v>
      </c>
      <c r="C109" s="65">
        <v>43768.563337016138</v>
      </c>
      <c r="D109" s="65">
        <v>35853.46810000416</v>
      </c>
      <c r="E109" s="65">
        <v>56612.95505950466</v>
      </c>
      <c r="F109" s="65">
        <v>30920.395892663786</v>
      </c>
      <c r="G109" s="65">
        <v>31923.045238518167</v>
      </c>
      <c r="H109" s="65">
        <v>45766.929507557274</v>
      </c>
      <c r="I109" s="65">
        <v>49407.715262201746</v>
      </c>
      <c r="J109" s="65">
        <v>43652.724271402651</v>
      </c>
      <c r="K109" s="65">
        <v>48481.96048097423</v>
      </c>
      <c r="L109" s="65">
        <v>40834.599651523844</v>
      </c>
      <c r="M109" s="65">
        <v>45422.902912810932</v>
      </c>
      <c r="N109" s="65">
        <v>80750.847842910778</v>
      </c>
      <c r="O109" s="65">
        <v>58486.653474058323</v>
      </c>
      <c r="P109" s="65">
        <v>61737.846963825177</v>
      </c>
      <c r="Q109" s="65">
        <v>67787.886181292735</v>
      </c>
      <c r="R109" s="65">
        <v>57307.50256561971</v>
      </c>
      <c r="S109" s="65">
        <v>69325.085935189942</v>
      </c>
      <c r="T109" s="65">
        <v>63548.161852768309</v>
      </c>
      <c r="U109" s="65">
        <v>89779.695258623382</v>
      </c>
      <c r="V109" s="65">
        <v>70188.082151261944</v>
      </c>
      <c r="W109" s="65">
        <v>90551.515235263709</v>
      </c>
      <c r="X109" s="65">
        <v>98293.743940732471</v>
      </c>
      <c r="Y109" s="65">
        <v>89684.488060426142</v>
      </c>
      <c r="DA109" s="109"/>
    </row>
    <row r="110" spans="1:105" ht="12" customHeight="1" x14ac:dyDescent="0.25">
      <c r="A110" s="61" t="s">
        <v>35</v>
      </c>
      <c r="B110" s="65">
        <v>26917.832635733292</v>
      </c>
      <c r="C110" s="65">
        <v>25817.979699528889</v>
      </c>
      <c r="D110" s="65">
        <v>26494.536544719675</v>
      </c>
      <c r="E110" s="65">
        <v>26672.065524865851</v>
      </c>
      <c r="F110" s="65">
        <v>27337.248653778042</v>
      </c>
      <c r="G110" s="65">
        <v>26848.675165089771</v>
      </c>
      <c r="H110" s="65">
        <v>26858.610595910734</v>
      </c>
      <c r="I110" s="65">
        <v>26525.066248969186</v>
      </c>
      <c r="J110" s="65">
        <v>25793.435713686315</v>
      </c>
      <c r="K110" s="65">
        <v>26058.549469179412</v>
      </c>
      <c r="L110" s="65">
        <v>26930.045017734141</v>
      </c>
      <c r="M110" s="65">
        <v>27237.85606447719</v>
      </c>
      <c r="N110" s="65">
        <v>26612.231757805741</v>
      </c>
      <c r="O110" s="65">
        <v>27057.081532600463</v>
      </c>
      <c r="P110" s="65">
        <v>26917.422008879788</v>
      </c>
      <c r="Q110" s="65">
        <v>26807.587152267384</v>
      </c>
      <c r="R110" s="65">
        <v>26817.962823516507</v>
      </c>
      <c r="S110" s="65">
        <v>26645.60260465071</v>
      </c>
      <c r="T110" s="65">
        <v>26643.093137992681</v>
      </c>
      <c r="U110" s="65">
        <v>26742.484224107811</v>
      </c>
      <c r="V110" s="65">
        <v>25631.615952642733</v>
      </c>
      <c r="W110" s="65">
        <v>26318.592689061748</v>
      </c>
      <c r="X110" s="65">
        <v>26520.5796841345</v>
      </c>
      <c r="Y110" s="65">
        <v>27513.378523101706</v>
      </c>
      <c r="DA110" s="109"/>
    </row>
    <row r="111" spans="1:105" ht="12" customHeight="1" x14ac:dyDescent="0.25">
      <c r="A111" s="74" t="s">
        <v>34</v>
      </c>
      <c r="B111" s="68">
        <v>41767.929685796844</v>
      </c>
      <c r="C111" s="68">
        <v>41774.173499286742</v>
      </c>
      <c r="D111" s="68">
        <v>42901.672117821763</v>
      </c>
      <c r="E111" s="68">
        <v>44051.968034176163</v>
      </c>
      <c r="F111" s="68">
        <v>45058.42359625372</v>
      </c>
      <c r="G111" s="68">
        <v>43773.796785340128</v>
      </c>
      <c r="H111" s="68">
        <v>43576.111833201147</v>
      </c>
      <c r="I111" s="68">
        <v>43054.718764881174</v>
      </c>
      <c r="J111" s="68">
        <v>41717.945866268536</v>
      </c>
      <c r="K111" s="68">
        <v>42122.631442061698</v>
      </c>
      <c r="L111" s="68">
        <v>42875.604599366627</v>
      </c>
      <c r="M111" s="68">
        <v>42909.168890203779</v>
      </c>
      <c r="N111" s="68">
        <v>42164.46414706263</v>
      </c>
      <c r="O111" s="68">
        <v>41917.904554345056</v>
      </c>
      <c r="P111" s="68">
        <v>42291.319610894672</v>
      </c>
      <c r="Q111" s="68">
        <v>42311.823097298802</v>
      </c>
      <c r="R111" s="68">
        <v>42495.321205151929</v>
      </c>
      <c r="S111" s="68">
        <v>41958.535368561483</v>
      </c>
      <c r="T111" s="68">
        <v>42267.623341358791</v>
      </c>
      <c r="U111" s="68">
        <v>42573.981260190216</v>
      </c>
      <c r="V111" s="68">
        <v>39440.459461024853</v>
      </c>
      <c r="W111" s="68">
        <v>40851.821956610162</v>
      </c>
      <c r="X111" s="68">
        <v>41409.145101410526</v>
      </c>
      <c r="Y111" s="68">
        <v>42648.847674671895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21748.335541025441</v>
      </c>
      <c r="C113" s="82">
        <f t="shared" ref="C113:W113" si="110">C81*1000000/C$8</f>
        <v>20758.418248186703</v>
      </c>
      <c r="D113" s="82">
        <f t="shared" si="110"/>
        <v>23150.070638109017</v>
      </c>
      <c r="E113" s="82">
        <f t="shared" si="110"/>
        <v>26767.555093427436</v>
      </c>
      <c r="F113" s="82">
        <f t="shared" si="110"/>
        <v>27873.766123889756</v>
      </c>
      <c r="G113" s="82">
        <f t="shared" si="110"/>
        <v>23040.376719347834</v>
      </c>
      <c r="H113" s="82">
        <f t="shared" si="110"/>
        <v>20963.054776021083</v>
      </c>
      <c r="I113" s="82">
        <f t="shared" si="110"/>
        <v>23678.262081575893</v>
      </c>
      <c r="J113" s="82">
        <f t="shared" si="110"/>
        <v>22251.137322715917</v>
      </c>
      <c r="K113" s="82">
        <f t="shared" si="110"/>
        <v>17729.730917898647</v>
      </c>
      <c r="L113" s="82">
        <f t="shared" si="110"/>
        <v>23899.894085794007</v>
      </c>
      <c r="M113" s="82">
        <f t="shared" si="110"/>
        <v>16063.649194369726</v>
      </c>
      <c r="N113" s="82">
        <f t="shared" si="110"/>
        <v>22440.919080106716</v>
      </c>
      <c r="O113" s="82">
        <f t="shared" si="110"/>
        <v>25938.097082264609</v>
      </c>
      <c r="P113" s="82">
        <f t="shared" si="110"/>
        <v>27040.41400295795</v>
      </c>
      <c r="Q113" s="82">
        <f t="shared" si="110"/>
        <v>31619.143151150824</v>
      </c>
      <c r="R113" s="82">
        <f t="shared" si="110"/>
        <v>28092.503227339912</v>
      </c>
      <c r="S113" s="82">
        <f t="shared" si="110"/>
        <v>24963.62698585062</v>
      </c>
      <c r="T113" s="82">
        <f t="shared" si="110"/>
        <v>17368.406424878791</v>
      </c>
      <c r="U113" s="82">
        <f t="shared" si="110"/>
        <v>16772.602043308369</v>
      </c>
      <c r="V113" s="82">
        <f t="shared" si="110"/>
        <v>12773.833492948339</v>
      </c>
      <c r="W113" s="82">
        <f t="shared" si="110"/>
        <v>13482.336819720796</v>
      </c>
      <c r="X113" s="82">
        <f t="shared" ref="X113:Y113" si="111">X81*1000000/X$8</f>
        <v>16170.777882363996</v>
      </c>
      <c r="Y113" s="82">
        <f t="shared" si="111"/>
        <v>13998.035883875767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21748.335541025441</v>
      </c>
      <c r="C114" s="64">
        <f t="shared" ref="C114:W114" si="113">C82*1000000/C$8</f>
        <v>20758.418248186703</v>
      </c>
      <c r="D114" s="64">
        <f t="shared" si="113"/>
        <v>23150.070638109017</v>
      </c>
      <c r="E114" s="64">
        <f t="shared" si="113"/>
        <v>26767.555093427436</v>
      </c>
      <c r="F114" s="64">
        <f t="shared" si="113"/>
        <v>27873.766123889756</v>
      </c>
      <c r="G114" s="64">
        <f t="shared" si="113"/>
        <v>23040.376719347834</v>
      </c>
      <c r="H114" s="64">
        <f t="shared" si="113"/>
        <v>20963.054776021083</v>
      </c>
      <c r="I114" s="64">
        <f t="shared" si="113"/>
        <v>23678.262081575893</v>
      </c>
      <c r="J114" s="64">
        <f t="shared" si="113"/>
        <v>22251.137322715917</v>
      </c>
      <c r="K114" s="64">
        <f t="shared" si="113"/>
        <v>17729.730917898647</v>
      </c>
      <c r="L114" s="64">
        <f t="shared" si="113"/>
        <v>23899.894085794007</v>
      </c>
      <c r="M114" s="64">
        <f t="shared" si="113"/>
        <v>16063.649194369726</v>
      </c>
      <c r="N114" s="64">
        <f t="shared" si="113"/>
        <v>22440.919080106716</v>
      </c>
      <c r="O114" s="64">
        <f t="shared" si="113"/>
        <v>25938.097082264609</v>
      </c>
      <c r="P114" s="64">
        <f t="shared" si="113"/>
        <v>27040.41400295795</v>
      </c>
      <c r="Q114" s="64">
        <f t="shared" si="113"/>
        <v>31619.143151150824</v>
      </c>
      <c r="R114" s="64">
        <f t="shared" si="113"/>
        <v>28092.503227339912</v>
      </c>
      <c r="S114" s="64">
        <f t="shared" si="113"/>
        <v>24963.62698585062</v>
      </c>
      <c r="T114" s="64">
        <f t="shared" si="113"/>
        <v>17368.406424878791</v>
      </c>
      <c r="U114" s="64">
        <f t="shared" si="113"/>
        <v>16772.602043308369</v>
      </c>
      <c r="V114" s="64">
        <f t="shared" si="113"/>
        <v>12773.833492948339</v>
      </c>
      <c r="W114" s="64">
        <f t="shared" si="113"/>
        <v>13482.336819720796</v>
      </c>
      <c r="X114" s="64">
        <f t="shared" ref="X114:Y114" si="114">X82*1000000/X$8</f>
        <v>16170.777882363996</v>
      </c>
      <c r="Y114" s="64">
        <f t="shared" si="114"/>
        <v>13998.035883875767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19830.52238688997</v>
      </c>
      <c r="C115" s="65">
        <f t="shared" ref="C115:W115" si="116">C83*1000000/C$8</f>
        <v>18943.784499471705</v>
      </c>
      <c r="D115" s="65">
        <f t="shared" si="116"/>
        <v>21151.110631044099</v>
      </c>
      <c r="E115" s="65">
        <f t="shared" si="116"/>
        <v>24946.299214743023</v>
      </c>
      <c r="F115" s="65">
        <f t="shared" si="116"/>
        <v>26167.18516119014</v>
      </c>
      <c r="G115" s="65">
        <f t="shared" si="116"/>
        <v>21258.403948428509</v>
      </c>
      <c r="H115" s="65">
        <f t="shared" si="116"/>
        <v>17269.106956956042</v>
      </c>
      <c r="I115" s="65">
        <f t="shared" si="116"/>
        <v>19228.441805868304</v>
      </c>
      <c r="J115" s="65">
        <f t="shared" si="116"/>
        <v>17176.377462233544</v>
      </c>
      <c r="K115" s="65">
        <f t="shared" si="116"/>
        <v>11219.243796616427</v>
      </c>
      <c r="L115" s="65">
        <f t="shared" si="116"/>
        <v>19439.033922355844</v>
      </c>
      <c r="M115" s="65">
        <f t="shared" si="116"/>
        <v>11196.293692454301</v>
      </c>
      <c r="N115" s="65">
        <f t="shared" si="116"/>
        <v>18149.34949129228</v>
      </c>
      <c r="O115" s="65">
        <f t="shared" si="116"/>
        <v>22015.382259406539</v>
      </c>
      <c r="P115" s="65">
        <f t="shared" si="116"/>
        <v>23306.240679743623</v>
      </c>
      <c r="Q115" s="65">
        <f t="shared" si="116"/>
        <v>27463.66659602234</v>
      </c>
      <c r="R115" s="65">
        <f t="shared" si="116"/>
        <v>24638.141761024031</v>
      </c>
      <c r="S115" s="65">
        <f t="shared" si="116"/>
        <v>20827.088914829761</v>
      </c>
      <c r="T115" s="65">
        <f t="shared" si="116"/>
        <v>12121.624247029711</v>
      </c>
      <c r="U115" s="65">
        <f t="shared" si="116"/>
        <v>11394.274065032776</v>
      </c>
      <c r="V115" s="65">
        <f t="shared" si="116"/>
        <v>9247.0738237575406</v>
      </c>
      <c r="W115" s="65">
        <f t="shared" si="116"/>
        <v>9700.7117847429017</v>
      </c>
      <c r="X115" s="65">
        <f t="shared" ref="X115:Y115" si="117">X83*1000000/X$8</f>
        <v>11387.808214550007</v>
      </c>
      <c r="Y115" s="65">
        <f t="shared" si="117"/>
        <v>8691.0448323999008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</v>
      </c>
      <c r="C116" s="65">
        <f t="shared" ref="C116:W116" si="119">C84*1000000/C$8</f>
        <v>0</v>
      </c>
      <c r="D116" s="65">
        <f t="shared" si="119"/>
        <v>0</v>
      </c>
      <c r="E116" s="65">
        <f t="shared" si="119"/>
        <v>0</v>
      </c>
      <c r="F116" s="65">
        <f t="shared" si="119"/>
        <v>0</v>
      </c>
      <c r="G116" s="65">
        <f t="shared" si="119"/>
        <v>0</v>
      </c>
      <c r="H116" s="65">
        <f t="shared" si="119"/>
        <v>0</v>
      </c>
      <c r="I116" s="65">
        <f t="shared" si="119"/>
        <v>0</v>
      </c>
      <c r="J116" s="65">
        <f t="shared" si="119"/>
        <v>0</v>
      </c>
      <c r="K116" s="65">
        <f t="shared" si="119"/>
        <v>0</v>
      </c>
      <c r="L116" s="65">
        <f t="shared" si="119"/>
        <v>0</v>
      </c>
      <c r="M116" s="65">
        <f t="shared" si="119"/>
        <v>0</v>
      </c>
      <c r="N116" s="65">
        <f t="shared" si="119"/>
        <v>0</v>
      </c>
      <c r="O116" s="65">
        <f t="shared" si="119"/>
        <v>0</v>
      </c>
      <c r="P116" s="65">
        <f t="shared" si="119"/>
        <v>0</v>
      </c>
      <c r="Q116" s="65">
        <f t="shared" si="119"/>
        <v>0</v>
      </c>
      <c r="R116" s="65">
        <f t="shared" si="119"/>
        <v>0</v>
      </c>
      <c r="S116" s="65">
        <f t="shared" si="119"/>
        <v>0</v>
      </c>
      <c r="T116" s="65">
        <f t="shared" si="119"/>
        <v>0</v>
      </c>
      <c r="U116" s="65">
        <f t="shared" si="119"/>
        <v>0</v>
      </c>
      <c r="V116" s="65">
        <f t="shared" si="119"/>
        <v>0</v>
      </c>
      <c r="W116" s="65">
        <f t="shared" si="119"/>
        <v>0</v>
      </c>
      <c r="X116" s="65">
        <f t="shared" ref="X116:Y116" si="120">X84*1000000/X$8</f>
        <v>0</v>
      </c>
      <c r="Y116" s="65">
        <f t="shared" si="120"/>
        <v>0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940.61317807482044</v>
      </c>
      <c r="C117" s="65">
        <f t="shared" ref="C117:W117" si="122">C85*1000000/C$8</f>
        <v>905.6880577923888</v>
      </c>
      <c r="D117" s="65">
        <f t="shared" si="122"/>
        <v>882.40765779905939</v>
      </c>
      <c r="E117" s="65">
        <f t="shared" si="122"/>
        <v>753.59318394001048</v>
      </c>
      <c r="F117" s="65">
        <f t="shared" si="122"/>
        <v>698.87823214079037</v>
      </c>
      <c r="G117" s="65">
        <f t="shared" si="122"/>
        <v>739.13653735284663</v>
      </c>
      <c r="H117" s="65">
        <f t="shared" si="122"/>
        <v>1821.3559136789067</v>
      </c>
      <c r="I117" s="65">
        <f t="shared" si="122"/>
        <v>2210.4343776760174</v>
      </c>
      <c r="J117" s="65">
        <f t="shared" si="122"/>
        <v>1957.1057473456074</v>
      </c>
      <c r="K117" s="65">
        <f t="shared" si="122"/>
        <v>1801.6920588735959</v>
      </c>
      <c r="L117" s="65">
        <f t="shared" si="122"/>
        <v>867.41343289762904</v>
      </c>
      <c r="M117" s="65">
        <f t="shared" si="122"/>
        <v>786.3964540824179</v>
      </c>
      <c r="N117" s="65">
        <f t="shared" si="122"/>
        <v>549.37091745922589</v>
      </c>
      <c r="O117" s="65">
        <f t="shared" si="122"/>
        <v>299.01822455006385</v>
      </c>
      <c r="P117" s="65">
        <f t="shared" si="122"/>
        <v>229.32772918745994</v>
      </c>
      <c r="Q117" s="65">
        <f t="shared" si="122"/>
        <v>191.55707553222814</v>
      </c>
      <c r="R117" s="65">
        <f t="shared" si="122"/>
        <v>157.19149557531239</v>
      </c>
      <c r="S117" s="65">
        <f t="shared" si="122"/>
        <v>185.63334259756047</v>
      </c>
      <c r="T117" s="65">
        <f t="shared" si="122"/>
        <v>240.75040698755012</v>
      </c>
      <c r="U117" s="65">
        <f t="shared" si="122"/>
        <v>235.62426468140458</v>
      </c>
      <c r="V117" s="65">
        <f t="shared" si="122"/>
        <v>175.88512045030103</v>
      </c>
      <c r="W117" s="65">
        <f t="shared" si="122"/>
        <v>187.15006521073244</v>
      </c>
      <c r="X117" s="65">
        <f t="shared" ref="X117:Y117" si="123">X85*1000000/X$8</f>
        <v>226.41480567002276</v>
      </c>
      <c r="Y117" s="65">
        <f t="shared" si="123"/>
        <v>154.54885643061169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977.19997606065294</v>
      </c>
      <c r="C118" s="67">
        <f t="shared" ref="C118:W118" si="125">C86*1000000/C$8</f>
        <v>908.94569092260906</v>
      </c>
      <c r="D118" s="67">
        <f t="shared" si="125"/>
        <v>1116.5523492658572</v>
      </c>
      <c r="E118" s="67">
        <f t="shared" si="125"/>
        <v>1067.6626947444017</v>
      </c>
      <c r="F118" s="67">
        <f t="shared" si="125"/>
        <v>1007.7027305588213</v>
      </c>
      <c r="G118" s="67">
        <f t="shared" si="125"/>
        <v>1042.8362335664776</v>
      </c>
      <c r="H118" s="67">
        <f t="shared" si="125"/>
        <v>1872.591905386131</v>
      </c>
      <c r="I118" s="67">
        <f t="shared" si="125"/>
        <v>2239.3858980315717</v>
      </c>
      <c r="J118" s="67">
        <f t="shared" si="125"/>
        <v>3117.654113136763</v>
      </c>
      <c r="K118" s="67">
        <f t="shared" si="125"/>
        <v>4708.7950624086252</v>
      </c>
      <c r="L118" s="67">
        <f t="shared" si="125"/>
        <v>3593.4467305405365</v>
      </c>
      <c r="M118" s="67">
        <f t="shared" si="125"/>
        <v>4080.9590478330083</v>
      </c>
      <c r="N118" s="67">
        <f t="shared" si="125"/>
        <v>3742.1986713552114</v>
      </c>
      <c r="O118" s="67">
        <f t="shared" si="125"/>
        <v>3623.6965983080077</v>
      </c>
      <c r="P118" s="67">
        <f t="shared" si="125"/>
        <v>3504.8455940268714</v>
      </c>
      <c r="Q118" s="67">
        <f t="shared" si="125"/>
        <v>3963.9194795962553</v>
      </c>
      <c r="R118" s="67">
        <f t="shared" si="125"/>
        <v>3297.1699707405664</v>
      </c>
      <c r="S118" s="67">
        <f t="shared" si="125"/>
        <v>3950.9047284232984</v>
      </c>
      <c r="T118" s="67">
        <f t="shared" si="125"/>
        <v>5006.0317708615285</v>
      </c>
      <c r="U118" s="67">
        <f t="shared" si="125"/>
        <v>5142.7037135941873</v>
      </c>
      <c r="V118" s="67">
        <f t="shared" si="125"/>
        <v>3350.8745487404963</v>
      </c>
      <c r="W118" s="67">
        <f t="shared" si="125"/>
        <v>3594.4749697671623</v>
      </c>
      <c r="X118" s="67">
        <f t="shared" ref="X118:Y118" si="126">X86*1000000/X$8</f>
        <v>4556.5548621439648</v>
      </c>
      <c r="Y118" s="67">
        <f t="shared" si="126"/>
        <v>5152.4421950452543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0.68847374863032651</v>
      </c>
      <c r="C121" s="86">
        <f t="shared" ref="C121:W121" si="131">IF(C107=0,"",C107/C100)</f>
        <v>0.71492074833123431</v>
      </c>
      <c r="D121" s="86">
        <f t="shared" si="131"/>
        <v>0.69079286559133934</v>
      </c>
      <c r="E121" s="86">
        <f t="shared" si="131"/>
        <v>0.73830709460900934</v>
      </c>
      <c r="F121" s="86">
        <f t="shared" si="131"/>
        <v>0.67802599738505687</v>
      </c>
      <c r="G121" s="86">
        <f t="shared" si="131"/>
        <v>0.68152903830244649</v>
      </c>
      <c r="H121" s="86">
        <f t="shared" si="131"/>
        <v>0.74566790645320569</v>
      </c>
      <c r="I121" s="86">
        <f t="shared" si="131"/>
        <v>0.76416723636221451</v>
      </c>
      <c r="J121" s="86">
        <f t="shared" si="131"/>
        <v>0.7722664389415117</v>
      </c>
      <c r="K121" s="86">
        <f t="shared" si="131"/>
        <v>0.81701055639195175</v>
      </c>
      <c r="L121" s="86">
        <f t="shared" si="131"/>
        <v>0.74362501755758204</v>
      </c>
      <c r="M121" s="86">
        <f t="shared" si="131"/>
        <v>0.77737189128671613</v>
      </c>
      <c r="N121" s="86">
        <f t="shared" si="131"/>
        <v>0.86700769506582898</v>
      </c>
      <c r="O121" s="86">
        <f t="shared" si="131"/>
        <v>0.81558758196925774</v>
      </c>
      <c r="P121" s="86">
        <f t="shared" si="131"/>
        <v>0.83246159323293489</v>
      </c>
      <c r="Q121" s="86">
        <f t="shared" si="131"/>
        <v>0.84613075495731349</v>
      </c>
      <c r="R121" s="86">
        <f t="shared" si="131"/>
        <v>0.84453234818180156</v>
      </c>
      <c r="S121" s="86">
        <f t="shared" si="131"/>
        <v>0.88098664726450937</v>
      </c>
      <c r="T121" s="86">
        <f t="shared" si="131"/>
        <v>0.90348339453262372</v>
      </c>
      <c r="U121" s="86">
        <f t="shared" si="131"/>
        <v>0.99256919183864722</v>
      </c>
      <c r="V121" s="86">
        <f t="shared" si="131"/>
        <v>1.0201025741916832</v>
      </c>
      <c r="W121" s="86">
        <f t="shared" si="131"/>
        <v>1.1067320406874239</v>
      </c>
      <c r="X121" s="86">
        <f t="shared" ref="X121:Y121" si="132">IF(X107=0,"",X107/X100)</f>
        <v>1.0984071020669743</v>
      </c>
      <c r="Y121" s="86">
        <f t="shared" si="132"/>
        <v>1.1043188947065752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0.55668325855685019</v>
      </c>
      <c r="C122" s="75">
        <f t="shared" ref="C122:W122" si="134">IF(C108=0,"",C108/C101)</f>
        <v>0.56322032294813296</v>
      </c>
      <c r="D122" s="75">
        <f t="shared" si="134"/>
        <v>0.56882823421171191</v>
      </c>
      <c r="E122" s="75">
        <f t="shared" si="134"/>
        <v>0.57397448751791935</v>
      </c>
      <c r="F122" s="75">
        <f t="shared" si="134"/>
        <v>0.57807272642511343</v>
      </c>
      <c r="G122" s="75">
        <f t="shared" si="134"/>
        <v>0.58718082374329061</v>
      </c>
      <c r="H122" s="75">
        <f t="shared" si="134"/>
        <v>0.59770932256956621</v>
      </c>
      <c r="I122" s="75">
        <f t="shared" si="134"/>
        <v>0.61040114817432922</v>
      </c>
      <c r="J122" s="75">
        <f t="shared" si="134"/>
        <v>0.63149516308912135</v>
      </c>
      <c r="K122" s="75">
        <f t="shared" si="134"/>
        <v>0.65985697597958937</v>
      </c>
      <c r="L122" s="75">
        <f t="shared" si="134"/>
        <v>0.63846316913287804</v>
      </c>
      <c r="M122" s="75">
        <f t="shared" si="134"/>
        <v>0.65981840892511268</v>
      </c>
      <c r="N122" s="75">
        <f t="shared" si="134"/>
        <v>0.66972057686569908</v>
      </c>
      <c r="O122" s="75">
        <f t="shared" si="134"/>
        <v>0.67946477479317402</v>
      </c>
      <c r="P122" s="75">
        <f t="shared" si="134"/>
        <v>0.69387062088311069</v>
      </c>
      <c r="Q122" s="75">
        <f t="shared" si="134"/>
        <v>0.70515400392422256</v>
      </c>
      <c r="R122" s="75">
        <f t="shared" si="134"/>
        <v>0.72082169225252779</v>
      </c>
      <c r="S122" s="75">
        <f t="shared" si="134"/>
        <v>0.73025713812464021</v>
      </c>
      <c r="T122" s="75">
        <f t="shared" si="134"/>
        <v>0.75884311886884837</v>
      </c>
      <c r="U122" s="75">
        <f t="shared" si="134"/>
        <v>0.77371367183749262</v>
      </c>
      <c r="V122" s="75">
        <f t="shared" si="134"/>
        <v>0.83352243264651005</v>
      </c>
      <c r="W122" s="75">
        <f t="shared" si="134"/>
        <v>0.87260527387239217</v>
      </c>
      <c r="X122" s="75">
        <f t="shared" ref="X122:Y122" si="135">IF(X108=0,"",X108/X101)</f>
        <v>0.86562898608234773</v>
      </c>
      <c r="Y122" s="75">
        <f t="shared" si="135"/>
        <v>0.90420046541771182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1.7470096448573722</v>
      </c>
      <c r="C123" s="76">
        <f t="shared" ref="C123:W123" si="137">IF(C109=0,"",C109/C102)</f>
        <v>1.8610143182535219</v>
      </c>
      <c r="D123" s="76">
        <f t="shared" si="137"/>
        <v>1.9675842606399454</v>
      </c>
      <c r="E123" s="76">
        <f t="shared" si="137"/>
        <v>2.0726891064230673</v>
      </c>
      <c r="F123" s="76">
        <f t="shared" si="137"/>
        <v>2.1911896662789681</v>
      </c>
      <c r="G123" s="76">
        <f t="shared" si="137"/>
        <v>2.3416197081262777</v>
      </c>
      <c r="H123" s="76">
        <f t="shared" si="137"/>
        <v>2.5079035295490955</v>
      </c>
      <c r="I123" s="76">
        <f t="shared" si="137"/>
        <v>2.6925434584831014</v>
      </c>
      <c r="J123" s="76">
        <f t="shared" si="137"/>
        <v>2.9126878701779897</v>
      </c>
      <c r="K123" s="76">
        <f t="shared" si="137"/>
        <v>2.9869313089325593</v>
      </c>
      <c r="L123" s="76">
        <f t="shared" si="137"/>
        <v>3.072548843693927</v>
      </c>
      <c r="M123" s="76">
        <f t="shared" si="137"/>
        <v>3.1995658437418979</v>
      </c>
      <c r="N123" s="76">
        <f t="shared" si="137"/>
        <v>3.3261248644930919</v>
      </c>
      <c r="O123" s="76">
        <f t="shared" si="137"/>
        <v>3.4542793469138879</v>
      </c>
      <c r="P123" s="76">
        <f t="shared" si="137"/>
        <v>3.5986296372772677</v>
      </c>
      <c r="Q123" s="76">
        <f t="shared" si="137"/>
        <v>3.7554534147430791</v>
      </c>
      <c r="R123" s="76">
        <f t="shared" si="137"/>
        <v>3.9156916545355314</v>
      </c>
      <c r="S123" s="76">
        <f t="shared" si="137"/>
        <v>4.0741123056776747</v>
      </c>
      <c r="T123" s="76">
        <f t="shared" si="137"/>
        <v>4.2239376585850303</v>
      </c>
      <c r="U123" s="76">
        <f t="shared" si="137"/>
        <v>4.3453597209315431</v>
      </c>
      <c r="V123" s="76">
        <f t="shared" si="137"/>
        <v>4.4442645608137914</v>
      </c>
      <c r="W123" s="76">
        <f t="shared" si="137"/>
        <v>4.5398309288634726</v>
      </c>
      <c r="X123" s="76">
        <f t="shared" ref="X123:Y123" si="138">IF(X109=0,"",X109/X102)</f>
        <v>4.6184815801963239</v>
      </c>
      <c r="Y123" s="76">
        <f t="shared" si="138"/>
        <v>4.6816509390989811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0.51082510445193574</v>
      </c>
      <c r="C124" s="76">
        <f t="shared" ref="C124:W124" si="140">IF(C110=0,"",C110/C103)</f>
        <v>0.51275099432508275</v>
      </c>
      <c r="D124" s="76">
        <f t="shared" si="140"/>
        <v>0.51478768812617981</v>
      </c>
      <c r="E124" s="76">
        <f t="shared" si="140"/>
        <v>0.51745568084813509</v>
      </c>
      <c r="F124" s="76">
        <f t="shared" si="140"/>
        <v>0.5197172128258194</v>
      </c>
      <c r="G124" s="76">
        <f t="shared" si="140"/>
        <v>0.52170011574792741</v>
      </c>
      <c r="H124" s="76">
        <f t="shared" si="140"/>
        <v>0.51675521124680679</v>
      </c>
      <c r="I124" s="76">
        <f t="shared" si="140"/>
        <v>0.51648200524429122</v>
      </c>
      <c r="J124" s="76">
        <f t="shared" si="140"/>
        <v>0.52090869583742816</v>
      </c>
      <c r="K124" s="76">
        <f t="shared" si="140"/>
        <v>0.52464243583065517</v>
      </c>
      <c r="L124" s="76">
        <f t="shared" si="140"/>
        <v>0.53470256853221587</v>
      </c>
      <c r="M124" s="76">
        <f t="shared" si="140"/>
        <v>0.53953274439669785</v>
      </c>
      <c r="N124" s="76">
        <f t="shared" si="140"/>
        <v>0.54721441746257782</v>
      </c>
      <c r="O124" s="76">
        <f t="shared" si="140"/>
        <v>0.55590181810360273</v>
      </c>
      <c r="P124" s="76">
        <f t="shared" si="140"/>
        <v>0.56165234037701239</v>
      </c>
      <c r="Q124" s="76">
        <f t="shared" si="140"/>
        <v>0.56883545728694485</v>
      </c>
      <c r="R124" s="76">
        <f t="shared" si="140"/>
        <v>0.57769378009022876</v>
      </c>
      <c r="S124" s="76">
        <f t="shared" si="140"/>
        <v>0.58829042088523087</v>
      </c>
      <c r="T124" s="76">
        <f t="shared" si="140"/>
        <v>0.59897951548449957</v>
      </c>
      <c r="U124" s="76">
        <f t="shared" si="140"/>
        <v>0.61089547236781527</v>
      </c>
      <c r="V124" s="76">
        <f t="shared" si="140"/>
        <v>0.62439483934949036</v>
      </c>
      <c r="W124" s="76">
        <f t="shared" si="140"/>
        <v>0.63877733997864017</v>
      </c>
      <c r="X124" s="76">
        <f t="shared" ref="X124:Y124" si="141">IF(X110=0,"",X110/X103)</f>
        <v>0.65346940191935665</v>
      </c>
      <c r="Y124" s="76">
        <f t="shared" si="141"/>
        <v>0.66936178866115126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0.71446689405615194</v>
      </c>
      <c r="C125" s="56">
        <f t="shared" ref="C125:W125" si="143">IF(C111=0,"",C111/C104)</f>
        <v>0.71708329368342727</v>
      </c>
      <c r="D125" s="56">
        <f t="shared" si="143"/>
        <v>0.71625267417040872</v>
      </c>
      <c r="E125" s="56">
        <f t="shared" si="143"/>
        <v>0.71879140348621828</v>
      </c>
      <c r="F125" s="56">
        <f t="shared" si="143"/>
        <v>0.72143221995341555</v>
      </c>
      <c r="G125" s="56">
        <f t="shared" si="143"/>
        <v>0.72261172177346222</v>
      </c>
      <c r="H125" s="56">
        <f t="shared" si="143"/>
        <v>0.71381713794779833</v>
      </c>
      <c r="I125" s="56">
        <f t="shared" si="143"/>
        <v>0.71076522054648172</v>
      </c>
      <c r="J125" s="56">
        <f t="shared" si="143"/>
        <v>0.70073603885287161</v>
      </c>
      <c r="K125" s="56">
        <f t="shared" si="143"/>
        <v>0.68333029615196139</v>
      </c>
      <c r="L125" s="56">
        <f t="shared" si="143"/>
        <v>0.69957319540363461</v>
      </c>
      <c r="M125" s="56">
        <f t="shared" si="143"/>
        <v>0.69444649815424531</v>
      </c>
      <c r="N125" s="56">
        <f t="shared" si="143"/>
        <v>0.69947116030209044</v>
      </c>
      <c r="O125" s="56">
        <f t="shared" si="143"/>
        <v>0.70286217266179607</v>
      </c>
      <c r="P125" s="56">
        <f t="shared" si="143"/>
        <v>0.70751714256874065</v>
      </c>
      <c r="Q125" s="56">
        <f t="shared" si="143"/>
        <v>0.70440790525733021</v>
      </c>
      <c r="R125" s="56">
        <f t="shared" si="143"/>
        <v>0.71789506371919809</v>
      </c>
      <c r="S125" s="56">
        <f t="shared" si="143"/>
        <v>0.71315157482235569</v>
      </c>
      <c r="T125" s="56">
        <f t="shared" si="143"/>
        <v>0.70503032346322636</v>
      </c>
      <c r="U125" s="56">
        <f t="shared" si="143"/>
        <v>0.7108852075610137</v>
      </c>
      <c r="V125" s="56">
        <f t="shared" si="143"/>
        <v>0.74145275534144961</v>
      </c>
      <c r="W125" s="56">
        <f t="shared" si="143"/>
        <v>0.74797587823958667</v>
      </c>
      <c r="X125" s="56">
        <f t="shared" ref="X125:Y125" si="144">IF(X111=0,"",X111/X104)</f>
        <v>0.74101921716797847</v>
      </c>
      <c r="Y125" s="56">
        <f t="shared" si="144"/>
        <v>0.74118175438379319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348.63084808689808</v>
      </c>
      <c r="C129" s="82">
        <f t="shared" ref="C129:W129" si="146">IF(C99=0,0,C99/C$26)</f>
        <v>352.91126045247705</v>
      </c>
      <c r="D129" s="82">
        <f t="shared" si="146"/>
        <v>371.69746064011991</v>
      </c>
      <c r="E129" s="82">
        <f t="shared" si="146"/>
        <v>403.87805291181098</v>
      </c>
      <c r="F129" s="82">
        <f t="shared" si="146"/>
        <v>407.901545203458</v>
      </c>
      <c r="G129" s="82">
        <f t="shared" si="146"/>
        <v>428.81799359216109</v>
      </c>
      <c r="H129" s="82">
        <f t="shared" si="146"/>
        <v>374.30651426136586</v>
      </c>
      <c r="I129" s="82">
        <f t="shared" si="146"/>
        <v>375.99546707326766</v>
      </c>
      <c r="J129" s="82">
        <f t="shared" si="146"/>
        <v>348.31883060393818</v>
      </c>
      <c r="K129" s="82">
        <f t="shared" si="146"/>
        <v>320.18423910588541</v>
      </c>
      <c r="L129" s="82">
        <f t="shared" si="146"/>
        <v>417.17297187861573</v>
      </c>
      <c r="M129" s="82">
        <f t="shared" si="146"/>
        <v>394.02431049052961</v>
      </c>
      <c r="N129" s="82">
        <f t="shared" si="146"/>
        <v>428.87738611271493</v>
      </c>
      <c r="O129" s="82">
        <f t="shared" si="146"/>
        <v>434.92277628574487</v>
      </c>
      <c r="P129" s="82">
        <f t="shared" si="146"/>
        <v>444.11119994021192</v>
      </c>
      <c r="Q129" s="82">
        <f t="shared" si="146"/>
        <v>472.66382934877856</v>
      </c>
      <c r="R129" s="82">
        <f t="shared" si="146"/>
        <v>446.70376873697802</v>
      </c>
      <c r="S129" s="82">
        <f t="shared" si="146"/>
        <v>450.44262675314661</v>
      </c>
      <c r="T129" s="82">
        <f t="shared" si="146"/>
        <v>405.22224286593473</v>
      </c>
      <c r="U129" s="82">
        <f t="shared" si="146"/>
        <v>402.47617146750309</v>
      </c>
      <c r="V129" s="82">
        <f t="shared" si="146"/>
        <v>335.75865421419149</v>
      </c>
      <c r="W129" s="82">
        <f t="shared" si="146"/>
        <v>344.80243518796732</v>
      </c>
      <c r="X129" s="82">
        <f t="shared" ref="X129:Y129" si="147">IF(X99=0,0,X99/X$26)</f>
        <v>381.74473434694374</v>
      </c>
      <c r="Y129" s="82">
        <f t="shared" si="147"/>
        <v>370.61916572879824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267.71253822313685</v>
      </c>
      <c r="C130" s="64">
        <f t="shared" ref="C130:W130" si="149">IF(C100=0,0,C100/C$26)</f>
        <v>270.59575301315681</v>
      </c>
      <c r="D130" s="64">
        <f t="shared" si="149"/>
        <v>287.30804079993385</v>
      </c>
      <c r="E130" s="64">
        <f t="shared" si="149"/>
        <v>317.09118764262382</v>
      </c>
      <c r="F130" s="64">
        <f t="shared" si="149"/>
        <v>318.4527128402068</v>
      </c>
      <c r="G130" s="64">
        <f t="shared" si="149"/>
        <v>338.60632093681636</v>
      </c>
      <c r="H130" s="64">
        <f t="shared" si="149"/>
        <v>283.40995646858556</v>
      </c>
      <c r="I130" s="64">
        <f t="shared" si="149"/>
        <v>285.15971320657837</v>
      </c>
      <c r="J130" s="64">
        <f t="shared" si="149"/>
        <v>259.16619939376278</v>
      </c>
      <c r="K130" s="64">
        <f t="shared" si="149"/>
        <v>229.80040172455514</v>
      </c>
      <c r="L130" s="64">
        <f t="shared" si="149"/>
        <v>326.15130870414055</v>
      </c>
      <c r="M130" s="64">
        <f t="shared" si="149"/>
        <v>303.62398612178072</v>
      </c>
      <c r="N130" s="64">
        <f t="shared" si="149"/>
        <v>339.75959849925539</v>
      </c>
      <c r="O130" s="64">
        <f t="shared" si="149"/>
        <v>345.79461386303558</v>
      </c>
      <c r="P130" s="64">
        <f t="shared" si="149"/>
        <v>355.26559822672482</v>
      </c>
      <c r="Q130" s="64">
        <f t="shared" si="149"/>
        <v>382.96598929729396</v>
      </c>
      <c r="R130" s="64">
        <f t="shared" si="149"/>
        <v>358.72629658001074</v>
      </c>
      <c r="S130" s="64">
        <f t="shared" si="149"/>
        <v>364.61548481393908</v>
      </c>
      <c r="T130" s="64">
        <f t="shared" si="149"/>
        <v>321.06105271854909</v>
      </c>
      <c r="U130" s="64">
        <f t="shared" si="149"/>
        <v>319.35698345668271</v>
      </c>
      <c r="V130" s="64">
        <f t="shared" si="149"/>
        <v>259.29895953080518</v>
      </c>
      <c r="W130" s="64">
        <f t="shared" si="149"/>
        <v>269.11174154617152</v>
      </c>
      <c r="X130" s="64">
        <f t="shared" ref="X130:Y130" si="150">IF(X100=0,0,X100/X$26)</f>
        <v>306.90705662306101</v>
      </c>
      <c r="Y130" s="64">
        <f t="shared" si="150"/>
        <v>296.10205361019865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120.92085494084907</v>
      </c>
      <c r="C131" s="65">
        <f t="shared" ref="C131:W131" si="152">IF(C101=0,0,C101/C$26)</f>
        <v>123.78883700470259</v>
      </c>
      <c r="D131" s="65">
        <f t="shared" si="152"/>
        <v>143.32315911301831</v>
      </c>
      <c r="E131" s="65">
        <f t="shared" si="152"/>
        <v>161.37499589153381</v>
      </c>
      <c r="F131" s="65">
        <f t="shared" si="152"/>
        <v>174.93229199578346</v>
      </c>
      <c r="G131" s="65">
        <f t="shared" si="152"/>
        <v>198.96865156992848</v>
      </c>
      <c r="H131" s="65">
        <f t="shared" si="152"/>
        <v>137.55308677163259</v>
      </c>
      <c r="I131" s="65">
        <f t="shared" si="152"/>
        <v>140.40172856683205</v>
      </c>
      <c r="J131" s="65">
        <f t="shared" si="152"/>
        <v>121.34643178705932</v>
      </c>
      <c r="K131" s="65">
        <f t="shared" si="152"/>
        <v>88.08521168965207</v>
      </c>
      <c r="L131" s="65">
        <f t="shared" si="152"/>
        <v>187.32586019880753</v>
      </c>
      <c r="M131" s="65">
        <f t="shared" si="152"/>
        <v>163.10202915213711</v>
      </c>
      <c r="N131" s="65">
        <f t="shared" si="152"/>
        <v>191.77023303821176</v>
      </c>
      <c r="O131" s="65">
        <f t="shared" si="152"/>
        <v>206.63580251766999</v>
      </c>
      <c r="P131" s="65">
        <f t="shared" si="152"/>
        <v>216.53713511045029</v>
      </c>
      <c r="Q131" s="65">
        <f t="shared" si="152"/>
        <v>243.80501625721294</v>
      </c>
      <c r="R131" s="65">
        <f t="shared" si="152"/>
        <v>225.11281287285149</v>
      </c>
      <c r="S131" s="65">
        <f t="shared" si="152"/>
        <v>230.01032308530395</v>
      </c>
      <c r="T131" s="65">
        <f t="shared" si="152"/>
        <v>188.30874884290321</v>
      </c>
      <c r="U131" s="65">
        <f t="shared" si="152"/>
        <v>181.21741432856274</v>
      </c>
      <c r="V131" s="65">
        <f t="shared" si="152"/>
        <v>137.03587050308877</v>
      </c>
      <c r="W131" s="65">
        <f t="shared" si="152"/>
        <v>140.48505298820007</v>
      </c>
      <c r="X131" s="65">
        <f t="shared" ref="X131:Y131" si="153">IF(X101=0,0,X101/X$26)</f>
        <v>176.07560524266538</v>
      </c>
      <c r="Y131" s="65">
        <f t="shared" si="153"/>
        <v>165.21074472933665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23.286033719981383</v>
      </c>
      <c r="C132" s="65">
        <f t="shared" ref="C132:W132" si="155">IF(C102=0,0,C102/C$26)</f>
        <v>26.131844641994878</v>
      </c>
      <c r="D132" s="65">
        <f t="shared" si="155"/>
        <v>20.246750075559959</v>
      </c>
      <c r="E132" s="65">
        <f t="shared" si="155"/>
        <v>30.348634150929016</v>
      </c>
      <c r="F132" s="65">
        <f t="shared" si="155"/>
        <v>15.679151816481374</v>
      </c>
      <c r="G132" s="65">
        <f t="shared" si="155"/>
        <v>15.147656189400065</v>
      </c>
      <c r="H132" s="65">
        <f t="shared" si="155"/>
        <v>20.276754387928449</v>
      </c>
      <c r="I132" s="65">
        <f t="shared" si="155"/>
        <v>20.388700219298954</v>
      </c>
      <c r="J132" s="65">
        <f t="shared" si="155"/>
        <v>16.652325662777322</v>
      </c>
      <c r="K132" s="65">
        <f t="shared" si="155"/>
        <v>18.034845601491714</v>
      </c>
      <c r="L132" s="65">
        <f t="shared" si="155"/>
        <v>14.76682054500214</v>
      </c>
      <c r="M132" s="65">
        <f t="shared" si="155"/>
        <v>15.773981405652478</v>
      </c>
      <c r="N132" s="65">
        <f t="shared" si="155"/>
        <v>26.975284430151682</v>
      </c>
      <c r="O132" s="65">
        <f t="shared" si="155"/>
        <v>18.81294591440334</v>
      </c>
      <c r="P132" s="65">
        <f t="shared" si="155"/>
        <v>19.062147164853748</v>
      </c>
      <c r="Q132" s="65">
        <f t="shared" si="155"/>
        <v>20.056133099422976</v>
      </c>
      <c r="R132" s="65">
        <f t="shared" si="155"/>
        <v>16.261495661164751</v>
      </c>
      <c r="S132" s="65">
        <f t="shared" si="155"/>
        <v>18.90666419626584</v>
      </c>
      <c r="T132" s="65">
        <f t="shared" si="155"/>
        <v>16.716408818626206</v>
      </c>
      <c r="U132" s="65">
        <f t="shared" si="155"/>
        <v>22.956722425880265</v>
      </c>
      <c r="V132" s="65">
        <f t="shared" si="155"/>
        <v>17.547730761457281</v>
      </c>
      <c r="W132" s="65">
        <f t="shared" si="155"/>
        <v>22.162233854606683</v>
      </c>
      <c r="X132" s="65">
        <f t="shared" ref="X132:Y132" si="156">IF(X102=0,0,X102/X$26)</f>
        <v>23.647441079675311</v>
      </c>
      <c r="Y132" s="65">
        <f t="shared" si="156"/>
        <v>21.285104864616322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58.549790658158024</v>
      </c>
      <c r="C133" s="65">
        <f t="shared" ref="C133:W133" si="158">IF(C103=0,0,C103/C$26)</f>
        <v>55.946540188277829</v>
      </c>
      <c r="D133" s="65">
        <f t="shared" si="158"/>
        <v>57.185466198177153</v>
      </c>
      <c r="E133" s="65">
        <f t="shared" si="158"/>
        <v>57.271819515804374</v>
      </c>
      <c r="F133" s="65">
        <f t="shared" si="158"/>
        <v>58.444707961981592</v>
      </c>
      <c r="G133" s="65">
        <f t="shared" si="158"/>
        <v>57.182010112794785</v>
      </c>
      <c r="H133" s="65">
        <f t="shared" si="158"/>
        <v>57.750555800142301</v>
      </c>
      <c r="I133" s="65">
        <f t="shared" si="158"/>
        <v>57.063548260985115</v>
      </c>
      <c r="J133" s="65">
        <f t="shared" si="158"/>
        <v>55.018035299129259</v>
      </c>
      <c r="K133" s="65">
        <f t="shared" si="158"/>
        <v>55.187956362701833</v>
      </c>
      <c r="L133" s="65">
        <f t="shared" si="158"/>
        <v>55.9605919306969</v>
      </c>
      <c r="M133" s="65">
        <f t="shared" si="158"/>
        <v>56.093508374412195</v>
      </c>
      <c r="N133" s="65">
        <f t="shared" si="158"/>
        <v>54.035759026002033</v>
      </c>
      <c r="O133" s="65">
        <f t="shared" si="158"/>
        <v>54.08045619938725</v>
      </c>
      <c r="P133" s="65">
        <f t="shared" si="158"/>
        <v>53.250462121206539</v>
      </c>
      <c r="Q133" s="65">
        <f t="shared" si="158"/>
        <v>52.363486778810852</v>
      </c>
      <c r="R133" s="65">
        <f t="shared" si="158"/>
        <v>51.580504235167375</v>
      </c>
      <c r="S133" s="65">
        <f t="shared" si="158"/>
        <v>50.325866383696265</v>
      </c>
      <c r="T133" s="65">
        <f t="shared" si="158"/>
        <v>49.423120582089332</v>
      </c>
      <c r="U133" s="65">
        <f t="shared" si="158"/>
        <v>48.639861816211507</v>
      </c>
      <c r="V133" s="65">
        <f t="shared" si="158"/>
        <v>45.611480886653155</v>
      </c>
      <c r="W133" s="65">
        <f t="shared" si="158"/>
        <v>45.779458561573279</v>
      </c>
      <c r="X133" s="65">
        <f t="shared" ref="X133:Y133" si="159">IF(X103=0,0,X103/X$26)</f>
        <v>45.093635101503864</v>
      </c>
      <c r="Y133" s="65">
        <f t="shared" si="159"/>
        <v>45.670997506999441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64.955858904148329</v>
      </c>
      <c r="C134" s="67">
        <f t="shared" ref="C134:W134" si="161">IF(C104=0,0,C104/C$26)</f>
        <v>64.728531178181541</v>
      </c>
      <c r="D134" s="67">
        <f t="shared" si="161"/>
        <v>66.552665413178431</v>
      </c>
      <c r="E134" s="67">
        <f t="shared" si="161"/>
        <v>68.09573808435664</v>
      </c>
      <c r="F134" s="67">
        <f t="shared" si="161"/>
        <v>69.396561065960398</v>
      </c>
      <c r="G134" s="67">
        <f t="shared" si="161"/>
        <v>67.308003064692954</v>
      </c>
      <c r="H134" s="67">
        <f t="shared" si="161"/>
        <v>67.829559508882213</v>
      </c>
      <c r="I134" s="67">
        <f t="shared" si="161"/>
        <v>67.305736159462285</v>
      </c>
      <c r="J134" s="67">
        <f t="shared" si="161"/>
        <v>66.149406644796912</v>
      </c>
      <c r="K134" s="67">
        <f t="shared" si="161"/>
        <v>68.492388070709509</v>
      </c>
      <c r="L134" s="67">
        <f t="shared" si="161"/>
        <v>68.098036029634031</v>
      </c>
      <c r="M134" s="67">
        <f t="shared" si="161"/>
        <v>68.654467189578966</v>
      </c>
      <c r="N134" s="67">
        <f t="shared" si="161"/>
        <v>66.97832200488989</v>
      </c>
      <c r="O134" s="67">
        <f t="shared" si="161"/>
        <v>66.265409231574992</v>
      </c>
      <c r="P134" s="67">
        <f t="shared" si="161"/>
        <v>66.415853830214218</v>
      </c>
      <c r="Q134" s="67">
        <f t="shared" si="161"/>
        <v>66.741353161847158</v>
      </c>
      <c r="R134" s="67">
        <f t="shared" si="161"/>
        <v>65.771483810827092</v>
      </c>
      <c r="S134" s="67">
        <f t="shared" si="161"/>
        <v>65.372631148673094</v>
      </c>
      <c r="T134" s="67">
        <f t="shared" si="161"/>
        <v>66.612774474930362</v>
      </c>
      <c r="U134" s="67">
        <f t="shared" si="161"/>
        <v>66.542984886028222</v>
      </c>
      <c r="V134" s="67">
        <f t="shared" si="161"/>
        <v>59.103877379606018</v>
      </c>
      <c r="W134" s="67">
        <f t="shared" si="161"/>
        <v>60.684996141791466</v>
      </c>
      <c r="X134" s="67">
        <f t="shared" ref="X134:Y134" si="162">IF(X104=0,0,X104/X$26)</f>
        <v>62.090375199216489</v>
      </c>
      <c r="Y134" s="67">
        <f t="shared" si="162"/>
        <v>63.935206509246221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80.918309863761237</v>
      </c>
      <c r="C135" s="68">
        <f t="shared" ref="C135:W135" si="164">IF(C105=0,0,C105/C$26)</f>
        <v>82.3155074393202</v>
      </c>
      <c r="D135" s="68">
        <f t="shared" si="164"/>
        <v>84.389419840186065</v>
      </c>
      <c r="E135" s="68">
        <f t="shared" si="164"/>
        <v>86.786865269187132</v>
      </c>
      <c r="F135" s="68">
        <f t="shared" si="164"/>
        <v>89.448832363251185</v>
      </c>
      <c r="G135" s="68">
        <f t="shared" si="164"/>
        <v>90.211672655344756</v>
      </c>
      <c r="H135" s="68">
        <f t="shared" si="164"/>
        <v>90.896557792780413</v>
      </c>
      <c r="I135" s="68">
        <f t="shared" si="164"/>
        <v>90.835753866689359</v>
      </c>
      <c r="J135" s="68">
        <f t="shared" si="164"/>
        <v>89.152631210175386</v>
      </c>
      <c r="K135" s="68">
        <f t="shared" si="164"/>
        <v>90.383837381330267</v>
      </c>
      <c r="L135" s="68">
        <f t="shared" si="164"/>
        <v>91.02166317447508</v>
      </c>
      <c r="M135" s="68">
        <f t="shared" si="164"/>
        <v>90.400324368748926</v>
      </c>
      <c r="N135" s="68">
        <f t="shared" si="164"/>
        <v>89.117787613459598</v>
      </c>
      <c r="O135" s="68">
        <f t="shared" si="164"/>
        <v>89.128162422709352</v>
      </c>
      <c r="P135" s="68">
        <f t="shared" si="164"/>
        <v>88.845601713487127</v>
      </c>
      <c r="Q135" s="68">
        <f t="shared" si="164"/>
        <v>89.697840051484576</v>
      </c>
      <c r="R135" s="68">
        <f t="shared" si="164"/>
        <v>87.977472156967323</v>
      </c>
      <c r="S135" s="68">
        <f t="shared" si="164"/>
        <v>85.827141939207465</v>
      </c>
      <c r="T135" s="68">
        <f t="shared" si="164"/>
        <v>84.161190147385653</v>
      </c>
      <c r="U135" s="68">
        <f t="shared" si="164"/>
        <v>83.119188010820281</v>
      </c>
      <c r="V135" s="68">
        <f t="shared" si="164"/>
        <v>76.459694683386331</v>
      </c>
      <c r="W135" s="68">
        <f t="shared" si="164"/>
        <v>75.690693641795747</v>
      </c>
      <c r="X135" s="68">
        <f t="shared" ref="X135:Y135" si="165">IF(X105=0,0,X105/X$26)</f>
        <v>74.837677723882763</v>
      </c>
      <c r="Y135" s="68">
        <f t="shared" si="165"/>
        <v>74.517112118599599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184.31305474582257</v>
      </c>
      <c r="C137" s="85">
        <f t="shared" ref="C137:W137" si="167">IF(C107=0,0,C107/C$26)</f>
        <v>193.45451823941991</v>
      </c>
      <c r="D137" s="85">
        <f t="shared" si="167"/>
        <v>198.47034481161975</v>
      </c>
      <c r="E137" s="85">
        <f t="shared" si="167"/>
        <v>234.11067347454579</v>
      </c>
      <c r="F137" s="85">
        <f t="shared" si="167"/>
        <v>215.91921824345832</v>
      </c>
      <c r="G137" s="85">
        <f t="shared" si="167"/>
        <v>230.77004027119801</v>
      </c>
      <c r="H137" s="85">
        <f t="shared" si="167"/>
        <v>211.32970890792436</v>
      </c>
      <c r="I137" s="85">
        <f t="shared" si="167"/>
        <v>217.90970996291267</v>
      </c>
      <c r="J137" s="85">
        <f t="shared" si="167"/>
        <v>200.14535789982693</v>
      </c>
      <c r="K137" s="85">
        <f t="shared" si="167"/>
        <v>187.74935407207283</v>
      </c>
      <c r="L137" s="85">
        <f t="shared" si="167"/>
        <v>242.53427266154489</v>
      </c>
      <c r="M137" s="85">
        <f t="shared" si="167"/>
        <v>236.02875233150033</v>
      </c>
      <c r="N137" s="85">
        <f t="shared" si="167"/>
        <v>294.57418637133088</v>
      </c>
      <c r="O137" s="85">
        <f t="shared" si="167"/>
        <v>282.02579297854635</v>
      </c>
      <c r="P137" s="85">
        <f t="shared" si="167"/>
        <v>295.74496592067106</v>
      </c>
      <c r="Q137" s="85">
        <f t="shared" si="167"/>
        <v>324.03930164709379</v>
      </c>
      <c r="R137" s="85">
        <f t="shared" si="167"/>
        <v>302.95596160527782</v>
      </c>
      <c r="S137" s="85">
        <f t="shared" si="167"/>
        <v>321.22137350695584</v>
      </c>
      <c r="T137" s="85">
        <f t="shared" si="167"/>
        <v>290.0733297623724</v>
      </c>
      <c r="U137" s="85">
        <f t="shared" si="167"/>
        <v>316.98390297762779</v>
      </c>
      <c r="V137" s="85">
        <f t="shared" si="167"/>
        <v>264.51153610259945</v>
      </c>
      <c r="W137" s="85">
        <f t="shared" si="167"/>
        <v>297.83458689434099</v>
      </c>
      <c r="X137" s="85">
        <f t="shared" ref="X137:Y137" si="168">IF(X107=0,0,X107/X$26)</f>
        <v>337.1088906692413</v>
      </c>
      <c r="Y137" s="85">
        <f t="shared" si="168"/>
        <v>326.99109256316166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67.314615555952045</v>
      </c>
      <c r="C138" s="65">
        <f t="shared" ref="C138:W138" si="170">IF(C108=0,0,C108/C$26)</f>
        <v>69.720388755162389</v>
      </c>
      <c r="D138" s="65">
        <f t="shared" si="170"/>
        <v>81.526259519902425</v>
      </c>
      <c r="E138" s="65">
        <f t="shared" si="170"/>
        <v>92.62513056504946</v>
      </c>
      <c r="F138" s="65">
        <f t="shared" si="170"/>
        <v>101.12358697379658</v>
      </c>
      <c r="G138" s="65">
        <f t="shared" si="170"/>
        <v>116.83057672792239</v>
      </c>
      <c r="H138" s="65">
        <f t="shared" si="170"/>
        <v>82.216762311625288</v>
      </c>
      <c r="I138" s="65">
        <f t="shared" si="170"/>
        <v>85.701376322854799</v>
      </c>
      <c r="J138" s="65">
        <f t="shared" si="170"/>
        <v>76.629684731651963</v>
      </c>
      <c r="K138" s="65">
        <f t="shared" si="170"/>
        <v>58.123641414055797</v>
      </c>
      <c r="L138" s="65">
        <f t="shared" si="170"/>
        <v>119.60066236307311</v>
      </c>
      <c r="M138" s="65">
        <f t="shared" si="170"/>
        <v>107.61772136762045</v>
      </c>
      <c r="N138" s="65">
        <f t="shared" si="170"/>
        <v>128.43247109602072</v>
      </c>
      <c r="O138" s="65">
        <f t="shared" si="170"/>
        <v>140.40174902187542</v>
      </c>
      <c r="P138" s="65">
        <f t="shared" si="170"/>
        <v>150.24875638333816</v>
      </c>
      <c r="Q138" s="65">
        <f t="shared" si="170"/>
        <v>171.92008339058387</v>
      </c>
      <c r="R138" s="65">
        <f t="shared" si="170"/>
        <v>162.26619872273545</v>
      </c>
      <c r="S138" s="65">
        <f t="shared" si="170"/>
        <v>167.96668027539792</v>
      </c>
      <c r="T138" s="65">
        <f t="shared" si="170"/>
        <v>142.8967982822393</v>
      </c>
      <c r="U138" s="65">
        <f t="shared" si="170"/>
        <v>140.21039104104852</v>
      </c>
      <c r="V138" s="65">
        <f t="shared" si="170"/>
        <v>114.22247214156668</v>
      </c>
      <c r="W138" s="65">
        <f t="shared" si="170"/>
        <v>122.58799813774586</v>
      </c>
      <c r="X138" s="65">
        <f t="shared" ref="X138:Y138" si="171">IF(X108=0,0,X108/X$26)</f>
        <v>152.41614764004413</v>
      </c>
      <c r="Y138" s="65">
        <f t="shared" si="171"/>
        <v>149.38363227627298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40.680925499281472</v>
      </c>
      <c r="C139" s="65">
        <f t="shared" ref="C139:W139" si="173">IF(C109=0,0,C109/C$26)</f>
        <v>48.63173704112905</v>
      </c>
      <c r="D139" s="65">
        <f t="shared" si="173"/>
        <v>39.837186777782399</v>
      </c>
      <c r="E139" s="65">
        <f t="shared" si="173"/>
        <v>62.903283399449641</v>
      </c>
      <c r="F139" s="65">
        <f t="shared" si="173"/>
        <v>34.355995436293092</v>
      </c>
      <c r="G139" s="65">
        <f t="shared" si="173"/>
        <v>35.470050265020184</v>
      </c>
      <c r="H139" s="65">
        <f t="shared" si="173"/>
        <v>50.852143897285863</v>
      </c>
      <c r="I139" s="65">
        <f t="shared" si="173"/>
        <v>54.897461402446375</v>
      </c>
      <c r="J139" s="65">
        <f t="shared" si="173"/>
        <v>48.503026968225164</v>
      </c>
      <c r="K139" s="65">
        <f t="shared" si="173"/>
        <v>53.868844978860253</v>
      </c>
      <c r="L139" s="65">
        <f t="shared" si="173"/>
        <v>45.371777390582047</v>
      </c>
      <c r="M139" s="65">
        <f t="shared" si="173"/>
        <v>50.469892125345481</v>
      </c>
      <c r="N139" s="65">
        <f t="shared" si="173"/>
        <v>89.723164269900863</v>
      </c>
      <c r="O139" s="65">
        <f t="shared" si="173"/>
        <v>64.985170526731466</v>
      </c>
      <c r="P139" s="65">
        <f t="shared" si="173"/>
        <v>68.597607737583544</v>
      </c>
      <c r="Q139" s="65">
        <f t="shared" si="173"/>
        <v>75.319873534769712</v>
      </c>
      <c r="R139" s="65">
        <f t="shared" si="173"/>
        <v>63.675002850688564</v>
      </c>
      <c r="S139" s="65">
        <f t="shared" si="173"/>
        <v>77.027873261322156</v>
      </c>
      <c r="T139" s="65">
        <f t="shared" si="173"/>
        <v>70.609068725298116</v>
      </c>
      <c r="U139" s="65">
        <f t="shared" si="173"/>
        <v>99.755216954025968</v>
      </c>
      <c r="V139" s="65">
        <f t="shared" si="173"/>
        <v>77.986757945846605</v>
      </c>
      <c r="W139" s="65">
        <f t="shared" si="173"/>
        <v>100.61279470584857</v>
      </c>
      <c r="X139" s="65">
        <f t="shared" ref="X139:Y139" si="174">IF(X109=0,0,X109/X$26)</f>
        <v>109.21527104525829</v>
      </c>
      <c r="Y139" s="65">
        <f t="shared" si="174"/>
        <v>99.649431178251291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29.908702928592547</v>
      </c>
      <c r="C140" s="65">
        <f t="shared" ref="C140:W140" si="176">IF(C110=0,0,C110/C$26)</f>
        <v>28.686644110587658</v>
      </c>
      <c r="D140" s="65">
        <f t="shared" si="176"/>
        <v>29.438373938577417</v>
      </c>
      <c r="E140" s="65">
        <f t="shared" si="176"/>
        <v>29.635628360962066</v>
      </c>
      <c r="F140" s="65">
        <f t="shared" si="176"/>
        <v>30.374720726420048</v>
      </c>
      <c r="G140" s="65">
        <f t="shared" si="176"/>
        <v>29.83186129454419</v>
      </c>
      <c r="H140" s="65">
        <f t="shared" si="176"/>
        <v>29.842900662123039</v>
      </c>
      <c r="I140" s="65">
        <f t="shared" si="176"/>
        <v>29.472295832187982</v>
      </c>
      <c r="J140" s="65">
        <f t="shared" si="176"/>
        <v>28.659373015207013</v>
      </c>
      <c r="K140" s="65">
        <f t="shared" si="176"/>
        <v>28.953943854643793</v>
      </c>
      <c r="L140" s="65">
        <f t="shared" si="176"/>
        <v>29.922272241926823</v>
      </c>
      <c r="M140" s="65">
        <f t="shared" si="176"/>
        <v>30.264284516085766</v>
      </c>
      <c r="N140" s="65">
        <f t="shared" si="176"/>
        <v>29.569146397561934</v>
      </c>
      <c r="O140" s="65">
        <f t="shared" si="176"/>
        <v>30.063423925111625</v>
      </c>
      <c r="P140" s="65">
        <f t="shared" si="176"/>
        <v>29.908246676533103</v>
      </c>
      <c r="Q140" s="65">
        <f t="shared" si="176"/>
        <v>29.78620794696376</v>
      </c>
      <c r="R140" s="65">
        <f t="shared" si="176"/>
        <v>29.797736470573899</v>
      </c>
      <c r="S140" s="65">
        <f t="shared" si="176"/>
        <v>29.606225116278566</v>
      </c>
      <c r="T140" s="65">
        <f t="shared" si="176"/>
        <v>29.603436819991867</v>
      </c>
      <c r="U140" s="65">
        <f t="shared" si="176"/>
        <v>29.713871360119786</v>
      </c>
      <c r="V140" s="65">
        <f t="shared" si="176"/>
        <v>28.479573280714149</v>
      </c>
      <c r="W140" s="65">
        <f t="shared" si="176"/>
        <v>29.242880765624164</v>
      </c>
      <c r="X140" s="65">
        <f t="shared" ref="X140:Y140" si="177">IF(X110=0,0,X110/X$26)</f>
        <v>29.467310760149442</v>
      </c>
      <c r="Y140" s="65">
        <f t="shared" si="177"/>
        <v>30.570420581224127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46.408810761996492</v>
      </c>
      <c r="C141" s="68">
        <f t="shared" ref="C141:W141" si="179">IF(C111=0,0,C111/C$26)</f>
        <v>46.415748332540829</v>
      </c>
      <c r="D141" s="68">
        <f t="shared" si="179"/>
        <v>47.668524575357516</v>
      </c>
      <c r="E141" s="68">
        <f t="shared" si="179"/>
        <v>48.946631149084638</v>
      </c>
      <c r="F141" s="68">
        <f t="shared" si="179"/>
        <v>50.064915106948575</v>
      </c>
      <c r="G141" s="68">
        <f t="shared" si="179"/>
        <v>48.637551983711255</v>
      </c>
      <c r="H141" s="68">
        <f t="shared" si="179"/>
        <v>48.417902036890169</v>
      </c>
      <c r="I141" s="68">
        <f t="shared" si="179"/>
        <v>47.838576405423524</v>
      </c>
      <c r="J141" s="68">
        <f t="shared" si="179"/>
        <v>46.353273184742811</v>
      </c>
      <c r="K141" s="68">
        <f t="shared" si="179"/>
        <v>46.802923824512995</v>
      </c>
      <c r="L141" s="68">
        <f t="shared" si="179"/>
        <v>47.639560665962918</v>
      </c>
      <c r="M141" s="68">
        <f t="shared" si="179"/>
        <v>47.676854322448641</v>
      </c>
      <c r="N141" s="68">
        <f t="shared" si="179"/>
        <v>46.849404607847369</v>
      </c>
      <c r="O141" s="68">
        <f t="shared" si="179"/>
        <v>46.575449504827837</v>
      </c>
      <c r="P141" s="68">
        <f t="shared" si="179"/>
        <v>46.990355123216311</v>
      </c>
      <c r="Q141" s="68">
        <f t="shared" si="179"/>
        <v>47.013136774776449</v>
      </c>
      <c r="R141" s="68">
        <f t="shared" si="179"/>
        <v>47.217023561279923</v>
      </c>
      <c r="S141" s="68">
        <f t="shared" si="179"/>
        <v>46.620594853957201</v>
      </c>
      <c r="T141" s="68">
        <f t="shared" si="179"/>
        <v>46.9640259348431</v>
      </c>
      <c r="U141" s="68">
        <f t="shared" si="179"/>
        <v>47.304423622433568</v>
      </c>
      <c r="V141" s="68">
        <f t="shared" si="179"/>
        <v>43.822732734472062</v>
      </c>
      <c r="W141" s="68">
        <f t="shared" si="179"/>
        <v>45.390913285122402</v>
      </c>
      <c r="X141" s="68">
        <f t="shared" ref="X141:Y141" si="180">IF(X111=0,0,X111/X$26)</f>
        <v>46.010161223789467</v>
      </c>
      <c r="Y141" s="68">
        <f t="shared" si="180"/>
        <v>47.387608527413228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24.164817267806047</v>
      </c>
      <c r="C143" s="82">
        <f t="shared" ref="C143:W143" si="182">IF(C113=0,0,C113/C$26)</f>
        <v>23.064909164651894</v>
      </c>
      <c r="D143" s="82">
        <f t="shared" si="182"/>
        <v>25.722300709010018</v>
      </c>
      <c r="E143" s="82">
        <f t="shared" si="182"/>
        <v>29.741727881586048</v>
      </c>
      <c r="F143" s="82">
        <f t="shared" si="182"/>
        <v>30.970851248766397</v>
      </c>
      <c r="G143" s="82">
        <f t="shared" si="182"/>
        <v>25.600418577053148</v>
      </c>
      <c r="H143" s="82">
        <f t="shared" si="182"/>
        <v>23.292283084467872</v>
      </c>
      <c r="I143" s="82">
        <f t="shared" si="182"/>
        <v>26.309180090639877</v>
      </c>
      <c r="J143" s="82">
        <f t="shared" si="182"/>
        <v>24.723485914128794</v>
      </c>
      <c r="K143" s="82">
        <f t="shared" si="182"/>
        <v>19.699701019887385</v>
      </c>
      <c r="L143" s="82">
        <f t="shared" si="182"/>
        <v>26.555437873104452</v>
      </c>
      <c r="M143" s="82">
        <f t="shared" si="182"/>
        <v>17.84849910485525</v>
      </c>
      <c r="N143" s="82">
        <f t="shared" si="182"/>
        <v>24.934354533451906</v>
      </c>
      <c r="O143" s="82">
        <f t="shared" si="182"/>
        <v>28.820107869182898</v>
      </c>
      <c r="P143" s="82">
        <f t="shared" si="182"/>
        <v>30.04490444773106</v>
      </c>
      <c r="Q143" s="82">
        <f t="shared" si="182"/>
        <v>35.132381279056467</v>
      </c>
      <c r="R143" s="82">
        <f t="shared" si="182"/>
        <v>31.213892474822124</v>
      </c>
      <c r="S143" s="82">
        <f t="shared" si="182"/>
        <v>27.737363317611802</v>
      </c>
      <c r="T143" s="82">
        <f t="shared" si="182"/>
        <v>19.298229360976435</v>
      </c>
      <c r="U143" s="82">
        <f t="shared" si="182"/>
        <v>18.636224492564853</v>
      </c>
      <c r="V143" s="82">
        <f t="shared" si="182"/>
        <v>14.193148325498154</v>
      </c>
      <c r="W143" s="82">
        <f t="shared" si="182"/>
        <v>14.980374244134218</v>
      </c>
      <c r="X143" s="82">
        <f t="shared" ref="X143:Y143" si="183">IF(X113=0,0,X113/X$26)</f>
        <v>17.967530980404437</v>
      </c>
      <c r="Y143" s="82">
        <f t="shared" si="183"/>
        <v>15.553373204306412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24.164817267806047</v>
      </c>
      <c r="C144" s="64">
        <f t="shared" ref="C144:W144" si="185">IF(C114=0,0,C114/C$26)</f>
        <v>23.064909164651894</v>
      </c>
      <c r="D144" s="64">
        <f t="shared" si="185"/>
        <v>25.722300709010018</v>
      </c>
      <c r="E144" s="64">
        <f t="shared" si="185"/>
        <v>29.741727881586048</v>
      </c>
      <c r="F144" s="64">
        <f t="shared" si="185"/>
        <v>30.970851248766397</v>
      </c>
      <c r="G144" s="64">
        <f t="shared" si="185"/>
        <v>25.600418577053148</v>
      </c>
      <c r="H144" s="64">
        <f t="shared" si="185"/>
        <v>23.292283084467872</v>
      </c>
      <c r="I144" s="64">
        <f t="shared" si="185"/>
        <v>26.309180090639877</v>
      </c>
      <c r="J144" s="64">
        <f t="shared" si="185"/>
        <v>24.723485914128794</v>
      </c>
      <c r="K144" s="64">
        <f t="shared" si="185"/>
        <v>19.699701019887385</v>
      </c>
      <c r="L144" s="64">
        <f t="shared" si="185"/>
        <v>26.555437873104452</v>
      </c>
      <c r="M144" s="64">
        <f t="shared" si="185"/>
        <v>17.84849910485525</v>
      </c>
      <c r="N144" s="64">
        <f t="shared" si="185"/>
        <v>24.934354533451906</v>
      </c>
      <c r="O144" s="64">
        <f t="shared" si="185"/>
        <v>28.820107869182898</v>
      </c>
      <c r="P144" s="64">
        <f t="shared" si="185"/>
        <v>30.04490444773106</v>
      </c>
      <c r="Q144" s="64">
        <f t="shared" si="185"/>
        <v>35.132381279056467</v>
      </c>
      <c r="R144" s="64">
        <f t="shared" si="185"/>
        <v>31.213892474822124</v>
      </c>
      <c r="S144" s="64">
        <f t="shared" si="185"/>
        <v>27.737363317611802</v>
      </c>
      <c r="T144" s="64">
        <f t="shared" si="185"/>
        <v>19.298229360976435</v>
      </c>
      <c r="U144" s="64">
        <f t="shared" si="185"/>
        <v>18.636224492564853</v>
      </c>
      <c r="V144" s="64">
        <f t="shared" si="185"/>
        <v>14.193148325498154</v>
      </c>
      <c r="W144" s="64">
        <f t="shared" si="185"/>
        <v>14.980374244134218</v>
      </c>
      <c r="X144" s="64">
        <f t="shared" ref="X144:Y144" si="186">IF(X114=0,0,X114/X$26)</f>
        <v>17.967530980404437</v>
      </c>
      <c r="Y144" s="64">
        <f t="shared" si="186"/>
        <v>15.553373204306412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22.033913763211078</v>
      </c>
      <c r="C145" s="65">
        <f t="shared" ref="C145:W145" si="188">IF(C115=0,0,C115/C$26)</f>
        <v>21.048649443857453</v>
      </c>
      <c r="D145" s="65">
        <f t="shared" si="188"/>
        <v>23.501234034493443</v>
      </c>
      <c r="E145" s="65">
        <f t="shared" si="188"/>
        <v>27.718110238603366</v>
      </c>
      <c r="F145" s="65">
        <f t="shared" si="188"/>
        <v>29.074650179100157</v>
      </c>
      <c r="G145" s="65">
        <f t="shared" si="188"/>
        <v>23.620448831587233</v>
      </c>
      <c r="H145" s="65">
        <f t="shared" si="188"/>
        <v>19.18789661884005</v>
      </c>
      <c r="I145" s="65">
        <f t="shared" si="188"/>
        <v>21.36493533985367</v>
      </c>
      <c r="J145" s="65">
        <f t="shared" si="188"/>
        <v>19.084863846926158</v>
      </c>
      <c r="K145" s="65">
        <f t="shared" si="188"/>
        <v>12.46582644068492</v>
      </c>
      <c r="L145" s="65">
        <f t="shared" si="188"/>
        <v>21.598926580395382</v>
      </c>
      <c r="M145" s="65">
        <f t="shared" si="188"/>
        <v>12.440326324949224</v>
      </c>
      <c r="N145" s="65">
        <f t="shared" si="188"/>
        <v>20.165943879213643</v>
      </c>
      <c r="O145" s="65">
        <f t="shared" si="188"/>
        <v>24.461535843785043</v>
      </c>
      <c r="P145" s="65">
        <f t="shared" si="188"/>
        <v>25.895822977492919</v>
      </c>
      <c r="Q145" s="65">
        <f t="shared" si="188"/>
        <v>30.51518510669149</v>
      </c>
      <c r="R145" s="65">
        <f t="shared" si="188"/>
        <v>27.37571306780448</v>
      </c>
      <c r="S145" s="65">
        <f t="shared" si="188"/>
        <v>23.141209905366402</v>
      </c>
      <c r="T145" s="65">
        <f t="shared" si="188"/>
        <v>13.468471385588568</v>
      </c>
      <c r="U145" s="65">
        <f t="shared" si="188"/>
        <v>12.660304516703082</v>
      </c>
      <c r="V145" s="65">
        <f t="shared" si="188"/>
        <v>10.274526470841712</v>
      </c>
      <c r="W145" s="65">
        <f t="shared" si="188"/>
        <v>10.778568649714336</v>
      </c>
      <c r="X145" s="65">
        <f t="shared" ref="X145:Y145" si="189">IF(X115=0,0,X115/X$26)</f>
        <v>12.653120238388894</v>
      </c>
      <c r="Y145" s="65">
        <f t="shared" si="189"/>
        <v>9.6567164804443362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0</v>
      </c>
      <c r="C146" s="65">
        <f t="shared" ref="C146:W146" si="191">IF(C116=0,0,C116/C$26)</f>
        <v>0</v>
      </c>
      <c r="D146" s="65">
        <f t="shared" si="191"/>
        <v>0</v>
      </c>
      <c r="E146" s="65">
        <f t="shared" si="191"/>
        <v>0</v>
      </c>
      <c r="F146" s="65">
        <f t="shared" si="191"/>
        <v>0</v>
      </c>
      <c r="G146" s="65">
        <f t="shared" si="191"/>
        <v>0</v>
      </c>
      <c r="H146" s="65">
        <f t="shared" si="191"/>
        <v>0</v>
      </c>
      <c r="I146" s="65">
        <f t="shared" si="191"/>
        <v>0</v>
      </c>
      <c r="J146" s="65">
        <f t="shared" si="191"/>
        <v>0</v>
      </c>
      <c r="K146" s="65">
        <f t="shared" si="191"/>
        <v>0</v>
      </c>
      <c r="L146" s="65">
        <f t="shared" si="191"/>
        <v>0</v>
      </c>
      <c r="M146" s="65">
        <f t="shared" si="191"/>
        <v>0</v>
      </c>
      <c r="N146" s="65">
        <f t="shared" si="191"/>
        <v>0</v>
      </c>
      <c r="O146" s="65">
        <f t="shared" si="191"/>
        <v>0</v>
      </c>
      <c r="P146" s="65">
        <f t="shared" si="191"/>
        <v>0</v>
      </c>
      <c r="Q146" s="65">
        <f t="shared" si="191"/>
        <v>0</v>
      </c>
      <c r="R146" s="65">
        <f t="shared" si="191"/>
        <v>0</v>
      </c>
      <c r="S146" s="65">
        <f t="shared" si="191"/>
        <v>0</v>
      </c>
      <c r="T146" s="65">
        <f t="shared" si="191"/>
        <v>0</v>
      </c>
      <c r="U146" s="65">
        <f t="shared" si="191"/>
        <v>0</v>
      </c>
      <c r="V146" s="65">
        <f t="shared" si="191"/>
        <v>0</v>
      </c>
      <c r="W146" s="65">
        <f t="shared" si="191"/>
        <v>0</v>
      </c>
      <c r="X146" s="65">
        <f t="shared" ref="X146:Y146" si="192">IF(X116=0,0,X116/X$26)</f>
        <v>0</v>
      </c>
      <c r="Y146" s="65">
        <f t="shared" si="192"/>
        <v>0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1.0451257534164671</v>
      </c>
      <c r="C147" s="65">
        <f t="shared" ref="C147:W147" si="194">IF(C117=0,0,C117/C$26)</f>
        <v>1.0063200642137655</v>
      </c>
      <c r="D147" s="65">
        <f t="shared" si="194"/>
        <v>0.98045295311006597</v>
      </c>
      <c r="E147" s="65">
        <f t="shared" si="194"/>
        <v>0.83732575993334524</v>
      </c>
      <c r="F147" s="65">
        <f t="shared" si="194"/>
        <v>0.77653136904532261</v>
      </c>
      <c r="G147" s="65">
        <f t="shared" si="194"/>
        <v>0.82126281928094069</v>
      </c>
      <c r="H147" s="65">
        <f t="shared" si="194"/>
        <v>2.0237287929765633</v>
      </c>
      <c r="I147" s="65">
        <f t="shared" si="194"/>
        <v>2.4560381974177967</v>
      </c>
      <c r="J147" s="65">
        <f t="shared" si="194"/>
        <v>2.1745619414951189</v>
      </c>
      <c r="K147" s="65">
        <f t="shared" si="194"/>
        <v>2.0018800654151065</v>
      </c>
      <c r="L147" s="65">
        <f t="shared" si="194"/>
        <v>0.96379270321958777</v>
      </c>
      <c r="M147" s="65">
        <f t="shared" si="194"/>
        <v>0.87377383786935325</v>
      </c>
      <c r="N147" s="65">
        <f t="shared" si="194"/>
        <v>0.61041213051025101</v>
      </c>
      <c r="O147" s="65">
        <f t="shared" si="194"/>
        <v>0.33224247172229315</v>
      </c>
      <c r="P147" s="65">
        <f t="shared" si="194"/>
        <v>0.25480858798606665</v>
      </c>
      <c r="Q147" s="65">
        <f t="shared" si="194"/>
        <v>0.21284119503580903</v>
      </c>
      <c r="R147" s="65">
        <f t="shared" si="194"/>
        <v>0.17465721730590264</v>
      </c>
      <c r="S147" s="65">
        <f t="shared" si="194"/>
        <v>0.20625926955284496</v>
      </c>
      <c r="T147" s="65">
        <f t="shared" si="194"/>
        <v>0.26750045220838903</v>
      </c>
      <c r="U147" s="65">
        <f t="shared" si="194"/>
        <v>0.26180473853489394</v>
      </c>
      <c r="V147" s="65">
        <f t="shared" si="194"/>
        <v>0.1954279116114456</v>
      </c>
      <c r="W147" s="65">
        <f t="shared" si="194"/>
        <v>0.20794451690081381</v>
      </c>
      <c r="X147" s="65">
        <f t="shared" ref="X147:Y147" si="195">IF(X117=0,0,X117/X$26)</f>
        <v>0.25157200630002524</v>
      </c>
      <c r="Y147" s="65">
        <f t="shared" si="195"/>
        <v>0.1717209515895686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1.0857777511785032</v>
      </c>
      <c r="C148" s="67">
        <f t="shared" ref="C148:W148" si="197">IF(C118=0,0,C118/C$26)</f>
        <v>1.0099396565806769</v>
      </c>
      <c r="D148" s="67">
        <f t="shared" si="197"/>
        <v>1.2406137214065081</v>
      </c>
      <c r="E148" s="67">
        <f t="shared" si="197"/>
        <v>1.1862918830493356</v>
      </c>
      <c r="F148" s="67">
        <f t="shared" si="197"/>
        <v>1.1196697006209124</v>
      </c>
      <c r="G148" s="67">
        <f t="shared" si="197"/>
        <v>1.1587069261849752</v>
      </c>
      <c r="H148" s="67">
        <f t="shared" si="197"/>
        <v>2.0806576726512569</v>
      </c>
      <c r="I148" s="67">
        <f t="shared" si="197"/>
        <v>2.4882065533684128</v>
      </c>
      <c r="J148" s="67">
        <f t="shared" si="197"/>
        <v>3.4640601257075141</v>
      </c>
      <c r="K148" s="67">
        <f t="shared" si="197"/>
        <v>5.2319945137873614</v>
      </c>
      <c r="L148" s="67">
        <f t="shared" si="197"/>
        <v>3.9927185894894848</v>
      </c>
      <c r="M148" s="67">
        <f t="shared" si="197"/>
        <v>4.5343989420366757</v>
      </c>
      <c r="N148" s="67">
        <f t="shared" si="197"/>
        <v>4.157998523728013</v>
      </c>
      <c r="O148" s="67">
        <f t="shared" si="197"/>
        <v>4.0263295536755637</v>
      </c>
      <c r="P148" s="67">
        <f t="shared" si="197"/>
        <v>3.8942728822520798</v>
      </c>
      <c r="Q148" s="67">
        <f t="shared" si="197"/>
        <v>4.4043549773291728</v>
      </c>
      <c r="R148" s="67">
        <f t="shared" si="197"/>
        <v>3.6635221897117405</v>
      </c>
      <c r="S148" s="67">
        <f t="shared" si="197"/>
        <v>4.3898941426925537</v>
      </c>
      <c r="T148" s="67">
        <f t="shared" si="197"/>
        <v>5.5622575231794764</v>
      </c>
      <c r="U148" s="67">
        <f t="shared" si="197"/>
        <v>5.7141152373268742</v>
      </c>
      <c r="V148" s="67">
        <f t="shared" si="197"/>
        <v>3.7231939430449961</v>
      </c>
      <c r="W148" s="67">
        <f t="shared" si="197"/>
        <v>3.9938610775190693</v>
      </c>
      <c r="X148" s="67">
        <f t="shared" ref="X148:Y148" si="198">IF(X118=0,0,X118/X$26)</f>
        <v>5.0628387357155153</v>
      </c>
      <c r="Y148" s="67">
        <f t="shared" si="198"/>
        <v>5.7249357722725058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6237.6556446964205</v>
      </c>
      <c r="C153" s="82">
        <f t="shared" ref="C153:W153" si="203">IF(C99=0,0,C99/C$23)</f>
        <v>6530.910856472643</v>
      </c>
      <c r="D153" s="82">
        <f t="shared" si="203"/>
        <v>6833.9920626928979</v>
      </c>
      <c r="E153" s="82">
        <f t="shared" si="203"/>
        <v>7310.0208653951067</v>
      </c>
      <c r="F153" s="82">
        <f t="shared" si="203"/>
        <v>7294.5290267594546</v>
      </c>
      <c r="G153" s="82">
        <f t="shared" si="203"/>
        <v>7886.6172178007428</v>
      </c>
      <c r="H153" s="82">
        <f t="shared" si="203"/>
        <v>6913.2368321245076</v>
      </c>
      <c r="I153" s="82">
        <f t="shared" si="203"/>
        <v>6973.5938672702396</v>
      </c>
      <c r="J153" s="82">
        <f t="shared" si="203"/>
        <v>6604.94615173271</v>
      </c>
      <c r="K153" s="82">
        <f t="shared" si="203"/>
        <v>6046.1684874570137</v>
      </c>
      <c r="L153" s="82">
        <f t="shared" si="203"/>
        <v>7931.4016221508482</v>
      </c>
      <c r="M153" s="82">
        <f t="shared" si="203"/>
        <v>7465.8921975226413</v>
      </c>
      <c r="N153" s="82">
        <f t="shared" si="203"/>
        <v>8211.8589765569432</v>
      </c>
      <c r="O153" s="82">
        <f t="shared" si="203"/>
        <v>8074.3752183162223</v>
      </c>
      <c r="P153" s="82">
        <f t="shared" si="203"/>
        <v>8104.9769243733472</v>
      </c>
      <c r="Q153" s="82">
        <f t="shared" si="203"/>
        <v>8462.224003218842</v>
      </c>
      <c r="R153" s="82">
        <f t="shared" si="203"/>
        <v>7734.3534079711553</v>
      </c>
      <c r="S153" s="82">
        <f t="shared" si="203"/>
        <v>7632.7737787642809</v>
      </c>
      <c r="T153" s="82">
        <f t="shared" si="203"/>
        <v>6600.2593314716178</v>
      </c>
      <c r="U153" s="82">
        <f t="shared" si="203"/>
        <v>6347.6225977173708</v>
      </c>
      <c r="V153" s="82">
        <f t="shared" si="203"/>
        <v>5281.7329213877019</v>
      </c>
      <c r="W153" s="82">
        <f t="shared" si="203"/>
        <v>5406.7635580375181</v>
      </c>
      <c r="X153" s="82">
        <f t="shared" ref="X153:Y153" si="204">IF(X99=0,0,X99/X$23)</f>
        <v>5809.6296319266839</v>
      </c>
      <c r="Y153" s="82">
        <f t="shared" si="204"/>
        <v>5388.144156053896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4789.8762670230617</v>
      </c>
      <c r="C154" s="64">
        <f t="shared" ref="C154:W154" si="206">IF(C100=0,0,C100/C$23)</f>
        <v>5007.5952204052473</v>
      </c>
      <c r="D154" s="64">
        <f t="shared" si="206"/>
        <v>5282.4166917718912</v>
      </c>
      <c r="E154" s="64">
        <f t="shared" si="206"/>
        <v>5739.2155409014786</v>
      </c>
      <c r="F154" s="64">
        <f t="shared" si="206"/>
        <v>5694.9099231887121</v>
      </c>
      <c r="G154" s="64">
        <f t="shared" si="206"/>
        <v>6227.486907408721</v>
      </c>
      <c r="H154" s="64">
        <f t="shared" si="206"/>
        <v>5234.4270671210606</v>
      </c>
      <c r="I154" s="64">
        <f t="shared" si="206"/>
        <v>5288.8617054057004</v>
      </c>
      <c r="J154" s="64">
        <f t="shared" si="206"/>
        <v>4914.4020964270885</v>
      </c>
      <c r="K154" s="64">
        <f t="shared" si="206"/>
        <v>4339.4139299045482</v>
      </c>
      <c r="L154" s="64">
        <f t="shared" si="206"/>
        <v>6200.8739618810478</v>
      </c>
      <c r="M154" s="64">
        <f t="shared" si="206"/>
        <v>5753.0053060566388</v>
      </c>
      <c r="N154" s="64">
        <f t="shared" si="206"/>
        <v>6505.4908445889178</v>
      </c>
      <c r="O154" s="64">
        <f t="shared" si="206"/>
        <v>6419.7039406566382</v>
      </c>
      <c r="P154" s="64">
        <f t="shared" si="206"/>
        <v>6483.5551907696472</v>
      </c>
      <c r="Q154" s="64">
        <f t="shared" si="206"/>
        <v>6856.3401424496697</v>
      </c>
      <c r="R154" s="64">
        <f t="shared" si="206"/>
        <v>6211.0869633520597</v>
      </c>
      <c r="S154" s="64">
        <f t="shared" si="206"/>
        <v>6178.4283869395558</v>
      </c>
      <c r="T154" s="64">
        <f t="shared" si="206"/>
        <v>5229.4419827264801</v>
      </c>
      <c r="U154" s="64">
        <f t="shared" si="206"/>
        <v>5036.7145899273919</v>
      </c>
      <c r="V154" s="64">
        <f t="shared" si="206"/>
        <v>4078.9651550180201</v>
      </c>
      <c r="W154" s="64">
        <f t="shared" si="206"/>
        <v>4219.8761051053843</v>
      </c>
      <c r="X154" s="64">
        <f t="shared" ref="X154:Y154" si="207">IF(X100=0,0,X100/X$23)</f>
        <v>4670.7031426509866</v>
      </c>
      <c r="Y154" s="64">
        <f t="shared" si="207"/>
        <v>4304.7977473534611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2163.499465185881</v>
      </c>
      <c r="C155" s="65">
        <f t="shared" ref="C155:W155" si="209">IF(C101=0,0,C101/C$23)</f>
        <v>2290.8134426416264</v>
      </c>
      <c r="D155" s="65">
        <f t="shared" si="209"/>
        <v>2635.1251635984872</v>
      </c>
      <c r="E155" s="65">
        <f t="shared" si="209"/>
        <v>2920.8187437155589</v>
      </c>
      <c r="F155" s="65">
        <f t="shared" si="209"/>
        <v>3128.3251968175805</v>
      </c>
      <c r="G155" s="65">
        <f t="shared" si="209"/>
        <v>3659.3371004072533</v>
      </c>
      <c r="H155" s="65">
        <f t="shared" si="209"/>
        <v>2540.5303664527219</v>
      </c>
      <c r="I155" s="65">
        <f t="shared" si="209"/>
        <v>2604.0330776035903</v>
      </c>
      <c r="J155" s="65">
        <f t="shared" si="209"/>
        <v>2301.0144076011129</v>
      </c>
      <c r="K155" s="65">
        <f t="shared" si="209"/>
        <v>1663.3486789236686</v>
      </c>
      <c r="L155" s="65">
        <f t="shared" si="209"/>
        <v>3561.4882353498533</v>
      </c>
      <c r="M155" s="65">
        <f t="shared" si="209"/>
        <v>3090.4239520934793</v>
      </c>
      <c r="N155" s="65">
        <f t="shared" si="209"/>
        <v>3671.8888908667695</v>
      </c>
      <c r="O155" s="65">
        <f t="shared" si="209"/>
        <v>3836.2097688105032</v>
      </c>
      <c r="P155" s="65">
        <f t="shared" si="209"/>
        <v>3951.7771305393389</v>
      </c>
      <c r="Q155" s="65">
        <f t="shared" si="209"/>
        <v>4364.9048913251236</v>
      </c>
      <c r="R155" s="65">
        <f t="shared" si="209"/>
        <v>3897.6659103278885</v>
      </c>
      <c r="S155" s="65">
        <f t="shared" si="209"/>
        <v>3897.5369084079352</v>
      </c>
      <c r="T155" s="65">
        <f t="shared" si="209"/>
        <v>3067.1726407657206</v>
      </c>
      <c r="U155" s="65">
        <f t="shared" si="209"/>
        <v>2858.0567890458938</v>
      </c>
      <c r="V155" s="65">
        <f t="shared" si="209"/>
        <v>2155.6759879834949</v>
      </c>
      <c r="W155" s="65">
        <f t="shared" si="209"/>
        <v>2202.9121242473084</v>
      </c>
      <c r="X155" s="65">
        <f t="shared" ref="X155:Y155" si="210">IF(X101=0,0,X101/X$23)</f>
        <v>2679.62845755335</v>
      </c>
      <c r="Y155" s="65">
        <f t="shared" si="210"/>
        <v>2401.8706830236592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416.63054337586516</v>
      </c>
      <c r="C156" s="65">
        <f t="shared" ref="C156:W156" si="212">IF(C102=0,0,C102/C$23)</f>
        <v>483.5911091452478</v>
      </c>
      <c r="D156" s="65">
        <f t="shared" si="212"/>
        <v>372.25470702279199</v>
      </c>
      <c r="E156" s="65">
        <f t="shared" si="212"/>
        <v>549.29736161716028</v>
      </c>
      <c r="F156" s="65">
        <f t="shared" si="212"/>
        <v>280.3912595703548</v>
      </c>
      <c r="G156" s="65">
        <f t="shared" si="212"/>
        <v>278.58851050515329</v>
      </c>
      <c r="H156" s="65">
        <f t="shared" si="212"/>
        <v>374.50057621141877</v>
      </c>
      <c r="I156" s="65">
        <f t="shared" si="212"/>
        <v>378.14954504014923</v>
      </c>
      <c r="J156" s="65">
        <f t="shared" si="212"/>
        <v>315.76735059961288</v>
      </c>
      <c r="K156" s="65">
        <f t="shared" si="212"/>
        <v>340.55928379357755</v>
      </c>
      <c r="L156" s="65">
        <f t="shared" si="212"/>
        <v>280.75065337339055</v>
      </c>
      <c r="M156" s="65">
        <f t="shared" si="212"/>
        <v>298.8821795125217</v>
      </c>
      <c r="N156" s="65">
        <f t="shared" si="212"/>
        <v>516.50480712149283</v>
      </c>
      <c r="O156" s="65">
        <f t="shared" si="212"/>
        <v>349.26380626012889</v>
      </c>
      <c r="P156" s="65">
        <f t="shared" si="212"/>
        <v>347.88193344582987</v>
      </c>
      <c r="Q156" s="65">
        <f t="shared" si="212"/>
        <v>359.07018982079336</v>
      </c>
      <c r="R156" s="65">
        <f t="shared" si="212"/>
        <v>281.55606284954621</v>
      </c>
      <c r="S156" s="65">
        <f t="shared" si="212"/>
        <v>320.37440985851646</v>
      </c>
      <c r="T156" s="65">
        <f t="shared" si="212"/>
        <v>272.2768437228529</v>
      </c>
      <c r="U156" s="65">
        <f t="shared" si="212"/>
        <v>362.06021715203218</v>
      </c>
      <c r="V156" s="65">
        <f t="shared" si="212"/>
        <v>276.03883353461219</v>
      </c>
      <c r="W156" s="65">
        <f t="shared" si="212"/>
        <v>347.52062671619547</v>
      </c>
      <c r="X156" s="65">
        <f t="shared" ref="X156:Y156" si="213">IF(X102=0,0,X102/X$23)</f>
        <v>359.88151781777657</v>
      </c>
      <c r="Y156" s="65">
        <f t="shared" si="213"/>
        <v>309.44760550024967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1047.56487900813</v>
      </c>
      <c r="C157" s="65">
        <f t="shared" ref="C157:W157" si="215">IF(C103=0,0,C103/C$23)</f>
        <v>1035.3363795455002</v>
      </c>
      <c r="D157" s="65">
        <f t="shared" si="215"/>
        <v>1051.4062200659364</v>
      </c>
      <c r="E157" s="65">
        <f t="shared" si="215"/>
        <v>1036.5955580930984</v>
      </c>
      <c r="F157" s="65">
        <f t="shared" si="215"/>
        <v>1045.1703939402971</v>
      </c>
      <c r="G157" s="65">
        <f t="shared" si="215"/>
        <v>1051.6644176385312</v>
      </c>
      <c r="H157" s="65">
        <f t="shared" si="215"/>
        <v>1066.6212160935754</v>
      </c>
      <c r="I157" s="65">
        <f t="shared" si="215"/>
        <v>1058.3585310084115</v>
      </c>
      <c r="J157" s="65">
        <f t="shared" si="215"/>
        <v>1043.2716482620438</v>
      </c>
      <c r="K157" s="65">
        <f t="shared" si="215"/>
        <v>1042.1365010942138</v>
      </c>
      <c r="L157" s="65">
        <f t="shared" si="215"/>
        <v>1063.9374061481537</v>
      </c>
      <c r="M157" s="65">
        <f t="shared" si="215"/>
        <v>1062.8483455318692</v>
      </c>
      <c r="N157" s="65">
        <f t="shared" si="215"/>
        <v>1034.6407788824829</v>
      </c>
      <c r="O157" s="65">
        <f t="shared" si="215"/>
        <v>1004.0078817226123</v>
      </c>
      <c r="P157" s="65">
        <f t="shared" si="215"/>
        <v>971.8146418345201</v>
      </c>
      <c r="Q157" s="65">
        <f t="shared" si="215"/>
        <v>937.47718187446435</v>
      </c>
      <c r="R157" s="65">
        <f t="shared" si="215"/>
        <v>893.07920961606408</v>
      </c>
      <c r="S157" s="65">
        <f t="shared" si="215"/>
        <v>852.77442789086183</v>
      </c>
      <c r="T157" s="65">
        <f t="shared" si="215"/>
        <v>805.00371970031551</v>
      </c>
      <c r="U157" s="65">
        <f t="shared" si="215"/>
        <v>767.11991392852792</v>
      </c>
      <c r="V157" s="65">
        <f t="shared" si="215"/>
        <v>717.5024594856726</v>
      </c>
      <c r="W157" s="65">
        <f t="shared" si="215"/>
        <v>717.85661293972441</v>
      </c>
      <c r="X157" s="65">
        <f t="shared" ref="X157:Y157" si="216">IF(X103=0,0,X103/X$23)</f>
        <v>686.26308400862297</v>
      </c>
      <c r="Y157" s="65">
        <f t="shared" si="216"/>
        <v>663.97515583034453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1162.1813794531852</v>
      </c>
      <c r="C158" s="67">
        <f t="shared" ref="C158:W158" si="218">IF(C104=0,0,C104/C$23)</f>
        <v>1197.8542890728738</v>
      </c>
      <c r="D158" s="67">
        <f t="shared" si="218"/>
        <v>1223.6306010846756</v>
      </c>
      <c r="E158" s="67">
        <f t="shared" si="218"/>
        <v>1232.5038774756611</v>
      </c>
      <c r="F158" s="67">
        <f t="shared" si="218"/>
        <v>1241.0230728604793</v>
      </c>
      <c r="G158" s="67">
        <f t="shared" si="218"/>
        <v>1237.8968788577822</v>
      </c>
      <c r="H158" s="67">
        <f t="shared" si="218"/>
        <v>1252.7749083633446</v>
      </c>
      <c r="I158" s="67">
        <f t="shared" si="218"/>
        <v>1248.3205517535491</v>
      </c>
      <c r="J158" s="67">
        <f t="shared" si="218"/>
        <v>1254.3486899643192</v>
      </c>
      <c r="K158" s="67">
        <f t="shared" si="218"/>
        <v>1293.3694660930876</v>
      </c>
      <c r="L158" s="67">
        <f t="shared" si="218"/>
        <v>1294.6976670096503</v>
      </c>
      <c r="M158" s="67">
        <f t="shared" si="218"/>
        <v>1300.8508289187687</v>
      </c>
      <c r="N158" s="67">
        <f t="shared" si="218"/>
        <v>1282.4563677181723</v>
      </c>
      <c r="O158" s="67">
        <f t="shared" si="218"/>
        <v>1230.2224838633936</v>
      </c>
      <c r="P158" s="67">
        <f t="shared" si="218"/>
        <v>1212.081484949957</v>
      </c>
      <c r="Q158" s="67">
        <f t="shared" si="218"/>
        <v>1194.8878794292875</v>
      </c>
      <c r="R158" s="67">
        <f t="shared" si="218"/>
        <v>1138.7857805585604</v>
      </c>
      <c r="S158" s="67">
        <f t="shared" si="218"/>
        <v>1107.7426407822436</v>
      </c>
      <c r="T158" s="67">
        <f t="shared" si="218"/>
        <v>1084.9887785375911</v>
      </c>
      <c r="U158" s="67">
        <f t="shared" si="218"/>
        <v>1049.4776698009384</v>
      </c>
      <c r="V158" s="67">
        <f t="shared" si="218"/>
        <v>929.74787401424044</v>
      </c>
      <c r="W158" s="67">
        <f t="shared" si="218"/>
        <v>951.58674120215619</v>
      </c>
      <c r="X158" s="67">
        <f t="shared" ref="X158:Y158" si="219">IF(X104=0,0,X104/X$23)</f>
        <v>944.93008327123709</v>
      </c>
      <c r="Y158" s="67">
        <f t="shared" si="219"/>
        <v>929.50430299920674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1447.7793776733581</v>
      </c>
      <c r="C159" s="68">
        <f t="shared" ref="C159:W159" si="221">IF(C105=0,0,C105/C$23)</f>
        <v>1523.3156360673941</v>
      </c>
      <c r="D159" s="68">
        <f t="shared" si="221"/>
        <v>1551.5753709210062</v>
      </c>
      <c r="E159" s="68">
        <f t="shared" si="221"/>
        <v>1570.8053244936277</v>
      </c>
      <c r="F159" s="68">
        <f t="shared" si="221"/>
        <v>1599.6191035707427</v>
      </c>
      <c r="G159" s="68">
        <f t="shared" si="221"/>
        <v>1659.130310392022</v>
      </c>
      <c r="H159" s="68">
        <f t="shared" si="221"/>
        <v>1678.8097650034481</v>
      </c>
      <c r="I159" s="68">
        <f t="shared" si="221"/>
        <v>1684.7321618645403</v>
      </c>
      <c r="J159" s="68">
        <f t="shared" si="221"/>
        <v>1690.5440553056212</v>
      </c>
      <c r="K159" s="68">
        <f t="shared" si="221"/>
        <v>1706.7545575524655</v>
      </c>
      <c r="L159" s="68">
        <f t="shared" si="221"/>
        <v>1730.5276602697995</v>
      </c>
      <c r="M159" s="68">
        <f t="shared" si="221"/>
        <v>1712.8868914660029</v>
      </c>
      <c r="N159" s="68">
        <f t="shared" si="221"/>
        <v>1706.3681319680263</v>
      </c>
      <c r="O159" s="68">
        <f t="shared" si="221"/>
        <v>1654.6712776595855</v>
      </c>
      <c r="P159" s="68">
        <f t="shared" si="221"/>
        <v>1621.4217336037011</v>
      </c>
      <c r="Q159" s="68">
        <f t="shared" si="221"/>
        <v>1605.883860769171</v>
      </c>
      <c r="R159" s="68">
        <f t="shared" si="221"/>
        <v>1523.2664446190965</v>
      </c>
      <c r="S159" s="68">
        <f t="shared" si="221"/>
        <v>1454.3453918247239</v>
      </c>
      <c r="T159" s="68">
        <f t="shared" si="221"/>
        <v>1370.8173487451388</v>
      </c>
      <c r="U159" s="68">
        <f t="shared" si="221"/>
        <v>1310.9080077899766</v>
      </c>
      <c r="V159" s="68">
        <f t="shared" si="221"/>
        <v>1202.7677663696832</v>
      </c>
      <c r="W159" s="68">
        <f t="shared" si="221"/>
        <v>1186.8874529321326</v>
      </c>
      <c r="X159" s="68">
        <f t="shared" ref="X159:Y159" si="222">IF(X105=0,0,X105/X$23)</f>
        <v>1138.9264892756987</v>
      </c>
      <c r="Y159" s="68">
        <f t="shared" si="222"/>
        <v>1083.3464087004365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3297.7040690328022</v>
      </c>
      <c r="C161" s="85">
        <f t="shared" ref="C161:W161" si="224">IF(C107=0,0,C107/C$23)</f>
        <v>3580.0337223120318</v>
      </c>
      <c r="D161" s="85">
        <f t="shared" si="224"/>
        <v>3649.055763756628</v>
      </c>
      <c r="E161" s="85">
        <f t="shared" si="224"/>
        <v>4237.3035513378445</v>
      </c>
      <c r="F161" s="85">
        <f t="shared" si="224"/>
        <v>3861.2969806880837</v>
      </c>
      <c r="G161" s="85">
        <f t="shared" si="224"/>
        <v>4244.2131630473423</v>
      </c>
      <c r="H161" s="85">
        <f t="shared" si="224"/>
        <v>3903.1442726221549</v>
      </c>
      <c r="I161" s="85">
        <f t="shared" si="224"/>
        <v>4041.5748329218222</v>
      </c>
      <c r="J161" s="85">
        <f t="shared" si="224"/>
        <v>3795.2278065344472</v>
      </c>
      <c r="K161" s="85">
        <f t="shared" si="224"/>
        <v>3545.3469892863004</v>
      </c>
      <c r="L161" s="85">
        <f t="shared" si="224"/>
        <v>4611.1250087761473</v>
      </c>
      <c r="M161" s="85">
        <f t="shared" si="224"/>
        <v>4472.2246153517626</v>
      </c>
      <c r="N161" s="85">
        <f t="shared" si="224"/>
        <v>5640.3106224388903</v>
      </c>
      <c r="O161" s="85">
        <f t="shared" si="224"/>
        <v>5235.8308139186629</v>
      </c>
      <c r="P161" s="85">
        <f t="shared" si="224"/>
        <v>5397.3106839217653</v>
      </c>
      <c r="Q161" s="85">
        <f t="shared" si="224"/>
        <v>5801.3602609750733</v>
      </c>
      <c r="R161" s="85">
        <f t="shared" si="224"/>
        <v>5245.4638579210905</v>
      </c>
      <c r="S161" s="85">
        <f t="shared" si="224"/>
        <v>5443.11290997375</v>
      </c>
      <c r="T161" s="85">
        <f t="shared" si="224"/>
        <v>4724.7139940651341</v>
      </c>
      <c r="U161" s="85">
        <f t="shared" si="224"/>
        <v>4999.287730046155</v>
      </c>
      <c r="V161" s="85">
        <f t="shared" si="224"/>
        <v>4160.9628546720605</v>
      </c>
      <c r="W161" s="85">
        <f t="shared" si="224"/>
        <v>4670.2720932513803</v>
      </c>
      <c r="X161" s="85">
        <f t="shared" ref="X161:Y161" si="225">IF(X107=0,0,X107/X$23)</f>
        <v>5130.3335035343807</v>
      </c>
      <c r="Y161" s="85">
        <f t="shared" si="225"/>
        <v>4753.8694902927282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1204.383932165679</v>
      </c>
      <c r="C162" s="65">
        <f t="shared" ref="C162:W162" si="227">IF(C108=0,0,C108/C$23)</f>
        <v>1290.2326869785411</v>
      </c>
      <c r="D162" s="65">
        <f t="shared" si="227"/>
        <v>1498.9335937365761</v>
      </c>
      <c r="E162" s="65">
        <f t="shared" si="227"/>
        <v>1676.4754415568709</v>
      </c>
      <c r="F162" s="65">
        <f t="shared" si="227"/>
        <v>1808.3994756687182</v>
      </c>
      <c r="G162" s="65">
        <f t="shared" si="227"/>
        <v>2148.6925729715153</v>
      </c>
      <c r="H162" s="65">
        <f t="shared" si="227"/>
        <v>1518.498684299868</v>
      </c>
      <c r="I162" s="65">
        <f t="shared" si="227"/>
        <v>1589.5047804531639</v>
      </c>
      <c r="J162" s="65">
        <f t="shared" si="227"/>
        <v>1453.0794685984829</v>
      </c>
      <c r="K162" s="65">
        <f t="shared" si="227"/>
        <v>1097.5722292742169</v>
      </c>
      <c r="L162" s="65">
        <f t="shared" si="227"/>
        <v>2273.8790655709286</v>
      </c>
      <c r="M162" s="65">
        <f t="shared" si="227"/>
        <v>2039.1186149743783</v>
      </c>
      <c r="N162" s="65">
        <f t="shared" si="227"/>
        <v>2459.1395461780448</v>
      </c>
      <c r="O162" s="65">
        <f t="shared" si="227"/>
        <v>2606.5694066242027</v>
      </c>
      <c r="P162" s="65">
        <f t="shared" si="227"/>
        <v>2742.0220511590087</v>
      </c>
      <c r="Q162" s="65">
        <f t="shared" si="227"/>
        <v>3077.9301608663345</v>
      </c>
      <c r="R162" s="65">
        <f t="shared" si="227"/>
        <v>2809.5221373175377</v>
      </c>
      <c r="S162" s="65">
        <f t="shared" si="227"/>
        <v>2846.2041484691367</v>
      </c>
      <c r="T162" s="65">
        <f t="shared" si="227"/>
        <v>2327.5028528278613</v>
      </c>
      <c r="U162" s="65">
        <f t="shared" si="227"/>
        <v>2211.3176125727723</v>
      </c>
      <c r="V162" s="65">
        <f t="shared" si="227"/>
        <v>1796.8042935016717</v>
      </c>
      <c r="W162" s="65">
        <f t="shared" si="227"/>
        <v>1922.2727374956357</v>
      </c>
      <c r="X162" s="65">
        <f t="shared" ref="X162:Y162" si="228">IF(X108=0,0,X108/X$23)</f>
        <v>2319.5640647893115</v>
      </c>
      <c r="Y162" s="65">
        <f t="shared" si="228"/>
        <v>2171.7725894631503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727.85757761980426</v>
      </c>
      <c r="C163" s="65">
        <f t="shared" ref="C163:W163" si="230">IF(C109=0,0,C109/C$23)</f>
        <v>899.9699782994079</v>
      </c>
      <c r="D163" s="65">
        <f t="shared" si="230"/>
        <v>732.44250248717958</v>
      </c>
      <c r="E163" s="65">
        <f t="shared" si="230"/>
        <v>1138.5226576108203</v>
      </c>
      <c r="F163" s="65">
        <f t="shared" si="230"/>
        <v>614.39043048550525</v>
      </c>
      <c r="G163" s="65">
        <f t="shared" si="230"/>
        <v>652.34834665641165</v>
      </c>
      <c r="H163" s="65">
        <f t="shared" si="230"/>
        <v>939.21131689878723</v>
      </c>
      <c r="I163" s="65">
        <f t="shared" si="230"/>
        <v>1018.1840838262148</v>
      </c>
      <c r="J163" s="65">
        <f t="shared" si="230"/>
        <v>919.73173188973306</v>
      </c>
      <c r="K163" s="65">
        <f t="shared" si="230"/>
        <v>1017.2271873106856</v>
      </c>
      <c r="L163" s="65">
        <f t="shared" si="230"/>
        <v>862.62009538872564</v>
      </c>
      <c r="M163" s="65">
        <f t="shared" si="230"/>
        <v>956.29321287139885</v>
      </c>
      <c r="N163" s="65">
        <f t="shared" si="230"/>
        <v>1717.9594815970058</v>
      </c>
      <c r="O163" s="65">
        <f t="shared" si="230"/>
        <v>1206.4547525888966</v>
      </c>
      <c r="P163" s="65">
        <f t="shared" si="230"/>
        <v>1251.8982359714812</v>
      </c>
      <c r="Q163" s="65">
        <f t="shared" si="230"/>
        <v>1348.471370494944</v>
      </c>
      <c r="R163" s="65">
        <f t="shared" si="230"/>
        <v>1102.4867255838496</v>
      </c>
      <c r="S163" s="65">
        <f t="shared" si="230"/>
        <v>1305.2413256288048</v>
      </c>
      <c r="T163" s="65">
        <f t="shared" si="230"/>
        <v>1150.0804137616296</v>
      </c>
      <c r="U163" s="65">
        <f t="shared" si="230"/>
        <v>1573.2818841641683</v>
      </c>
      <c r="V163" s="65">
        <f t="shared" si="230"/>
        <v>1226.7896052862545</v>
      </c>
      <c r="W163" s="65">
        <f t="shared" si="230"/>
        <v>1577.684889584202</v>
      </c>
      <c r="X163" s="65">
        <f t="shared" ref="X163:Y163" si="231">IF(X109=0,0,X109/X$23)</f>
        <v>1662.1061610944964</v>
      </c>
      <c r="Y163" s="65">
        <f t="shared" si="231"/>
        <v>1448.7256728921748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535.12243873950752</v>
      </c>
      <c r="C164" s="65">
        <f t="shared" ref="C164:W164" si="233">IF(C110=0,0,C110/C$23)</f>
        <v>530.8697580728865</v>
      </c>
      <c r="D164" s="65">
        <f t="shared" si="233"/>
        <v>541.2509773092288</v>
      </c>
      <c r="E164" s="65">
        <f t="shared" si="233"/>
        <v>536.39226027721679</v>
      </c>
      <c r="F164" s="65">
        <f t="shared" si="233"/>
        <v>543.19304406671495</v>
      </c>
      <c r="G164" s="65">
        <f t="shared" si="233"/>
        <v>548.6534484099983</v>
      </c>
      <c r="H164" s="65">
        <f t="shared" si="233"/>
        <v>551.18207184276162</v>
      </c>
      <c r="I164" s="65">
        <f t="shared" si="233"/>
        <v>546.62313636262672</v>
      </c>
      <c r="J164" s="65">
        <f t="shared" si="233"/>
        <v>543.44927370034532</v>
      </c>
      <c r="K164" s="65">
        <f t="shared" si="233"/>
        <v>546.7490324021046</v>
      </c>
      <c r="L164" s="65">
        <f t="shared" si="233"/>
        <v>568.89006382492107</v>
      </c>
      <c r="M164" s="65">
        <f t="shared" si="233"/>
        <v>573.44148474229917</v>
      </c>
      <c r="N164" s="65">
        <f t="shared" si="233"/>
        <v>566.17035109920562</v>
      </c>
      <c r="O164" s="65">
        <f t="shared" si="233"/>
        <v>558.12980683994715</v>
      </c>
      <c r="P164" s="65">
        <f t="shared" si="233"/>
        <v>545.82196799900623</v>
      </c>
      <c r="Q164" s="65">
        <f t="shared" si="233"/>
        <v>533.27026144763727</v>
      </c>
      <c r="R164" s="65">
        <f t="shared" si="233"/>
        <v>515.92630452309788</v>
      </c>
      <c r="S164" s="65">
        <f t="shared" si="233"/>
        <v>501.67902710407708</v>
      </c>
      <c r="T164" s="65">
        <f t="shared" si="233"/>
        <v>482.18073798931493</v>
      </c>
      <c r="U164" s="65">
        <f t="shared" si="233"/>
        <v>468.63008218212582</v>
      </c>
      <c r="V164" s="65">
        <f t="shared" si="233"/>
        <v>448.00483292342085</v>
      </c>
      <c r="W164" s="65">
        <f t="shared" si="233"/>
        <v>458.55053769971346</v>
      </c>
      <c r="X164" s="65">
        <f t="shared" ref="X164:Y164" si="234">IF(X110=0,0,X110/X$23)</f>
        <v>448.45192706644809</v>
      </c>
      <c r="Y164" s="65">
        <f t="shared" si="234"/>
        <v>444.43959793316611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830.34012050781132</v>
      </c>
      <c r="C165" s="68">
        <f t="shared" ref="C165:W165" si="236">IF(C111=0,0,C111/C$23)</f>
        <v>858.96129896119658</v>
      </c>
      <c r="D165" s="68">
        <f t="shared" si="236"/>
        <v>876.42869022364346</v>
      </c>
      <c r="E165" s="68">
        <f t="shared" si="236"/>
        <v>885.91319189293654</v>
      </c>
      <c r="F165" s="68">
        <f t="shared" si="236"/>
        <v>895.31403046714502</v>
      </c>
      <c r="G165" s="68">
        <f t="shared" si="236"/>
        <v>894.51879500941698</v>
      </c>
      <c r="H165" s="68">
        <f t="shared" si="236"/>
        <v>894.25219958073797</v>
      </c>
      <c r="I165" s="68">
        <f t="shared" si="236"/>
        <v>887.26283227981719</v>
      </c>
      <c r="J165" s="68">
        <f t="shared" si="236"/>
        <v>878.96733234588589</v>
      </c>
      <c r="K165" s="68">
        <f t="shared" si="236"/>
        <v>883.79854029929368</v>
      </c>
      <c r="L165" s="68">
        <f t="shared" si="236"/>
        <v>905.73578399157202</v>
      </c>
      <c r="M165" s="68">
        <f t="shared" si="236"/>
        <v>903.37130276368623</v>
      </c>
      <c r="N165" s="68">
        <f t="shared" si="236"/>
        <v>897.04124356463433</v>
      </c>
      <c r="O165" s="68">
        <f t="shared" si="236"/>
        <v>864.67684786561631</v>
      </c>
      <c r="P165" s="68">
        <f t="shared" si="236"/>
        <v>857.56842879226963</v>
      </c>
      <c r="Q165" s="68">
        <f t="shared" si="236"/>
        <v>841.6884681661578</v>
      </c>
      <c r="R165" s="68">
        <f t="shared" si="236"/>
        <v>817.52869049660455</v>
      </c>
      <c r="S165" s="68">
        <f t="shared" si="236"/>
        <v>789.988408771732</v>
      </c>
      <c r="T165" s="68">
        <f t="shared" si="236"/>
        <v>764.9499894863286</v>
      </c>
      <c r="U165" s="68">
        <f t="shared" si="236"/>
        <v>746.05815112708922</v>
      </c>
      <c r="V165" s="68">
        <f t="shared" si="236"/>
        <v>689.36412296071353</v>
      </c>
      <c r="W165" s="68">
        <f t="shared" si="236"/>
        <v>711.7639284718291</v>
      </c>
      <c r="X165" s="68">
        <f t="shared" ref="X165:Y165" si="237">IF(X111=0,0,X111/X$23)</f>
        <v>700.21135058412483</v>
      </c>
      <c r="Y165" s="68">
        <f t="shared" si="237"/>
        <v>688.93163000423692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432.35361890872377</v>
      </c>
      <c r="C167" s="82">
        <f t="shared" ref="C167:W167" si="239">IF(C113=0,0,C113/C$23)</f>
        <v>426.8349654636902</v>
      </c>
      <c r="D167" s="82">
        <f t="shared" si="239"/>
        <v>472.92762930595211</v>
      </c>
      <c r="E167" s="82">
        <f t="shared" si="239"/>
        <v>538.31261644407959</v>
      </c>
      <c r="F167" s="82">
        <f t="shared" si="239"/>
        <v>553.85368374834138</v>
      </c>
      <c r="G167" s="82">
        <f t="shared" si="239"/>
        <v>470.83076025190411</v>
      </c>
      <c r="H167" s="82">
        <f t="shared" si="239"/>
        <v>430.19574383195328</v>
      </c>
      <c r="I167" s="82">
        <f t="shared" si="239"/>
        <v>487.95677873755608</v>
      </c>
      <c r="J167" s="82">
        <f t="shared" si="239"/>
        <v>468.81557584126932</v>
      </c>
      <c r="K167" s="82">
        <f t="shared" si="239"/>
        <v>371.99742201982275</v>
      </c>
      <c r="L167" s="82">
        <f t="shared" si="239"/>
        <v>504.87892845788463</v>
      </c>
      <c r="M167" s="82">
        <f t="shared" si="239"/>
        <v>338.18971737692169</v>
      </c>
      <c r="N167" s="82">
        <f t="shared" si="239"/>
        <v>477.42643872196902</v>
      </c>
      <c r="O167" s="82">
        <f t="shared" si="239"/>
        <v>535.04754741849536</v>
      </c>
      <c r="P167" s="82">
        <f t="shared" si="239"/>
        <v>548.31595617639255</v>
      </c>
      <c r="Q167" s="82">
        <f t="shared" si="239"/>
        <v>628.98419910716655</v>
      </c>
      <c r="R167" s="82">
        <f t="shared" si="239"/>
        <v>540.44602381860557</v>
      </c>
      <c r="S167" s="82">
        <f t="shared" si="239"/>
        <v>470.01106655642826</v>
      </c>
      <c r="T167" s="82">
        <f t="shared" si="239"/>
        <v>314.32953314659221</v>
      </c>
      <c r="U167" s="82">
        <f t="shared" si="239"/>
        <v>293.91980969658488</v>
      </c>
      <c r="V167" s="82">
        <f t="shared" si="239"/>
        <v>223.26876114144798</v>
      </c>
      <c r="W167" s="82">
        <f t="shared" si="239"/>
        <v>234.90362388187461</v>
      </c>
      <c r="X167" s="82">
        <f t="shared" ref="X167:Y167" si="240">IF(X113=0,0,X113/X$23)</f>
        <v>273.44110083113725</v>
      </c>
      <c r="Y167" s="82">
        <f t="shared" si="240"/>
        <v>226.11841126163608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432.35361890872377</v>
      </c>
      <c r="C168" s="64">
        <f t="shared" ref="C168:W168" si="242">IF(C114=0,0,C114/C$23)</f>
        <v>426.8349654636902</v>
      </c>
      <c r="D168" s="64">
        <f t="shared" si="242"/>
        <v>472.92762930595211</v>
      </c>
      <c r="E168" s="64">
        <f t="shared" si="242"/>
        <v>538.31261644407959</v>
      </c>
      <c r="F168" s="64">
        <f t="shared" si="242"/>
        <v>553.85368374834138</v>
      </c>
      <c r="G168" s="64">
        <f t="shared" si="242"/>
        <v>470.83076025190411</v>
      </c>
      <c r="H168" s="64">
        <f t="shared" si="242"/>
        <v>430.19574383195328</v>
      </c>
      <c r="I168" s="64">
        <f t="shared" si="242"/>
        <v>487.95677873755608</v>
      </c>
      <c r="J168" s="64">
        <f t="shared" si="242"/>
        <v>468.81557584126932</v>
      </c>
      <c r="K168" s="64">
        <f t="shared" si="242"/>
        <v>371.99742201982275</v>
      </c>
      <c r="L168" s="64">
        <f t="shared" si="242"/>
        <v>504.87892845788463</v>
      </c>
      <c r="M168" s="64">
        <f t="shared" si="242"/>
        <v>338.18971737692169</v>
      </c>
      <c r="N168" s="64">
        <f t="shared" si="242"/>
        <v>477.42643872196902</v>
      </c>
      <c r="O168" s="64">
        <f t="shared" si="242"/>
        <v>535.04754741849536</v>
      </c>
      <c r="P168" s="64">
        <f t="shared" si="242"/>
        <v>548.31595617639255</v>
      </c>
      <c r="Q168" s="64">
        <f t="shared" si="242"/>
        <v>628.98419910716655</v>
      </c>
      <c r="R168" s="64">
        <f t="shared" si="242"/>
        <v>540.44602381860557</v>
      </c>
      <c r="S168" s="64">
        <f t="shared" si="242"/>
        <v>470.01106655642826</v>
      </c>
      <c r="T168" s="64">
        <f t="shared" si="242"/>
        <v>314.32953314659221</v>
      </c>
      <c r="U168" s="64">
        <f t="shared" si="242"/>
        <v>293.91980969658488</v>
      </c>
      <c r="V168" s="64">
        <f t="shared" si="242"/>
        <v>223.26876114144798</v>
      </c>
      <c r="W168" s="64">
        <f t="shared" si="242"/>
        <v>234.90362388187461</v>
      </c>
      <c r="X168" s="64">
        <f t="shared" ref="X168:Y168" si="243">IF(X114=0,0,X114/X$23)</f>
        <v>273.44110083113725</v>
      </c>
      <c r="Y168" s="64">
        <f t="shared" si="243"/>
        <v>226.11841126163608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394.22778366873058</v>
      </c>
      <c r="C169" s="65">
        <f t="shared" ref="C169:W169" si="245">IF(C115=0,0,C115/C$23)</f>
        <v>389.52243402697189</v>
      </c>
      <c r="D169" s="65">
        <f t="shared" si="245"/>
        <v>432.09132120145807</v>
      </c>
      <c r="E169" s="65">
        <f t="shared" si="245"/>
        <v>501.68599836682768</v>
      </c>
      <c r="F169" s="65">
        <f t="shared" si="245"/>
        <v>519.94380057701505</v>
      </c>
      <c r="G169" s="65">
        <f t="shared" si="245"/>
        <v>434.41609547884104</v>
      </c>
      <c r="H169" s="65">
        <f t="shared" si="245"/>
        <v>354.38996806701812</v>
      </c>
      <c r="I169" s="65">
        <f t="shared" si="245"/>
        <v>396.25579324230523</v>
      </c>
      <c r="J169" s="65">
        <f t="shared" si="245"/>
        <v>361.89400901334</v>
      </c>
      <c r="K169" s="65">
        <f t="shared" si="245"/>
        <v>235.39724255712801</v>
      </c>
      <c r="L169" s="65">
        <f t="shared" si="245"/>
        <v>410.64443975126653</v>
      </c>
      <c r="M169" s="65">
        <f t="shared" si="245"/>
        <v>235.71676358864218</v>
      </c>
      <c r="N169" s="65">
        <f t="shared" si="245"/>
        <v>386.12408261073983</v>
      </c>
      <c r="O169" s="65">
        <f t="shared" si="245"/>
        <v>454.13031827343656</v>
      </c>
      <c r="P169" s="65">
        <f t="shared" si="245"/>
        <v>472.59570958465537</v>
      </c>
      <c r="Q169" s="65">
        <f t="shared" si="245"/>
        <v>546.32132995724885</v>
      </c>
      <c r="R169" s="65">
        <f t="shared" si="245"/>
        <v>473.99071707022927</v>
      </c>
      <c r="S169" s="65">
        <f t="shared" si="245"/>
        <v>392.12900752254797</v>
      </c>
      <c r="T169" s="65">
        <f t="shared" si="245"/>
        <v>219.37444330468284</v>
      </c>
      <c r="U169" s="65">
        <f t="shared" si="245"/>
        <v>199.67103829076368</v>
      </c>
      <c r="V169" s="65">
        <f t="shared" si="245"/>
        <v>161.62592991004536</v>
      </c>
      <c r="W169" s="65">
        <f t="shared" si="245"/>
        <v>169.01612702158445</v>
      </c>
      <c r="X169" s="65">
        <f t="shared" ref="X169:Y169" si="246">IF(X115=0,0,X115/X$23)</f>
        <v>192.56308118834929</v>
      </c>
      <c r="Y169" s="65">
        <f t="shared" si="246"/>
        <v>140.39149963671855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0</v>
      </c>
      <c r="C170" s="65">
        <f t="shared" ref="C170:W170" si="248">IF(C116=0,0,C116/C$23)</f>
        <v>0</v>
      </c>
      <c r="D170" s="65">
        <f t="shared" si="248"/>
        <v>0</v>
      </c>
      <c r="E170" s="65">
        <f t="shared" si="248"/>
        <v>0</v>
      </c>
      <c r="F170" s="65">
        <f t="shared" si="248"/>
        <v>0</v>
      </c>
      <c r="G170" s="65">
        <f t="shared" si="248"/>
        <v>0</v>
      </c>
      <c r="H170" s="65">
        <f t="shared" si="248"/>
        <v>0</v>
      </c>
      <c r="I170" s="65">
        <f t="shared" si="248"/>
        <v>0</v>
      </c>
      <c r="J170" s="65">
        <f t="shared" si="248"/>
        <v>0</v>
      </c>
      <c r="K170" s="65">
        <f t="shared" si="248"/>
        <v>0</v>
      </c>
      <c r="L170" s="65">
        <f t="shared" si="248"/>
        <v>0</v>
      </c>
      <c r="M170" s="65">
        <f t="shared" si="248"/>
        <v>0</v>
      </c>
      <c r="N170" s="65">
        <f t="shared" si="248"/>
        <v>0</v>
      </c>
      <c r="O170" s="65">
        <f t="shared" si="248"/>
        <v>0</v>
      </c>
      <c r="P170" s="65">
        <f t="shared" si="248"/>
        <v>0</v>
      </c>
      <c r="Q170" s="65">
        <f t="shared" si="248"/>
        <v>0</v>
      </c>
      <c r="R170" s="65">
        <f t="shared" si="248"/>
        <v>0</v>
      </c>
      <c r="S170" s="65">
        <f t="shared" si="248"/>
        <v>0</v>
      </c>
      <c r="T170" s="65">
        <f t="shared" si="248"/>
        <v>0</v>
      </c>
      <c r="U170" s="65">
        <f t="shared" si="248"/>
        <v>0</v>
      </c>
      <c r="V170" s="65">
        <f t="shared" si="248"/>
        <v>0</v>
      </c>
      <c r="W170" s="65">
        <f t="shared" si="248"/>
        <v>0</v>
      </c>
      <c r="X170" s="65">
        <f t="shared" ref="X170:Y170" si="249">IF(X116=0,0,X116/X$23)</f>
        <v>0</v>
      </c>
      <c r="Y170" s="65">
        <f t="shared" si="249"/>
        <v>0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18.699247616753915</v>
      </c>
      <c r="C171" s="65">
        <f t="shared" ref="C171:W171" si="251">IF(C117=0,0,C117/C$23)</f>
        <v>18.622773963158757</v>
      </c>
      <c r="D171" s="65">
        <f t="shared" si="251"/>
        <v>18.026509214937533</v>
      </c>
      <c r="E171" s="65">
        <f t="shared" si="251"/>
        <v>15.155239885198943</v>
      </c>
      <c r="F171" s="65">
        <f t="shared" si="251"/>
        <v>13.886759386667663</v>
      </c>
      <c r="G171" s="65">
        <f t="shared" si="251"/>
        <v>15.104276377545757</v>
      </c>
      <c r="H171" s="65">
        <f t="shared" si="251"/>
        <v>37.377165228995544</v>
      </c>
      <c r="I171" s="65">
        <f t="shared" si="251"/>
        <v>45.552179244641529</v>
      </c>
      <c r="J171" s="65">
        <f t="shared" si="251"/>
        <v>41.234820702283919</v>
      </c>
      <c r="K171" s="65">
        <f t="shared" si="251"/>
        <v>37.802310947536952</v>
      </c>
      <c r="L171" s="65">
        <f t="shared" si="251"/>
        <v>18.323878882444046</v>
      </c>
      <c r="M171" s="65">
        <f t="shared" si="251"/>
        <v>16.556088304366209</v>
      </c>
      <c r="N171" s="65">
        <f t="shared" si="251"/>
        <v>11.687765537753178</v>
      </c>
      <c r="O171" s="65">
        <f t="shared" si="251"/>
        <v>6.1681073662238077</v>
      </c>
      <c r="P171" s="65">
        <f t="shared" si="251"/>
        <v>4.6502266235061258</v>
      </c>
      <c r="Q171" s="65">
        <f t="shared" si="251"/>
        <v>3.8105515118161652</v>
      </c>
      <c r="R171" s="65">
        <f t="shared" si="251"/>
        <v>3.0240636825521436</v>
      </c>
      <c r="S171" s="65">
        <f t="shared" si="251"/>
        <v>3.4950740688509474</v>
      </c>
      <c r="T171" s="65">
        <f t="shared" si="251"/>
        <v>4.3570469956789273</v>
      </c>
      <c r="U171" s="65">
        <f t="shared" si="251"/>
        <v>4.1290336977073965</v>
      </c>
      <c r="V171" s="65">
        <f t="shared" si="251"/>
        <v>3.074226148934184</v>
      </c>
      <c r="W171" s="65">
        <f t="shared" si="251"/>
        <v>3.2607276554184623</v>
      </c>
      <c r="X171" s="65">
        <f t="shared" ref="X171:Y171" si="252">IF(X117=0,0,X117/X$23)</f>
        <v>3.8285798096577581</v>
      </c>
      <c r="Y171" s="65">
        <f t="shared" si="252"/>
        <v>2.496517523479636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19.42658762323936</v>
      </c>
      <c r="C172" s="67">
        <f t="shared" ref="C172:W172" si="254">IF(C118=0,0,C118/C$23)</f>
        <v>18.689757473559524</v>
      </c>
      <c r="D172" s="67">
        <f t="shared" si="254"/>
        <v>22.809798889556486</v>
      </c>
      <c r="E172" s="67">
        <f t="shared" si="254"/>
        <v>21.47137819205302</v>
      </c>
      <c r="F172" s="67">
        <f t="shared" si="254"/>
        <v>20.023123784658502</v>
      </c>
      <c r="G172" s="67">
        <f t="shared" si="254"/>
        <v>21.310388395517293</v>
      </c>
      <c r="H172" s="67">
        <f t="shared" si="254"/>
        <v>38.428610535939526</v>
      </c>
      <c r="I172" s="67">
        <f t="shared" si="254"/>
        <v>46.148806250609312</v>
      </c>
      <c r="J172" s="67">
        <f t="shared" si="254"/>
        <v>65.686746125645399</v>
      </c>
      <c r="K172" s="67">
        <f t="shared" si="254"/>
        <v>98.79786851515783</v>
      </c>
      <c r="L172" s="67">
        <f t="shared" si="254"/>
        <v>75.910609824174088</v>
      </c>
      <c r="M172" s="67">
        <f t="shared" si="254"/>
        <v>85.916865483913341</v>
      </c>
      <c r="N172" s="67">
        <f t="shared" si="254"/>
        <v>79.614590573476036</v>
      </c>
      <c r="O172" s="67">
        <f t="shared" si="254"/>
        <v>74.749121778835089</v>
      </c>
      <c r="P172" s="67">
        <f t="shared" si="254"/>
        <v>71.070019968231222</v>
      </c>
      <c r="Q172" s="67">
        <f t="shared" si="254"/>
        <v>78.852317638101525</v>
      </c>
      <c r="R172" s="67">
        <f t="shared" si="254"/>
        <v>63.431243065824148</v>
      </c>
      <c r="S172" s="67">
        <f t="shared" si="254"/>
        <v>74.386984965029313</v>
      </c>
      <c r="T172" s="67">
        <f t="shared" si="254"/>
        <v>90.598042846230427</v>
      </c>
      <c r="U172" s="67">
        <f t="shared" si="254"/>
        <v>90.119737708113817</v>
      </c>
      <c r="V172" s="67">
        <f t="shared" si="254"/>
        <v>58.568605082468395</v>
      </c>
      <c r="W172" s="67">
        <f t="shared" si="254"/>
        <v>62.626769204871692</v>
      </c>
      <c r="X172" s="67">
        <f t="shared" ref="X172:Y172" si="255">IF(X118=0,0,X118/X$23)</f>
        <v>77.049439833130151</v>
      </c>
      <c r="Y172" s="67">
        <f t="shared" si="255"/>
        <v>83.230394101437909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2210.6560818885187</v>
      </c>
      <c r="C3" s="124">
        <f t="shared" si="0"/>
        <v>2316.0767675022571</v>
      </c>
      <c r="D3" s="124">
        <f t="shared" si="0"/>
        <v>2371.2598397942866</v>
      </c>
      <c r="E3" s="124">
        <f t="shared" si="0"/>
        <v>2403.7493363877506</v>
      </c>
      <c r="F3" s="124">
        <f t="shared" si="0"/>
        <v>2421.3376395772962</v>
      </c>
      <c r="G3" s="124">
        <f t="shared" si="0"/>
        <v>2520.5529065411838</v>
      </c>
      <c r="H3" s="124">
        <f t="shared" si="0"/>
        <v>2597.8158225967418</v>
      </c>
      <c r="I3" s="124">
        <f t="shared" si="0"/>
        <v>2686.0449151457242</v>
      </c>
      <c r="J3" s="124">
        <f t="shared" si="0"/>
        <v>2857.8379515995071</v>
      </c>
      <c r="K3" s="124">
        <f t="shared" si="0"/>
        <v>2882.6565980032892</v>
      </c>
      <c r="L3" s="124">
        <f t="shared" si="0"/>
        <v>2923.8745676865728</v>
      </c>
      <c r="M3" s="124">
        <f t="shared" si="0"/>
        <v>2995.8589012000903</v>
      </c>
      <c r="N3" s="124">
        <f t="shared" si="0"/>
        <v>3125.8315881562462</v>
      </c>
      <c r="O3" s="124">
        <f t="shared" si="0"/>
        <v>3204.2074076487029</v>
      </c>
      <c r="P3" s="124">
        <f t="shared" si="0"/>
        <v>3313.1494894292559</v>
      </c>
      <c r="Q3" s="124">
        <f t="shared" si="0"/>
        <v>3418.5282662421655</v>
      </c>
      <c r="R3" s="124">
        <f t="shared" si="0"/>
        <v>3527.8804115755675</v>
      </c>
      <c r="S3" s="124">
        <f t="shared" si="0"/>
        <v>3643.5627583906034</v>
      </c>
      <c r="T3" s="124">
        <f t="shared" si="0"/>
        <v>3756.6038958266336</v>
      </c>
      <c r="U3" s="124">
        <f t="shared" si="0"/>
        <v>3863.8237926747493</v>
      </c>
      <c r="V3" s="124">
        <f t="shared" si="0"/>
        <v>3969.0411111111098</v>
      </c>
      <c r="W3" s="124">
        <f t="shared" si="0"/>
        <v>4070.8990180187902</v>
      </c>
      <c r="X3" s="124">
        <f t="shared" si="0"/>
        <v>4170.7484952567011</v>
      </c>
      <c r="Y3" s="124">
        <f t="shared" si="0"/>
        <v>4268.7454051200293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2210.6560818885187</v>
      </c>
      <c r="C4" s="139">
        <f t="shared" si="1"/>
        <v>2316.0767675022571</v>
      </c>
      <c r="D4" s="139">
        <f t="shared" si="1"/>
        <v>2371.2598397942866</v>
      </c>
      <c r="E4" s="139">
        <f t="shared" si="1"/>
        <v>2403.7493363877506</v>
      </c>
      <c r="F4" s="139">
        <f t="shared" si="1"/>
        <v>2421.3376395772962</v>
      </c>
      <c r="G4" s="139">
        <f t="shared" si="1"/>
        <v>2520.5529065411838</v>
      </c>
      <c r="H4" s="139">
        <f t="shared" si="1"/>
        <v>2597.8158225967418</v>
      </c>
      <c r="I4" s="139">
        <f t="shared" si="1"/>
        <v>2686.0449151457242</v>
      </c>
      <c r="J4" s="139">
        <f t="shared" si="1"/>
        <v>2857.8379515995071</v>
      </c>
      <c r="K4" s="139">
        <f t="shared" si="1"/>
        <v>2882.6565980032892</v>
      </c>
      <c r="L4" s="139">
        <f t="shared" si="1"/>
        <v>2923.8745676865728</v>
      </c>
      <c r="M4" s="139">
        <f t="shared" si="1"/>
        <v>2995.8589012000903</v>
      </c>
      <c r="N4" s="139">
        <f t="shared" si="1"/>
        <v>3125.8315881562462</v>
      </c>
      <c r="O4" s="139">
        <f t="shared" si="1"/>
        <v>3204.2074076487029</v>
      </c>
      <c r="P4" s="139">
        <f t="shared" si="1"/>
        <v>3313.1494894292559</v>
      </c>
      <c r="Q4" s="139">
        <f t="shared" si="1"/>
        <v>3418.5282662421655</v>
      </c>
      <c r="R4" s="139">
        <f t="shared" ref="R4:W4" si="2">SUM(R5:R14)</f>
        <v>3527.8804115755675</v>
      </c>
      <c r="S4" s="139">
        <f t="shared" si="2"/>
        <v>3643.5627583906034</v>
      </c>
      <c r="T4" s="139">
        <f t="shared" si="2"/>
        <v>3756.6038958266336</v>
      </c>
      <c r="U4" s="139">
        <f t="shared" si="2"/>
        <v>3863.8237926747493</v>
      </c>
      <c r="V4" s="139">
        <f t="shared" si="2"/>
        <v>3969.0411111111098</v>
      </c>
      <c r="W4" s="139">
        <f t="shared" si="2"/>
        <v>4070.8990180187902</v>
      </c>
      <c r="X4" s="139">
        <f t="shared" ref="X4:Y4" si="3">SUM(X5:X14)</f>
        <v>4170.7484952567011</v>
      </c>
      <c r="Y4" s="139">
        <f t="shared" si="3"/>
        <v>4268.7454051200293</v>
      </c>
      <c r="DA4" s="169" t="s">
        <v>246</v>
      </c>
    </row>
    <row r="5" spans="1:105" ht="12" customHeight="1" x14ac:dyDescent="0.25">
      <c r="A5" s="131" t="s">
        <v>29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247</v>
      </c>
    </row>
    <row r="6" spans="1:105" ht="12" customHeight="1" x14ac:dyDescent="0.25">
      <c r="A6" s="131" t="s">
        <v>52</v>
      </c>
      <c r="B6" s="140">
        <v>162.18731287627679</v>
      </c>
      <c r="C6" s="140">
        <v>154.50162224265995</v>
      </c>
      <c r="D6" s="140">
        <v>151.03207064638755</v>
      </c>
      <c r="E6" s="140">
        <v>144.65978461314538</v>
      </c>
      <c r="F6" s="140">
        <v>145.44147555346467</v>
      </c>
      <c r="G6" s="140">
        <v>146.93780552994468</v>
      </c>
      <c r="H6" s="140">
        <v>148.77836413002694</v>
      </c>
      <c r="I6" s="140">
        <v>146.97237365861716</v>
      </c>
      <c r="J6" s="140">
        <v>146.06513263361802</v>
      </c>
      <c r="K6" s="140">
        <v>148.86817435239109</v>
      </c>
      <c r="L6" s="140">
        <v>154.26943637254058</v>
      </c>
      <c r="M6" s="140">
        <v>159.28844362582828</v>
      </c>
      <c r="N6" s="140">
        <v>155.43385834437274</v>
      </c>
      <c r="O6" s="140">
        <v>140.29874639368168</v>
      </c>
      <c r="P6" s="140">
        <v>138.10420394072415</v>
      </c>
      <c r="Q6" s="140">
        <v>139.3388304368134</v>
      </c>
      <c r="R6" s="140">
        <v>142.67414688343473</v>
      </c>
      <c r="S6" s="140">
        <v>154.32657172301796</v>
      </c>
      <c r="T6" s="140">
        <v>177.94220598595709</v>
      </c>
      <c r="U6" s="140">
        <v>198.90372400227938</v>
      </c>
      <c r="V6" s="140">
        <v>205.97858439599608</v>
      </c>
      <c r="W6" s="140">
        <v>202.90292088095313</v>
      </c>
      <c r="X6" s="140">
        <v>188.67944145377083</v>
      </c>
      <c r="Y6" s="140">
        <v>164.3925378659776</v>
      </c>
      <c r="DA6" s="170" t="s">
        <v>248</v>
      </c>
    </row>
    <row r="7" spans="1:105" ht="12" customHeight="1" x14ac:dyDescent="0.25">
      <c r="A7" s="131" t="s">
        <v>161</v>
      </c>
      <c r="B7" s="140">
        <v>1370.8381645923071</v>
      </c>
      <c r="C7" s="140">
        <v>1403.7060236000293</v>
      </c>
      <c r="D7" s="140">
        <v>1415.0679365108665</v>
      </c>
      <c r="E7" s="140">
        <v>1377.424576303428</v>
      </c>
      <c r="F7" s="140">
        <v>1276.4867784203611</v>
      </c>
      <c r="G7" s="140">
        <v>1183.2331282495027</v>
      </c>
      <c r="H7" s="140">
        <v>1210.8148559638419</v>
      </c>
      <c r="I7" s="140">
        <v>1269.11515495652</v>
      </c>
      <c r="J7" s="140">
        <v>1379.6796783601158</v>
      </c>
      <c r="K7" s="140">
        <v>1234.2628839449226</v>
      </c>
      <c r="L7" s="140">
        <v>1066.8633775286703</v>
      </c>
      <c r="M7" s="140">
        <v>1042.2541947100308</v>
      </c>
      <c r="N7" s="140">
        <v>1141.4323933738431</v>
      </c>
      <c r="O7" s="140">
        <v>1180.6471379181266</v>
      </c>
      <c r="P7" s="140">
        <v>1296.4865706241835</v>
      </c>
      <c r="Q7" s="140">
        <v>1343.7975746917093</v>
      </c>
      <c r="R7" s="140">
        <v>1281.2648644373892</v>
      </c>
      <c r="S7" s="140">
        <v>1115.3172585911295</v>
      </c>
      <c r="T7" s="140">
        <v>902.5257492770512</v>
      </c>
      <c r="U7" s="140">
        <v>790.44689519413066</v>
      </c>
      <c r="V7" s="140">
        <v>758.2653305664652</v>
      </c>
      <c r="W7" s="140">
        <v>747.60198309489488</v>
      </c>
      <c r="X7" s="140">
        <v>732.79655165461406</v>
      </c>
      <c r="Y7" s="140">
        <v>673.99980201060191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250</v>
      </c>
    </row>
    <row r="9" spans="1:105" ht="12" customHeight="1" x14ac:dyDescent="0.25">
      <c r="A9" s="131" t="s">
        <v>78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53.988534326934584</v>
      </c>
      <c r="N9" s="140">
        <v>65.19720473125777</v>
      </c>
      <c r="O9" s="140">
        <v>65.29515989136496</v>
      </c>
      <c r="P9" s="140">
        <v>59.773603489008806</v>
      </c>
      <c r="Q9" s="140">
        <v>53.168291506614402</v>
      </c>
      <c r="R9" s="140">
        <v>53.6803123775396</v>
      </c>
      <c r="S9" s="140">
        <v>53.338739056709265</v>
      </c>
      <c r="T9" s="140">
        <v>58.375034491630132</v>
      </c>
      <c r="U9" s="140">
        <v>66.784013358508702</v>
      </c>
      <c r="V9" s="140">
        <v>66.797430411449071</v>
      </c>
      <c r="W9" s="140">
        <v>66.958132235749758</v>
      </c>
      <c r="X9" s="140">
        <v>69.774737996941553</v>
      </c>
      <c r="Y9" s="140">
        <v>78.237345663364124</v>
      </c>
      <c r="DA9" s="170" t="s">
        <v>251</v>
      </c>
    </row>
    <row r="10" spans="1:105" ht="12" customHeight="1" x14ac:dyDescent="0.25">
      <c r="A10" s="131" t="s">
        <v>128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7.4171026632069532</v>
      </c>
      <c r="N12" s="140">
        <v>7.4761782828459609</v>
      </c>
      <c r="O12" s="140">
        <v>5.6937026038512331</v>
      </c>
      <c r="P12" s="140">
        <v>4.8724967583411694</v>
      </c>
      <c r="Q12" s="140">
        <v>4.6022364883616476</v>
      </c>
      <c r="R12" s="140">
        <v>3.6507055621452618</v>
      </c>
      <c r="S12" s="140">
        <v>2.1531240214951626</v>
      </c>
      <c r="T12" s="140">
        <v>1.0600992752248084</v>
      </c>
      <c r="U12" s="140">
        <v>0.74003121212861878</v>
      </c>
      <c r="V12" s="140">
        <v>0</v>
      </c>
      <c r="W12" s="140">
        <v>0</v>
      </c>
      <c r="X12" s="140">
        <v>0</v>
      </c>
      <c r="Y12" s="140">
        <v>0</v>
      </c>
      <c r="DA12" s="170" t="s">
        <v>254</v>
      </c>
    </row>
    <row r="13" spans="1:105" ht="12" customHeight="1" x14ac:dyDescent="0.25">
      <c r="A13" s="131" t="s">
        <v>77</v>
      </c>
      <c r="B13" s="140">
        <v>8.8196363191865927</v>
      </c>
      <c r="C13" s="140">
        <v>13.298577560339607</v>
      </c>
      <c r="D13" s="140">
        <v>19.96572610648483</v>
      </c>
      <c r="E13" s="140">
        <v>26.956115869777392</v>
      </c>
      <c r="F13" s="140">
        <v>36.288308928743731</v>
      </c>
      <c r="G13" s="140">
        <v>53.44296287426274</v>
      </c>
      <c r="H13" s="140">
        <v>87.502340076247194</v>
      </c>
      <c r="I13" s="140">
        <v>143.09059368557442</v>
      </c>
      <c r="J13" s="140">
        <v>199.78642196239201</v>
      </c>
      <c r="K13" s="140">
        <v>227.32865478259703</v>
      </c>
      <c r="L13" s="140">
        <v>229.58196775718537</v>
      </c>
      <c r="M13" s="140">
        <v>237.00686580128664</v>
      </c>
      <c r="N13" s="140">
        <v>242.03548928984543</v>
      </c>
      <c r="O13" s="140">
        <v>268.88244843259207</v>
      </c>
      <c r="P13" s="140">
        <v>308.736072297009</v>
      </c>
      <c r="Q13" s="140">
        <v>351.90245958356451</v>
      </c>
      <c r="R13" s="140">
        <v>408.57519353942729</v>
      </c>
      <c r="S13" s="140">
        <v>463.84715289561211</v>
      </c>
      <c r="T13" s="140">
        <v>558.27291079558529</v>
      </c>
      <c r="U13" s="140">
        <v>667.93165211620396</v>
      </c>
      <c r="V13" s="140">
        <v>820.4317781886291</v>
      </c>
      <c r="W13" s="140">
        <v>937.35307723838469</v>
      </c>
      <c r="X13" s="140">
        <v>995.55391161070702</v>
      </c>
      <c r="Y13" s="140">
        <v>1030.9836177324025</v>
      </c>
      <c r="DA13" s="170" t="s">
        <v>255</v>
      </c>
    </row>
    <row r="14" spans="1:105" ht="12" customHeight="1" x14ac:dyDescent="0.25">
      <c r="A14" s="60" t="s">
        <v>76</v>
      </c>
      <c r="B14" s="141">
        <v>668.81096810074825</v>
      </c>
      <c r="C14" s="141">
        <v>744.57054409922807</v>
      </c>
      <c r="D14" s="141">
        <v>785.1941065305474</v>
      </c>
      <c r="E14" s="141">
        <v>854.70885960139969</v>
      </c>
      <c r="F14" s="141">
        <v>963.12107667472685</v>
      </c>
      <c r="G14" s="141">
        <v>1136.939009887474</v>
      </c>
      <c r="H14" s="141">
        <v>1150.7202624266261</v>
      </c>
      <c r="I14" s="141">
        <v>1126.8667928450125</v>
      </c>
      <c r="J14" s="141">
        <v>1132.3067186433811</v>
      </c>
      <c r="K14" s="141">
        <v>1272.1968849233783</v>
      </c>
      <c r="L14" s="141">
        <v>1473.1597860281765</v>
      </c>
      <c r="M14" s="141">
        <v>1495.9037600728029</v>
      </c>
      <c r="N14" s="141">
        <v>1514.2564641340814</v>
      </c>
      <c r="O14" s="141">
        <v>1543.3902124090862</v>
      </c>
      <c r="P14" s="141">
        <v>1505.1765423199893</v>
      </c>
      <c r="Q14" s="141">
        <v>1525.7188735351024</v>
      </c>
      <c r="R14" s="141">
        <v>1638.035188775631</v>
      </c>
      <c r="S14" s="141">
        <v>1854.5799121026394</v>
      </c>
      <c r="T14" s="141">
        <v>2058.4278960011852</v>
      </c>
      <c r="U14" s="141">
        <v>2139.0174767914982</v>
      </c>
      <c r="V14" s="141">
        <v>2117.5679875485703</v>
      </c>
      <c r="W14" s="141">
        <v>2116.0829045688079</v>
      </c>
      <c r="X14" s="141">
        <v>2183.9438525406681</v>
      </c>
      <c r="Y14" s="141">
        <v>2321.1321018476829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1533.0254774685839</v>
      </c>
      <c r="C15" s="143">
        <f t="shared" si="4"/>
        <v>1558.2076458426893</v>
      </c>
      <c r="D15" s="143">
        <f t="shared" si="4"/>
        <v>1566.1000071572541</v>
      </c>
      <c r="E15" s="143">
        <f t="shared" si="4"/>
        <v>1522.0843609165734</v>
      </c>
      <c r="F15" s="143">
        <f t="shared" si="4"/>
        <v>1421.9282539738258</v>
      </c>
      <c r="G15" s="143">
        <f t="shared" si="4"/>
        <v>1330.1709337794473</v>
      </c>
      <c r="H15" s="143">
        <f t="shared" si="4"/>
        <v>1359.5932200938687</v>
      </c>
      <c r="I15" s="143">
        <f t="shared" si="4"/>
        <v>1416.0875286151372</v>
      </c>
      <c r="J15" s="143">
        <f t="shared" si="4"/>
        <v>1525.7448109937338</v>
      </c>
      <c r="K15" s="143">
        <f t="shared" si="4"/>
        <v>1383.1310582973138</v>
      </c>
      <c r="L15" s="143">
        <f t="shared" si="4"/>
        <v>1221.132813901211</v>
      </c>
      <c r="M15" s="143">
        <f t="shared" si="4"/>
        <v>1262.9482753260006</v>
      </c>
      <c r="N15" s="143">
        <f t="shared" si="4"/>
        <v>1369.5396347323194</v>
      </c>
      <c r="O15" s="143">
        <f t="shared" si="4"/>
        <v>1391.9347468070246</v>
      </c>
      <c r="P15" s="143">
        <f t="shared" si="4"/>
        <v>1499.2368748122576</v>
      </c>
      <c r="Q15" s="143">
        <f t="shared" si="4"/>
        <v>1540.9069331234987</v>
      </c>
      <c r="R15" s="143">
        <f t="shared" ref="R15:W15" si="5">SUM(R5:R12)</f>
        <v>1481.2700292605089</v>
      </c>
      <c r="S15" s="143">
        <f t="shared" si="5"/>
        <v>1325.1356933923519</v>
      </c>
      <c r="T15" s="143">
        <f t="shared" si="5"/>
        <v>1139.9030890298632</v>
      </c>
      <c r="U15" s="143">
        <f t="shared" si="5"/>
        <v>1056.8746637670472</v>
      </c>
      <c r="V15" s="143">
        <f t="shared" si="5"/>
        <v>1031.0413453739104</v>
      </c>
      <c r="W15" s="143">
        <f t="shared" si="5"/>
        <v>1017.4630362115978</v>
      </c>
      <c r="X15" s="143">
        <f t="shared" ref="X15:Y15" si="6">SUM(X5:X12)</f>
        <v>991.25073110532651</v>
      </c>
      <c r="Y15" s="143">
        <f t="shared" si="6"/>
        <v>916.62968553994369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1160.5929780973242</v>
      </c>
      <c r="C16" s="139">
        <f t="shared" si="7"/>
        <v>1285.4936555574404</v>
      </c>
      <c r="D16" s="139">
        <f t="shared" si="7"/>
        <v>1373.9172605799936</v>
      </c>
      <c r="E16" s="139">
        <f t="shared" si="7"/>
        <v>1429.7414976518485</v>
      </c>
      <c r="F16" s="139">
        <f t="shared" si="7"/>
        <v>1485.7974113846622</v>
      </c>
      <c r="G16" s="139">
        <f t="shared" si="7"/>
        <v>1598.6018575545227</v>
      </c>
      <c r="H16" s="139">
        <f t="shared" si="7"/>
        <v>1713.753620582952</v>
      </c>
      <c r="I16" s="139">
        <f t="shared" si="7"/>
        <v>1821.2080122617845</v>
      </c>
      <c r="J16" s="139">
        <f t="shared" si="7"/>
        <v>1967.5447625875074</v>
      </c>
      <c r="K16" s="139">
        <f t="shared" si="7"/>
        <v>2108.5119017502034</v>
      </c>
      <c r="L16" s="139">
        <f t="shared" si="7"/>
        <v>2178.8441396473395</v>
      </c>
      <c r="M16" s="139">
        <f t="shared" si="7"/>
        <v>2262.3333881644098</v>
      </c>
      <c r="N16" s="139">
        <f t="shared" si="7"/>
        <v>2373.437543379287</v>
      </c>
      <c r="O16" s="139">
        <f t="shared" si="7"/>
        <v>2460.4203001012443</v>
      </c>
      <c r="P16" s="139">
        <f t="shared" si="7"/>
        <v>2564.0894599535595</v>
      </c>
      <c r="Q16" s="139">
        <f t="shared" si="7"/>
        <v>2664.9912907871221</v>
      </c>
      <c r="R16" s="139">
        <f t="shared" ref="R16:W16" si="8">SUM(R17:R18)</f>
        <v>2753.4625325269108</v>
      </c>
      <c r="S16" s="139">
        <f t="shared" si="8"/>
        <v>2863.4033117594163</v>
      </c>
      <c r="T16" s="139">
        <f t="shared" si="8"/>
        <v>2998.1999937436249</v>
      </c>
      <c r="U16" s="139">
        <f t="shared" si="8"/>
        <v>3138.2009900883049</v>
      </c>
      <c r="V16" s="139">
        <f t="shared" si="8"/>
        <v>3193.3807807784256</v>
      </c>
      <c r="W16" s="139">
        <f t="shared" si="8"/>
        <v>3280.4264802963289</v>
      </c>
      <c r="X16" s="139">
        <f t="shared" ref="X16:Y16" si="9">SUM(X17:X18)</f>
        <v>3385.7295392397727</v>
      </c>
      <c r="Y16" s="139">
        <f t="shared" si="9"/>
        <v>3543.644867921073</v>
      </c>
      <c r="DA16" s="169" t="s">
        <v>257</v>
      </c>
    </row>
    <row r="17" spans="1:105" ht="12.95" customHeight="1" x14ac:dyDescent="0.25">
      <c r="A17" s="131" t="s">
        <v>73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258</v>
      </c>
    </row>
    <row r="18" spans="1:105" ht="12" customHeight="1" x14ac:dyDescent="0.25">
      <c r="A18" s="131" t="s">
        <v>72</v>
      </c>
      <c r="B18" s="140">
        <v>1160.5929780973242</v>
      </c>
      <c r="C18" s="140">
        <v>1285.4936555574404</v>
      </c>
      <c r="D18" s="140">
        <v>1373.9172605799936</v>
      </c>
      <c r="E18" s="140">
        <v>1429.7414976518485</v>
      </c>
      <c r="F18" s="140">
        <v>1485.7974113846622</v>
      </c>
      <c r="G18" s="140">
        <v>1598.6018575545227</v>
      </c>
      <c r="H18" s="140">
        <v>1713.753620582952</v>
      </c>
      <c r="I18" s="140">
        <v>1821.2080122617845</v>
      </c>
      <c r="J18" s="140">
        <v>1967.5447625875074</v>
      </c>
      <c r="K18" s="140">
        <v>2108.5119017502034</v>
      </c>
      <c r="L18" s="140">
        <v>2178.8441396473395</v>
      </c>
      <c r="M18" s="140">
        <v>2262.3333881644098</v>
      </c>
      <c r="N18" s="140">
        <v>2373.437543379287</v>
      </c>
      <c r="O18" s="140">
        <v>2460.4203001012443</v>
      </c>
      <c r="P18" s="140">
        <v>2564.0894599535595</v>
      </c>
      <c r="Q18" s="140">
        <v>2664.9912907871221</v>
      </c>
      <c r="R18" s="140">
        <v>2753.4625325269108</v>
      </c>
      <c r="S18" s="140">
        <v>2863.4033117594163</v>
      </c>
      <c r="T18" s="140">
        <v>2998.1999937436249</v>
      </c>
      <c r="U18" s="140">
        <v>3138.2009900883049</v>
      </c>
      <c r="V18" s="140">
        <v>3193.3807807784256</v>
      </c>
      <c r="W18" s="140">
        <v>3280.4264802963289</v>
      </c>
      <c r="X18" s="140">
        <v>3385.7295392397727</v>
      </c>
      <c r="Y18" s="140">
        <v>3543.644867921073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2210.6560818885191</v>
      </c>
      <c r="C19" s="139">
        <f t="shared" si="10"/>
        <v>2316.0767675022566</v>
      </c>
      <c r="D19" s="139">
        <f t="shared" si="10"/>
        <v>2371.2598397942861</v>
      </c>
      <c r="E19" s="139">
        <f t="shared" si="10"/>
        <v>2403.7493363877506</v>
      </c>
      <c r="F19" s="139">
        <f t="shared" si="10"/>
        <v>2421.3376395772962</v>
      </c>
      <c r="G19" s="139">
        <f t="shared" si="10"/>
        <v>2520.5529065411838</v>
      </c>
      <c r="H19" s="139">
        <f t="shared" si="10"/>
        <v>2597.8158225967413</v>
      </c>
      <c r="I19" s="139">
        <f t="shared" si="10"/>
        <v>2686.0449151457237</v>
      </c>
      <c r="J19" s="139">
        <f t="shared" si="10"/>
        <v>2857.8379515995071</v>
      </c>
      <c r="K19" s="139">
        <f t="shared" si="10"/>
        <v>2882.6565980032897</v>
      </c>
      <c r="L19" s="139">
        <f t="shared" si="10"/>
        <v>2923.8745676865742</v>
      </c>
      <c r="M19" s="139">
        <f t="shared" si="10"/>
        <v>2995.858901200093</v>
      </c>
      <c r="N19" s="139">
        <f t="shared" si="10"/>
        <v>3125.8315881562494</v>
      </c>
      <c r="O19" s="139">
        <f t="shared" si="10"/>
        <v>3204.207407648702</v>
      </c>
      <c r="P19" s="139">
        <f t="shared" si="10"/>
        <v>3313.1494894292532</v>
      </c>
      <c r="Q19" s="139">
        <f t="shared" si="10"/>
        <v>3418.5282662421669</v>
      </c>
      <c r="R19" s="139">
        <f t="shared" ref="R19:W19" si="11">SUM(R20:R26)</f>
        <v>3527.8804115755656</v>
      </c>
      <c r="S19" s="139">
        <f t="shared" si="11"/>
        <v>3643.5627583906048</v>
      </c>
      <c r="T19" s="139">
        <f t="shared" si="11"/>
        <v>3756.6038958266313</v>
      </c>
      <c r="U19" s="139">
        <f t="shared" si="11"/>
        <v>3863.8237926747497</v>
      </c>
      <c r="V19" s="139">
        <f t="shared" si="11"/>
        <v>3969.0411111111134</v>
      </c>
      <c r="W19" s="139">
        <f t="shared" si="11"/>
        <v>4070.8990180187939</v>
      </c>
      <c r="X19" s="139">
        <f t="shared" ref="X19:Y19" si="12">SUM(X20:X26)</f>
        <v>4170.7484952567038</v>
      </c>
      <c r="Y19" s="139">
        <f t="shared" si="12"/>
        <v>4268.7454051200284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144.88904759937387</v>
      </c>
      <c r="C21" s="140">
        <v>147.30364898463606</v>
      </c>
      <c r="D21" s="140">
        <v>144.46647991391046</v>
      </c>
      <c r="E21" s="140">
        <v>145.68659566803035</v>
      </c>
      <c r="F21" s="140">
        <v>156.27905367121241</v>
      </c>
      <c r="G21" s="140">
        <v>204.21343466060969</v>
      </c>
      <c r="H21" s="140">
        <v>230.52776398722639</v>
      </c>
      <c r="I21" s="140">
        <v>237.31027481414378</v>
      </c>
      <c r="J21" s="140">
        <v>245.36610238345054</v>
      </c>
      <c r="K21" s="140">
        <v>245.82183934967213</v>
      </c>
      <c r="L21" s="140">
        <v>226.5855007876051</v>
      </c>
      <c r="M21" s="140">
        <v>180.63558351635044</v>
      </c>
      <c r="N21" s="140">
        <v>125.92044844505563</v>
      </c>
      <c r="O21" s="140">
        <v>88.550344714942085</v>
      </c>
      <c r="P21" s="140">
        <v>64.333406634108343</v>
      </c>
      <c r="Q21" s="140">
        <v>52.145578109386015</v>
      </c>
      <c r="R21" s="140">
        <v>50.576422428225989</v>
      </c>
      <c r="S21" s="140">
        <v>57.460915567808925</v>
      </c>
      <c r="T21" s="140">
        <v>66.718175634610745</v>
      </c>
      <c r="U21" s="140">
        <v>71.453065699434205</v>
      </c>
      <c r="V21" s="140">
        <v>72.769222868248491</v>
      </c>
      <c r="W21" s="140">
        <v>75.259116875086676</v>
      </c>
      <c r="X21" s="140">
        <v>71.535834704430656</v>
      </c>
      <c r="Y21" s="140">
        <v>74.662580844983481</v>
      </c>
      <c r="DA21" s="170" t="s">
        <v>262</v>
      </c>
    </row>
    <row r="22" spans="1:105" ht="12" customHeight="1" x14ac:dyDescent="0.25">
      <c r="A22" s="131" t="s">
        <v>161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DA22" s="170" t="s">
        <v>263</v>
      </c>
    </row>
    <row r="23" spans="1:105" ht="12" customHeight="1" x14ac:dyDescent="0.25">
      <c r="A23" s="131" t="s">
        <v>149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0.7051175401541907</v>
      </c>
      <c r="N25" s="140">
        <v>0.89084247461405941</v>
      </c>
      <c r="O25" s="140">
        <v>0.99985847684947482</v>
      </c>
      <c r="P25" s="140">
        <v>0.95562002036930327</v>
      </c>
      <c r="Q25" s="140">
        <v>0.88370946971590292</v>
      </c>
      <c r="R25" s="140">
        <v>0.73311182331834535</v>
      </c>
      <c r="S25" s="140">
        <v>0.53909120344172878</v>
      </c>
      <c r="T25" s="140">
        <v>0.39472477370808062</v>
      </c>
      <c r="U25" s="140">
        <v>0.27489283724560098</v>
      </c>
      <c r="V25" s="140">
        <v>0</v>
      </c>
      <c r="W25" s="140">
        <v>0</v>
      </c>
      <c r="X25" s="140">
        <v>0</v>
      </c>
      <c r="Y25" s="140">
        <v>0</v>
      </c>
      <c r="DA25" s="170" t="s">
        <v>266</v>
      </c>
    </row>
    <row r="26" spans="1:105" ht="12" customHeight="1" x14ac:dyDescent="0.25">
      <c r="A26" s="131" t="s">
        <v>24</v>
      </c>
      <c r="B26" s="141">
        <v>2065.7670342891452</v>
      </c>
      <c r="C26" s="141">
        <v>2168.7731185176208</v>
      </c>
      <c r="D26" s="141">
        <v>2226.7933598803756</v>
      </c>
      <c r="E26" s="141">
        <v>2258.0627407197203</v>
      </c>
      <c r="F26" s="141">
        <v>2265.0585859060839</v>
      </c>
      <c r="G26" s="141">
        <v>2316.3394718805739</v>
      </c>
      <c r="H26" s="141">
        <v>2367.2880586095148</v>
      </c>
      <c r="I26" s="141">
        <v>2448.7346403315801</v>
      </c>
      <c r="J26" s="141">
        <v>2612.4718492160564</v>
      </c>
      <c r="K26" s="141">
        <v>2636.8347586536174</v>
      </c>
      <c r="L26" s="141">
        <v>2697.2890668989689</v>
      </c>
      <c r="M26" s="141">
        <v>2814.5182001435883</v>
      </c>
      <c r="N26" s="141">
        <v>2999.0202972365796</v>
      </c>
      <c r="O26" s="141">
        <v>3114.6572044569102</v>
      </c>
      <c r="P26" s="141">
        <v>3247.8604627747754</v>
      </c>
      <c r="Q26" s="141">
        <v>3365.4989786630649</v>
      </c>
      <c r="R26" s="141">
        <v>3476.5708773240212</v>
      </c>
      <c r="S26" s="141">
        <v>3585.562751619354</v>
      </c>
      <c r="T26" s="141">
        <v>3689.4909954183127</v>
      </c>
      <c r="U26" s="141">
        <v>3792.0958341380697</v>
      </c>
      <c r="V26" s="141">
        <v>3896.2718882428649</v>
      </c>
      <c r="W26" s="141">
        <v>3995.639901143707</v>
      </c>
      <c r="X26" s="141">
        <v>4099.2126605522735</v>
      </c>
      <c r="Y26" s="141">
        <v>4194.0828242750449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2210.6560818885187</v>
      </c>
      <c r="C29" s="139">
        <f t="shared" si="13"/>
        <v>2316.0767675022571</v>
      </c>
      <c r="D29" s="139">
        <f t="shared" si="13"/>
        <v>2371.2598397942857</v>
      </c>
      <c r="E29" s="139">
        <f t="shared" si="13"/>
        <v>2403.7493363877506</v>
      </c>
      <c r="F29" s="139">
        <f t="shared" si="13"/>
        <v>2421.3376395772971</v>
      </c>
      <c r="G29" s="139">
        <f t="shared" si="13"/>
        <v>2520.5529065411843</v>
      </c>
      <c r="H29" s="139">
        <f t="shared" si="13"/>
        <v>2597.8158225967418</v>
      </c>
      <c r="I29" s="139">
        <f t="shared" si="13"/>
        <v>2686.0449151457251</v>
      </c>
      <c r="J29" s="139">
        <f t="shared" si="13"/>
        <v>2857.8379515995075</v>
      </c>
      <c r="K29" s="139">
        <f t="shared" si="13"/>
        <v>2882.6565980032906</v>
      </c>
      <c r="L29" s="139">
        <f t="shared" si="13"/>
        <v>2923.8745676865738</v>
      </c>
      <c r="M29" s="139">
        <f t="shared" si="13"/>
        <v>2995.8589012000912</v>
      </c>
      <c r="N29" s="139">
        <f t="shared" si="13"/>
        <v>3125.8315881562489</v>
      </c>
      <c r="O29" s="139">
        <f t="shared" si="13"/>
        <v>3204.2074076487033</v>
      </c>
      <c r="P29" s="139">
        <f t="shared" si="13"/>
        <v>3313.1494894292537</v>
      </c>
      <c r="Q29" s="139">
        <f t="shared" si="13"/>
        <v>3418.5282662421678</v>
      </c>
      <c r="R29" s="139">
        <f t="shared" ref="R29:W29" si="14">SUM(R30:R33)</f>
        <v>3527.8804115755688</v>
      </c>
      <c r="S29" s="139">
        <f t="shared" si="14"/>
        <v>3643.562758390603</v>
      </c>
      <c r="T29" s="139">
        <f t="shared" si="14"/>
        <v>3756.6038958266349</v>
      </c>
      <c r="U29" s="139">
        <f t="shared" si="14"/>
        <v>3863.8237926747506</v>
      </c>
      <c r="V29" s="139">
        <f t="shared" si="14"/>
        <v>3969.0411111111098</v>
      </c>
      <c r="W29" s="139">
        <f t="shared" si="14"/>
        <v>4070.899018018792</v>
      </c>
      <c r="X29" s="139">
        <f t="shared" ref="X29:Y29" si="15">SUM(X30:X33)</f>
        <v>4170.7484952567029</v>
      </c>
      <c r="Y29" s="139">
        <f t="shared" si="15"/>
        <v>4268.7454051200284</v>
      </c>
      <c r="DA29" s="169" t="s">
        <v>269</v>
      </c>
    </row>
    <row r="30" spans="1:105" ht="12" customHeight="1" x14ac:dyDescent="0.25">
      <c r="A30" s="131" t="s">
        <v>52</v>
      </c>
      <c r="B30" s="140">
        <v>124.18586259703386</v>
      </c>
      <c r="C30" s="140">
        <v>129.86530335450266</v>
      </c>
      <c r="D30" s="140">
        <v>138.46806977198935</v>
      </c>
      <c r="E30" s="140">
        <v>139.98451196597432</v>
      </c>
      <c r="F30" s="140">
        <v>152.9283738052462</v>
      </c>
      <c r="G30" s="140">
        <v>188.52181657669922</v>
      </c>
      <c r="H30" s="140">
        <v>273.63303543588199</v>
      </c>
      <c r="I30" s="140">
        <v>391.96282738692452</v>
      </c>
      <c r="J30" s="140">
        <v>526.57996355270393</v>
      </c>
      <c r="K30" s="140">
        <v>649.62377739420492</v>
      </c>
      <c r="L30" s="140">
        <v>663.56068525544367</v>
      </c>
      <c r="M30" s="140">
        <v>688.23853649567923</v>
      </c>
      <c r="N30" s="140">
        <v>680.98488945848248</v>
      </c>
      <c r="O30" s="140">
        <v>697.30531619094859</v>
      </c>
      <c r="P30" s="140">
        <v>704.70419328220828</v>
      </c>
      <c r="Q30" s="140">
        <v>744.58377029333928</v>
      </c>
      <c r="R30" s="140">
        <v>784.11939848357679</v>
      </c>
      <c r="S30" s="140">
        <v>904.40441071346015</v>
      </c>
      <c r="T30" s="140">
        <v>1016.0922704159194</v>
      </c>
      <c r="U30" s="140">
        <v>1054.5122365014731</v>
      </c>
      <c r="V30" s="140">
        <v>1103.4990401970288</v>
      </c>
      <c r="W30" s="140">
        <v>1138.4098931916492</v>
      </c>
      <c r="X30" s="140">
        <v>1217.9779980680978</v>
      </c>
      <c r="Y30" s="140">
        <v>1299.7732068845717</v>
      </c>
      <c r="DA30" s="170" t="s">
        <v>270</v>
      </c>
    </row>
    <row r="31" spans="1:105" ht="12" customHeight="1" x14ac:dyDescent="0.25">
      <c r="A31" s="131" t="s">
        <v>149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2086.4702192914847</v>
      </c>
      <c r="C33" s="152">
        <v>2186.2114641477542</v>
      </c>
      <c r="D33" s="152">
        <v>2232.7917700222965</v>
      </c>
      <c r="E33" s="152">
        <v>2263.7648244217762</v>
      </c>
      <c r="F33" s="152">
        <v>2268.4092657720507</v>
      </c>
      <c r="G33" s="152">
        <v>2332.0310899644851</v>
      </c>
      <c r="H33" s="152">
        <v>2324.1827871608598</v>
      </c>
      <c r="I33" s="152">
        <v>2294.0820877588008</v>
      </c>
      <c r="J33" s="152">
        <v>2331.2579880468033</v>
      </c>
      <c r="K33" s="152">
        <v>2233.0328206090858</v>
      </c>
      <c r="L33" s="152">
        <v>2260.31388243113</v>
      </c>
      <c r="M33" s="152">
        <v>2307.6203647044117</v>
      </c>
      <c r="N33" s="152">
        <v>2444.8466986977664</v>
      </c>
      <c r="O33" s="152">
        <v>2506.9020914577545</v>
      </c>
      <c r="P33" s="152">
        <v>2608.4452961470452</v>
      </c>
      <c r="Q33" s="152">
        <v>2673.9444959488287</v>
      </c>
      <c r="R33" s="152">
        <v>2743.761013091992</v>
      </c>
      <c r="S33" s="152">
        <v>2739.158347677143</v>
      </c>
      <c r="T33" s="152">
        <v>2740.5116254107156</v>
      </c>
      <c r="U33" s="152">
        <v>2809.3115561732775</v>
      </c>
      <c r="V33" s="152">
        <v>2865.5420709140808</v>
      </c>
      <c r="W33" s="152">
        <v>2932.4891248271429</v>
      </c>
      <c r="X33" s="152">
        <v>2952.7704971886051</v>
      </c>
      <c r="Y33" s="152">
        <v>2968.9721982354567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45.798651396277805</v>
      </c>
      <c r="C3" s="125">
        <f t="shared" si="0"/>
        <v>48.499439659905086</v>
      </c>
      <c r="D3" s="125">
        <f t="shared" si="0"/>
        <v>52.721738342130287</v>
      </c>
      <c r="E3" s="125">
        <f t="shared" si="0"/>
        <v>58.984261279735563</v>
      </c>
      <c r="F3" s="125">
        <f t="shared" si="0"/>
        <v>59.670970423296964</v>
      </c>
      <c r="G3" s="125">
        <f t="shared" si="0"/>
        <v>66.047087856359269</v>
      </c>
      <c r="H3" s="125">
        <f t="shared" si="0"/>
        <v>56.975252130351734</v>
      </c>
      <c r="I3" s="125">
        <f t="shared" si="0"/>
        <v>59.27399981914435</v>
      </c>
      <c r="J3" s="125">
        <f t="shared" si="0"/>
        <v>57.316380082491008</v>
      </c>
      <c r="K3" s="125">
        <f t="shared" si="0"/>
        <v>51.26329147287926</v>
      </c>
      <c r="L3" s="125">
        <f t="shared" si="0"/>
        <v>73.797331475834582</v>
      </c>
      <c r="M3" s="125">
        <f t="shared" si="0"/>
        <v>70.391501229295841</v>
      </c>
      <c r="N3" s="125">
        <f t="shared" si="0"/>
        <v>82.186427930475546</v>
      </c>
      <c r="O3" s="125">
        <f t="shared" si="0"/>
        <v>85.743585291355544</v>
      </c>
      <c r="P3" s="125">
        <f t="shared" si="0"/>
        <v>91.08712225614677</v>
      </c>
      <c r="Q3" s="125">
        <f t="shared" si="0"/>
        <v>101.31230038520857</v>
      </c>
      <c r="R3" s="125">
        <f t="shared" ref="R3:W3" si="1">SUM(R4,R16,R19,R29)</f>
        <v>97.93543657261398</v>
      </c>
      <c r="S3" s="125">
        <f t="shared" si="1"/>
        <v>102.80734836118167</v>
      </c>
      <c r="T3" s="125">
        <f t="shared" si="1"/>
        <v>93.335277841498851</v>
      </c>
      <c r="U3" s="125">
        <f t="shared" si="1"/>
        <v>95.489699048417094</v>
      </c>
      <c r="V3" s="125">
        <f t="shared" si="1"/>
        <v>79.643285245184188</v>
      </c>
      <c r="W3" s="125">
        <f t="shared" si="1"/>
        <v>84.778508336876442</v>
      </c>
      <c r="X3" s="125">
        <f t="shared" ref="X3:Y3" si="2">SUM(X4,X16,X19,X29)</f>
        <v>99.056657793195683</v>
      </c>
      <c r="Y3" s="125">
        <f t="shared" si="2"/>
        <v>97.814776673742543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20.686412817019139</v>
      </c>
      <c r="C4" s="130">
        <f t="shared" si="3"/>
        <v>22.186930740880804</v>
      </c>
      <c r="D4" s="130">
        <f t="shared" si="3"/>
        <v>26.30015530399244</v>
      </c>
      <c r="E4" s="130">
        <f t="shared" si="3"/>
        <v>30.018446720160387</v>
      </c>
      <c r="F4" s="130">
        <f t="shared" si="3"/>
        <v>32.778428949976352</v>
      </c>
      <c r="G4" s="130">
        <f t="shared" si="3"/>
        <v>38.809966614157098</v>
      </c>
      <c r="H4" s="130">
        <f t="shared" si="3"/>
        <v>27.65295156802517</v>
      </c>
      <c r="I4" s="130">
        <f t="shared" si="3"/>
        <v>29.184248855128846</v>
      </c>
      <c r="J4" s="130">
        <f t="shared" si="3"/>
        <v>26.836594518230012</v>
      </c>
      <c r="K4" s="130">
        <f t="shared" si="3"/>
        <v>19.649825881111163</v>
      </c>
      <c r="L4" s="130">
        <f t="shared" si="3"/>
        <v>42.385691027925482</v>
      </c>
      <c r="M4" s="130">
        <f t="shared" si="3"/>
        <v>37.813207158667581</v>
      </c>
      <c r="N4" s="130">
        <f t="shared" si="3"/>
        <v>46.388418477131061</v>
      </c>
      <c r="O4" s="130">
        <f t="shared" si="3"/>
        <v>51.237624436912924</v>
      </c>
      <c r="P4" s="130">
        <f t="shared" si="3"/>
        <v>55.518306859010821</v>
      </c>
      <c r="Q4" s="130">
        <f t="shared" si="3"/>
        <v>64.497756283252173</v>
      </c>
      <c r="R4" s="130">
        <f t="shared" ref="R4:W4" si="4">SUM(R5:R15)</f>
        <v>61.457779418394509</v>
      </c>
      <c r="S4" s="130">
        <f t="shared" si="4"/>
        <v>64.853941746784471</v>
      </c>
      <c r="T4" s="130">
        <f t="shared" si="4"/>
        <v>54.743013032617391</v>
      </c>
      <c r="U4" s="130">
        <f t="shared" si="4"/>
        <v>54.185119640303455</v>
      </c>
      <c r="V4" s="130">
        <f t="shared" si="4"/>
        <v>42.090361423154953</v>
      </c>
      <c r="W4" s="130">
        <f t="shared" si="4"/>
        <v>44.257129650075967</v>
      </c>
      <c r="X4" s="130">
        <f t="shared" ref="X4:Y4" si="5">SUM(X5:X15)</f>
        <v>56.829781518102649</v>
      </c>
      <c r="Y4" s="130">
        <f t="shared" si="5"/>
        <v>54.575954144095647</v>
      </c>
      <c r="DA4" s="155" t="s">
        <v>214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275</v>
      </c>
    </row>
    <row r="6" spans="1:105" ht="12" customHeight="1" x14ac:dyDescent="0.25">
      <c r="A6" s="131" t="s">
        <v>52</v>
      </c>
      <c r="B6" s="132">
        <v>1.5850478790013123</v>
      </c>
      <c r="C6" s="132">
        <v>1.598975224044473</v>
      </c>
      <c r="D6" s="132">
        <v>1.5949921774429825</v>
      </c>
      <c r="E6" s="132">
        <v>1.732096147980827</v>
      </c>
      <c r="F6" s="132">
        <v>1.8250734009976353</v>
      </c>
      <c r="G6" s="132">
        <v>1.5959022798851663</v>
      </c>
      <c r="H6" s="132">
        <v>1.8611164284741395</v>
      </c>
      <c r="I6" s="132">
        <v>2.0679507094454763</v>
      </c>
      <c r="J6" s="132">
        <v>1.1025650442329218</v>
      </c>
      <c r="K6" s="132">
        <v>0.5869327082991207</v>
      </c>
      <c r="L6" s="132">
        <v>2.7537695855970643</v>
      </c>
      <c r="M6" s="132">
        <v>2.1712601291029987</v>
      </c>
      <c r="N6" s="132">
        <v>2.6130631583168662</v>
      </c>
      <c r="O6" s="132">
        <v>1.8344893423648121</v>
      </c>
      <c r="P6" s="132">
        <v>1.9091778752965849</v>
      </c>
      <c r="Q6" s="132">
        <v>2.3136956495323857</v>
      </c>
      <c r="R6" s="132">
        <v>1.9793176746125389</v>
      </c>
      <c r="S6" s="132">
        <v>2.3143983179508689</v>
      </c>
      <c r="T6" s="132">
        <v>3.0549097973066681</v>
      </c>
      <c r="U6" s="132">
        <v>3.0802763680685983</v>
      </c>
      <c r="V6" s="132">
        <v>2.371528616756394</v>
      </c>
      <c r="W6" s="132">
        <v>2.7415379278173737</v>
      </c>
      <c r="X6" s="132">
        <v>2.9437457483183365</v>
      </c>
      <c r="Y6" s="132">
        <v>2.2415376459739362</v>
      </c>
      <c r="DA6" s="156" t="s">
        <v>276</v>
      </c>
    </row>
    <row r="7" spans="1:105" ht="12" customHeight="1" x14ac:dyDescent="0.25">
      <c r="A7" s="131" t="s">
        <v>161</v>
      </c>
      <c r="B7" s="132">
        <v>13.115640484196518</v>
      </c>
      <c r="C7" s="132">
        <v>13.115640484196518</v>
      </c>
      <c r="D7" s="132">
        <v>15.20514103555403</v>
      </c>
      <c r="E7" s="132">
        <v>18.343576117239316</v>
      </c>
      <c r="F7" s="132">
        <v>19.389749805975356</v>
      </c>
      <c r="G7" s="132">
        <v>15.688873510985516</v>
      </c>
      <c r="H7" s="132">
        <v>12.663592293811471</v>
      </c>
      <c r="I7" s="132">
        <v>14.55890244885965</v>
      </c>
      <c r="J7" s="132">
        <v>14.555337779624024</v>
      </c>
      <c r="K7" s="132">
        <v>9.8275665462391615</v>
      </c>
      <c r="L7" s="132">
        <v>15.634959447723762</v>
      </c>
      <c r="M7" s="132">
        <v>8.9569248048355661</v>
      </c>
      <c r="N7" s="132">
        <v>15.930316283493321</v>
      </c>
      <c r="O7" s="132">
        <v>20.919312032051714</v>
      </c>
      <c r="P7" s="132">
        <v>22.977779740071139</v>
      </c>
      <c r="Q7" s="132">
        <v>28.035665261107425</v>
      </c>
      <c r="R7" s="132">
        <v>26.191795217285254</v>
      </c>
      <c r="S7" s="132">
        <v>22.349785038693021</v>
      </c>
      <c r="T7" s="132">
        <v>12.012639724849517</v>
      </c>
      <c r="U7" s="132">
        <v>11.485640584694753</v>
      </c>
      <c r="V7" s="132">
        <v>9.7052450558899324</v>
      </c>
      <c r="W7" s="132">
        <v>10.262596732588127</v>
      </c>
      <c r="X7" s="132">
        <v>12.669819432502145</v>
      </c>
      <c r="Y7" s="132">
        <v>9.9178847807394579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278</v>
      </c>
    </row>
    <row r="9" spans="1:105" ht="12" customHeight="1" x14ac:dyDescent="0.25">
      <c r="A9" s="131" t="s">
        <v>78</v>
      </c>
      <c r="B9" s="132">
        <v>0</v>
      </c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0.76431642304385206</v>
      </c>
      <c r="N9" s="132">
        <v>1.050902837489252</v>
      </c>
      <c r="O9" s="132">
        <v>0.76431642304385206</v>
      </c>
      <c r="P9" s="132">
        <v>0.83594153052450537</v>
      </c>
      <c r="Q9" s="132">
        <v>0.74041272570937244</v>
      </c>
      <c r="R9" s="132">
        <v>0.90765262252794476</v>
      </c>
      <c r="S9" s="132">
        <v>0.74041272570937255</v>
      </c>
      <c r="T9" s="132">
        <v>0.63731728288908052</v>
      </c>
      <c r="U9" s="132">
        <v>1.0239036973344806</v>
      </c>
      <c r="V9" s="132">
        <v>0.7837489251934654</v>
      </c>
      <c r="W9" s="132">
        <v>0.5952708512467757</v>
      </c>
      <c r="X9" s="132">
        <v>0.99183147033533958</v>
      </c>
      <c r="Y9" s="132">
        <v>1.0768701633705924</v>
      </c>
      <c r="DA9" s="156" t="s">
        <v>279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0.11562367124010796</v>
      </c>
      <c r="N12" s="132">
        <v>0.18758717190822866</v>
      </c>
      <c r="O12" s="132">
        <v>1.9992610698341531E-2</v>
      </c>
      <c r="P12" s="132">
        <v>2.0474360109694011E-2</v>
      </c>
      <c r="Q12" s="132">
        <v>0.13979452144308899</v>
      </c>
      <c r="R12" s="132">
        <v>6.8637925713409167E-2</v>
      </c>
      <c r="S12" s="132">
        <v>9.1464612180737394E-3</v>
      </c>
      <c r="T12" s="132">
        <v>8.5872159211079196E-3</v>
      </c>
      <c r="U12" s="132">
        <v>1.9626298582221376E-2</v>
      </c>
      <c r="V12" s="132">
        <v>0</v>
      </c>
      <c r="W12" s="132">
        <v>0</v>
      </c>
      <c r="X12" s="132">
        <v>0</v>
      </c>
      <c r="Y12" s="132">
        <v>0</v>
      </c>
      <c r="DA12" s="156" t="s">
        <v>282</v>
      </c>
    </row>
    <row r="13" spans="1:105" ht="12" customHeight="1" x14ac:dyDescent="0.25">
      <c r="A13" s="131" t="s">
        <v>77</v>
      </c>
      <c r="B13" s="132">
        <v>2.5935179863159196E-2</v>
      </c>
      <c r="C13" s="132">
        <v>5.0990116509081404E-2</v>
      </c>
      <c r="D13" s="132">
        <v>8.0167219797153882E-2</v>
      </c>
      <c r="E13" s="132">
        <v>0.12251419456832462</v>
      </c>
      <c r="F13" s="132">
        <v>0.14149934859870164</v>
      </c>
      <c r="G13" s="132">
        <v>0.20592914143602106</v>
      </c>
      <c r="H13" s="132">
        <v>0.25298565367289289</v>
      </c>
      <c r="I13" s="132">
        <v>0.38254877960369377</v>
      </c>
      <c r="J13" s="132">
        <v>0.5696963720930136</v>
      </c>
      <c r="K13" s="132">
        <v>0.68989667868929438</v>
      </c>
      <c r="L13" s="132">
        <v>0.7263527683390697</v>
      </c>
      <c r="M13" s="132">
        <v>0.88654083110810988</v>
      </c>
      <c r="N13" s="132">
        <v>1.0452624652356013</v>
      </c>
      <c r="O13" s="132">
        <v>1.1576296035183427</v>
      </c>
      <c r="P13" s="132">
        <v>1.4684293991625812</v>
      </c>
      <c r="Q13" s="132">
        <v>1.7877398775584243</v>
      </c>
      <c r="R13" s="132">
        <v>1.8874482984791592</v>
      </c>
      <c r="S13" s="132">
        <v>1.9874153575637075</v>
      </c>
      <c r="T13" s="132">
        <v>2.0224820391330343</v>
      </c>
      <c r="U13" s="132">
        <v>1.9726818732932023</v>
      </c>
      <c r="V13" s="132">
        <v>2.2551971826230641</v>
      </c>
      <c r="W13" s="132">
        <v>2.7333402679032592</v>
      </c>
      <c r="X13" s="132">
        <v>3.053282307593888</v>
      </c>
      <c r="Y13" s="132">
        <v>3.330590029106375</v>
      </c>
      <c r="DA13" s="156" t="s">
        <v>283</v>
      </c>
    </row>
    <row r="14" spans="1:105" ht="12" customHeight="1" x14ac:dyDescent="0.25">
      <c r="A14" s="60" t="s">
        <v>76</v>
      </c>
      <c r="B14" s="65">
        <v>5.7982680771352406</v>
      </c>
      <c r="C14" s="65">
        <v>7.261541042361606</v>
      </c>
      <c r="D14" s="65">
        <v>9.2395168348483452</v>
      </c>
      <c r="E14" s="65">
        <v>9.6075231906660026</v>
      </c>
      <c r="F14" s="65">
        <v>11.200569124874059</v>
      </c>
      <c r="G14" s="65">
        <v>21.140984418343844</v>
      </c>
      <c r="H14" s="65">
        <v>12.725595176691956</v>
      </c>
      <c r="I14" s="65">
        <v>12.003377511238552</v>
      </c>
      <c r="J14" s="65">
        <v>10.446948445971003</v>
      </c>
      <c r="K14" s="65">
        <v>8.438248237239236</v>
      </c>
      <c r="L14" s="65">
        <v>23.081382801615785</v>
      </c>
      <c r="M14" s="65">
        <v>24.792420304506695</v>
      </c>
      <c r="N14" s="65">
        <v>25.35084096043715</v>
      </c>
      <c r="O14" s="65">
        <v>26.28789550910674</v>
      </c>
      <c r="P14" s="65">
        <v>28.027125220698942</v>
      </c>
      <c r="Q14" s="65">
        <v>31.141344187780824</v>
      </c>
      <c r="R14" s="65">
        <v>30.105207773420808</v>
      </c>
      <c r="S14" s="65">
        <v>37.175083738470235</v>
      </c>
      <c r="T14" s="65">
        <v>36.833763001637529</v>
      </c>
      <c r="U14" s="65">
        <v>36.429243666610446</v>
      </c>
      <c r="V14" s="65">
        <v>26.831215138368666</v>
      </c>
      <c r="W14" s="65">
        <v>27.771017798228076</v>
      </c>
      <c r="X14" s="65">
        <v>36.980294092186135</v>
      </c>
      <c r="Y14" s="65">
        <v>37.854187403723728</v>
      </c>
      <c r="DA14" s="109" t="s">
        <v>284</v>
      </c>
    </row>
    <row r="15" spans="1:105" ht="12" customHeight="1" x14ac:dyDescent="0.25">
      <c r="A15" s="133" t="s">
        <v>80</v>
      </c>
      <c r="B15" s="134">
        <v>0.16152119682290972</v>
      </c>
      <c r="C15" s="134">
        <v>0.15978387376912659</v>
      </c>
      <c r="D15" s="134">
        <v>0.18033803634992859</v>
      </c>
      <c r="E15" s="134">
        <v>0.21273706970592077</v>
      </c>
      <c r="F15" s="134">
        <v>0.22153726953059819</v>
      </c>
      <c r="G15" s="134">
        <v>0.1782772635065486</v>
      </c>
      <c r="H15" s="134">
        <v>0.1496620153747113</v>
      </c>
      <c r="I15" s="134">
        <v>0.17146940598147187</v>
      </c>
      <c r="J15" s="134">
        <v>0.16204687630905018</v>
      </c>
      <c r="K15" s="134">
        <v>0.10718171064435282</v>
      </c>
      <c r="L15" s="134">
        <v>0.18922642464979902</v>
      </c>
      <c r="M15" s="134">
        <v>0.12612099483025366</v>
      </c>
      <c r="N15" s="134">
        <v>0.21044560025064429</v>
      </c>
      <c r="O15" s="134">
        <v>0.25398891612912494</v>
      </c>
      <c r="P15" s="134">
        <v>0.27937873314737438</v>
      </c>
      <c r="Q15" s="134">
        <v>0.33910406012064465</v>
      </c>
      <c r="R15" s="134">
        <v>0.31771990635539454</v>
      </c>
      <c r="S15" s="134">
        <v>0.27770010717918725</v>
      </c>
      <c r="T15" s="134">
        <v>0.17331397088045714</v>
      </c>
      <c r="U15" s="134">
        <v>0.17374715171975363</v>
      </c>
      <c r="V15" s="134">
        <v>0.14342650432342591</v>
      </c>
      <c r="W15" s="134">
        <v>0.15336607229235744</v>
      </c>
      <c r="X15" s="134">
        <v>0.19080846716680661</v>
      </c>
      <c r="Y15" s="134">
        <v>0.15488412118155101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3.9836346396839355</v>
      </c>
      <c r="C16" s="130">
        <f t="shared" si="6"/>
        <v>4.6836648702125876</v>
      </c>
      <c r="D16" s="130">
        <f t="shared" si="6"/>
        <v>3.7153288741594617</v>
      </c>
      <c r="E16" s="130">
        <f t="shared" si="6"/>
        <v>5.6453532485393998</v>
      </c>
      <c r="F16" s="130">
        <f t="shared" si="6"/>
        <v>2.9379250563115886</v>
      </c>
      <c r="G16" s="130">
        <f t="shared" si="6"/>
        <v>2.9546364533044702</v>
      </c>
      <c r="H16" s="130">
        <f t="shared" si="6"/>
        <v>4.076332419766258</v>
      </c>
      <c r="I16" s="130">
        <f t="shared" si="6"/>
        <v>4.2380454080335879</v>
      </c>
      <c r="J16" s="130">
        <f t="shared" si="6"/>
        <v>3.6827758757808686</v>
      </c>
      <c r="K16" s="130">
        <f t="shared" si="6"/>
        <v>4.0231676698537937</v>
      </c>
      <c r="L16" s="130">
        <f t="shared" si="6"/>
        <v>3.3412465978857258</v>
      </c>
      <c r="M16" s="130">
        <f t="shared" si="6"/>
        <v>3.6570043285760816</v>
      </c>
      <c r="N16" s="130">
        <f t="shared" si="6"/>
        <v>6.5252086460998093</v>
      </c>
      <c r="O16" s="130">
        <f t="shared" si="6"/>
        <v>4.6648772650699071</v>
      </c>
      <c r="P16" s="130">
        <f t="shared" si="6"/>
        <v>4.8873747920889468</v>
      </c>
      <c r="Q16" s="130">
        <f t="shared" si="6"/>
        <v>5.3057792021241044</v>
      </c>
      <c r="R16" s="130">
        <f t="shared" ref="R16:W16" si="7">SUM(R17:R18)</f>
        <v>4.4395314535984332</v>
      </c>
      <c r="S16" s="130">
        <f t="shared" si="7"/>
        <v>5.33094202887533</v>
      </c>
      <c r="T16" s="130">
        <f t="shared" si="7"/>
        <v>4.8596073811740075</v>
      </c>
      <c r="U16" s="130">
        <f t="shared" si="7"/>
        <v>6.8642009698926545</v>
      </c>
      <c r="V16" s="130">
        <f t="shared" si="7"/>
        <v>5.3897590987996331</v>
      </c>
      <c r="W16" s="130">
        <f t="shared" si="7"/>
        <v>6.9817879993326812</v>
      </c>
      <c r="X16" s="130">
        <f t="shared" ref="X16:Y16" si="8">SUM(X17:X18)</f>
        <v>7.6323969363503528</v>
      </c>
      <c r="Y16" s="130">
        <f t="shared" si="8"/>
        <v>7.0313520403693897</v>
      </c>
      <c r="DA16" s="155" t="s">
        <v>215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286</v>
      </c>
    </row>
    <row r="18" spans="1:105" ht="12" customHeight="1" x14ac:dyDescent="0.25">
      <c r="A18" s="131" t="s">
        <v>72</v>
      </c>
      <c r="B18" s="132">
        <v>3.9836346396839355</v>
      </c>
      <c r="C18" s="132">
        <v>4.6836648702125876</v>
      </c>
      <c r="D18" s="132">
        <v>3.7153288741594617</v>
      </c>
      <c r="E18" s="132">
        <v>5.6453532485393998</v>
      </c>
      <c r="F18" s="132">
        <v>2.9379250563115886</v>
      </c>
      <c r="G18" s="132">
        <v>2.9546364533044702</v>
      </c>
      <c r="H18" s="132">
        <v>4.076332419766258</v>
      </c>
      <c r="I18" s="132">
        <v>4.2380454080335879</v>
      </c>
      <c r="J18" s="132">
        <v>3.6827758757808686</v>
      </c>
      <c r="K18" s="132">
        <v>4.0231676698537937</v>
      </c>
      <c r="L18" s="132">
        <v>3.3412465978857258</v>
      </c>
      <c r="M18" s="132">
        <v>3.6570043285760816</v>
      </c>
      <c r="N18" s="132">
        <v>6.5252086460998093</v>
      </c>
      <c r="O18" s="132">
        <v>4.6648772650699071</v>
      </c>
      <c r="P18" s="132">
        <v>4.8873747920889468</v>
      </c>
      <c r="Q18" s="132">
        <v>5.3057792021241044</v>
      </c>
      <c r="R18" s="132">
        <v>4.4395314535984332</v>
      </c>
      <c r="S18" s="132">
        <v>5.33094202887533</v>
      </c>
      <c r="T18" s="132">
        <v>4.8596073811740075</v>
      </c>
      <c r="U18" s="132">
        <v>6.8642009698926545</v>
      </c>
      <c r="V18" s="132">
        <v>5.3897590987996331</v>
      </c>
      <c r="W18" s="132">
        <v>6.9817879993326812</v>
      </c>
      <c r="X18" s="132">
        <v>7.6323969363503528</v>
      </c>
      <c r="Y18" s="132">
        <v>7.0313520403693897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10.016346150522867</v>
      </c>
      <c r="C19" s="130">
        <f t="shared" si="9"/>
        <v>10.027414768442085</v>
      </c>
      <c r="D19" s="130">
        <f t="shared" si="9"/>
        <v>10.493674933283407</v>
      </c>
      <c r="E19" s="130">
        <f t="shared" si="9"/>
        <v>10.653515764346553</v>
      </c>
      <c r="F19" s="130">
        <f t="shared" si="9"/>
        <v>10.951241109217886</v>
      </c>
      <c r="G19" s="130">
        <f t="shared" si="9"/>
        <v>11.153676148968616</v>
      </c>
      <c r="H19" s="130">
        <f t="shared" si="9"/>
        <v>11.60986903346768</v>
      </c>
      <c r="I19" s="130">
        <f t="shared" si="9"/>
        <v>11.861369585720771</v>
      </c>
      <c r="J19" s="130">
        <f t="shared" si="9"/>
        <v>12.167615337081997</v>
      </c>
      <c r="K19" s="130">
        <f t="shared" si="9"/>
        <v>12.311189500028723</v>
      </c>
      <c r="L19" s="130">
        <f t="shared" si="9"/>
        <v>12.662044401114875</v>
      </c>
      <c r="M19" s="130">
        <f t="shared" si="9"/>
        <v>13.004592667817898</v>
      </c>
      <c r="N19" s="130">
        <f t="shared" si="9"/>
        <v>13.071024437500308</v>
      </c>
      <c r="O19" s="130">
        <f t="shared" si="9"/>
        <v>13.409845101185555</v>
      </c>
      <c r="P19" s="130">
        <f t="shared" si="9"/>
        <v>13.652972248484318</v>
      </c>
      <c r="Q19" s="130">
        <f t="shared" si="9"/>
        <v>13.852575555040989</v>
      </c>
      <c r="R19" s="130">
        <f t="shared" ref="R19:W19" si="10">SUM(R20:R27)</f>
        <v>14.081931681805145</v>
      </c>
      <c r="S19" s="130">
        <f t="shared" si="10"/>
        <v>14.189931838816813</v>
      </c>
      <c r="T19" s="130">
        <f t="shared" si="10"/>
        <v>14.367736766150269</v>
      </c>
      <c r="U19" s="130">
        <f t="shared" si="10"/>
        <v>14.543617353577051</v>
      </c>
      <c r="V19" s="130">
        <f t="shared" si="10"/>
        <v>14.009497721410709</v>
      </c>
      <c r="W19" s="130">
        <f t="shared" si="10"/>
        <v>14.421943045001429</v>
      </c>
      <c r="X19" s="130">
        <f t="shared" ref="X19:Y19" si="11">SUM(X20:X27)</f>
        <v>14.554324133338509</v>
      </c>
      <c r="Y19" s="130">
        <f t="shared" si="11"/>
        <v>15.087022758360009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0.78708324525771267</v>
      </c>
      <c r="C21" s="132">
        <v>0.79399911201455908</v>
      </c>
      <c r="D21" s="132">
        <v>0.79202126056499378</v>
      </c>
      <c r="E21" s="132">
        <v>0.68566907806473065</v>
      </c>
      <c r="F21" s="132">
        <v>0.64053857931422487</v>
      </c>
      <c r="G21" s="132">
        <v>0.7051944960955332</v>
      </c>
      <c r="H21" s="132">
        <v>1.7909835754024039</v>
      </c>
      <c r="I21" s="132">
        <v>2.2473945434500315</v>
      </c>
      <c r="J21" s="132">
        <v>2.1170948556824927</v>
      </c>
      <c r="K21" s="132">
        <v>1.9659021558064462</v>
      </c>
      <c r="L21" s="132">
        <v>0.96000458316094806</v>
      </c>
      <c r="M21" s="132">
        <v>0.89176685583375237</v>
      </c>
      <c r="N21" s="132">
        <v>0.65000944308420627</v>
      </c>
      <c r="O21" s="132">
        <v>0.36266588438968228</v>
      </c>
      <c r="P21" s="132">
        <v>0.28759810997169249</v>
      </c>
      <c r="Q21" s="132">
        <v>0.24787104551275099</v>
      </c>
      <c r="R21" s="132">
        <v>0.2099091288288632</v>
      </c>
      <c r="S21" s="132">
        <v>0.25601809664728309</v>
      </c>
      <c r="T21" s="132">
        <v>0.34233465043456257</v>
      </c>
      <c r="U21" s="132">
        <v>0.34460831317243207</v>
      </c>
      <c r="V21" s="132">
        <v>0.2642427759525463</v>
      </c>
      <c r="W21" s="132">
        <v>0.28838239049711423</v>
      </c>
      <c r="X21" s="132">
        <v>0.35744337310215396</v>
      </c>
      <c r="Y21" s="132">
        <v>0.24972066035732282</v>
      </c>
      <c r="DA21" s="156" t="s">
        <v>289</v>
      </c>
    </row>
    <row r="22" spans="1:105" ht="12" customHeight="1" x14ac:dyDescent="0.25">
      <c r="A22" s="131" t="s">
        <v>161</v>
      </c>
      <c r="B22" s="132">
        <v>0</v>
      </c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290</v>
      </c>
    </row>
    <row r="23" spans="1:105" ht="12" customHeight="1" x14ac:dyDescent="0.25">
      <c r="A23" s="131" t="s">
        <v>149</v>
      </c>
      <c r="B23" s="132">
        <v>0</v>
      </c>
      <c r="C23" s="132">
        <v>0</v>
      </c>
      <c r="D23" s="132">
        <v>0</v>
      </c>
      <c r="E23" s="132">
        <v>0</v>
      </c>
      <c r="F23" s="132">
        <v>0</v>
      </c>
      <c r="G23" s="132">
        <v>0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32">
        <v>0</v>
      </c>
      <c r="Y23" s="132">
        <v>0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3.8088309095051396E-3</v>
      </c>
      <c r="N25" s="132">
        <v>3.4704377220378642E-3</v>
      </c>
      <c r="O25" s="132">
        <v>3.9110866361382586E-3</v>
      </c>
      <c r="P25" s="132">
        <v>3.4293372247857831E-3</v>
      </c>
      <c r="Q25" s="132">
        <v>3.5416780410038313E-3</v>
      </c>
      <c r="R25" s="132">
        <v>2.9871817672443104E-3</v>
      </c>
      <c r="S25" s="132">
        <v>1.4859227754486137E-3</v>
      </c>
      <c r="T25" s="132">
        <v>1.3869887220563063E-3</v>
      </c>
      <c r="U25" s="132">
        <v>1.4399095003237643E-3</v>
      </c>
      <c r="V25" s="132">
        <v>0</v>
      </c>
      <c r="W25" s="132">
        <v>0</v>
      </c>
      <c r="X25" s="132">
        <v>0</v>
      </c>
      <c r="Y25" s="132">
        <v>0</v>
      </c>
      <c r="DA25" s="156" t="s">
        <v>293</v>
      </c>
    </row>
    <row r="26" spans="1:105" ht="12" customHeight="1" x14ac:dyDescent="0.25">
      <c r="A26" s="131" t="s">
        <v>24</v>
      </c>
      <c r="B26" s="65">
        <v>9.2292629052651556</v>
      </c>
      <c r="C26" s="65">
        <v>9.2334156564275265</v>
      </c>
      <c r="D26" s="65">
        <v>9.7016536727184128</v>
      </c>
      <c r="E26" s="65">
        <v>9.9678466862818222</v>
      </c>
      <c r="F26" s="65">
        <v>10.310702529903661</v>
      </c>
      <c r="G26" s="65">
        <v>10.448481652873083</v>
      </c>
      <c r="H26" s="65">
        <v>9.8188854580652762</v>
      </c>
      <c r="I26" s="65">
        <v>9.6139750422707397</v>
      </c>
      <c r="J26" s="65">
        <v>10.050520481399506</v>
      </c>
      <c r="K26" s="65">
        <v>10.345287344222276</v>
      </c>
      <c r="L26" s="65">
        <v>11.702039817953926</v>
      </c>
      <c r="M26" s="65">
        <v>12.109016981074641</v>
      </c>
      <c r="N26" s="65">
        <v>12.417544556694063</v>
      </c>
      <c r="O26" s="65">
        <v>13.043268130159735</v>
      </c>
      <c r="P26" s="65">
        <v>13.361944801287839</v>
      </c>
      <c r="Q26" s="65">
        <v>13.601162831487235</v>
      </c>
      <c r="R26" s="65">
        <v>13.869035371209037</v>
      </c>
      <c r="S26" s="65">
        <v>13.932427819394082</v>
      </c>
      <c r="T26" s="65">
        <v>14.02401512699365</v>
      </c>
      <c r="U26" s="65">
        <v>14.197569130904295</v>
      </c>
      <c r="V26" s="65">
        <v>13.745254945458163</v>
      </c>
      <c r="W26" s="65">
        <v>14.133560654504315</v>
      </c>
      <c r="X26" s="65">
        <v>14.196880760236356</v>
      </c>
      <c r="Y26" s="65">
        <v>14.837302098002686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11.112257789051865</v>
      </c>
      <c r="C29" s="130">
        <f t="shared" si="12"/>
        <v>11.60142928036961</v>
      </c>
      <c r="D29" s="130">
        <f t="shared" si="12"/>
        <v>12.212579230694978</v>
      </c>
      <c r="E29" s="130">
        <f t="shared" si="12"/>
        <v>12.666945546689226</v>
      </c>
      <c r="F29" s="130">
        <f t="shared" si="12"/>
        <v>13.003375307791128</v>
      </c>
      <c r="G29" s="130">
        <f t="shared" si="12"/>
        <v>13.128808639929083</v>
      </c>
      <c r="H29" s="130">
        <f t="shared" si="12"/>
        <v>13.63609910909263</v>
      </c>
      <c r="I29" s="130">
        <f t="shared" si="12"/>
        <v>13.990335970261139</v>
      </c>
      <c r="J29" s="130">
        <f t="shared" si="12"/>
        <v>14.629394351398131</v>
      </c>
      <c r="K29" s="130">
        <f t="shared" si="12"/>
        <v>15.27910842188558</v>
      </c>
      <c r="L29" s="130">
        <f t="shared" si="12"/>
        <v>15.40834944890849</v>
      </c>
      <c r="M29" s="130">
        <f t="shared" si="12"/>
        <v>15.916697074234285</v>
      </c>
      <c r="N29" s="130">
        <f t="shared" si="12"/>
        <v>16.201776369744366</v>
      </c>
      <c r="O29" s="130">
        <f t="shared" si="12"/>
        <v>16.431238488187166</v>
      </c>
      <c r="P29" s="130">
        <f t="shared" si="12"/>
        <v>17.028468356562684</v>
      </c>
      <c r="Q29" s="130">
        <f t="shared" si="12"/>
        <v>17.656189344791322</v>
      </c>
      <c r="R29" s="130">
        <f t="shared" ref="R29:W29" si="13">SUM(R30:R33)</f>
        <v>17.956194018815889</v>
      </c>
      <c r="S29" s="130">
        <f t="shared" si="13"/>
        <v>18.43253274670505</v>
      </c>
      <c r="T29" s="130">
        <f t="shared" si="13"/>
        <v>19.364920661557171</v>
      </c>
      <c r="U29" s="130">
        <f t="shared" si="13"/>
        <v>19.896761084643931</v>
      </c>
      <c r="V29" s="130">
        <f t="shared" si="13"/>
        <v>18.153667001818892</v>
      </c>
      <c r="W29" s="130">
        <f t="shared" si="13"/>
        <v>19.117647642466363</v>
      </c>
      <c r="X29" s="130">
        <f t="shared" ref="X29:Y29" si="14">SUM(X30:X33)</f>
        <v>20.040155205404179</v>
      </c>
      <c r="Y29" s="130">
        <f t="shared" si="14"/>
        <v>21.120447730917494</v>
      </c>
      <c r="DA29" s="155" t="s">
        <v>217</v>
      </c>
    </row>
    <row r="30" spans="1:105" ht="12" customHeight="1" x14ac:dyDescent="0.25">
      <c r="A30" s="131" t="s">
        <v>52</v>
      </c>
      <c r="B30" s="132">
        <v>0.81769822744541354</v>
      </c>
      <c r="C30" s="132">
        <v>0.79685501564540628</v>
      </c>
      <c r="D30" s="132">
        <v>1.002182144880851</v>
      </c>
      <c r="E30" s="132">
        <v>0.97143035684326928</v>
      </c>
      <c r="F30" s="132">
        <v>0.92358360257696626</v>
      </c>
      <c r="G30" s="132">
        <v>0.99494793597114783</v>
      </c>
      <c r="H30" s="132">
        <v>1.8413651723917275</v>
      </c>
      <c r="I30" s="132">
        <v>2.276830155530976</v>
      </c>
      <c r="J30" s="132">
        <v>3.3725155085110678</v>
      </c>
      <c r="K30" s="132">
        <v>5.1379647919563407</v>
      </c>
      <c r="L30" s="132">
        <v>3.9770254873038975</v>
      </c>
      <c r="M30" s="132">
        <v>4.6277726711251601</v>
      </c>
      <c r="N30" s="132">
        <v>4.4277270546608332</v>
      </c>
      <c r="O30" s="132">
        <v>4.3950201816719874</v>
      </c>
      <c r="P30" s="132">
        <v>4.3953994231582039</v>
      </c>
      <c r="Q30" s="132">
        <v>5.1292329610167711</v>
      </c>
      <c r="R30" s="132">
        <v>4.4029486049850846</v>
      </c>
      <c r="S30" s="132">
        <v>5.4489301030286823</v>
      </c>
      <c r="T30" s="132">
        <v>7.1183187508830166</v>
      </c>
      <c r="U30" s="132">
        <v>7.5213749920177815</v>
      </c>
      <c r="V30" s="132">
        <v>5.0342200088387825</v>
      </c>
      <c r="W30" s="132">
        <v>5.5387813153914518</v>
      </c>
      <c r="X30" s="132">
        <v>7.1934798381667813</v>
      </c>
      <c r="Y30" s="132">
        <v>8.3253367065664179</v>
      </c>
      <c r="DA30" s="156" t="s">
        <v>296</v>
      </c>
    </row>
    <row r="31" spans="1:105" ht="12" customHeight="1" x14ac:dyDescent="0.25">
      <c r="A31" s="131" t="s">
        <v>149</v>
      </c>
      <c r="B31" s="132">
        <v>0</v>
      </c>
      <c r="C31" s="132">
        <v>0</v>
      </c>
      <c r="D31" s="132">
        <v>0</v>
      </c>
      <c r="E31" s="132">
        <v>0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10.294559561606452</v>
      </c>
      <c r="C33" s="68">
        <v>10.804574264724204</v>
      </c>
      <c r="D33" s="68">
        <v>11.210397085814126</v>
      </c>
      <c r="E33" s="68">
        <v>11.695515189845956</v>
      </c>
      <c r="F33" s="68">
        <v>12.079791705214161</v>
      </c>
      <c r="G33" s="68">
        <v>12.133860703957936</v>
      </c>
      <c r="H33" s="68">
        <v>11.794733936700903</v>
      </c>
      <c r="I33" s="68">
        <v>11.713505814730164</v>
      </c>
      <c r="J33" s="68">
        <v>11.256878842887064</v>
      </c>
      <c r="K33" s="68">
        <v>10.141143629929239</v>
      </c>
      <c r="L33" s="68">
        <v>11.431323961604592</v>
      </c>
      <c r="M33" s="68">
        <v>11.288924403109126</v>
      </c>
      <c r="N33" s="68">
        <v>11.774049315083532</v>
      </c>
      <c r="O33" s="68">
        <v>12.036218306515179</v>
      </c>
      <c r="P33" s="68">
        <v>12.633068933404479</v>
      </c>
      <c r="Q33" s="68">
        <v>12.526956383774552</v>
      </c>
      <c r="R33" s="68">
        <v>13.553245413830805</v>
      </c>
      <c r="S33" s="68">
        <v>12.983602643676369</v>
      </c>
      <c r="T33" s="68">
        <v>12.246601910674157</v>
      </c>
      <c r="U33" s="68">
        <v>12.375386092626149</v>
      </c>
      <c r="V33" s="68">
        <v>13.119446992980111</v>
      </c>
      <c r="W33" s="68">
        <v>13.578866327074911</v>
      </c>
      <c r="X33" s="68">
        <v>12.846675367237397</v>
      </c>
      <c r="Y33" s="68">
        <v>12.795111024351076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31.531169209008922</v>
      </c>
      <c r="C3" s="125">
        <f t="shared" si="0"/>
        <v>34.673255695304888</v>
      </c>
      <c r="D3" s="125">
        <f t="shared" si="0"/>
        <v>36.41980070831697</v>
      </c>
      <c r="E3" s="125">
        <f t="shared" si="0"/>
        <v>43.54849857310024</v>
      </c>
      <c r="F3" s="125">
        <f t="shared" si="0"/>
        <v>40.45846923619014</v>
      </c>
      <c r="G3" s="125">
        <f t="shared" si="0"/>
        <v>45.013008269421732</v>
      </c>
      <c r="H3" s="125">
        <f t="shared" si="0"/>
        <v>42.484616975682925</v>
      </c>
      <c r="I3" s="125">
        <f t="shared" si="0"/>
        <v>45.295248629929937</v>
      </c>
      <c r="J3" s="125">
        <f t="shared" si="0"/>
        <v>44.263516739323514</v>
      </c>
      <c r="K3" s="125">
        <f t="shared" si="0"/>
        <v>41.882650288739889</v>
      </c>
      <c r="L3" s="125">
        <f t="shared" si="0"/>
        <v>54.877541914420192</v>
      </c>
      <c r="M3" s="125">
        <f t="shared" si="0"/>
        <v>54.720374441128925</v>
      </c>
      <c r="N3" s="125">
        <f t="shared" si="0"/>
        <v>71.256265445695476</v>
      </c>
      <c r="O3" s="125">
        <f t="shared" si="0"/>
        <v>69.931403397151499</v>
      </c>
      <c r="P3" s="125">
        <f t="shared" si="0"/>
        <v>75.826530916355082</v>
      </c>
      <c r="Q3" s="125">
        <f t="shared" si="0"/>
        <v>85.723453211398578</v>
      </c>
      <c r="R3" s="125">
        <f t="shared" ref="R3:W3" si="1">SUM(R4,R16,R19,R29)</f>
        <v>82.709644218879561</v>
      </c>
      <c r="S3" s="125">
        <f t="shared" si="1"/>
        <v>90.571901146871895</v>
      </c>
      <c r="T3" s="125">
        <f t="shared" si="1"/>
        <v>84.326873653882942</v>
      </c>
      <c r="U3" s="125">
        <f t="shared" si="1"/>
        <v>94.780133413402979</v>
      </c>
      <c r="V3" s="125">
        <f t="shared" si="1"/>
        <v>81.244320295694877</v>
      </c>
      <c r="W3" s="125">
        <f t="shared" si="1"/>
        <v>93.827091538106998</v>
      </c>
      <c r="X3" s="125">
        <f t="shared" ref="X3:Y3" si="2">SUM(X4,X16,X19,X29)</f>
        <v>108.80453642706405</v>
      </c>
      <c r="Y3" s="125">
        <f t="shared" si="2"/>
        <v>108.01870606231786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11.515779694830407</v>
      </c>
      <c r="C4" s="130">
        <f t="shared" si="3"/>
        <v>12.496130297106751</v>
      </c>
      <c r="D4" s="130">
        <f t="shared" si="3"/>
        <v>14.960270901063813</v>
      </c>
      <c r="E4" s="130">
        <f t="shared" si="3"/>
        <v>17.229822572288022</v>
      </c>
      <c r="F4" s="130">
        <f t="shared" si="3"/>
        <v>18.948315791044696</v>
      </c>
      <c r="G4" s="130">
        <f t="shared" si="3"/>
        <v>22.78846816595037</v>
      </c>
      <c r="H4" s="130">
        <f t="shared" si="3"/>
        <v>16.528426948773348</v>
      </c>
      <c r="I4" s="130">
        <f t="shared" si="3"/>
        <v>17.814099009775997</v>
      </c>
      <c r="J4" s="130">
        <f t="shared" si="3"/>
        <v>16.947179632046279</v>
      </c>
      <c r="K4" s="130">
        <f t="shared" si="3"/>
        <v>12.966074684435482</v>
      </c>
      <c r="L4" s="130">
        <f t="shared" si="3"/>
        <v>27.061702619576298</v>
      </c>
      <c r="M4" s="130">
        <f t="shared" si="3"/>
        <v>24.949850183787724</v>
      </c>
      <c r="N4" s="130">
        <f t="shared" si="3"/>
        <v>31.067278382391663</v>
      </c>
      <c r="O4" s="130">
        <f t="shared" si="3"/>
        <v>34.814160948964272</v>
      </c>
      <c r="P4" s="130">
        <f t="shared" si="3"/>
        <v>38.522522050640909</v>
      </c>
      <c r="Q4" s="130">
        <f t="shared" si="3"/>
        <v>45.480851087263893</v>
      </c>
      <c r="R4" s="130">
        <f t="shared" ref="R4:W4" si="4">SUM(R5:R15)</f>
        <v>44.3001005624497</v>
      </c>
      <c r="S4" s="130">
        <f t="shared" si="4"/>
        <v>47.360053896108965</v>
      </c>
      <c r="T4" s="130">
        <f t="shared" si="4"/>
        <v>41.541358745949395</v>
      </c>
      <c r="U4" s="130">
        <f t="shared" si="4"/>
        <v>41.923767875853009</v>
      </c>
      <c r="V4" s="130">
        <f t="shared" si="4"/>
        <v>35.083260444398931</v>
      </c>
      <c r="W4" s="130">
        <f t="shared" si="4"/>
        <v>38.61900473911048</v>
      </c>
      <c r="X4" s="130">
        <f t="shared" ref="X4:Y4" si="5">SUM(X5:X15)</f>
        <v>49.193506154796523</v>
      </c>
      <c r="Y4" s="130">
        <f t="shared" si="5"/>
        <v>49.34760313770699</v>
      </c>
      <c r="DA4" s="155" t="s">
        <v>302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303</v>
      </c>
    </row>
    <row r="6" spans="1:105" ht="12" customHeight="1" x14ac:dyDescent="0.25">
      <c r="A6" s="131" t="s">
        <v>52</v>
      </c>
      <c r="B6" s="132">
        <v>0.88624978202553573</v>
      </c>
      <c r="C6" s="132">
        <v>0.896921757476424</v>
      </c>
      <c r="D6" s="132">
        <v>0.90057118199005759</v>
      </c>
      <c r="E6" s="132">
        <v>0.983253291978477</v>
      </c>
      <c r="F6" s="132">
        <v>1.0475994774336712</v>
      </c>
      <c r="G6" s="132">
        <v>0.9271294144275869</v>
      </c>
      <c r="H6" s="132">
        <v>1.0951579531559852</v>
      </c>
      <c r="I6" s="132">
        <v>1.2308610118961458</v>
      </c>
      <c r="J6" s="132">
        <v>0.66476306374876937</v>
      </c>
      <c r="K6" s="132">
        <v>0.35968713948701958</v>
      </c>
      <c r="L6" s="132">
        <v>1.7186396211067585</v>
      </c>
      <c r="M6" s="132">
        <v>1.3816624200503709</v>
      </c>
      <c r="N6" s="132">
        <v>1.6936994284773386</v>
      </c>
      <c r="O6" s="132">
        <v>1.204071366593455</v>
      </c>
      <c r="P6" s="132">
        <v>1.2570525068017302</v>
      </c>
      <c r="Q6" s="132">
        <v>1.5381835214006219</v>
      </c>
      <c r="R6" s="132">
        <v>1.3349229999330998</v>
      </c>
      <c r="S6" s="132">
        <v>1.59893353502</v>
      </c>
      <c r="T6" s="132">
        <v>2.1749728906418282</v>
      </c>
      <c r="U6" s="132">
        <v>2.244269789026577</v>
      </c>
      <c r="V6" s="132">
        <v>1.7562329758496507</v>
      </c>
      <c r="W6" s="132">
        <v>2.0559178251720422</v>
      </c>
      <c r="X6" s="132">
        <v>2.2289688235811802</v>
      </c>
      <c r="Y6" s="132">
        <v>1.7137264776307524</v>
      </c>
      <c r="DA6" s="156" t="s">
        <v>304</v>
      </c>
    </row>
    <row r="7" spans="1:105" ht="12" customHeight="1" x14ac:dyDescent="0.25">
      <c r="A7" s="131" t="s">
        <v>161</v>
      </c>
      <c r="B7" s="132">
        <v>7.1898100591199503</v>
      </c>
      <c r="C7" s="132">
        <v>7.2619047371269767</v>
      </c>
      <c r="D7" s="132">
        <v>8.4938996782107541</v>
      </c>
      <c r="E7" s="132">
        <v>10.311685554252325</v>
      </c>
      <c r="F7" s="132">
        <v>10.928315987529905</v>
      </c>
      <c r="G7" s="132">
        <v>8.8755450994168434</v>
      </c>
      <c r="H7" s="132">
        <v>7.2668851422818426</v>
      </c>
      <c r="I7" s="132">
        <v>8.4944865885447634</v>
      </c>
      <c r="J7" s="132">
        <v>8.6558036259504263</v>
      </c>
      <c r="K7" s="132">
        <v>5.8858672058335966</v>
      </c>
      <c r="L7" s="132">
        <v>9.4408988252696773</v>
      </c>
      <c r="M7" s="132">
        <v>5.4913376223283654</v>
      </c>
      <c r="N7" s="132">
        <v>10.08318013316438</v>
      </c>
      <c r="O7" s="132">
        <v>13.600957949010455</v>
      </c>
      <c r="P7" s="132">
        <v>15.168596843196907</v>
      </c>
      <c r="Q7" s="132">
        <v>18.74735190418771</v>
      </c>
      <c r="R7" s="132">
        <v>17.625671707537773</v>
      </c>
      <c r="S7" s="132">
        <v>15.139608935787624</v>
      </c>
      <c r="T7" s="132">
        <v>8.1734742454396336</v>
      </c>
      <c r="U7" s="132">
        <v>7.8292479826738743</v>
      </c>
      <c r="V7" s="132">
        <v>6.6318884009038088</v>
      </c>
      <c r="W7" s="132">
        <v>7.119927311290402</v>
      </c>
      <c r="X7" s="132">
        <v>8.9613017856454888</v>
      </c>
      <c r="Y7" s="132">
        <v>7.1130883052961487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306</v>
      </c>
    </row>
    <row r="9" spans="1:105" ht="12" customHeight="1" x14ac:dyDescent="0.25">
      <c r="A9" s="131" t="s">
        <v>78</v>
      </c>
      <c r="B9" s="132">
        <v>0</v>
      </c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0.62479094476559005</v>
      </c>
      <c r="N9" s="132">
        <v>0.86115163598840549</v>
      </c>
      <c r="O9" s="132">
        <v>0.62637146064023141</v>
      </c>
      <c r="P9" s="132">
        <v>0.68507389688241427</v>
      </c>
      <c r="Q9" s="132">
        <v>0.60678577721193894</v>
      </c>
      <c r="R9" s="132">
        <v>0.74435689955348094</v>
      </c>
      <c r="S9" s="132">
        <v>0.60720501987365672</v>
      </c>
      <c r="T9" s="132">
        <v>0.52643225036354468</v>
      </c>
      <c r="U9" s="132">
        <v>0.85424342840115941</v>
      </c>
      <c r="V9" s="132">
        <v>0.65389171345530051</v>
      </c>
      <c r="W9" s="132">
        <v>0.49862887840697268</v>
      </c>
      <c r="X9" s="132">
        <v>0.83862660716246828</v>
      </c>
      <c r="Y9" s="132">
        <v>0.92446349358373003</v>
      </c>
      <c r="DA9" s="156" t="s">
        <v>307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8.9779899455245893E-2</v>
      </c>
      <c r="N12" s="132">
        <v>0.14566651207871137</v>
      </c>
      <c r="O12" s="132">
        <v>1.5524804146818368E-2</v>
      </c>
      <c r="P12" s="132">
        <v>1.5898895623511437E-2</v>
      </c>
      <c r="Q12" s="132">
        <v>0.10855423530965824</v>
      </c>
      <c r="R12" s="132">
        <v>5.3299209884226921E-2</v>
      </c>
      <c r="S12" s="132">
        <v>7.1024750688935207E-3</v>
      </c>
      <c r="T12" s="132">
        <v>6.6682059363412701E-3</v>
      </c>
      <c r="U12" s="132">
        <v>1.524035285903114E-2</v>
      </c>
      <c r="V12" s="132">
        <v>0</v>
      </c>
      <c r="W12" s="132">
        <v>0</v>
      </c>
      <c r="X12" s="132">
        <v>0</v>
      </c>
      <c r="Y12" s="132">
        <v>0</v>
      </c>
      <c r="DA12" s="156" t="s">
        <v>310</v>
      </c>
    </row>
    <row r="13" spans="1:105" ht="12" customHeight="1" x14ac:dyDescent="0.25">
      <c r="A13" s="131" t="s">
        <v>77</v>
      </c>
      <c r="B13" s="132">
        <v>3.37165444373346E-2</v>
      </c>
      <c r="C13" s="132">
        <v>7.2912955396757406E-2</v>
      </c>
      <c r="D13" s="132">
        <v>0.12424900743777324</v>
      </c>
      <c r="E13" s="132">
        <v>0.20100131741981003</v>
      </c>
      <c r="F13" s="132">
        <v>0.24491920235714412</v>
      </c>
      <c r="G13" s="132">
        <v>0.37879392761918868</v>
      </c>
      <c r="H13" s="132">
        <v>0.49704476557437388</v>
      </c>
      <c r="I13" s="132">
        <v>0.79559316909852562</v>
      </c>
      <c r="J13" s="132">
        <v>1.2306225062799929</v>
      </c>
      <c r="K13" s="132">
        <v>1.5197526035073445</v>
      </c>
      <c r="L13" s="132">
        <v>1.6102455642501652</v>
      </c>
      <c r="M13" s="132">
        <v>1.988915984616672</v>
      </c>
      <c r="N13" s="132">
        <v>2.3753117976113582</v>
      </c>
      <c r="O13" s="132">
        <v>2.7268615768378885</v>
      </c>
      <c r="P13" s="132">
        <v>3.6139855075671008</v>
      </c>
      <c r="Q13" s="132">
        <v>4.6096697200620911</v>
      </c>
      <c r="R13" s="132">
        <v>5.1505327189788446</v>
      </c>
      <c r="S13" s="132">
        <v>5.7222390892920059</v>
      </c>
      <c r="T13" s="132">
        <v>6.2047692274391366</v>
      </c>
      <c r="U13" s="132">
        <v>6.3923723290111756</v>
      </c>
      <c r="V13" s="132">
        <v>7.6918265893298541</v>
      </c>
      <c r="W13" s="132">
        <v>9.683297275641868</v>
      </c>
      <c r="X13" s="132">
        <v>11.127400966235324</v>
      </c>
      <c r="Y13" s="132">
        <v>12.424915050602506</v>
      </c>
      <c r="DA13" s="156" t="s">
        <v>311</v>
      </c>
    </row>
    <row r="14" spans="1:105" ht="12" customHeight="1" x14ac:dyDescent="0.25">
      <c r="A14" s="60" t="s">
        <v>76</v>
      </c>
      <c r="B14" s="65">
        <v>3.2444821124246745</v>
      </c>
      <c r="C14" s="65">
        <v>4.1046069733374644</v>
      </c>
      <c r="D14" s="65">
        <v>5.2612129970752983</v>
      </c>
      <c r="E14" s="65">
        <v>5.5211453389314906</v>
      </c>
      <c r="F14" s="65">
        <v>6.5059438541933803</v>
      </c>
      <c r="G14" s="65">
        <v>12.428722460980204</v>
      </c>
      <c r="H14" s="65">
        <v>7.5196770723864335</v>
      </c>
      <c r="I14" s="65">
        <v>7.1216888342550906</v>
      </c>
      <c r="J14" s="65">
        <v>6.2339435597580417</v>
      </c>
      <c r="K14" s="65">
        <v>5.0935860249631668</v>
      </c>
      <c r="L14" s="65">
        <v>14.102692184299897</v>
      </c>
      <c r="M14" s="65">
        <v>15.247242317741227</v>
      </c>
      <c r="N14" s="65">
        <v>15.697823274820827</v>
      </c>
      <c r="O14" s="65">
        <v>16.3863848756063</v>
      </c>
      <c r="P14" s="65">
        <v>17.502535667421867</v>
      </c>
      <c r="Q14" s="65">
        <v>19.531201868971227</v>
      </c>
      <c r="R14" s="65">
        <v>19.07359712020688</v>
      </c>
      <c r="S14" s="65">
        <v>24.007264733887599</v>
      </c>
      <c r="T14" s="65">
        <v>24.281727955248456</v>
      </c>
      <c r="U14" s="65">
        <v>24.414646842161439</v>
      </c>
      <c r="V14" s="65">
        <v>18.205994260536883</v>
      </c>
      <c r="W14" s="65">
        <v>19.107867376306842</v>
      </c>
      <c r="X14" s="65">
        <v>25.846399505005262</v>
      </c>
      <c r="Y14" s="65">
        <v>27.016525689412301</v>
      </c>
      <c r="DA14" s="109" t="s">
        <v>312</v>
      </c>
    </row>
    <row r="15" spans="1:105" ht="12" customHeight="1" x14ac:dyDescent="0.25">
      <c r="A15" s="133" t="s">
        <v>80</v>
      </c>
      <c r="B15" s="134">
        <v>0.16152119682290972</v>
      </c>
      <c r="C15" s="134">
        <v>0.15978387376912659</v>
      </c>
      <c r="D15" s="134">
        <v>0.18033803634992859</v>
      </c>
      <c r="E15" s="134">
        <v>0.21273706970592077</v>
      </c>
      <c r="F15" s="134">
        <v>0.22153726953059819</v>
      </c>
      <c r="G15" s="134">
        <v>0.1782772635065486</v>
      </c>
      <c r="H15" s="134">
        <v>0.1496620153747113</v>
      </c>
      <c r="I15" s="134">
        <v>0.17146940598147187</v>
      </c>
      <c r="J15" s="134">
        <v>0.16204687630905018</v>
      </c>
      <c r="K15" s="134">
        <v>0.10718171064435282</v>
      </c>
      <c r="L15" s="134">
        <v>0.18922642464979902</v>
      </c>
      <c r="M15" s="134">
        <v>0.12612099483025366</v>
      </c>
      <c r="N15" s="134">
        <v>0.21044560025064429</v>
      </c>
      <c r="O15" s="134">
        <v>0.25398891612912494</v>
      </c>
      <c r="P15" s="134">
        <v>0.27937873314737438</v>
      </c>
      <c r="Q15" s="134">
        <v>0.33910406012064465</v>
      </c>
      <c r="R15" s="134">
        <v>0.31771990635539454</v>
      </c>
      <c r="S15" s="134">
        <v>0.27770010717918725</v>
      </c>
      <c r="T15" s="134">
        <v>0.17331397088045714</v>
      </c>
      <c r="U15" s="134">
        <v>0.17374715171975363</v>
      </c>
      <c r="V15" s="134">
        <v>0.14342650432342591</v>
      </c>
      <c r="W15" s="134">
        <v>0.15336607229235744</v>
      </c>
      <c r="X15" s="134">
        <v>0.19080846716680661</v>
      </c>
      <c r="Y15" s="134">
        <v>0.15488412118155101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6.9594481371157588</v>
      </c>
      <c r="C16" s="130">
        <f t="shared" si="6"/>
        <v>8.7163673853666506</v>
      </c>
      <c r="D16" s="130">
        <f t="shared" si="6"/>
        <v>7.3102226158972838</v>
      </c>
      <c r="E16" s="130">
        <f t="shared" si="6"/>
        <v>11.701062180157685</v>
      </c>
      <c r="F16" s="130">
        <f t="shared" si="6"/>
        <v>6.4375510236920093</v>
      </c>
      <c r="G16" s="130">
        <f t="shared" si="6"/>
        <v>6.9186349494060764</v>
      </c>
      <c r="H16" s="130">
        <f t="shared" si="6"/>
        <v>10.223048463147205</v>
      </c>
      <c r="I16" s="130">
        <f t="shared" si="6"/>
        <v>11.411121440155185</v>
      </c>
      <c r="J16" s="130">
        <f t="shared" si="6"/>
        <v>10.726776621971059</v>
      </c>
      <c r="K16" s="130">
        <f t="shared" si="6"/>
        <v>12.016925474171545</v>
      </c>
      <c r="L16" s="130">
        <f t="shared" si="6"/>
        <v>10.266143370830054</v>
      </c>
      <c r="M16" s="130">
        <f t="shared" si="6"/>
        <v>11.700826140128303</v>
      </c>
      <c r="N16" s="130">
        <f t="shared" si="6"/>
        <v>21.703658723797865</v>
      </c>
      <c r="O16" s="130">
        <f t="shared" si="6"/>
        <v>16.113789192619123</v>
      </c>
      <c r="P16" s="130">
        <f t="shared" si="6"/>
        <v>17.587851775293114</v>
      </c>
      <c r="Q16" s="130">
        <f t="shared" si="6"/>
        <v>19.925606622489756</v>
      </c>
      <c r="R16" s="130">
        <f t="shared" ref="R16:W16" si="7">SUM(R17:R18)</f>
        <v>17.383836262903383</v>
      </c>
      <c r="S16" s="130">
        <f t="shared" si="7"/>
        <v>21.718856520695294</v>
      </c>
      <c r="T16" s="130">
        <f t="shared" si="7"/>
        <v>20.526678623278666</v>
      </c>
      <c r="U16" s="130">
        <f t="shared" si="7"/>
        <v>29.827422410950767</v>
      </c>
      <c r="V16" s="130">
        <f t="shared" si="7"/>
        <v>23.953515354118878</v>
      </c>
      <c r="W16" s="130">
        <f t="shared" si="7"/>
        <v>31.696137098138305</v>
      </c>
      <c r="X16" s="130">
        <f t="shared" ref="X16:Y16" si="8">SUM(X17:X18)</f>
        <v>35.250084663280951</v>
      </c>
      <c r="Y16" s="130">
        <f t="shared" si="8"/>
        <v>32.91833588293089</v>
      </c>
      <c r="DA16" s="155" t="s">
        <v>314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315</v>
      </c>
    </row>
    <row r="18" spans="1:105" ht="12" customHeight="1" x14ac:dyDescent="0.25">
      <c r="A18" s="131" t="s">
        <v>72</v>
      </c>
      <c r="B18" s="132">
        <v>6.9594481371157588</v>
      </c>
      <c r="C18" s="132">
        <v>8.7163673853666506</v>
      </c>
      <c r="D18" s="132">
        <v>7.3102226158972838</v>
      </c>
      <c r="E18" s="132">
        <v>11.701062180157685</v>
      </c>
      <c r="F18" s="132">
        <v>6.4375510236920093</v>
      </c>
      <c r="G18" s="132">
        <v>6.9186349494060764</v>
      </c>
      <c r="H18" s="132">
        <v>10.223048463147205</v>
      </c>
      <c r="I18" s="132">
        <v>11.411121440155185</v>
      </c>
      <c r="J18" s="132">
        <v>10.726776621971059</v>
      </c>
      <c r="K18" s="132">
        <v>12.016925474171545</v>
      </c>
      <c r="L18" s="132">
        <v>10.266143370830054</v>
      </c>
      <c r="M18" s="132">
        <v>11.700826140128303</v>
      </c>
      <c r="N18" s="132">
        <v>21.703658723797865</v>
      </c>
      <c r="O18" s="132">
        <v>16.113789192619123</v>
      </c>
      <c r="P18" s="132">
        <v>17.587851775293114</v>
      </c>
      <c r="Q18" s="132">
        <v>19.925606622489756</v>
      </c>
      <c r="R18" s="132">
        <v>17.383836262903383</v>
      </c>
      <c r="S18" s="132">
        <v>21.718856520695294</v>
      </c>
      <c r="T18" s="132">
        <v>20.526678623278666</v>
      </c>
      <c r="U18" s="132">
        <v>29.827422410950767</v>
      </c>
      <c r="V18" s="132">
        <v>23.953515354118878</v>
      </c>
      <c r="W18" s="132">
        <v>31.696137098138305</v>
      </c>
      <c r="X18" s="132">
        <v>35.250084663280951</v>
      </c>
      <c r="Y18" s="132">
        <v>32.91833588293089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5.1166010685675891</v>
      </c>
      <c r="C19" s="130">
        <f t="shared" si="9"/>
        <v>5.1415668930286982</v>
      </c>
      <c r="D19" s="130">
        <f t="shared" si="9"/>
        <v>5.4020146588526075</v>
      </c>
      <c r="E19" s="130">
        <f t="shared" si="9"/>
        <v>5.5127222532662854</v>
      </c>
      <c r="F19" s="130">
        <f t="shared" si="9"/>
        <v>5.6915485062662547</v>
      </c>
      <c r="G19" s="130">
        <f t="shared" si="9"/>
        <v>5.8188741379318243</v>
      </c>
      <c r="H19" s="130">
        <f t="shared" si="9"/>
        <v>5.9994603249373508</v>
      </c>
      <c r="I19" s="130">
        <f t="shared" si="9"/>
        <v>6.1261839485767098</v>
      </c>
      <c r="J19" s="130">
        <f t="shared" si="9"/>
        <v>6.3382166366908725</v>
      </c>
      <c r="K19" s="130">
        <f t="shared" si="9"/>
        <v>6.4589724472678558</v>
      </c>
      <c r="L19" s="130">
        <f t="shared" si="9"/>
        <v>6.7704276641450907</v>
      </c>
      <c r="M19" s="130">
        <f t="shared" si="9"/>
        <v>7.0164035718289703</v>
      </c>
      <c r="N19" s="130">
        <f t="shared" si="9"/>
        <v>7.1526530232058549</v>
      </c>
      <c r="O19" s="130">
        <f t="shared" si="9"/>
        <v>7.4545572722367401</v>
      </c>
      <c r="P19" s="130">
        <f t="shared" si="9"/>
        <v>7.6682238164636134</v>
      </c>
      <c r="Q19" s="130">
        <f t="shared" si="9"/>
        <v>7.8798361504536887</v>
      </c>
      <c r="R19" s="130">
        <f t="shared" ref="R19:W19" si="10">SUM(R20:R27)</f>
        <v>8.1350443442343625</v>
      </c>
      <c r="S19" s="130">
        <f t="shared" si="10"/>
        <v>8.3478009737902852</v>
      </c>
      <c r="T19" s="130">
        <f t="shared" si="10"/>
        <v>8.6059800067975143</v>
      </c>
      <c r="U19" s="130">
        <f t="shared" si="10"/>
        <v>8.884629993150206</v>
      </c>
      <c r="V19" s="130">
        <f t="shared" si="10"/>
        <v>8.7474580791272967</v>
      </c>
      <c r="W19" s="130">
        <f t="shared" si="10"/>
        <v>9.2124104156094635</v>
      </c>
      <c r="X19" s="130">
        <f t="shared" ref="X19:Y19" si="11">SUM(X20:X27)</f>
        <v>9.5108054867531813</v>
      </c>
      <c r="Y19" s="130">
        <f t="shared" si="11"/>
        <v>10.09867653910735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0.34061798319397557</v>
      </c>
      <c r="C21" s="132">
        <v>0.34483616303175441</v>
      </c>
      <c r="D21" s="132">
        <v>0.3448573051867917</v>
      </c>
      <c r="E21" s="132">
        <v>0.29974634232650871</v>
      </c>
      <c r="F21" s="132">
        <v>0.28187058938612591</v>
      </c>
      <c r="G21" s="132">
        <v>0.31429407688378547</v>
      </c>
      <c r="H21" s="132">
        <v>0.80383186131500184</v>
      </c>
      <c r="I21" s="132">
        <v>1.0130951141401121</v>
      </c>
      <c r="J21" s="132">
        <v>0.95904751049658266</v>
      </c>
      <c r="K21" s="132">
        <v>0.89446016020643093</v>
      </c>
      <c r="L21" s="132">
        <v>0.43788836835364636</v>
      </c>
      <c r="M21" s="132">
        <v>0.40789207598806182</v>
      </c>
      <c r="N21" s="132">
        <v>0.29811660386397398</v>
      </c>
      <c r="O21" s="132">
        <v>0.16688680829274613</v>
      </c>
      <c r="P21" s="132">
        <v>0.13234310893337342</v>
      </c>
      <c r="Q21" s="132">
        <v>0.11406203184350555</v>
      </c>
      <c r="R21" s="132">
        <v>9.6609253950514354E-2</v>
      </c>
      <c r="S21" s="132">
        <v>0.12288207606280106</v>
      </c>
      <c r="T21" s="132">
        <v>0.17127415202070764</v>
      </c>
      <c r="U21" s="132">
        <v>0.17767305617839102</v>
      </c>
      <c r="V21" s="132">
        <v>0.14198295612804868</v>
      </c>
      <c r="W21" s="132">
        <v>0.16619475265752842</v>
      </c>
      <c r="X21" s="132">
        <v>0.21389944032881458</v>
      </c>
      <c r="Y21" s="132">
        <v>0.15398613418040605</v>
      </c>
      <c r="DA21" s="156" t="s">
        <v>319</v>
      </c>
    </row>
    <row r="22" spans="1:105" ht="12" customHeight="1" x14ac:dyDescent="0.25">
      <c r="A22" s="131" t="s">
        <v>161</v>
      </c>
      <c r="B22" s="132">
        <v>0</v>
      </c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320</v>
      </c>
    </row>
    <row r="23" spans="1:105" ht="12" customHeight="1" x14ac:dyDescent="0.25">
      <c r="A23" s="131" t="s">
        <v>149</v>
      </c>
      <c r="B23" s="132">
        <v>0</v>
      </c>
      <c r="C23" s="132">
        <v>0</v>
      </c>
      <c r="D23" s="132">
        <v>0</v>
      </c>
      <c r="E23" s="132">
        <v>0</v>
      </c>
      <c r="F23" s="132">
        <v>0</v>
      </c>
      <c r="G23" s="132">
        <v>0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32">
        <v>0</v>
      </c>
      <c r="Y23" s="132">
        <v>0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2.3916876089590321E-3</v>
      </c>
      <c r="N25" s="132">
        <v>2.1823951913829509E-3</v>
      </c>
      <c r="O25" s="132">
        <v>2.4634815979514466E-3</v>
      </c>
      <c r="P25" s="132">
        <v>2.1600598667686479E-3</v>
      </c>
      <c r="Q25" s="132">
        <v>2.230820737632784E-3</v>
      </c>
      <c r="R25" s="132">
        <v>1.8815564137383844E-3</v>
      </c>
      <c r="S25" s="132">
        <v>9.359482436331496E-4</v>
      </c>
      <c r="T25" s="132">
        <v>8.7363198128224615E-4</v>
      </c>
      <c r="U25" s="132">
        <v>9.0696555035428138E-4</v>
      </c>
      <c r="V25" s="132">
        <v>0</v>
      </c>
      <c r="W25" s="132">
        <v>0</v>
      </c>
      <c r="X25" s="132">
        <v>0</v>
      </c>
      <c r="Y25" s="132">
        <v>0</v>
      </c>
      <c r="DA25" s="156" t="s">
        <v>323</v>
      </c>
    </row>
    <row r="26" spans="1:105" ht="12" customHeight="1" x14ac:dyDescent="0.25">
      <c r="A26" s="131" t="s">
        <v>24</v>
      </c>
      <c r="B26" s="65">
        <v>4.7759830853736132</v>
      </c>
      <c r="C26" s="65">
        <v>4.7967307299969439</v>
      </c>
      <c r="D26" s="65">
        <v>5.0571573536658159</v>
      </c>
      <c r="E26" s="65">
        <v>5.2129759109397771</v>
      </c>
      <c r="F26" s="65">
        <v>5.4096779168801286</v>
      </c>
      <c r="G26" s="65">
        <v>5.5045800610480384</v>
      </c>
      <c r="H26" s="65">
        <v>5.1956284636223486</v>
      </c>
      <c r="I26" s="65">
        <v>5.1130888344365975</v>
      </c>
      <c r="J26" s="65">
        <v>5.3791691261942898</v>
      </c>
      <c r="K26" s="65">
        <v>5.564512287061425</v>
      </c>
      <c r="L26" s="65">
        <v>6.3325392957914444</v>
      </c>
      <c r="M26" s="65">
        <v>6.6061198082319494</v>
      </c>
      <c r="N26" s="65">
        <v>6.8523540241504977</v>
      </c>
      <c r="O26" s="65">
        <v>7.2852069823460424</v>
      </c>
      <c r="P26" s="65">
        <v>7.533720647663471</v>
      </c>
      <c r="Q26" s="65">
        <v>7.76354329787255</v>
      </c>
      <c r="R26" s="65">
        <v>8.0365535338701104</v>
      </c>
      <c r="S26" s="65">
        <v>8.223982949483851</v>
      </c>
      <c r="T26" s="65">
        <v>8.4338322227955249</v>
      </c>
      <c r="U26" s="65">
        <v>8.7060499714214608</v>
      </c>
      <c r="V26" s="65">
        <v>8.6054751229992483</v>
      </c>
      <c r="W26" s="65">
        <v>9.0462156629519352</v>
      </c>
      <c r="X26" s="65">
        <v>9.2969060464243665</v>
      </c>
      <c r="Y26" s="65">
        <v>9.9446904049269449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7.9393403084951677</v>
      </c>
      <c r="C29" s="130">
        <f t="shared" si="12"/>
        <v>8.3191911198027917</v>
      </c>
      <c r="D29" s="130">
        <f t="shared" si="12"/>
        <v>8.747292532503268</v>
      </c>
      <c r="E29" s="130">
        <f t="shared" si="12"/>
        <v>9.1048915673882505</v>
      </c>
      <c r="F29" s="130">
        <f t="shared" si="12"/>
        <v>9.3810539151871843</v>
      </c>
      <c r="G29" s="130">
        <f t="shared" si="12"/>
        <v>9.4870310161334661</v>
      </c>
      <c r="H29" s="130">
        <f t="shared" si="12"/>
        <v>9.7336812388250245</v>
      </c>
      <c r="I29" s="130">
        <f t="shared" si="12"/>
        <v>9.9438442314220392</v>
      </c>
      <c r="J29" s="130">
        <f t="shared" si="12"/>
        <v>10.251343848615306</v>
      </c>
      <c r="K29" s="130">
        <f t="shared" si="12"/>
        <v>10.440677682865006</v>
      </c>
      <c r="L29" s="130">
        <f t="shared" si="12"/>
        <v>10.779268259868751</v>
      </c>
      <c r="M29" s="130">
        <f t="shared" si="12"/>
        <v>11.053294545383922</v>
      </c>
      <c r="N29" s="130">
        <f t="shared" si="12"/>
        <v>11.332675316300085</v>
      </c>
      <c r="O29" s="130">
        <f t="shared" si="12"/>
        <v>11.548895983331363</v>
      </c>
      <c r="P29" s="130">
        <f t="shared" si="12"/>
        <v>12.047933273957442</v>
      </c>
      <c r="Q29" s="130">
        <f t="shared" si="12"/>
        <v>12.437159351191248</v>
      </c>
      <c r="R29" s="130">
        <f t="shared" ref="R29:W29" si="13">SUM(R30:R33)</f>
        <v>12.890663049292122</v>
      </c>
      <c r="S29" s="130">
        <f t="shared" si="13"/>
        <v>13.145189756277347</v>
      </c>
      <c r="T29" s="130">
        <f t="shared" si="13"/>
        <v>13.652856277857373</v>
      </c>
      <c r="U29" s="130">
        <f t="shared" si="13"/>
        <v>14.144313133449003</v>
      </c>
      <c r="V29" s="130">
        <f t="shared" si="13"/>
        <v>13.460086418049764</v>
      </c>
      <c r="W29" s="130">
        <f t="shared" si="13"/>
        <v>14.299539285248738</v>
      </c>
      <c r="X29" s="130">
        <f t="shared" ref="X29:Y29" si="14">SUM(X30:X33)</f>
        <v>14.850140122233398</v>
      </c>
      <c r="Y29" s="130">
        <f t="shared" si="14"/>
        <v>15.654090502572629</v>
      </c>
      <c r="DA29" s="155" t="s">
        <v>326</v>
      </c>
    </row>
    <row r="30" spans="1:105" ht="12" customHeight="1" x14ac:dyDescent="0.25">
      <c r="A30" s="131" t="s">
        <v>52</v>
      </c>
      <c r="B30" s="132">
        <v>0.44960176031713128</v>
      </c>
      <c r="C30" s="132">
        <v>0.43886371946408831</v>
      </c>
      <c r="D30" s="132">
        <v>0.55300670594829349</v>
      </c>
      <c r="E30" s="132">
        <v>0.53682081116044322</v>
      </c>
      <c r="F30" s="132">
        <v>0.5115498102402567</v>
      </c>
      <c r="G30" s="132">
        <v>0.55281095278578729</v>
      </c>
      <c r="H30" s="132">
        <v>1.0267717349074599</v>
      </c>
      <c r="I30" s="132">
        <v>1.272988395853355</v>
      </c>
      <c r="J30" s="132">
        <v>1.8892810977791048</v>
      </c>
      <c r="K30" s="132">
        <v>2.8825387008263244</v>
      </c>
      <c r="L30" s="132">
        <v>2.2324836965877153</v>
      </c>
      <c r="M30" s="132">
        <v>2.5989717893707507</v>
      </c>
      <c r="N30" s="132">
        <v>2.4874767042682286</v>
      </c>
      <c r="O30" s="132">
        <v>2.470767202673962</v>
      </c>
      <c r="P30" s="132">
        <v>2.4727714558158111</v>
      </c>
      <c r="Q30" s="132">
        <v>2.8900808492203325</v>
      </c>
      <c r="R30" s="132">
        <v>2.4888416973093621</v>
      </c>
      <c r="S30" s="132">
        <v>3.1045830734147231</v>
      </c>
      <c r="T30" s="132">
        <v>4.0952911716449432</v>
      </c>
      <c r="U30" s="132">
        <v>4.3622405708088765</v>
      </c>
      <c r="V30" s="132">
        <v>2.9441345494014706</v>
      </c>
      <c r="W30" s="132">
        <v>3.2599984723160707</v>
      </c>
      <c r="X30" s="132">
        <v>4.2588209857926218</v>
      </c>
      <c r="Y30" s="132">
        <v>4.9565214886340074</v>
      </c>
      <c r="DA30" s="156" t="s">
        <v>327</v>
      </c>
    </row>
    <row r="31" spans="1:105" ht="12" customHeight="1" x14ac:dyDescent="0.25">
      <c r="A31" s="131" t="s">
        <v>149</v>
      </c>
      <c r="B31" s="132">
        <v>0</v>
      </c>
      <c r="C31" s="132">
        <v>0</v>
      </c>
      <c r="D31" s="132">
        <v>0</v>
      </c>
      <c r="E31" s="132">
        <v>0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7.4897385481780363</v>
      </c>
      <c r="C33" s="68">
        <v>7.8803274003387038</v>
      </c>
      <c r="D33" s="68">
        <v>8.1942858265549745</v>
      </c>
      <c r="E33" s="68">
        <v>8.568070756227808</v>
      </c>
      <c r="F33" s="68">
        <v>8.8695041049469285</v>
      </c>
      <c r="G33" s="68">
        <v>8.9342200633476789</v>
      </c>
      <c r="H33" s="68">
        <v>8.706909503917565</v>
      </c>
      <c r="I33" s="68">
        <v>8.670855835568684</v>
      </c>
      <c r="J33" s="68">
        <v>8.362062750836202</v>
      </c>
      <c r="K33" s="68">
        <v>7.558138982038682</v>
      </c>
      <c r="L33" s="68">
        <v>8.5467845632810349</v>
      </c>
      <c r="M33" s="68">
        <v>8.4543227560131715</v>
      </c>
      <c r="N33" s="68">
        <v>8.8451986120318562</v>
      </c>
      <c r="O33" s="68">
        <v>9.0781287806574014</v>
      </c>
      <c r="P33" s="68">
        <v>9.5751618181416305</v>
      </c>
      <c r="Q33" s="68">
        <v>9.5470785019709155</v>
      </c>
      <c r="R33" s="68">
        <v>10.401821351982761</v>
      </c>
      <c r="S33" s="68">
        <v>10.040606682862624</v>
      </c>
      <c r="T33" s="68">
        <v>9.5575651062124294</v>
      </c>
      <c r="U33" s="68">
        <v>9.7820725626401259</v>
      </c>
      <c r="V33" s="68">
        <v>10.515951868648294</v>
      </c>
      <c r="W33" s="68">
        <v>11.039540812932668</v>
      </c>
      <c r="X33" s="68">
        <v>10.591319136440777</v>
      </c>
      <c r="Y33" s="68">
        <v>10.697569013938621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0.68847374863032662</v>
      </c>
      <c r="C3" s="126">
        <f>IF(SER_hh_tes!C3=0,"",SER_hh_tes!C3/SER_hh_fec!C3)</f>
        <v>0.71492074833123431</v>
      </c>
      <c r="D3" s="126">
        <f>IF(SER_hh_tes!D3=0,"",SER_hh_tes!D3/SER_hh_fec!D3)</f>
        <v>0.69079286559133934</v>
      </c>
      <c r="E3" s="126">
        <f>IF(SER_hh_tes!E3=0,"",SER_hh_tes!E3/SER_hh_fec!E3)</f>
        <v>0.73830709460900912</v>
      </c>
      <c r="F3" s="126">
        <f>IF(SER_hh_tes!F3=0,"",SER_hh_tes!F3/SER_hh_fec!F3)</f>
        <v>0.67802599738505664</v>
      </c>
      <c r="G3" s="126">
        <f>IF(SER_hh_tes!G3=0,"",SER_hh_tes!G3/SER_hh_fec!G3)</f>
        <v>0.6815290383024466</v>
      </c>
      <c r="H3" s="126">
        <f>IF(SER_hh_tes!H3=0,"",SER_hh_tes!H3/SER_hh_fec!H3)</f>
        <v>0.74566790645320569</v>
      </c>
      <c r="I3" s="126">
        <f>IF(SER_hh_tes!I3=0,"",SER_hh_tes!I3/SER_hh_fec!I3)</f>
        <v>0.7641672363622144</v>
      </c>
      <c r="J3" s="126">
        <f>IF(SER_hh_tes!J3=0,"",SER_hh_tes!J3/SER_hh_fec!J3)</f>
        <v>0.77226643894151159</v>
      </c>
      <c r="K3" s="126">
        <f>IF(SER_hh_tes!K3=0,"",SER_hh_tes!K3/SER_hh_fec!K3)</f>
        <v>0.81701055639195197</v>
      </c>
      <c r="L3" s="126">
        <f>IF(SER_hh_tes!L3=0,"",SER_hh_tes!L3/SER_hh_fec!L3)</f>
        <v>0.74362501755758204</v>
      </c>
      <c r="M3" s="126">
        <f>IF(SER_hh_tes!M3=0,"",SER_hh_tes!M3/SER_hh_fec!M3)</f>
        <v>0.77737189128671635</v>
      </c>
      <c r="N3" s="126">
        <f>IF(SER_hh_tes!N3=0,"",SER_hh_tes!N3/SER_hh_fec!N3)</f>
        <v>0.86700769506582909</v>
      </c>
      <c r="O3" s="126">
        <f>IF(SER_hh_tes!O3=0,"",SER_hh_tes!O3/SER_hh_fec!O3)</f>
        <v>0.81558758196925796</v>
      </c>
      <c r="P3" s="126">
        <f>IF(SER_hh_tes!P3=0,"",SER_hh_tes!P3/SER_hh_fec!P3)</f>
        <v>0.83246159323293512</v>
      </c>
      <c r="Q3" s="126">
        <f>IF(SER_hh_tes!Q3=0,"",SER_hh_tes!Q3/SER_hh_fec!Q3)</f>
        <v>0.84613075495731271</v>
      </c>
      <c r="R3" s="126">
        <f>IF(SER_hh_tes!R3=0,"",SER_hh_tes!R3/SER_hh_fec!R3)</f>
        <v>0.84453234818180145</v>
      </c>
      <c r="S3" s="126">
        <f>IF(SER_hh_tes!S3=0,"",SER_hh_tes!S3/SER_hh_fec!S3)</f>
        <v>0.88098664726450948</v>
      </c>
      <c r="T3" s="126">
        <f>IF(SER_hh_tes!T3=0,"",SER_hh_tes!T3/SER_hh_fec!T3)</f>
        <v>0.9034833945326235</v>
      </c>
      <c r="U3" s="126">
        <f>IF(SER_hh_tes!U3=0,"",SER_hh_tes!U3/SER_hh_fec!U3)</f>
        <v>0.992569191838647</v>
      </c>
      <c r="V3" s="126">
        <f>IF(SER_hh_tes!V3=0,"",SER_hh_tes!V3/SER_hh_fec!V3)</f>
        <v>1.0201025741916829</v>
      </c>
      <c r="W3" s="126">
        <f>IF(SER_hh_tes!W3=0,"",SER_hh_tes!W3/SER_hh_fec!W3)</f>
        <v>1.1067320406874233</v>
      </c>
      <c r="X3" s="126">
        <f>IF(SER_hh_tes!X3=0,"",SER_hh_tes!X3/SER_hh_fec!X3)</f>
        <v>1.0984071020669743</v>
      </c>
      <c r="Y3" s="126">
        <f>IF(SER_hh_tes!Y3=0,"",SER_hh_tes!Y3/SER_hh_fec!Y3)</f>
        <v>1.1043188947065752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0.5566832585568503</v>
      </c>
      <c r="C4" s="135">
        <f>IF(SER_hh_tes!C4=0,"",SER_hh_tes!C4/SER_hh_fec!C4)</f>
        <v>0.56322032294813318</v>
      </c>
      <c r="D4" s="135">
        <f>IF(SER_hh_tes!D4=0,"",SER_hh_tes!D4/SER_hh_fec!D4)</f>
        <v>0.56882823421171202</v>
      </c>
      <c r="E4" s="135">
        <f>IF(SER_hh_tes!E4=0,"",SER_hh_tes!E4/SER_hh_fec!E4)</f>
        <v>0.57397448751791924</v>
      </c>
      <c r="F4" s="135">
        <f>IF(SER_hh_tes!F4=0,"",SER_hh_tes!F4/SER_hh_fec!F4)</f>
        <v>0.57807272642511331</v>
      </c>
      <c r="G4" s="135">
        <f>IF(SER_hh_tes!G4=0,"",SER_hh_tes!G4/SER_hh_fec!G4)</f>
        <v>0.5871808237432905</v>
      </c>
      <c r="H4" s="135">
        <f>IF(SER_hh_tes!H4=0,"",SER_hh_tes!H4/SER_hh_fec!H4)</f>
        <v>0.59770932256956621</v>
      </c>
      <c r="I4" s="135">
        <f>IF(SER_hh_tes!I4=0,"",SER_hh_tes!I4/SER_hh_fec!I4)</f>
        <v>0.61040114817432911</v>
      </c>
      <c r="J4" s="135">
        <f>IF(SER_hh_tes!J4=0,"",SER_hh_tes!J4/SER_hh_fec!J4)</f>
        <v>0.63149516308912124</v>
      </c>
      <c r="K4" s="135">
        <f>IF(SER_hh_tes!K4=0,"",SER_hh_tes!K4/SER_hh_fec!K4)</f>
        <v>0.65985697597958937</v>
      </c>
      <c r="L4" s="135">
        <f>IF(SER_hh_tes!L4=0,"",SER_hh_tes!L4/SER_hh_fec!L4)</f>
        <v>0.63846316913287804</v>
      </c>
      <c r="M4" s="135">
        <f>IF(SER_hh_tes!M4=0,"",SER_hh_tes!M4/SER_hh_fec!M4)</f>
        <v>0.65981840892511268</v>
      </c>
      <c r="N4" s="135">
        <f>IF(SER_hh_tes!N4=0,"",SER_hh_tes!N4/SER_hh_fec!N4)</f>
        <v>0.66972057686569897</v>
      </c>
      <c r="O4" s="135">
        <f>IF(SER_hh_tes!O4=0,"",SER_hh_tes!O4/SER_hh_fec!O4)</f>
        <v>0.67946477479317402</v>
      </c>
      <c r="P4" s="135">
        <f>IF(SER_hh_tes!P4=0,"",SER_hh_tes!P4/SER_hh_fec!P4)</f>
        <v>0.6938706208831108</v>
      </c>
      <c r="Q4" s="135">
        <f>IF(SER_hh_tes!Q4=0,"",SER_hh_tes!Q4/SER_hh_fec!Q4)</f>
        <v>0.70515400392422167</v>
      </c>
      <c r="R4" s="135">
        <f>IF(SER_hh_tes!R4=0,"",SER_hh_tes!R4/SER_hh_fec!R4)</f>
        <v>0.72082169225252779</v>
      </c>
      <c r="S4" s="135">
        <f>IF(SER_hh_tes!S4=0,"",SER_hh_tes!S4/SER_hh_fec!S4)</f>
        <v>0.73025713812464033</v>
      </c>
      <c r="T4" s="135">
        <f>IF(SER_hh_tes!T4=0,"",SER_hh_tes!T4/SER_hh_fec!T4)</f>
        <v>0.75884311886884837</v>
      </c>
      <c r="U4" s="135">
        <f>IF(SER_hh_tes!U4=0,"",SER_hh_tes!U4/SER_hh_fec!U4)</f>
        <v>0.7737136718374924</v>
      </c>
      <c r="V4" s="135">
        <f>IF(SER_hh_tes!V4=0,"",SER_hh_tes!V4/SER_hh_fec!V4)</f>
        <v>0.83352243264650983</v>
      </c>
      <c r="W4" s="135">
        <f>IF(SER_hh_tes!W4=0,"",SER_hh_tes!W4/SER_hh_fec!W4)</f>
        <v>0.87260527387239151</v>
      </c>
      <c r="X4" s="135">
        <f>IF(SER_hh_tes!X4=0,"",SER_hh_tes!X4/SER_hh_fec!X4)</f>
        <v>0.8656289860823474</v>
      </c>
      <c r="Y4" s="135">
        <f>IF(SER_hh_tes!Y4=0,"",SER_hh_tes!Y4/SER_hh_fec!Y4)</f>
        <v>0.90420046541771193</v>
      </c>
      <c r="DA4" s="162" t="s">
        <v>240</v>
      </c>
    </row>
    <row r="5" spans="1:105" ht="12" customHeight="1" x14ac:dyDescent="0.25">
      <c r="A5" s="131" t="s">
        <v>29</v>
      </c>
      <c r="B5" s="136" t="str">
        <f>IF(SER_hh_tes!B5=0,"",SER_hh_tes!B5/SER_hh_fec!B5)</f>
        <v/>
      </c>
      <c r="C5" s="136" t="str">
        <f>IF(SER_hh_tes!C5=0,"",SER_hh_tes!C5/SER_hh_fec!C5)</f>
        <v/>
      </c>
      <c r="D5" s="136" t="str">
        <f>IF(SER_hh_tes!D5=0,"",SER_hh_tes!D5/SER_hh_fec!D5)</f>
        <v/>
      </c>
      <c r="E5" s="136" t="str">
        <f>IF(SER_hh_tes!E5=0,"",SER_hh_tes!E5/SER_hh_fec!E5)</f>
        <v/>
      </c>
      <c r="F5" s="136" t="str">
        <f>IF(SER_hh_tes!F5=0,"",SER_hh_tes!F5/SER_hh_fec!F5)</f>
        <v/>
      </c>
      <c r="G5" s="136" t="str">
        <f>IF(SER_hh_tes!G5=0,"",SER_hh_tes!G5/SER_hh_fec!G5)</f>
        <v/>
      </c>
      <c r="H5" s="136" t="str">
        <f>IF(SER_hh_tes!H5=0,"",SER_hh_tes!H5/SER_hh_fec!H5)</f>
        <v/>
      </c>
      <c r="I5" s="136" t="str">
        <f>IF(SER_hh_tes!I5=0,"",SER_hh_tes!I5/SER_hh_fec!I5)</f>
        <v/>
      </c>
      <c r="J5" s="136" t="str">
        <f>IF(SER_hh_tes!J5=0,"",SER_hh_tes!J5/SER_hh_fec!J5)</f>
        <v/>
      </c>
      <c r="K5" s="136" t="str">
        <f>IF(SER_hh_tes!K5=0,"",SER_hh_tes!K5/SER_hh_fec!K5)</f>
        <v/>
      </c>
      <c r="L5" s="136" t="str">
        <f>IF(SER_hh_tes!L5=0,"",SER_hh_tes!L5/SER_hh_fec!L5)</f>
        <v/>
      </c>
      <c r="M5" s="136" t="str">
        <f>IF(SER_hh_tes!M5=0,"",SER_hh_tes!M5/SER_hh_fec!M5)</f>
        <v/>
      </c>
      <c r="N5" s="136" t="str">
        <f>IF(SER_hh_tes!N5=0,"",SER_hh_tes!N5/SER_hh_fec!N5)</f>
        <v/>
      </c>
      <c r="O5" s="136" t="str">
        <f>IF(SER_hh_tes!O5=0,"",SER_hh_tes!O5/SER_hh_fec!O5)</f>
        <v/>
      </c>
      <c r="P5" s="136" t="str">
        <f>IF(SER_hh_tes!P5=0,"",SER_hh_tes!P5/SER_hh_fec!P5)</f>
        <v/>
      </c>
      <c r="Q5" s="136" t="str">
        <f>IF(SER_hh_tes!Q5=0,"",SER_hh_tes!Q5/SER_hh_fec!Q5)</f>
        <v/>
      </c>
      <c r="R5" s="136" t="str">
        <f>IF(SER_hh_tes!R5=0,"",SER_hh_tes!R5/SER_hh_fec!R5)</f>
        <v/>
      </c>
      <c r="S5" s="136" t="str">
        <f>IF(SER_hh_tes!S5=0,"",SER_hh_tes!S5/SER_hh_fec!S5)</f>
        <v/>
      </c>
      <c r="T5" s="136" t="str">
        <f>IF(SER_hh_tes!T5=0,"",SER_hh_tes!T5/SER_hh_fec!T5)</f>
        <v/>
      </c>
      <c r="U5" s="136" t="str">
        <f>IF(SER_hh_tes!U5=0,"",SER_hh_tes!U5/SER_hh_fec!U5)</f>
        <v/>
      </c>
      <c r="V5" s="136" t="str">
        <f>IF(SER_hh_tes!V5=0,"",SER_hh_tes!V5/SER_hh_fec!V5)</f>
        <v/>
      </c>
      <c r="W5" s="136" t="str">
        <f>IF(SER_hh_tes!W5=0,"",SER_hh_tes!W5/SER_hh_fec!W5)</f>
        <v/>
      </c>
      <c r="X5" s="136" t="str">
        <f>IF(SER_hh_tes!X5=0,"",SER_hh_tes!X5/SER_hh_fec!X5)</f>
        <v/>
      </c>
      <c r="Y5" s="136" t="str">
        <f>IF(SER_hh_tes!Y5=0,"",SER_hh_tes!Y5/SER_hh_fec!Y5)</f>
        <v/>
      </c>
      <c r="DA5" s="163" t="s">
        <v>332</v>
      </c>
    </row>
    <row r="6" spans="1:105" ht="12" customHeight="1" x14ac:dyDescent="0.25">
      <c r="A6" s="131" t="s">
        <v>52</v>
      </c>
      <c r="B6" s="136">
        <f>IF(SER_hh_tes!B6=0,"",SER_hh_tes!B6/SER_hh_fec!B6)</f>
        <v>0.55913123746390125</v>
      </c>
      <c r="C6" s="136">
        <f>IF(SER_hh_tes!C6=0,"",SER_hh_tes!C6/SER_hh_fec!C6)</f>
        <v>0.56093536909704955</v>
      </c>
      <c r="D6" s="136">
        <f>IF(SER_hh_tes!D6=0,"",SER_hh_tes!D6/SER_hh_fec!D6)</f>
        <v>0.56462419987150758</v>
      </c>
      <c r="E6" s="136">
        <f>IF(SER_hh_tes!E6=0,"",SER_hh_tes!E6/SER_hh_fec!E6)</f>
        <v>0.56766669282458382</v>
      </c>
      <c r="F6" s="136">
        <f>IF(SER_hh_tes!F6=0,"",SER_hh_tes!F6/SER_hh_fec!F6)</f>
        <v>0.57400402463869371</v>
      </c>
      <c r="G6" s="136">
        <f>IF(SER_hh_tes!G6=0,"",SER_hh_tes!G6/SER_hh_fec!G6)</f>
        <v>0.58094372450818155</v>
      </c>
      <c r="H6" s="136">
        <f>IF(SER_hh_tes!H6=0,"",SER_hh_tes!H6/SER_hh_fec!H6)</f>
        <v>0.58844139807731677</v>
      </c>
      <c r="I6" s="136">
        <f>IF(SER_hh_tes!I6=0,"",SER_hh_tes!I6/SER_hh_fec!I6)</f>
        <v>0.59520809962931986</v>
      </c>
      <c r="J6" s="136">
        <f>IF(SER_hh_tes!J6=0,"",SER_hh_tes!J6/SER_hh_fec!J6)</f>
        <v>0.60292412427355646</v>
      </c>
      <c r="K6" s="136">
        <f>IF(SER_hh_tes!K6=0,"",SER_hh_tes!K6/SER_hh_fec!K6)</f>
        <v>0.61282517467694253</v>
      </c>
      <c r="L6" s="136">
        <f>IF(SER_hh_tes!L6=0,"",SER_hh_tes!L6/SER_hh_fec!L6)</f>
        <v>0.62410436591924523</v>
      </c>
      <c r="M6" s="136">
        <f>IF(SER_hh_tes!M6=0,"",SER_hh_tes!M6/SER_hh_fec!M6)</f>
        <v>0.63634126631393995</v>
      </c>
      <c r="N6" s="136">
        <f>IF(SER_hh_tes!N6=0,"",SER_hh_tes!N6/SER_hh_fec!N6)</f>
        <v>0.64816628066819826</v>
      </c>
      <c r="O6" s="136">
        <f>IF(SER_hh_tes!O6=0,"",SER_hh_tes!O6/SER_hh_fec!O6)</f>
        <v>0.65635233674418902</v>
      </c>
      <c r="P6" s="136">
        <f>IF(SER_hh_tes!P6=0,"",SER_hh_tes!P6/SER_hh_fec!P6)</f>
        <v>0.65842608122957169</v>
      </c>
      <c r="Q6" s="136">
        <f>IF(SER_hh_tes!Q6=0,"",SER_hh_tes!Q6/SER_hh_fec!Q6)</f>
        <v>0.66481670642873869</v>
      </c>
      <c r="R6" s="136">
        <f>IF(SER_hh_tes!R6=0,"",SER_hh_tes!R6/SER_hh_fec!R6)</f>
        <v>0.67443595187135263</v>
      </c>
      <c r="S6" s="136">
        <f>IF(SER_hh_tes!S6=0,"",SER_hh_tes!S6/SER_hh_fec!S6)</f>
        <v>0.69086359189703783</v>
      </c>
      <c r="T6" s="136">
        <f>IF(SER_hh_tes!T6=0,"",SER_hh_tes!T6/SER_hh_fec!T6)</f>
        <v>0.71195977457644488</v>
      </c>
      <c r="U6" s="136">
        <f>IF(SER_hh_tes!U6=0,"",SER_hh_tes!U6/SER_hh_fec!U6)</f>
        <v>0.72859364578178554</v>
      </c>
      <c r="V6" s="136">
        <f>IF(SER_hh_tes!V6=0,"",SER_hh_tes!V6/SER_hh_fec!V6)</f>
        <v>0.74054892841719089</v>
      </c>
      <c r="W6" s="136">
        <f>IF(SER_hh_tes!W6=0,"",SER_hh_tes!W6/SER_hh_fec!W6)</f>
        <v>0.74991405528678001</v>
      </c>
      <c r="X6" s="136">
        <f>IF(SER_hh_tes!X6=0,"",SER_hh_tes!X6/SER_hh_fec!X6)</f>
        <v>0.75718795512639481</v>
      </c>
      <c r="Y6" s="136">
        <f>IF(SER_hh_tes!Y6=0,"",SER_hh_tes!Y6/SER_hh_fec!Y6)</f>
        <v>0.76453165116758381</v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0.54818596680682097</v>
      </c>
      <c r="C7" s="136">
        <f>IF(SER_hh_tes!C7=0,"",SER_hh_tes!C7/SER_hh_fec!C7)</f>
        <v>0.55368281448985224</v>
      </c>
      <c r="D7" s="136">
        <f>IF(SER_hh_tes!D7=0,"",SER_hh_tes!D7/SER_hh_fec!D7)</f>
        <v>0.55862024945046895</v>
      </c>
      <c r="E7" s="136">
        <f>IF(SER_hh_tes!E7=0,"",SER_hh_tes!E7/SER_hh_fec!E7)</f>
        <v>0.56214150874111124</v>
      </c>
      <c r="F7" s="136">
        <f>IF(SER_hh_tes!F7=0,"",SER_hh_tes!F7/SER_hh_fec!F7)</f>
        <v>0.5636130479704341</v>
      </c>
      <c r="G7" s="136">
        <f>IF(SER_hh_tes!G7=0,"",SER_hh_tes!G7/SER_hh_fec!G7)</f>
        <v>0.56572226764414235</v>
      </c>
      <c r="H7" s="136">
        <f>IF(SER_hh_tes!H7=0,"",SER_hh_tes!H7/SER_hh_fec!H7)</f>
        <v>0.57384073757910481</v>
      </c>
      <c r="I7" s="136">
        <f>IF(SER_hh_tes!I7=0,"",SER_hh_tes!I7/SER_hh_fec!I7)</f>
        <v>0.58345652210961196</v>
      </c>
      <c r="J7" s="136">
        <f>IF(SER_hh_tes!J7=0,"",SER_hh_tes!J7/SER_hh_fec!J7)</f>
        <v>0.59468242901704838</v>
      </c>
      <c r="K7" s="136">
        <f>IF(SER_hh_tes!K7=0,"",SER_hh_tes!K7/SER_hh_fec!K7)</f>
        <v>0.59891400156288088</v>
      </c>
      <c r="L7" s="136">
        <f>IF(SER_hh_tes!L7=0,"",SER_hh_tes!L7/SER_hh_fec!L7)</f>
        <v>0.60383263908267726</v>
      </c>
      <c r="M7" s="136">
        <f>IF(SER_hh_tes!M7=0,"",SER_hh_tes!M7/SER_hh_fec!M7)</f>
        <v>0.61308292097794126</v>
      </c>
      <c r="N7" s="136">
        <f>IF(SER_hh_tes!N7=0,"",SER_hh_tes!N7/SER_hh_fec!N7)</f>
        <v>0.63295542622793821</v>
      </c>
      <c r="O7" s="136">
        <f>IF(SER_hh_tes!O7=0,"",SER_hh_tes!O7/SER_hh_fec!O7)</f>
        <v>0.65016277438625247</v>
      </c>
      <c r="P7" s="136">
        <f>IF(SER_hh_tes!P7=0,"",SER_hh_tes!P7/SER_hh_fec!P7)</f>
        <v>0.66014197258337659</v>
      </c>
      <c r="Q7" s="136">
        <f>IF(SER_hh_tes!Q7=0,"",SER_hh_tes!Q7/SER_hh_fec!Q7)</f>
        <v>0.66869652385937994</v>
      </c>
      <c r="R7" s="136">
        <f>IF(SER_hh_tes!R7=0,"",SER_hh_tes!R7/SER_hh_fec!R7)</f>
        <v>0.67294630098152741</v>
      </c>
      <c r="S7" s="136">
        <f>IF(SER_hh_tes!S7=0,"",SER_hh_tes!S7/SER_hh_fec!S7)</f>
        <v>0.67739393956484173</v>
      </c>
      <c r="T7" s="136">
        <f>IF(SER_hh_tes!T7=0,"",SER_hh_tes!T7/SER_hh_fec!T7)</f>
        <v>0.68040617488359934</v>
      </c>
      <c r="U7" s="136">
        <f>IF(SER_hh_tes!U7=0,"",SER_hh_tes!U7/SER_hh_fec!U7)</f>
        <v>0.6816553177806014</v>
      </c>
      <c r="V7" s="136">
        <f>IF(SER_hh_tes!V7=0,"",SER_hh_tes!V7/SER_hh_fec!V7)</f>
        <v>0.68333033969905166</v>
      </c>
      <c r="W7" s="136">
        <f>IF(SER_hh_tes!W7=0,"",SER_hh_tes!W7/SER_hh_fec!W7)</f>
        <v>0.69377444099324226</v>
      </c>
      <c r="X7" s="136">
        <f>IF(SER_hh_tes!X7=0,"",SER_hh_tes!X7/SER_hh_fec!X7)</f>
        <v>0.70729514602685495</v>
      </c>
      <c r="Y7" s="136">
        <f>IF(SER_hh_tes!Y7=0,"",SER_hh_tes!Y7/SER_hh_fec!Y7)</f>
        <v>0.71719811860587179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 t="str">
        <f>IF(SER_hh_tes!R8=0,"",SER_hh_tes!R8/SER_hh_fec!R8)</f>
        <v/>
      </c>
      <c r="S8" s="136" t="str">
        <f>IF(SER_hh_tes!S8=0,"",SER_hh_tes!S8/SER_hh_fec!S8)</f>
        <v/>
      </c>
      <c r="T8" s="136" t="str">
        <f>IF(SER_hh_tes!T8=0,"",SER_hh_tes!T8/SER_hh_fec!T8)</f>
        <v/>
      </c>
      <c r="U8" s="136" t="str">
        <f>IF(SER_hh_tes!U8=0,"",SER_hh_tes!U8/SER_hh_fec!U8)</f>
        <v/>
      </c>
      <c r="V8" s="136" t="str">
        <f>IF(SER_hh_tes!V8=0,"",SER_hh_tes!V8/SER_hh_fec!V8)</f>
        <v/>
      </c>
      <c r="W8" s="136" t="str">
        <f>IF(SER_hh_tes!W8=0,"",SER_hh_tes!W8/SER_hh_fec!W8)</f>
        <v/>
      </c>
      <c r="X8" s="136" t="str">
        <f>IF(SER_hh_tes!X8=0,"",SER_hh_tes!X8/SER_hh_fec!X8)</f>
        <v/>
      </c>
      <c r="Y8" s="136" t="str">
        <f>IF(SER_hh_tes!Y8=0,"",SER_hh_tes!Y8/SER_hh_fec!Y8)</f>
        <v/>
      </c>
      <c r="DA8" s="163" t="s">
        <v>335</v>
      </c>
    </row>
    <row r="9" spans="1:105" ht="12" customHeight="1" x14ac:dyDescent="0.25">
      <c r="A9" s="131" t="s">
        <v>78</v>
      </c>
      <c r="B9" s="136" t="str">
        <f>IF(SER_hh_tes!B9=0,"",SER_hh_tes!B9/SER_hh_fec!B9)</f>
        <v/>
      </c>
      <c r="C9" s="136" t="str">
        <f>IF(SER_hh_tes!C9=0,"",SER_hh_tes!C9/SER_hh_fec!C9)</f>
        <v/>
      </c>
      <c r="D9" s="136" t="str">
        <f>IF(SER_hh_tes!D9=0,"",SER_hh_tes!D9/SER_hh_fec!D9)</f>
        <v/>
      </c>
      <c r="E9" s="136" t="str">
        <f>IF(SER_hh_tes!E9=0,"",SER_hh_tes!E9/SER_hh_fec!E9)</f>
        <v/>
      </c>
      <c r="F9" s="136" t="str">
        <f>IF(SER_hh_tes!F9=0,"",SER_hh_tes!F9/SER_hh_fec!F9)</f>
        <v/>
      </c>
      <c r="G9" s="136" t="str">
        <f>IF(SER_hh_tes!G9=0,"",SER_hh_tes!G9/SER_hh_fec!G9)</f>
        <v/>
      </c>
      <c r="H9" s="136" t="str">
        <f>IF(SER_hh_tes!H9=0,"",SER_hh_tes!H9/SER_hh_fec!H9)</f>
        <v/>
      </c>
      <c r="I9" s="136" t="str">
        <f>IF(SER_hh_tes!I9=0,"",SER_hh_tes!I9/SER_hh_fec!I9)</f>
        <v/>
      </c>
      <c r="J9" s="136" t="str">
        <f>IF(SER_hh_tes!J9=0,"",SER_hh_tes!J9/SER_hh_fec!J9)</f>
        <v/>
      </c>
      <c r="K9" s="136" t="str">
        <f>IF(SER_hh_tes!K9=0,"",SER_hh_tes!K9/SER_hh_fec!K9)</f>
        <v/>
      </c>
      <c r="L9" s="136" t="str">
        <f>IF(SER_hh_tes!L9=0,"",SER_hh_tes!L9/SER_hh_fec!L9)</f>
        <v/>
      </c>
      <c r="M9" s="136">
        <f>IF(SER_hh_tes!M9=0,"",SER_hh_tes!M9/SER_hh_fec!M9)</f>
        <v>0.81745063422475117</v>
      </c>
      <c r="N9" s="136">
        <f>IF(SER_hh_tes!N9=0,"",SER_hh_tes!N9/SER_hh_fec!N9)</f>
        <v>0.81943982380503644</v>
      </c>
      <c r="O9" s="136">
        <f>IF(SER_hh_tes!O9=0,"",SER_hh_tes!O9/SER_hh_fec!O9)</f>
        <v>0.81951851583371493</v>
      </c>
      <c r="P9" s="136">
        <f>IF(SER_hh_tes!P9=0,"",SER_hh_tes!P9/SER_hh_fec!P9)</f>
        <v>0.81952370096096272</v>
      </c>
      <c r="Q9" s="136">
        <f>IF(SER_hh_tes!Q9=0,"",SER_hh_tes!Q9/SER_hh_fec!Q9)</f>
        <v>0.81952370096096261</v>
      </c>
      <c r="R9" s="136">
        <f>IF(SER_hh_tes!R9=0,"",SER_hh_tes!R9/SER_hh_fec!R9)</f>
        <v>0.82009006648417826</v>
      </c>
      <c r="S9" s="136">
        <f>IF(SER_hh_tes!S9=0,"",SER_hh_tes!S9/SER_hh_fec!S9)</f>
        <v>0.82008992929167635</v>
      </c>
      <c r="T9" s="136">
        <f>IF(SER_hh_tes!T9=0,"",SER_hh_tes!T9/SER_hh_fec!T9)</f>
        <v>0.82601282673070953</v>
      </c>
      <c r="U9" s="136">
        <f>IF(SER_hh_tes!U9=0,"",SER_hh_tes!U9/SER_hh_fec!U9)</f>
        <v>0.83430056032125255</v>
      </c>
      <c r="V9" s="136">
        <f>IF(SER_hh_tes!V9=0,"",SER_hh_tes!V9/SER_hh_fec!V9)</f>
        <v>0.83431274026167224</v>
      </c>
      <c r="W9" s="136">
        <f>IF(SER_hh_tes!W9=0,"",SER_hh_tes!W9/SER_hh_fec!W9)</f>
        <v>0.83765041974188803</v>
      </c>
      <c r="X9" s="136">
        <f>IF(SER_hh_tes!X9=0,"",SER_hh_tes!X9/SER_hh_fec!X9)</f>
        <v>0.8455333715907678</v>
      </c>
      <c r="Y9" s="136">
        <f>IF(SER_hh_tes!Y9=0,"",SER_hh_tes!Y9/SER_hh_fec!Y9)</f>
        <v>0.85847256710146835</v>
      </c>
      <c r="DA9" s="163" t="s">
        <v>336</v>
      </c>
    </row>
    <row r="10" spans="1:105" ht="12" customHeight="1" x14ac:dyDescent="0.25">
      <c r="A10" s="131" t="s">
        <v>128</v>
      </c>
      <c r="B10" s="136" t="str">
        <f>IF(SER_hh_tes!B10=0,"",SER_hh_tes!B10/SER_hh_fec!B10)</f>
        <v/>
      </c>
      <c r="C10" s="136" t="str">
        <f>IF(SER_hh_tes!C10=0,"",SER_hh_tes!C10/SER_hh_fec!C10)</f>
        <v/>
      </c>
      <c r="D10" s="136" t="str">
        <f>IF(SER_hh_tes!D10=0,"",SER_hh_tes!D10/SER_hh_fec!D10)</f>
        <v/>
      </c>
      <c r="E10" s="136" t="str">
        <f>IF(SER_hh_tes!E10=0,"",SER_hh_tes!E10/SER_hh_fec!E10)</f>
        <v/>
      </c>
      <c r="F10" s="136" t="str">
        <f>IF(SER_hh_tes!F10=0,"",SER_hh_tes!F10/SER_hh_fec!F10)</f>
        <v/>
      </c>
      <c r="G10" s="136" t="str">
        <f>IF(SER_hh_tes!G10=0,"",SER_hh_tes!G10/SER_hh_fec!G10)</f>
        <v/>
      </c>
      <c r="H10" s="136" t="str">
        <f>IF(SER_hh_tes!H10=0,"",SER_hh_tes!H10/SER_hh_fec!H10)</f>
        <v/>
      </c>
      <c r="I10" s="136" t="str">
        <f>IF(SER_hh_tes!I10=0,"",SER_hh_tes!I10/SER_hh_fec!I10)</f>
        <v/>
      </c>
      <c r="J10" s="136" t="str">
        <f>IF(SER_hh_tes!J10=0,"",SER_hh_tes!J10/SER_hh_fec!J10)</f>
        <v/>
      </c>
      <c r="K10" s="136" t="str">
        <f>IF(SER_hh_tes!K10=0,"",SER_hh_tes!K10/SER_hh_fec!K10)</f>
        <v/>
      </c>
      <c r="L10" s="136" t="str">
        <f>IF(SER_hh_tes!L10=0,"",SER_hh_tes!L10/SER_hh_fec!L10)</f>
        <v/>
      </c>
      <c r="M10" s="136" t="str">
        <f>IF(SER_hh_tes!M10=0,"",SER_hh_tes!M10/SER_hh_fec!M10)</f>
        <v/>
      </c>
      <c r="N10" s="136" t="str">
        <f>IF(SER_hh_tes!N10=0,"",SER_hh_tes!N10/SER_hh_fec!N10)</f>
        <v/>
      </c>
      <c r="O10" s="136" t="str">
        <f>IF(SER_hh_tes!O10=0,"",SER_hh_tes!O10/SER_hh_fec!O10)</f>
        <v/>
      </c>
      <c r="P10" s="136" t="str">
        <f>IF(SER_hh_tes!P10=0,"",SER_hh_tes!P10/SER_hh_fec!P10)</f>
        <v/>
      </c>
      <c r="Q10" s="136" t="str">
        <f>IF(SER_hh_tes!Q10=0,"",SER_hh_tes!Q10/SER_hh_fec!Q10)</f>
        <v/>
      </c>
      <c r="R10" s="136" t="str">
        <f>IF(SER_hh_tes!R10=0,"",SER_hh_tes!R10/SER_hh_fec!R10)</f>
        <v/>
      </c>
      <c r="S10" s="136" t="str">
        <f>IF(SER_hh_tes!S10=0,"",SER_hh_tes!S10/SER_hh_fec!S10)</f>
        <v/>
      </c>
      <c r="T10" s="136" t="str">
        <f>IF(SER_hh_tes!T10=0,"",SER_hh_tes!T10/SER_hh_fec!T10)</f>
        <v/>
      </c>
      <c r="U10" s="136" t="str">
        <f>IF(SER_hh_tes!U10=0,"",SER_hh_tes!U10/SER_hh_fec!U10)</f>
        <v/>
      </c>
      <c r="V10" s="136" t="str">
        <f>IF(SER_hh_tes!V10=0,"",SER_hh_tes!V10/SER_hh_fec!V10)</f>
        <v/>
      </c>
      <c r="W10" s="136" t="str">
        <f>IF(SER_hh_tes!W10=0,"",SER_hh_tes!W10/SER_hh_fec!W10)</f>
        <v/>
      </c>
      <c r="X10" s="136" t="str">
        <f>IF(SER_hh_tes!X10=0,"",SER_hh_tes!X10/SER_hh_fec!X10)</f>
        <v/>
      </c>
      <c r="Y10" s="136" t="str">
        <f>IF(SER_hh_tes!Y10=0,"",SER_hh_tes!Y10/SER_hh_fec!Y10)</f>
        <v/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 t="str">
        <f>IF(SER_hh_tes!L11=0,"",SER_hh_tes!L11/SER_hh_fec!L11)</f>
        <v/>
      </c>
      <c r="M11" s="136" t="str">
        <f>IF(SER_hh_tes!M11=0,"",SER_hh_tes!M11/SER_hh_fec!M11)</f>
        <v/>
      </c>
      <c r="N11" s="136" t="str">
        <f>IF(SER_hh_tes!N11=0,"",SER_hh_tes!N11/SER_hh_fec!N11)</f>
        <v/>
      </c>
      <c r="O11" s="136" t="str">
        <f>IF(SER_hh_tes!O11=0,"",SER_hh_tes!O11/SER_hh_fec!O11)</f>
        <v/>
      </c>
      <c r="P11" s="136" t="str">
        <f>IF(SER_hh_tes!P11=0,"",SER_hh_tes!P11/SER_hh_fec!P11)</f>
        <v/>
      </c>
      <c r="Q11" s="136" t="str">
        <f>IF(SER_hh_tes!Q11=0,"",SER_hh_tes!Q11/SER_hh_fec!Q11)</f>
        <v/>
      </c>
      <c r="R11" s="136" t="str">
        <f>IF(SER_hh_tes!R11=0,"",SER_hh_tes!R11/SER_hh_fec!R11)</f>
        <v/>
      </c>
      <c r="S11" s="136" t="str">
        <f>IF(SER_hh_tes!S11=0,"",SER_hh_tes!S11/SER_hh_fec!S11)</f>
        <v/>
      </c>
      <c r="T11" s="136" t="str">
        <f>IF(SER_hh_tes!T11=0,"",SER_hh_tes!T11/SER_hh_fec!T11)</f>
        <v/>
      </c>
      <c r="U11" s="136" t="str">
        <f>IF(SER_hh_tes!U11=0,"",SER_hh_tes!U11/SER_hh_fec!U11)</f>
        <v/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 t="str">
        <f>IF(SER_hh_tes!B12=0,"",SER_hh_tes!B12/SER_hh_fec!B12)</f>
        <v/>
      </c>
      <c r="C12" s="136" t="str">
        <f>IF(SER_hh_tes!C12=0,"",SER_hh_tes!C12/SER_hh_fec!C12)</f>
        <v/>
      </c>
      <c r="D12" s="136" t="str">
        <f>IF(SER_hh_tes!D12=0,"",SER_hh_tes!D12/SER_hh_fec!D12)</f>
        <v/>
      </c>
      <c r="E12" s="136" t="str">
        <f>IF(SER_hh_tes!E12=0,"",SER_hh_tes!E12/SER_hh_fec!E12)</f>
        <v/>
      </c>
      <c r="F12" s="136" t="str">
        <f>IF(SER_hh_tes!F12=0,"",SER_hh_tes!F12/SER_hh_fec!F12)</f>
        <v/>
      </c>
      <c r="G12" s="136" t="str">
        <f>IF(SER_hh_tes!G12=0,"",SER_hh_tes!G12/SER_hh_fec!G12)</f>
        <v/>
      </c>
      <c r="H12" s="136" t="str">
        <f>IF(SER_hh_tes!H12=0,"",SER_hh_tes!H12/SER_hh_fec!H12)</f>
        <v/>
      </c>
      <c r="I12" s="136" t="str">
        <f>IF(SER_hh_tes!I12=0,"",SER_hh_tes!I12/SER_hh_fec!I12)</f>
        <v/>
      </c>
      <c r="J12" s="136" t="str">
        <f>IF(SER_hh_tes!J12=0,"",SER_hh_tes!J12/SER_hh_fec!J12)</f>
        <v/>
      </c>
      <c r="K12" s="136" t="str">
        <f>IF(SER_hh_tes!K12=0,"",SER_hh_tes!K12/SER_hh_fec!K12)</f>
        <v/>
      </c>
      <c r="L12" s="136" t="str">
        <f>IF(SER_hh_tes!L12=0,"",SER_hh_tes!L12/SER_hh_fec!L12)</f>
        <v/>
      </c>
      <c r="M12" s="136">
        <f>IF(SER_hh_tes!M12=0,"",SER_hh_tes!M12/SER_hh_fec!M12)</f>
        <v>0.77648372943292876</v>
      </c>
      <c r="N12" s="136">
        <f>IF(SER_hh_tes!N12=0,"",SER_hh_tes!N12/SER_hh_fec!N12)</f>
        <v>0.77652704391734362</v>
      </c>
      <c r="O12" s="136">
        <f>IF(SER_hh_tes!O12=0,"",SER_hh_tes!O12/SER_hh_fec!O12)</f>
        <v>0.77652710699289584</v>
      </c>
      <c r="P12" s="136">
        <f>IF(SER_hh_tes!P12=0,"",SER_hh_tes!P12/SER_hh_fec!P12)</f>
        <v>0.77652710699289562</v>
      </c>
      <c r="Q12" s="136">
        <f>IF(SER_hh_tes!Q12=0,"",SER_hh_tes!Q12/SER_hh_fec!Q12)</f>
        <v>0.77652710699289595</v>
      </c>
      <c r="R12" s="136">
        <f>IF(SER_hh_tes!R12=0,"",SER_hh_tes!R12/SER_hh_fec!R12)</f>
        <v>0.77652710699289584</v>
      </c>
      <c r="S12" s="136">
        <f>IF(SER_hh_tes!S12=0,"",SER_hh_tes!S12/SER_hh_fec!S12)</f>
        <v>0.77652710699289607</v>
      </c>
      <c r="T12" s="136">
        <f>IF(SER_hh_tes!T12=0,"",SER_hh_tes!T12/SER_hh_fec!T12)</f>
        <v>0.77652710699289607</v>
      </c>
      <c r="U12" s="136">
        <f>IF(SER_hh_tes!U12=0,"",SER_hh_tes!U12/SER_hh_fec!U12)</f>
        <v>0.77652710699289595</v>
      </c>
      <c r="V12" s="136" t="str">
        <f>IF(SER_hh_tes!V12=0,"",SER_hh_tes!V12/SER_hh_fec!V12)</f>
        <v/>
      </c>
      <c r="W12" s="136" t="str">
        <f>IF(SER_hh_tes!W12=0,"",SER_hh_tes!W12/SER_hh_fec!W12)</f>
        <v/>
      </c>
      <c r="X12" s="136" t="str">
        <f>IF(SER_hh_tes!X12=0,"",SER_hh_tes!X12/SER_hh_fec!X12)</f>
        <v/>
      </c>
      <c r="Y12" s="136" t="str">
        <f>IF(SER_hh_tes!Y12=0,"",SER_hh_tes!Y12/SER_hh_fec!Y12)</f>
        <v/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1.3000312554311142</v>
      </c>
      <c r="C13" s="136">
        <f>IF(SER_hh_tes!C13=0,"",SER_hh_tes!C13/SER_hh_fec!C13)</f>
        <v>1.4299429063624813</v>
      </c>
      <c r="D13" s="136">
        <f>IF(SER_hh_tes!D13=0,"",SER_hh_tes!D13/SER_hh_fec!D13)</f>
        <v>1.5498729749161684</v>
      </c>
      <c r="E13" s="136">
        <f>IF(SER_hh_tes!E13=0,"",SER_hh_tes!E13/SER_hh_fec!E13)</f>
        <v>1.6406369737648165</v>
      </c>
      <c r="F13" s="136">
        <f>IF(SER_hh_tes!F13=0,"",SER_hh_tes!F13/SER_hh_fec!F13)</f>
        <v>1.730885723380577</v>
      </c>
      <c r="G13" s="136">
        <f>IF(SER_hh_tes!G13=0,"",SER_hh_tes!G13/SER_hh_fec!G13)</f>
        <v>1.8394381920777054</v>
      </c>
      <c r="H13" s="136">
        <f>IF(SER_hh_tes!H13=0,"",SER_hh_tes!H13/SER_hh_fec!H13)</f>
        <v>1.964715225382093</v>
      </c>
      <c r="I13" s="136">
        <f>IF(SER_hh_tes!I13=0,"",SER_hh_tes!I13/SER_hh_fec!I13)</f>
        <v>2.0797169185135824</v>
      </c>
      <c r="J13" s="136">
        <f>IF(SER_hh_tes!J13=0,"",SER_hh_tes!J13/SER_hh_fec!J13)</f>
        <v>2.1601375163383887</v>
      </c>
      <c r="K13" s="136">
        <f>IF(SER_hh_tes!K13=0,"",SER_hh_tes!K13/SER_hh_fec!K13)</f>
        <v>2.2028698650856797</v>
      </c>
      <c r="L13" s="136">
        <f>IF(SER_hh_tes!L13=0,"",SER_hh_tes!L13/SER_hh_fec!L13)</f>
        <v>2.2168918939102662</v>
      </c>
      <c r="M13" s="136">
        <f>IF(SER_hh_tes!M13=0,"",SER_hh_tes!M13/SER_hh_fec!M13)</f>
        <v>2.243456719450446</v>
      </c>
      <c r="N13" s="136">
        <f>IF(SER_hh_tes!N13=0,"",SER_hh_tes!N13/SER_hh_fec!N13)</f>
        <v>2.272454887276532</v>
      </c>
      <c r="O13" s="136">
        <f>IF(SER_hh_tes!O13=0,"",SER_hh_tes!O13/SER_hh_fec!O13)</f>
        <v>2.3555561887414029</v>
      </c>
      <c r="P13" s="136">
        <f>IF(SER_hh_tes!P13=0,"",SER_hh_tes!P13/SER_hh_fec!P13)</f>
        <v>2.4611230949394582</v>
      </c>
      <c r="Q13" s="136">
        <f>IF(SER_hh_tes!Q13=0,"",SER_hh_tes!Q13/SER_hh_fec!Q13)</f>
        <v>2.5784901807737657</v>
      </c>
      <c r="R13" s="136">
        <f>IF(SER_hh_tes!R13=0,"",SER_hh_tes!R13/SER_hh_fec!R13)</f>
        <v>2.7288338033571389</v>
      </c>
      <c r="S13" s="136">
        <f>IF(SER_hh_tes!S13=0,"",SER_hh_tes!S13/SER_hh_fec!S13)</f>
        <v>2.8792366263621254</v>
      </c>
      <c r="T13" s="136">
        <f>IF(SER_hh_tes!T13=0,"",SER_hh_tes!T13/SER_hh_fec!T13)</f>
        <v>3.0678983088022376</v>
      </c>
      <c r="U13" s="136">
        <f>IF(SER_hh_tes!U13=0,"",SER_hh_tes!U13/SER_hh_fec!U13)</f>
        <v>3.2404476441706871</v>
      </c>
      <c r="V13" s="136">
        <f>IF(SER_hh_tes!V13=0,"",SER_hh_tes!V13/SER_hh_fec!V13)</f>
        <v>3.4107113331807817</v>
      </c>
      <c r="W13" s="136">
        <f>IF(SER_hh_tes!W13=0,"",SER_hh_tes!W13/SER_hh_fec!W13)</f>
        <v>3.5426607471267779</v>
      </c>
      <c r="X13" s="136">
        <f>IF(SER_hh_tes!X13=0,"",SER_hh_tes!X13/SER_hh_fec!X13)</f>
        <v>3.6444061980643299</v>
      </c>
      <c r="Y13" s="136">
        <f>IF(SER_hh_tes!Y13=0,"",SER_hh_tes!Y13/SER_hh_fec!Y13)</f>
        <v>3.7305447209112717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0.55956055657703929</v>
      </c>
      <c r="C14" s="137">
        <f>IF(SER_hh_tes!C14=0,"",SER_hh_tes!C14/SER_hh_fec!C14)</f>
        <v>0.56525287805886448</v>
      </c>
      <c r="D14" s="137">
        <f>IF(SER_hh_tes!D14=0,"",SER_hh_tes!D14/SER_hh_fec!D14)</f>
        <v>0.56942512158555469</v>
      </c>
      <c r="E14" s="137">
        <f>IF(SER_hh_tes!E14=0,"",SER_hh_tes!E14/SER_hh_fec!E14)</f>
        <v>0.57466895779085381</v>
      </c>
      <c r="F14" s="137">
        <f>IF(SER_hh_tes!F14=0,"",SER_hh_tes!F14/SER_hh_fec!F14)</f>
        <v>0.58085832797059178</v>
      </c>
      <c r="G14" s="137">
        <f>IF(SER_hh_tes!G14=0,"",SER_hh_tes!G14/SER_hh_fec!G14)</f>
        <v>0.58789705413130677</v>
      </c>
      <c r="H14" s="137">
        <f>IF(SER_hh_tes!H14=0,"",SER_hh_tes!H14/SER_hh_fec!H14)</f>
        <v>0.59090965632471026</v>
      </c>
      <c r="I14" s="137">
        <f>IF(SER_hh_tes!I14=0,"",SER_hh_tes!I14/SER_hh_fec!I14)</f>
        <v>0.59330707774434133</v>
      </c>
      <c r="J14" s="137">
        <f>IF(SER_hh_tes!J14=0,"",SER_hh_tes!J14/SER_hh_fec!J14)</f>
        <v>0.59672387511036684</v>
      </c>
      <c r="K14" s="137">
        <f>IF(SER_hh_tes!K14=0,"",SER_hh_tes!K14/SER_hh_fec!K14)</f>
        <v>0.60363073966992575</v>
      </c>
      <c r="L14" s="137">
        <f>IF(SER_hh_tes!L14=0,"",SER_hh_tes!L14/SER_hh_fec!L14)</f>
        <v>0.61099858294940002</v>
      </c>
      <c r="M14" s="137">
        <f>IF(SER_hh_tes!M14=0,"",SER_hh_tes!M14/SER_hh_fec!M14)</f>
        <v>0.61499612101080858</v>
      </c>
      <c r="N14" s="137">
        <f>IF(SER_hh_tes!N14=0,"",SER_hh_tes!N14/SER_hh_fec!N14)</f>
        <v>0.61922297959736539</v>
      </c>
      <c r="O14" s="137">
        <f>IF(SER_hh_tes!O14=0,"",SER_hh_tes!O14/SER_hh_fec!O14)</f>
        <v>0.62334335093235871</v>
      </c>
      <c r="P14" s="137">
        <f>IF(SER_hh_tes!P14=0,"",SER_hh_tes!P14/SER_hh_fec!P14)</f>
        <v>0.62448558421880807</v>
      </c>
      <c r="Q14" s="137">
        <f>IF(SER_hh_tes!Q14=0,"",SER_hh_tes!Q14/SER_hh_fec!Q14)</f>
        <v>0.62717915293569249</v>
      </c>
      <c r="R14" s="137">
        <f>IF(SER_hh_tes!R14=0,"",SER_hh_tes!R14/SER_hh_fec!R14)</f>
        <v>0.63356470627140193</v>
      </c>
      <c r="S14" s="137">
        <f>IF(SER_hh_tes!S14=0,"",SER_hh_tes!S14/SER_hh_fec!S14)</f>
        <v>0.64578912324127302</v>
      </c>
      <c r="T14" s="137">
        <f>IF(SER_hh_tes!T14=0,"",SER_hh_tes!T14/SER_hh_fec!T14)</f>
        <v>0.65922474318382718</v>
      </c>
      <c r="U14" s="137">
        <f>IF(SER_hh_tes!U14=0,"",SER_hh_tes!U14/SER_hh_fec!U14)</f>
        <v>0.670193624265082</v>
      </c>
      <c r="V14" s="137">
        <f>IF(SER_hh_tes!V14=0,"",SER_hh_tes!V14/SER_hh_fec!V14)</f>
        <v>0.67853782121489881</v>
      </c>
      <c r="W14" s="137">
        <f>IF(SER_hh_tes!W14=0,"",SER_hh_tes!W14/SER_hh_fec!W14)</f>
        <v>0.6880506690513164</v>
      </c>
      <c r="X14" s="137">
        <f>IF(SER_hh_tes!X14=0,"",SER_hh_tes!X14/SER_hh_fec!X14)</f>
        <v>0.69892357915202619</v>
      </c>
      <c r="Y14" s="137">
        <f>IF(SER_hh_tes!Y14=0,"",SER_hh_tes!Y14/SER_hh_fec!Y14)</f>
        <v>0.7136997923446291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1.7470096448573724</v>
      </c>
      <c r="C16" s="135">
        <f>IF(SER_hh_tes!C16=0,"",SER_hh_tes!C16/SER_hh_fec!C16)</f>
        <v>1.8610143182535224</v>
      </c>
      <c r="D16" s="135">
        <f>IF(SER_hh_tes!D16=0,"",SER_hh_tes!D16/SER_hh_fec!D16)</f>
        <v>1.967584260639945</v>
      </c>
      <c r="E16" s="135">
        <f>IF(SER_hh_tes!E16=0,"",SER_hh_tes!E16/SER_hh_fec!E16)</f>
        <v>2.0726891064230664</v>
      </c>
      <c r="F16" s="135">
        <f>IF(SER_hh_tes!F16=0,"",SER_hh_tes!F16/SER_hh_fec!F16)</f>
        <v>2.1911896662789685</v>
      </c>
      <c r="G16" s="135">
        <f>IF(SER_hh_tes!G16=0,"",SER_hh_tes!G16/SER_hh_fec!G16)</f>
        <v>2.3416197081262786</v>
      </c>
      <c r="H16" s="135">
        <f>IF(SER_hh_tes!H16=0,"",SER_hh_tes!H16/SER_hh_fec!H16)</f>
        <v>2.5079035295490959</v>
      </c>
      <c r="I16" s="135">
        <f>IF(SER_hh_tes!I16=0,"",SER_hh_tes!I16/SER_hh_fec!I16)</f>
        <v>2.6925434584831018</v>
      </c>
      <c r="J16" s="135">
        <f>IF(SER_hh_tes!J16=0,"",SER_hh_tes!J16/SER_hh_fec!J16)</f>
        <v>2.9126878701779897</v>
      </c>
      <c r="K16" s="135">
        <f>IF(SER_hh_tes!K16=0,"",SER_hh_tes!K16/SER_hh_fec!K16)</f>
        <v>2.9869313089325589</v>
      </c>
      <c r="L16" s="135">
        <f>IF(SER_hh_tes!L16=0,"",SER_hh_tes!L16/SER_hh_fec!L16)</f>
        <v>3.072548843693927</v>
      </c>
      <c r="M16" s="135">
        <f>IF(SER_hh_tes!M16=0,"",SER_hh_tes!M16/SER_hh_fec!M16)</f>
        <v>3.1995658437418979</v>
      </c>
      <c r="N16" s="135">
        <f>IF(SER_hh_tes!N16=0,"",SER_hh_tes!N16/SER_hh_fec!N16)</f>
        <v>3.3261248644930896</v>
      </c>
      <c r="O16" s="135">
        <f>IF(SER_hh_tes!O16=0,"",SER_hh_tes!O16/SER_hh_fec!O16)</f>
        <v>3.4542793469138879</v>
      </c>
      <c r="P16" s="135">
        <f>IF(SER_hh_tes!P16=0,"",SER_hh_tes!P16/SER_hh_fec!P16)</f>
        <v>3.598629637277269</v>
      </c>
      <c r="Q16" s="135">
        <f>IF(SER_hh_tes!Q16=0,"",SER_hh_tes!Q16/SER_hh_fec!Q16)</f>
        <v>3.7554534147430751</v>
      </c>
      <c r="R16" s="135">
        <f>IF(SER_hh_tes!R16=0,"",SER_hh_tes!R16/SER_hh_fec!R16)</f>
        <v>3.9156916545355318</v>
      </c>
      <c r="S16" s="135">
        <f>IF(SER_hh_tes!S16=0,"",SER_hh_tes!S16/SER_hh_fec!S16)</f>
        <v>4.0741123056776747</v>
      </c>
      <c r="T16" s="135">
        <f>IF(SER_hh_tes!T16=0,"",SER_hh_tes!T16/SER_hh_fec!T16)</f>
        <v>4.2239376585850303</v>
      </c>
      <c r="U16" s="135">
        <f>IF(SER_hh_tes!U16=0,"",SER_hh_tes!U16/SER_hh_fec!U16)</f>
        <v>4.3453597209315422</v>
      </c>
      <c r="V16" s="135">
        <f>IF(SER_hh_tes!V16=0,"",SER_hh_tes!V16/SER_hh_fec!V16)</f>
        <v>4.4442645608137896</v>
      </c>
      <c r="W16" s="135">
        <f>IF(SER_hh_tes!W16=0,"",SER_hh_tes!W16/SER_hh_fec!W16)</f>
        <v>4.5398309288634691</v>
      </c>
      <c r="X16" s="135">
        <f>IF(SER_hh_tes!X16=0,"",SER_hh_tes!X16/SER_hh_fec!X16)</f>
        <v>4.618481580196323</v>
      </c>
      <c r="Y16" s="135">
        <f>IF(SER_hh_tes!Y16=0,"",SER_hh_tes!Y16/SER_hh_fec!Y16)</f>
        <v>4.6816509390989811</v>
      </c>
      <c r="DA16" s="162" t="s">
        <v>241</v>
      </c>
    </row>
    <row r="17" spans="1:105" ht="12.95" customHeight="1" x14ac:dyDescent="0.25">
      <c r="A17" s="131" t="s">
        <v>73</v>
      </c>
      <c r="B17" s="136" t="str">
        <f>IF(SER_hh_tes!B17=0,"",SER_hh_tes!B17/SER_hh_fec!B17)</f>
        <v/>
      </c>
      <c r="C17" s="136" t="str">
        <f>IF(SER_hh_tes!C17=0,"",SER_hh_tes!C17/SER_hh_fec!C17)</f>
        <v/>
      </c>
      <c r="D17" s="136" t="str">
        <f>IF(SER_hh_tes!D17=0,"",SER_hh_tes!D17/SER_hh_fec!D17)</f>
        <v/>
      </c>
      <c r="E17" s="136" t="str">
        <f>IF(SER_hh_tes!E17=0,"",SER_hh_tes!E17/SER_hh_fec!E17)</f>
        <v/>
      </c>
      <c r="F17" s="136" t="str">
        <f>IF(SER_hh_tes!F17=0,"",SER_hh_tes!F17/SER_hh_fec!F17)</f>
        <v/>
      </c>
      <c r="G17" s="136" t="str">
        <f>IF(SER_hh_tes!G17=0,"",SER_hh_tes!G17/SER_hh_fec!G17)</f>
        <v/>
      </c>
      <c r="H17" s="136" t="str">
        <f>IF(SER_hh_tes!H17=0,"",SER_hh_tes!H17/SER_hh_fec!H17)</f>
        <v/>
      </c>
      <c r="I17" s="136" t="str">
        <f>IF(SER_hh_tes!I17=0,"",SER_hh_tes!I17/SER_hh_fec!I17)</f>
        <v/>
      </c>
      <c r="J17" s="136" t="str">
        <f>IF(SER_hh_tes!J17=0,"",SER_hh_tes!J17/SER_hh_fec!J17)</f>
        <v/>
      </c>
      <c r="K17" s="136" t="str">
        <f>IF(SER_hh_tes!K17=0,"",SER_hh_tes!K17/SER_hh_fec!K17)</f>
        <v/>
      </c>
      <c r="L17" s="136" t="str">
        <f>IF(SER_hh_tes!L17=0,"",SER_hh_tes!L17/SER_hh_fec!L17)</f>
        <v/>
      </c>
      <c r="M17" s="136" t="str">
        <f>IF(SER_hh_tes!M17=0,"",SER_hh_tes!M17/SER_hh_fec!M17)</f>
        <v/>
      </c>
      <c r="N17" s="136" t="str">
        <f>IF(SER_hh_tes!N17=0,"",SER_hh_tes!N17/SER_hh_fec!N17)</f>
        <v/>
      </c>
      <c r="O17" s="136" t="str">
        <f>IF(SER_hh_tes!O17=0,"",SER_hh_tes!O17/SER_hh_fec!O17)</f>
        <v/>
      </c>
      <c r="P17" s="136" t="str">
        <f>IF(SER_hh_tes!P17=0,"",SER_hh_tes!P17/SER_hh_fec!P17)</f>
        <v/>
      </c>
      <c r="Q17" s="136" t="str">
        <f>IF(SER_hh_tes!Q17=0,"",SER_hh_tes!Q17/SER_hh_fec!Q17)</f>
        <v/>
      </c>
      <c r="R17" s="136" t="str">
        <f>IF(SER_hh_tes!R17=0,"",SER_hh_tes!R17/SER_hh_fec!R17)</f>
        <v/>
      </c>
      <c r="S17" s="136" t="str">
        <f>IF(SER_hh_tes!S17=0,"",SER_hh_tes!S17/SER_hh_fec!S17)</f>
        <v/>
      </c>
      <c r="T17" s="136" t="str">
        <f>IF(SER_hh_tes!T17=0,"",SER_hh_tes!T17/SER_hh_fec!T17)</f>
        <v/>
      </c>
      <c r="U17" s="136" t="str">
        <f>IF(SER_hh_tes!U17=0,"",SER_hh_tes!U17/SER_hh_fec!U17)</f>
        <v/>
      </c>
      <c r="V17" s="136" t="str">
        <f>IF(SER_hh_tes!V17=0,"",SER_hh_tes!V17/SER_hh_fec!V17)</f>
        <v/>
      </c>
      <c r="W17" s="136" t="str">
        <f>IF(SER_hh_tes!W17=0,"",SER_hh_tes!W17/SER_hh_fec!W17)</f>
        <v/>
      </c>
      <c r="X17" s="136" t="str">
        <f>IF(SER_hh_tes!X17=0,"",SER_hh_tes!X17/SER_hh_fec!X17)</f>
        <v/>
      </c>
      <c r="Y17" s="136" t="str">
        <f>IF(SER_hh_tes!Y17=0,"",SER_hh_tes!Y17/SER_hh_fec!Y17)</f>
        <v/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1.7470096448573724</v>
      </c>
      <c r="C18" s="136">
        <f>IF(SER_hh_tes!C18=0,"",SER_hh_tes!C18/SER_hh_fec!C18)</f>
        <v>1.8610143182535224</v>
      </c>
      <c r="D18" s="136">
        <f>IF(SER_hh_tes!D18=0,"",SER_hh_tes!D18/SER_hh_fec!D18)</f>
        <v>1.967584260639945</v>
      </c>
      <c r="E18" s="136">
        <f>IF(SER_hh_tes!E18=0,"",SER_hh_tes!E18/SER_hh_fec!E18)</f>
        <v>2.0726891064230664</v>
      </c>
      <c r="F18" s="136">
        <f>IF(SER_hh_tes!F18=0,"",SER_hh_tes!F18/SER_hh_fec!F18)</f>
        <v>2.1911896662789685</v>
      </c>
      <c r="G18" s="136">
        <f>IF(SER_hh_tes!G18=0,"",SER_hh_tes!G18/SER_hh_fec!G18)</f>
        <v>2.3416197081262786</v>
      </c>
      <c r="H18" s="136">
        <f>IF(SER_hh_tes!H18=0,"",SER_hh_tes!H18/SER_hh_fec!H18)</f>
        <v>2.5079035295490959</v>
      </c>
      <c r="I18" s="136">
        <f>IF(SER_hh_tes!I18=0,"",SER_hh_tes!I18/SER_hh_fec!I18)</f>
        <v>2.6925434584831018</v>
      </c>
      <c r="J18" s="136">
        <f>IF(SER_hh_tes!J18=0,"",SER_hh_tes!J18/SER_hh_fec!J18)</f>
        <v>2.9126878701779897</v>
      </c>
      <c r="K18" s="136">
        <f>IF(SER_hh_tes!K18=0,"",SER_hh_tes!K18/SER_hh_fec!K18)</f>
        <v>2.9869313089325589</v>
      </c>
      <c r="L18" s="136">
        <f>IF(SER_hh_tes!L18=0,"",SER_hh_tes!L18/SER_hh_fec!L18)</f>
        <v>3.072548843693927</v>
      </c>
      <c r="M18" s="136">
        <f>IF(SER_hh_tes!M18=0,"",SER_hh_tes!M18/SER_hh_fec!M18)</f>
        <v>3.1995658437418979</v>
      </c>
      <c r="N18" s="136">
        <f>IF(SER_hh_tes!N18=0,"",SER_hh_tes!N18/SER_hh_fec!N18)</f>
        <v>3.3261248644930896</v>
      </c>
      <c r="O18" s="136">
        <f>IF(SER_hh_tes!O18=0,"",SER_hh_tes!O18/SER_hh_fec!O18)</f>
        <v>3.4542793469138879</v>
      </c>
      <c r="P18" s="136">
        <f>IF(SER_hh_tes!P18=0,"",SER_hh_tes!P18/SER_hh_fec!P18)</f>
        <v>3.598629637277269</v>
      </c>
      <c r="Q18" s="136">
        <f>IF(SER_hh_tes!Q18=0,"",SER_hh_tes!Q18/SER_hh_fec!Q18)</f>
        <v>3.7554534147430751</v>
      </c>
      <c r="R18" s="136">
        <f>IF(SER_hh_tes!R18=0,"",SER_hh_tes!R18/SER_hh_fec!R18)</f>
        <v>3.9156916545355318</v>
      </c>
      <c r="S18" s="136">
        <f>IF(SER_hh_tes!S18=0,"",SER_hh_tes!S18/SER_hh_fec!S18)</f>
        <v>4.0741123056776747</v>
      </c>
      <c r="T18" s="136">
        <f>IF(SER_hh_tes!T18=0,"",SER_hh_tes!T18/SER_hh_fec!T18)</f>
        <v>4.2239376585850303</v>
      </c>
      <c r="U18" s="136">
        <f>IF(SER_hh_tes!U18=0,"",SER_hh_tes!U18/SER_hh_fec!U18)</f>
        <v>4.3453597209315422</v>
      </c>
      <c r="V18" s="136">
        <f>IF(SER_hh_tes!V18=0,"",SER_hh_tes!V18/SER_hh_fec!V18)</f>
        <v>4.4442645608137896</v>
      </c>
      <c r="W18" s="136">
        <f>IF(SER_hh_tes!W18=0,"",SER_hh_tes!W18/SER_hh_fec!W18)</f>
        <v>4.5398309288634691</v>
      </c>
      <c r="X18" s="136">
        <f>IF(SER_hh_tes!X18=0,"",SER_hh_tes!X18/SER_hh_fec!X18)</f>
        <v>4.618481580196323</v>
      </c>
      <c r="Y18" s="136">
        <f>IF(SER_hh_tes!Y18=0,"",SER_hh_tes!Y18/SER_hh_fec!Y18)</f>
        <v>4.6816509390989811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0.51082510445193585</v>
      </c>
      <c r="C19" s="135">
        <f>IF(SER_hh_tes!C19=0,"",SER_hh_tes!C19/SER_hh_fec!C19)</f>
        <v>0.51275099432508275</v>
      </c>
      <c r="D19" s="135">
        <f>IF(SER_hh_tes!D19=0,"",SER_hh_tes!D19/SER_hh_fec!D19)</f>
        <v>0.5147876881261797</v>
      </c>
      <c r="E19" s="135">
        <f>IF(SER_hh_tes!E19=0,"",SER_hh_tes!E19/SER_hh_fec!E19)</f>
        <v>0.51745568084813509</v>
      </c>
      <c r="F19" s="135">
        <f>IF(SER_hh_tes!F19=0,"",SER_hh_tes!F19/SER_hh_fec!F19)</f>
        <v>0.5197172128258194</v>
      </c>
      <c r="G19" s="135">
        <f>IF(SER_hh_tes!G19=0,"",SER_hh_tes!G19/SER_hh_fec!G19)</f>
        <v>0.52170011574792741</v>
      </c>
      <c r="H19" s="135">
        <f>IF(SER_hh_tes!H19=0,"",SER_hh_tes!H19/SER_hh_fec!H19)</f>
        <v>0.51675521124680668</v>
      </c>
      <c r="I19" s="135">
        <f>IF(SER_hh_tes!I19=0,"",SER_hh_tes!I19/SER_hh_fec!I19)</f>
        <v>0.516482005244291</v>
      </c>
      <c r="J19" s="135">
        <f>IF(SER_hh_tes!J19=0,"",SER_hh_tes!J19/SER_hh_fec!J19)</f>
        <v>0.52090869583742816</v>
      </c>
      <c r="K19" s="135">
        <f>IF(SER_hh_tes!K19=0,"",SER_hh_tes!K19/SER_hh_fec!K19)</f>
        <v>0.52464243583065528</v>
      </c>
      <c r="L19" s="135">
        <f>IF(SER_hh_tes!L19=0,"",SER_hh_tes!L19/SER_hh_fec!L19)</f>
        <v>0.5347025685322162</v>
      </c>
      <c r="M19" s="135">
        <f>IF(SER_hh_tes!M19=0,"",SER_hh_tes!M19/SER_hh_fec!M19)</f>
        <v>0.53953274439669829</v>
      </c>
      <c r="N19" s="135">
        <f>IF(SER_hh_tes!N19=0,"",SER_hh_tes!N19/SER_hh_fec!N19)</f>
        <v>0.54721441746257826</v>
      </c>
      <c r="O19" s="135">
        <f>IF(SER_hh_tes!O19=0,"",SER_hh_tes!O19/SER_hh_fec!O19)</f>
        <v>0.55590181810360273</v>
      </c>
      <c r="P19" s="135">
        <f>IF(SER_hh_tes!P19=0,"",SER_hh_tes!P19/SER_hh_fec!P19)</f>
        <v>0.56165234037701206</v>
      </c>
      <c r="Q19" s="135">
        <f>IF(SER_hh_tes!Q19=0,"",SER_hh_tes!Q19/SER_hh_fec!Q19)</f>
        <v>0.5688354572869444</v>
      </c>
      <c r="R19" s="135">
        <f>IF(SER_hh_tes!R19=0,"",SER_hh_tes!R19/SER_hh_fec!R19)</f>
        <v>0.57769378009022843</v>
      </c>
      <c r="S19" s="135">
        <f>IF(SER_hh_tes!S19=0,"",SER_hh_tes!S19/SER_hh_fec!S19)</f>
        <v>0.5882904208852312</v>
      </c>
      <c r="T19" s="135">
        <f>IF(SER_hh_tes!T19=0,"",SER_hh_tes!T19/SER_hh_fec!T19)</f>
        <v>0.59897951548449924</v>
      </c>
      <c r="U19" s="135">
        <f>IF(SER_hh_tes!U19=0,"",SER_hh_tes!U19/SER_hh_fec!U19)</f>
        <v>0.61089547236781516</v>
      </c>
      <c r="V19" s="135">
        <f>IF(SER_hh_tes!V19=0,"",SER_hh_tes!V19/SER_hh_fec!V19)</f>
        <v>0.6243948393494908</v>
      </c>
      <c r="W19" s="135">
        <f>IF(SER_hh_tes!W19=0,"",SER_hh_tes!W19/SER_hh_fec!W19)</f>
        <v>0.63877733997864017</v>
      </c>
      <c r="X19" s="135">
        <f>IF(SER_hh_tes!X19=0,"",SER_hh_tes!X19/SER_hh_fec!X19)</f>
        <v>0.6534694019193571</v>
      </c>
      <c r="Y19" s="135">
        <f>IF(SER_hh_tes!Y19=0,"",SER_hh_tes!Y19/SER_hh_fec!Y19)</f>
        <v>0.66936178866115115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>
        <f>IF(SER_hh_tes!B21=0,"",SER_hh_tes!B21/SER_hh_fec!B21)</f>
        <v>0.43275979414661264</v>
      </c>
      <c r="C21" s="136">
        <f>IF(SER_hh_tes!C21=0,"",SER_hh_tes!C21/SER_hh_fec!C21)</f>
        <v>0.43430295804339808</v>
      </c>
      <c r="D21" s="136">
        <f>IF(SER_hh_tes!D21=0,"",SER_hh_tes!D21/SER_hh_fec!D21)</f>
        <v>0.43541420206420389</v>
      </c>
      <c r="E21" s="136">
        <f>IF(SER_hh_tes!E21=0,"",SER_hh_tes!E21/SER_hh_fec!E21)</f>
        <v>0.43715890349398423</v>
      </c>
      <c r="F21" s="136">
        <f>IF(SER_hh_tes!F21=0,"",SER_hh_tes!F21/SER_hh_fec!F21)</f>
        <v>0.44005247847507167</v>
      </c>
      <c r="G21" s="136">
        <f>IF(SER_hh_tes!G21=0,"",SER_hh_tes!G21/SER_hh_fec!G21)</f>
        <v>0.44568424544426366</v>
      </c>
      <c r="H21" s="136">
        <f>IF(SER_hh_tes!H21=0,"",SER_hh_tes!H21/SER_hh_fec!H21)</f>
        <v>0.44882145897647013</v>
      </c>
      <c r="I21" s="136">
        <f>IF(SER_hh_tes!I21=0,"",SER_hh_tes!I21/SER_hh_fec!I21)</f>
        <v>0.45078649723198333</v>
      </c>
      <c r="J21" s="136">
        <f>IF(SER_hh_tes!J21=0,"",SER_hh_tes!J21/SER_hh_fec!J21)</f>
        <v>0.45300167251476897</v>
      </c>
      <c r="K21" s="136">
        <f>IF(SER_hh_tes!K21=0,"",SER_hh_tes!K21/SER_hh_fec!K21)</f>
        <v>0.45498712006829672</v>
      </c>
      <c r="L21" s="136">
        <f>IF(SER_hh_tes!L21=0,"",SER_hh_tes!L21/SER_hh_fec!L21)</f>
        <v>0.4561315394056123</v>
      </c>
      <c r="M21" s="136">
        <f>IF(SER_hh_tes!M21=0,"",SER_hh_tes!M21/SER_hh_fec!M21)</f>
        <v>0.45739766321176561</v>
      </c>
      <c r="N21" s="136">
        <f>IF(SER_hh_tes!N21=0,"",SER_hh_tes!N21/SER_hh_fec!N21)</f>
        <v>0.45863426606458407</v>
      </c>
      <c r="O21" s="136">
        <f>IF(SER_hh_tes!O21=0,"",SER_hh_tes!O21/SER_hh_fec!O21)</f>
        <v>0.4601668242757217</v>
      </c>
      <c r="P21" s="136">
        <f>IF(SER_hh_tes!P21=0,"",SER_hh_tes!P21/SER_hh_fec!P21)</f>
        <v>0.46016682427572142</v>
      </c>
      <c r="Q21" s="136">
        <f>IF(SER_hh_tes!Q21=0,"",SER_hh_tes!Q21/SER_hh_fec!Q21)</f>
        <v>0.46016682427572192</v>
      </c>
      <c r="R21" s="136">
        <f>IF(SER_hh_tes!R21=0,"",SER_hh_tes!R21/SER_hh_fec!R21)</f>
        <v>0.46024322281513974</v>
      </c>
      <c r="S21" s="136">
        <f>IF(SER_hh_tes!S21=0,"",SER_hh_tes!S21/SER_hh_fec!S21)</f>
        <v>0.479974180231861</v>
      </c>
      <c r="T21" s="136">
        <f>IF(SER_hh_tes!T21=0,"",SER_hh_tes!T21/SER_hh_fec!T21)</f>
        <v>0.50031205372664078</v>
      </c>
      <c r="U21" s="136">
        <f>IF(SER_hh_tes!U21=0,"",SER_hh_tes!U21/SER_hh_fec!U21)</f>
        <v>0.51557971583084983</v>
      </c>
      <c r="V21" s="136">
        <f>IF(SER_hh_tes!V21=0,"",SER_hh_tes!V21/SER_hh_fec!V21)</f>
        <v>0.53732010502927241</v>
      </c>
      <c r="W21" s="136">
        <f>IF(SER_hh_tes!W21=0,"",SER_hh_tes!W21/SER_hh_fec!W21)</f>
        <v>0.57629993416394643</v>
      </c>
      <c r="X21" s="136">
        <f>IF(SER_hh_tes!X21=0,"",SER_hh_tes!X21/SER_hh_fec!X21)</f>
        <v>0.59841489988313235</v>
      </c>
      <c r="Y21" s="136">
        <f>IF(SER_hh_tes!Y21=0,"",SER_hh_tes!Y21/SER_hh_fec!Y21)</f>
        <v>0.61663353748972471</v>
      </c>
      <c r="DA21" s="163" t="s">
        <v>346</v>
      </c>
    </row>
    <row r="22" spans="1:105" ht="12" customHeight="1" x14ac:dyDescent="0.25">
      <c r="A22" s="131" t="s">
        <v>161</v>
      </c>
      <c r="B22" s="136" t="str">
        <f>IF(SER_hh_tes!B22=0,"",SER_hh_tes!B22/SER_hh_fec!B22)</f>
        <v/>
      </c>
      <c r="C22" s="136" t="str">
        <f>IF(SER_hh_tes!C22=0,"",SER_hh_tes!C22/SER_hh_fec!C22)</f>
        <v/>
      </c>
      <c r="D22" s="136" t="str">
        <f>IF(SER_hh_tes!D22=0,"",SER_hh_tes!D22/SER_hh_fec!D22)</f>
        <v/>
      </c>
      <c r="E22" s="136" t="str">
        <f>IF(SER_hh_tes!E22=0,"",SER_hh_tes!E22/SER_hh_fec!E22)</f>
        <v/>
      </c>
      <c r="F22" s="136" t="str">
        <f>IF(SER_hh_tes!F22=0,"",SER_hh_tes!F22/SER_hh_fec!F22)</f>
        <v/>
      </c>
      <c r="G22" s="136" t="str">
        <f>IF(SER_hh_tes!G22=0,"",SER_hh_tes!G22/SER_hh_fec!G22)</f>
        <v/>
      </c>
      <c r="H22" s="136" t="str">
        <f>IF(SER_hh_tes!H22=0,"",SER_hh_tes!H22/SER_hh_fec!H22)</f>
        <v/>
      </c>
      <c r="I22" s="136" t="str">
        <f>IF(SER_hh_tes!I22=0,"",SER_hh_tes!I22/SER_hh_fec!I22)</f>
        <v/>
      </c>
      <c r="J22" s="136" t="str">
        <f>IF(SER_hh_tes!J22=0,"",SER_hh_tes!J22/SER_hh_fec!J22)</f>
        <v/>
      </c>
      <c r="K22" s="136" t="str">
        <f>IF(SER_hh_tes!K22=0,"",SER_hh_tes!K22/SER_hh_fec!K22)</f>
        <v/>
      </c>
      <c r="L22" s="136" t="str">
        <f>IF(SER_hh_tes!L22=0,"",SER_hh_tes!L22/SER_hh_fec!L22)</f>
        <v/>
      </c>
      <c r="M22" s="136" t="str">
        <f>IF(SER_hh_tes!M22=0,"",SER_hh_tes!M22/SER_hh_fec!M22)</f>
        <v/>
      </c>
      <c r="N22" s="136" t="str">
        <f>IF(SER_hh_tes!N22=0,"",SER_hh_tes!N22/SER_hh_fec!N22)</f>
        <v/>
      </c>
      <c r="O22" s="136" t="str">
        <f>IF(SER_hh_tes!O22=0,"",SER_hh_tes!O22/SER_hh_fec!O22)</f>
        <v/>
      </c>
      <c r="P22" s="136" t="str">
        <f>IF(SER_hh_tes!P22=0,"",SER_hh_tes!P22/SER_hh_fec!P22)</f>
        <v/>
      </c>
      <c r="Q22" s="136" t="str">
        <f>IF(SER_hh_tes!Q22=0,"",SER_hh_tes!Q22/SER_hh_fec!Q22)</f>
        <v/>
      </c>
      <c r="R22" s="136" t="str">
        <f>IF(SER_hh_tes!R22=0,"",SER_hh_tes!R22/SER_hh_fec!R22)</f>
        <v/>
      </c>
      <c r="S22" s="136" t="str">
        <f>IF(SER_hh_tes!S22=0,"",SER_hh_tes!S22/SER_hh_fec!S22)</f>
        <v/>
      </c>
      <c r="T22" s="136" t="str">
        <f>IF(SER_hh_tes!T22=0,"",SER_hh_tes!T22/SER_hh_fec!T22)</f>
        <v/>
      </c>
      <c r="U22" s="136" t="str">
        <f>IF(SER_hh_tes!U22=0,"",SER_hh_tes!U22/SER_hh_fec!U22)</f>
        <v/>
      </c>
      <c r="V22" s="136" t="str">
        <f>IF(SER_hh_tes!V22=0,"",SER_hh_tes!V22/SER_hh_fec!V22)</f>
        <v/>
      </c>
      <c r="W22" s="136" t="str">
        <f>IF(SER_hh_tes!W22=0,"",SER_hh_tes!W22/SER_hh_fec!W22)</f>
        <v/>
      </c>
      <c r="X22" s="136" t="str">
        <f>IF(SER_hh_tes!X22=0,"",SER_hh_tes!X22/SER_hh_fec!X22)</f>
        <v/>
      </c>
      <c r="Y22" s="136" t="str">
        <f>IF(SER_hh_tes!Y22=0,"",SER_hh_tes!Y22/SER_hh_fec!Y22)</f>
        <v/>
      </c>
      <c r="DA22" s="163" t="s">
        <v>347</v>
      </c>
    </row>
    <row r="23" spans="1:105" ht="12" customHeight="1" x14ac:dyDescent="0.25">
      <c r="A23" s="131" t="s">
        <v>149</v>
      </c>
      <c r="B23" s="136" t="str">
        <f>IF(SER_hh_tes!B23=0,"",SER_hh_tes!B23/SER_hh_fec!B23)</f>
        <v/>
      </c>
      <c r="C23" s="136" t="str">
        <f>IF(SER_hh_tes!C23=0,"",SER_hh_tes!C23/SER_hh_fec!C23)</f>
        <v/>
      </c>
      <c r="D23" s="136" t="str">
        <f>IF(SER_hh_tes!D23=0,"",SER_hh_tes!D23/SER_hh_fec!D23)</f>
        <v/>
      </c>
      <c r="E23" s="136" t="str">
        <f>IF(SER_hh_tes!E23=0,"",SER_hh_tes!E23/SER_hh_fec!E23)</f>
        <v/>
      </c>
      <c r="F23" s="136" t="str">
        <f>IF(SER_hh_tes!F23=0,"",SER_hh_tes!F23/SER_hh_fec!F23)</f>
        <v/>
      </c>
      <c r="G23" s="136" t="str">
        <f>IF(SER_hh_tes!G23=0,"",SER_hh_tes!G23/SER_hh_fec!G23)</f>
        <v/>
      </c>
      <c r="H23" s="136" t="str">
        <f>IF(SER_hh_tes!H23=0,"",SER_hh_tes!H23/SER_hh_fec!H23)</f>
        <v/>
      </c>
      <c r="I23" s="136" t="str">
        <f>IF(SER_hh_tes!I23=0,"",SER_hh_tes!I23/SER_hh_fec!I23)</f>
        <v/>
      </c>
      <c r="J23" s="136" t="str">
        <f>IF(SER_hh_tes!J23=0,"",SER_hh_tes!J23/SER_hh_fec!J23)</f>
        <v/>
      </c>
      <c r="K23" s="136" t="str">
        <f>IF(SER_hh_tes!K23=0,"",SER_hh_tes!K23/SER_hh_fec!K23)</f>
        <v/>
      </c>
      <c r="L23" s="136" t="str">
        <f>IF(SER_hh_tes!L23=0,"",SER_hh_tes!L23/SER_hh_fec!L23)</f>
        <v/>
      </c>
      <c r="M23" s="136" t="str">
        <f>IF(SER_hh_tes!M23=0,"",SER_hh_tes!M23/SER_hh_fec!M23)</f>
        <v/>
      </c>
      <c r="N23" s="136" t="str">
        <f>IF(SER_hh_tes!N23=0,"",SER_hh_tes!N23/SER_hh_fec!N23)</f>
        <v/>
      </c>
      <c r="O23" s="136" t="str">
        <f>IF(SER_hh_tes!O23=0,"",SER_hh_tes!O23/SER_hh_fec!O23)</f>
        <v/>
      </c>
      <c r="P23" s="136" t="str">
        <f>IF(SER_hh_tes!P23=0,"",SER_hh_tes!P23/SER_hh_fec!P23)</f>
        <v/>
      </c>
      <c r="Q23" s="136" t="str">
        <f>IF(SER_hh_tes!Q23=0,"",SER_hh_tes!Q23/SER_hh_fec!Q23)</f>
        <v/>
      </c>
      <c r="R23" s="136" t="str">
        <f>IF(SER_hh_tes!R23=0,"",SER_hh_tes!R23/SER_hh_fec!R23)</f>
        <v/>
      </c>
      <c r="S23" s="136" t="str">
        <f>IF(SER_hh_tes!S23=0,"",SER_hh_tes!S23/SER_hh_fec!S23)</f>
        <v/>
      </c>
      <c r="T23" s="136" t="str">
        <f>IF(SER_hh_tes!T23=0,"",SER_hh_tes!T23/SER_hh_fec!T23)</f>
        <v/>
      </c>
      <c r="U23" s="136" t="str">
        <f>IF(SER_hh_tes!U23=0,"",SER_hh_tes!U23/SER_hh_fec!U23)</f>
        <v/>
      </c>
      <c r="V23" s="136" t="str">
        <f>IF(SER_hh_tes!V23=0,"",SER_hh_tes!V23/SER_hh_fec!V23)</f>
        <v/>
      </c>
      <c r="W23" s="136" t="str">
        <f>IF(SER_hh_tes!W23=0,"",SER_hh_tes!W23/SER_hh_fec!W23)</f>
        <v/>
      </c>
      <c r="X23" s="136" t="str">
        <f>IF(SER_hh_tes!X23=0,"",SER_hh_tes!X23/SER_hh_fec!X23)</f>
        <v/>
      </c>
      <c r="Y23" s="136" t="str">
        <f>IF(SER_hh_tes!Y23=0,"",SER_hh_tes!Y23/SER_hh_fec!Y23)</f>
        <v/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 t="str">
        <f>IF(SER_hh_tes!B25=0,"",SER_hh_tes!B25/SER_hh_fec!B25)</f>
        <v/>
      </c>
      <c r="C25" s="136" t="str">
        <f>IF(SER_hh_tes!C25=0,"",SER_hh_tes!C25/SER_hh_fec!C25)</f>
        <v/>
      </c>
      <c r="D25" s="136" t="str">
        <f>IF(SER_hh_tes!D25=0,"",SER_hh_tes!D25/SER_hh_fec!D25)</f>
        <v/>
      </c>
      <c r="E25" s="136" t="str">
        <f>IF(SER_hh_tes!E25=0,"",SER_hh_tes!E25/SER_hh_fec!E25)</f>
        <v/>
      </c>
      <c r="F25" s="136" t="str">
        <f>IF(SER_hh_tes!F25=0,"",SER_hh_tes!F25/SER_hh_fec!F25)</f>
        <v/>
      </c>
      <c r="G25" s="136" t="str">
        <f>IF(SER_hh_tes!G25=0,"",SER_hh_tes!G25/SER_hh_fec!G25)</f>
        <v/>
      </c>
      <c r="H25" s="136" t="str">
        <f>IF(SER_hh_tes!H25=0,"",SER_hh_tes!H25/SER_hh_fec!H25)</f>
        <v/>
      </c>
      <c r="I25" s="136" t="str">
        <f>IF(SER_hh_tes!I25=0,"",SER_hh_tes!I25/SER_hh_fec!I25)</f>
        <v/>
      </c>
      <c r="J25" s="136" t="str">
        <f>IF(SER_hh_tes!J25=0,"",SER_hh_tes!J25/SER_hh_fec!J25)</f>
        <v/>
      </c>
      <c r="K25" s="136" t="str">
        <f>IF(SER_hh_tes!K25=0,"",SER_hh_tes!K25/SER_hh_fec!K25)</f>
        <v/>
      </c>
      <c r="L25" s="136" t="str">
        <f>IF(SER_hh_tes!L25=0,"",SER_hh_tes!L25/SER_hh_fec!L25)</f>
        <v/>
      </c>
      <c r="M25" s="136">
        <f>IF(SER_hh_tes!M25=0,"",SER_hh_tes!M25/SER_hh_fec!M25)</f>
        <v>0.62793220958967977</v>
      </c>
      <c r="N25" s="136">
        <f>IF(SER_hh_tes!N25=0,"",SER_hh_tes!N25/SER_hh_fec!N25)</f>
        <v>0.62885300534983635</v>
      </c>
      <c r="O25" s="136">
        <f>IF(SER_hh_tes!O25=0,"",SER_hh_tes!O25/SER_hh_fec!O25)</f>
        <v>0.62987139563439765</v>
      </c>
      <c r="P25" s="136">
        <f>IF(SER_hh_tes!P25=0,"",SER_hh_tes!P25/SER_hh_fec!P25)</f>
        <v>0.62987677360997307</v>
      </c>
      <c r="Q25" s="136">
        <f>IF(SER_hh_tes!Q25=0,"",SER_hh_tes!Q25/SER_hh_fec!Q25)</f>
        <v>0.6298767736099733</v>
      </c>
      <c r="R25" s="136">
        <f>IF(SER_hh_tes!R25=0,"",SER_hh_tes!R25/SER_hh_fec!R25)</f>
        <v>0.6298767736099733</v>
      </c>
      <c r="S25" s="136">
        <f>IF(SER_hh_tes!S25=0,"",SER_hh_tes!S25/SER_hh_fec!S25)</f>
        <v>0.6298767736099733</v>
      </c>
      <c r="T25" s="136">
        <f>IF(SER_hh_tes!T25=0,"",SER_hh_tes!T25/SER_hh_fec!T25)</f>
        <v>0.6298767736099733</v>
      </c>
      <c r="U25" s="136">
        <f>IF(SER_hh_tes!U25=0,"",SER_hh_tes!U25/SER_hh_fec!U25)</f>
        <v>0.6298767736099733</v>
      </c>
      <c r="V25" s="136" t="str">
        <f>IF(SER_hh_tes!V25=0,"",SER_hh_tes!V25/SER_hh_fec!V25)</f>
        <v/>
      </c>
      <c r="W25" s="136" t="str">
        <f>IF(SER_hh_tes!W25=0,"",SER_hh_tes!W25/SER_hh_fec!W25)</f>
        <v/>
      </c>
      <c r="X25" s="136" t="str">
        <f>IF(SER_hh_tes!X25=0,"",SER_hh_tes!X25/SER_hh_fec!X25)</f>
        <v/>
      </c>
      <c r="Y25" s="136" t="str">
        <f>IF(SER_hh_tes!Y25=0,"",SER_hh_tes!Y25/SER_hh_fec!Y25)</f>
        <v/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0.5174826131184308</v>
      </c>
      <c r="C26" s="137">
        <f>IF(SER_hh_tes!C26=0,"",SER_hh_tes!C26/SER_hh_fec!C26)</f>
        <v>0.51949689134354782</v>
      </c>
      <c r="D26" s="137">
        <f>IF(SER_hh_tes!D26=0,"",SER_hh_tes!D26/SER_hh_fec!D26)</f>
        <v>0.52126756162063614</v>
      </c>
      <c r="E26" s="137">
        <f>IF(SER_hh_tes!E26=0,"",SER_hh_tes!E26/SER_hh_fec!E26)</f>
        <v>0.52297914233714071</v>
      </c>
      <c r="F26" s="137">
        <f>IF(SER_hh_tes!F26=0,"",SER_hh_tes!F26/SER_hh_fec!F26)</f>
        <v>0.5246662777042288</v>
      </c>
      <c r="G26" s="137">
        <f>IF(SER_hh_tes!G26=0,"",SER_hh_tes!G26/SER_hh_fec!G26)</f>
        <v>0.5268306194072141</v>
      </c>
      <c r="H26" s="137">
        <f>IF(SER_hh_tes!H26=0,"",SER_hh_tes!H26/SER_hh_fec!H26)</f>
        <v>0.52914645820159112</v>
      </c>
      <c r="I26" s="137">
        <f>IF(SER_hh_tes!I26=0,"",SER_hh_tes!I26/SER_hh_fec!I26)</f>
        <v>0.53183920407067431</v>
      </c>
      <c r="J26" s="137">
        <f>IF(SER_hh_tes!J26=0,"",SER_hh_tes!J26/SER_hh_fec!J26)</f>
        <v>0.5352129908246559</v>
      </c>
      <c r="K26" s="137">
        <f>IF(SER_hh_tes!K26=0,"",SER_hh_tes!K26/SER_hh_fec!K26)</f>
        <v>0.53787894931397351</v>
      </c>
      <c r="L26" s="137">
        <f>IF(SER_hh_tes!L26=0,"",SER_hh_tes!L26/SER_hh_fec!L26)</f>
        <v>0.54114832920630707</v>
      </c>
      <c r="M26" s="137">
        <f>IF(SER_hh_tes!M26=0,"",SER_hh_tes!M26/SER_hh_fec!M26)</f>
        <v>0.54555376531032618</v>
      </c>
      <c r="N26" s="137">
        <f>IF(SER_hh_tes!N26=0,"",SER_hh_tes!N26/SER_hh_fec!N26)</f>
        <v>0.55182842250858066</v>
      </c>
      <c r="O26" s="137">
        <f>IF(SER_hh_tes!O26=0,"",SER_hh_tes!O26/SER_hh_fec!O26)</f>
        <v>0.55854153342907809</v>
      </c>
      <c r="P26" s="137">
        <f>IF(SER_hh_tes!P26=0,"",SER_hh_tes!P26/SER_hh_fec!P26)</f>
        <v>0.56381917151291949</v>
      </c>
      <c r="Q26" s="137">
        <f>IF(SER_hh_tes!Q26=0,"",SER_hh_tes!Q26/SER_hh_fec!Q26)</f>
        <v>0.57079996718366144</v>
      </c>
      <c r="R26" s="137">
        <f>IF(SER_hh_tes!R26=0,"",SER_hh_tes!R26/SER_hh_fec!R26)</f>
        <v>0.57946016566900727</v>
      </c>
      <c r="S26" s="137">
        <f>IF(SER_hh_tes!S26=0,"",SER_hh_tes!S26/SER_hh_fec!S26)</f>
        <v>0.5902763722225054</v>
      </c>
      <c r="T26" s="137">
        <f>IF(SER_hh_tes!T26=0,"",SER_hh_tes!T26/SER_hh_fec!T26)</f>
        <v>0.60138499184601912</v>
      </c>
      <c r="U26" s="137">
        <f>IF(SER_hh_tes!U26=0,"",SER_hh_tes!U26/SER_hh_fec!U26)</f>
        <v>0.61320708433605919</v>
      </c>
      <c r="V26" s="137">
        <f>IF(SER_hh_tes!V26=0,"",SER_hh_tes!V26/SER_hh_fec!V26)</f>
        <v>0.62606878934921106</v>
      </c>
      <c r="W26" s="137">
        <f>IF(SER_hh_tes!W26=0,"",SER_hh_tes!W26/SER_hh_fec!W26)</f>
        <v>0.64005213435504227</v>
      </c>
      <c r="X26" s="137">
        <f>IF(SER_hh_tes!X26=0,"",SER_hh_tes!X26/SER_hh_fec!X26)</f>
        <v>0.65485554210357311</v>
      </c>
      <c r="Y26" s="137">
        <f>IF(SER_hh_tes!Y26=0,"",SER_hh_tes!Y26/SER_hh_fec!Y26)</f>
        <v>0.67024923663619707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 t="str">
        <f>IF(SER_hh_tes!G27=0,"",SER_hh_tes!G27/SER_hh_fec!G27)</f>
        <v/>
      </c>
      <c r="H27" s="153" t="str">
        <f>IF(SER_hh_tes!H27=0,"",SER_hh_tes!H27/SER_hh_fec!H27)</f>
        <v/>
      </c>
      <c r="I27" s="153" t="str">
        <f>IF(SER_hh_tes!I27=0,"",SER_hh_tes!I27/SER_hh_fec!I27)</f>
        <v/>
      </c>
      <c r="J27" s="153" t="str">
        <f>IF(SER_hh_tes!J27=0,"",SER_hh_tes!J27/SER_hh_fec!J27)</f>
        <v/>
      </c>
      <c r="K27" s="153" t="str">
        <f>IF(SER_hh_tes!K27=0,"",SER_hh_tes!K27/SER_hh_fec!K27)</f>
        <v/>
      </c>
      <c r="L27" s="153" t="str">
        <f>IF(SER_hh_tes!L27=0,"",SER_hh_tes!L27/SER_hh_fec!L27)</f>
        <v/>
      </c>
      <c r="M27" s="153" t="str">
        <f>IF(SER_hh_tes!M27=0,"",SER_hh_tes!M27/SER_hh_fec!M27)</f>
        <v/>
      </c>
      <c r="N27" s="153" t="str">
        <f>IF(SER_hh_tes!N27=0,"",SER_hh_tes!N27/SER_hh_fec!N27)</f>
        <v/>
      </c>
      <c r="O27" s="153" t="str">
        <f>IF(SER_hh_tes!O27=0,"",SER_hh_tes!O27/SER_hh_fec!O27)</f>
        <v/>
      </c>
      <c r="P27" s="153" t="str">
        <f>IF(SER_hh_tes!P27=0,"",SER_hh_tes!P27/SER_hh_fec!P27)</f>
        <v/>
      </c>
      <c r="Q27" s="153" t="str">
        <f>IF(SER_hh_tes!Q27=0,"",SER_hh_tes!Q27/SER_hh_fec!Q27)</f>
        <v/>
      </c>
      <c r="R27" s="153" t="str">
        <f>IF(SER_hh_tes!R27=0,"",SER_hh_tes!R27/SER_hh_fec!R27)</f>
        <v/>
      </c>
      <c r="S27" s="153" t="str">
        <f>IF(SER_hh_tes!S27=0,"",SER_hh_tes!S27/SER_hh_fec!S27)</f>
        <v/>
      </c>
      <c r="T27" s="153" t="str">
        <f>IF(SER_hh_tes!T27=0,"",SER_hh_tes!T27/SER_hh_fec!T27)</f>
        <v/>
      </c>
      <c r="U27" s="153" t="str">
        <f>IF(SER_hh_tes!U27=0,"",SER_hh_tes!U27/SER_hh_fec!U27)</f>
        <v/>
      </c>
      <c r="V27" s="153" t="str">
        <f>IF(SER_hh_tes!V27=0,"",SER_hh_tes!V27/SER_hh_fec!V27)</f>
        <v/>
      </c>
      <c r="W27" s="153" t="str">
        <f>IF(SER_hh_tes!W27=0,"",SER_hh_tes!W27/SER_hh_fec!W27)</f>
        <v/>
      </c>
      <c r="X27" s="153" t="str">
        <f>IF(SER_hh_tes!X27=0,"",SER_hh_tes!X27/SER_hh_fec!X27)</f>
        <v/>
      </c>
      <c r="Y27" s="153" t="str">
        <f>IF(SER_hh_tes!Y27=0,"",SER_hh_tes!Y27/SER_hh_fec!Y27)</f>
        <v/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0.71446689405615194</v>
      </c>
      <c r="C29" s="135">
        <f>IF(SER_hh_tes!C29=0,"",SER_hh_tes!C29/SER_hh_fec!C29)</f>
        <v>0.71708329368342716</v>
      </c>
      <c r="D29" s="135">
        <f>IF(SER_hh_tes!D29=0,"",SER_hh_tes!D29/SER_hh_fec!D29)</f>
        <v>0.7162526741704085</v>
      </c>
      <c r="E29" s="135">
        <f>IF(SER_hh_tes!E29=0,"",SER_hh_tes!E29/SER_hh_fec!E29)</f>
        <v>0.71879140348621828</v>
      </c>
      <c r="F29" s="135">
        <f>IF(SER_hh_tes!F29=0,"",SER_hh_tes!F29/SER_hh_fec!F29)</f>
        <v>0.72143221995341578</v>
      </c>
      <c r="G29" s="135">
        <f>IF(SER_hh_tes!G29=0,"",SER_hh_tes!G29/SER_hh_fec!G29)</f>
        <v>0.72261172177346256</v>
      </c>
      <c r="H29" s="135">
        <f>IF(SER_hh_tes!H29=0,"",SER_hh_tes!H29/SER_hh_fec!H29)</f>
        <v>0.71381713794779844</v>
      </c>
      <c r="I29" s="135">
        <f>IF(SER_hh_tes!I29=0,"",SER_hh_tes!I29/SER_hh_fec!I29)</f>
        <v>0.71076522054648206</v>
      </c>
      <c r="J29" s="135">
        <f>IF(SER_hh_tes!J29=0,"",SER_hh_tes!J29/SER_hh_fec!J29)</f>
        <v>0.70073603885287195</v>
      </c>
      <c r="K29" s="135">
        <f>IF(SER_hh_tes!K29=0,"",SER_hh_tes!K29/SER_hh_fec!K29)</f>
        <v>0.68333029615196172</v>
      </c>
      <c r="L29" s="135">
        <f>IF(SER_hh_tes!L29=0,"",SER_hh_tes!L29/SER_hh_fec!L29)</f>
        <v>0.69957319540363494</v>
      </c>
      <c r="M29" s="135">
        <f>IF(SER_hh_tes!M29=0,"",SER_hh_tes!M29/SER_hh_fec!M29)</f>
        <v>0.69444649815424531</v>
      </c>
      <c r="N29" s="135">
        <f>IF(SER_hh_tes!N29=0,"",SER_hh_tes!N29/SER_hh_fec!N29)</f>
        <v>0.69947116030209067</v>
      </c>
      <c r="O29" s="135">
        <f>IF(SER_hh_tes!O29=0,"",SER_hh_tes!O29/SER_hh_fec!O29)</f>
        <v>0.7028621726617964</v>
      </c>
      <c r="P29" s="135">
        <f>IF(SER_hh_tes!P29=0,"",SER_hh_tes!P29/SER_hh_fec!P29)</f>
        <v>0.70751714256874021</v>
      </c>
      <c r="Q29" s="135">
        <f>IF(SER_hh_tes!Q29=0,"",SER_hh_tes!Q29/SER_hh_fec!Q29)</f>
        <v>0.70440790525733021</v>
      </c>
      <c r="R29" s="135">
        <f>IF(SER_hh_tes!R29=0,"",SER_hh_tes!R29/SER_hh_fec!R29)</f>
        <v>0.71789506371919842</v>
      </c>
      <c r="S29" s="135">
        <f>IF(SER_hh_tes!S29=0,"",SER_hh_tes!S29/SER_hh_fec!S29)</f>
        <v>0.71315157482235558</v>
      </c>
      <c r="T29" s="135">
        <f>IF(SER_hh_tes!T29=0,"",SER_hh_tes!T29/SER_hh_fec!T29)</f>
        <v>0.70503032346322658</v>
      </c>
      <c r="U29" s="135">
        <f>IF(SER_hh_tes!U29=0,"",SER_hh_tes!U29/SER_hh_fec!U29)</f>
        <v>0.71088520756101381</v>
      </c>
      <c r="V29" s="135">
        <f>IF(SER_hh_tes!V29=0,"",SER_hh_tes!V29/SER_hh_fec!V29)</f>
        <v>0.74145275534144928</v>
      </c>
      <c r="W29" s="135">
        <f>IF(SER_hh_tes!W29=0,"",SER_hh_tes!W29/SER_hh_fec!W29)</f>
        <v>0.74797587823958644</v>
      </c>
      <c r="X29" s="135">
        <f>IF(SER_hh_tes!X29=0,"",SER_hh_tes!X29/SER_hh_fec!X29)</f>
        <v>0.74101921716797869</v>
      </c>
      <c r="Y29" s="135">
        <f>IF(SER_hh_tes!Y29=0,"",SER_hh_tes!Y29/SER_hh_fec!Y29)</f>
        <v>0.74118175438379308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0.54983824744458676</v>
      </c>
      <c r="C30" s="136">
        <f>IF(SER_hh_tes!C30=0,"",SER_hh_tes!C30/SER_hh_fec!C30)</f>
        <v>0.55074475387299182</v>
      </c>
      <c r="D30" s="136">
        <f>IF(SER_hh_tes!D30=0,"",SER_hh_tes!D30/SER_hh_fec!D30)</f>
        <v>0.55180259274529408</v>
      </c>
      <c r="E30" s="136">
        <f>IF(SER_hh_tes!E30=0,"",SER_hh_tes!E30/SER_hh_fec!E30)</f>
        <v>0.55260864289322797</v>
      </c>
      <c r="F30" s="136">
        <f>IF(SER_hh_tes!F30=0,"",SER_hh_tes!F30/SER_hh_fec!F30)</f>
        <v>0.55387493759410589</v>
      </c>
      <c r="G30" s="136">
        <f>IF(SER_hh_tes!G30=0,"",SER_hh_tes!G30/SER_hh_fec!G30)</f>
        <v>0.55561797034756411</v>
      </c>
      <c r="H30" s="136">
        <f>IF(SER_hh_tes!H30=0,"",SER_hh_tes!H30/SER_hh_fec!H30)</f>
        <v>0.55761439952391312</v>
      </c>
      <c r="I30" s="136">
        <f>IF(SER_hh_tes!I30=0,"",SER_hh_tes!I30/SER_hh_fec!I30)</f>
        <v>0.55910555855954192</v>
      </c>
      <c r="J30" s="136">
        <f>IF(SER_hh_tes!J30=0,"",SER_hh_tes!J30/SER_hh_fec!J30)</f>
        <v>0.56019938025821081</v>
      </c>
      <c r="K30" s="136">
        <f>IF(SER_hh_tes!K30=0,"",SER_hh_tes!K30/SER_hh_fec!K30)</f>
        <v>0.56102733622056677</v>
      </c>
      <c r="L30" s="136">
        <f>IF(SER_hh_tes!L30=0,"",SER_hh_tes!L30/SER_hh_fec!L30)</f>
        <v>0.56134508157280105</v>
      </c>
      <c r="M30" s="136">
        <f>IF(SER_hh_tes!M30=0,"",SER_hh_tes!M30/SER_hh_fec!M30)</f>
        <v>0.56160316724003156</v>
      </c>
      <c r="N30" s="136">
        <f>IF(SER_hh_tes!N30=0,"",SER_hh_tes!N30/SER_hh_fec!N30)</f>
        <v>0.56179540282407292</v>
      </c>
      <c r="O30" s="136">
        <f>IF(SER_hh_tes!O30=0,"",SER_hh_tes!O30/SER_hh_fec!O30)</f>
        <v>0.56217425644084618</v>
      </c>
      <c r="P30" s="136">
        <f>IF(SER_hh_tes!P30=0,"",SER_hh_tes!P30/SER_hh_fec!P30)</f>
        <v>0.56258174007746109</v>
      </c>
      <c r="Q30" s="136">
        <f>IF(SER_hh_tes!Q30=0,"",SER_hh_tes!Q30/SER_hh_fec!Q30)</f>
        <v>0.56345283421235559</v>
      </c>
      <c r="R30" s="136">
        <f>IF(SER_hh_tes!R30=0,"",SER_hh_tes!R30/SER_hh_fec!R30)</f>
        <v>0.56526703366272735</v>
      </c>
      <c r="S30" s="136">
        <f>IF(SER_hh_tes!S30=0,"",SER_hh_tes!S30/SER_hh_fec!S30)</f>
        <v>0.56976012074170312</v>
      </c>
      <c r="T30" s="136">
        <f>IF(SER_hh_tes!T30=0,"",SER_hh_tes!T30/SER_hh_fec!T30)</f>
        <v>0.57531719426541961</v>
      </c>
      <c r="U30" s="136">
        <f>IF(SER_hh_tes!U30=0,"",SER_hh_tes!U30/SER_hh_fec!U30)</f>
        <v>0.5799791361869866</v>
      </c>
      <c r="V30" s="136">
        <f>IF(SER_hh_tes!V30=0,"",SER_hh_tes!V30/SER_hh_fec!V30)</f>
        <v>0.5848243708523535</v>
      </c>
      <c r="W30" s="136">
        <f>IF(SER_hh_tes!W30=0,"",SER_hh_tes!W30/SER_hh_fec!W30)</f>
        <v>0.58857685232255308</v>
      </c>
      <c r="X30" s="136">
        <f>IF(SER_hh_tes!X30=0,"",SER_hh_tes!X30/SER_hh_fec!X30)</f>
        <v>0.59203905225345832</v>
      </c>
      <c r="Y30" s="136">
        <f>IF(SER_hh_tes!Y30=0,"",SER_hh_tes!Y30/SER_hh_fec!Y30)</f>
        <v>0.59535387736626499</v>
      </c>
      <c r="DA30" s="163" t="s">
        <v>353</v>
      </c>
    </row>
    <row r="31" spans="1:105" ht="12" customHeight="1" x14ac:dyDescent="0.25">
      <c r="A31" s="131" t="s">
        <v>149</v>
      </c>
      <c r="B31" s="136" t="str">
        <f>IF(SER_hh_tes!B31=0,"",SER_hh_tes!B31/SER_hh_fec!B31)</f>
        <v/>
      </c>
      <c r="C31" s="136" t="str">
        <f>IF(SER_hh_tes!C31=0,"",SER_hh_tes!C31/SER_hh_fec!C31)</f>
        <v/>
      </c>
      <c r="D31" s="136" t="str">
        <f>IF(SER_hh_tes!D31=0,"",SER_hh_tes!D31/SER_hh_fec!D31)</f>
        <v/>
      </c>
      <c r="E31" s="136" t="str">
        <f>IF(SER_hh_tes!E31=0,"",SER_hh_tes!E31/SER_hh_fec!E31)</f>
        <v/>
      </c>
      <c r="F31" s="136" t="str">
        <f>IF(SER_hh_tes!F31=0,"",SER_hh_tes!F31/SER_hh_fec!F31)</f>
        <v/>
      </c>
      <c r="G31" s="136" t="str">
        <f>IF(SER_hh_tes!G31=0,"",SER_hh_tes!G31/SER_hh_fec!G31)</f>
        <v/>
      </c>
      <c r="H31" s="136" t="str">
        <f>IF(SER_hh_tes!H31=0,"",SER_hh_tes!H31/SER_hh_fec!H31)</f>
        <v/>
      </c>
      <c r="I31" s="136" t="str">
        <f>IF(SER_hh_tes!I31=0,"",SER_hh_tes!I31/SER_hh_fec!I31)</f>
        <v/>
      </c>
      <c r="J31" s="136" t="str">
        <f>IF(SER_hh_tes!J31=0,"",SER_hh_tes!J31/SER_hh_fec!J31)</f>
        <v/>
      </c>
      <c r="K31" s="136" t="str">
        <f>IF(SER_hh_tes!K31=0,"",SER_hh_tes!K31/SER_hh_fec!K31)</f>
        <v/>
      </c>
      <c r="L31" s="136" t="str">
        <f>IF(SER_hh_tes!L31=0,"",SER_hh_tes!L31/SER_hh_fec!L31)</f>
        <v/>
      </c>
      <c r="M31" s="136" t="str">
        <f>IF(SER_hh_tes!M31=0,"",SER_hh_tes!M31/SER_hh_fec!M31)</f>
        <v/>
      </c>
      <c r="N31" s="136" t="str">
        <f>IF(SER_hh_tes!N31=0,"",SER_hh_tes!N31/SER_hh_fec!N31)</f>
        <v/>
      </c>
      <c r="O31" s="136" t="str">
        <f>IF(SER_hh_tes!O31=0,"",SER_hh_tes!O31/SER_hh_fec!O31)</f>
        <v/>
      </c>
      <c r="P31" s="136" t="str">
        <f>IF(SER_hh_tes!P31=0,"",SER_hh_tes!P31/SER_hh_fec!P31)</f>
        <v/>
      </c>
      <c r="Q31" s="136" t="str">
        <f>IF(SER_hh_tes!Q31=0,"",SER_hh_tes!Q31/SER_hh_fec!Q31)</f>
        <v/>
      </c>
      <c r="R31" s="136" t="str">
        <f>IF(SER_hh_tes!R31=0,"",SER_hh_tes!R31/SER_hh_fec!R31)</f>
        <v/>
      </c>
      <c r="S31" s="136" t="str">
        <f>IF(SER_hh_tes!S31=0,"",SER_hh_tes!S31/SER_hh_fec!S31)</f>
        <v/>
      </c>
      <c r="T31" s="136" t="str">
        <f>IF(SER_hh_tes!T31=0,"",SER_hh_tes!T31/SER_hh_fec!T31)</f>
        <v/>
      </c>
      <c r="U31" s="136" t="str">
        <f>IF(SER_hh_tes!U31=0,"",SER_hh_tes!U31/SER_hh_fec!U31)</f>
        <v/>
      </c>
      <c r="V31" s="136" t="str">
        <f>IF(SER_hh_tes!V31=0,"",SER_hh_tes!V31/SER_hh_fec!V31)</f>
        <v/>
      </c>
      <c r="W31" s="136" t="str">
        <f>IF(SER_hh_tes!W31=0,"",SER_hh_tes!W31/SER_hh_fec!W31)</f>
        <v/>
      </c>
      <c r="X31" s="136" t="str">
        <f>IF(SER_hh_tes!X31=0,"",SER_hh_tes!X31/SER_hh_fec!X31)</f>
        <v/>
      </c>
      <c r="Y31" s="136" t="str">
        <f>IF(SER_hh_tes!Y31=0,"",SER_hh_tes!Y31/SER_hh_fec!Y31)</f>
        <v/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0.72754336922883112</v>
      </c>
      <c r="C33" s="149">
        <f>IF(SER_hh_tes!C33=0,"",SER_hh_tes!C33/SER_hh_fec!C33)</f>
        <v>0.72935103292937165</v>
      </c>
      <c r="D33" s="149">
        <f>IF(SER_hh_tes!D33=0,"",SER_hh_tes!D33/SER_hh_fec!D33)</f>
        <v>0.7309541101736885</v>
      </c>
      <c r="E33" s="149">
        <f>IF(SER_hh_tes!E33=0,"",SER_hh_tes!E33/SER_hh_fec!E33)</f>
        <v>0.73259455587442657</v>
      </c>
      <c r="F33" s="149">
        <f>IF(SER_hh_tes!F33=0,"",SER_hh_tes!F33/SER_hh_fec!F33)</f>
        <v>0.73424313277839603</v>
      </c>
      <c r="G33" s="149">
        <f>IF(SER_hh_tes!G33=0,"",SER_hh_tes!G33/SER_hh_fec!G33)</f>
        <v>0.73630481520472968</v>
      </c>
      <c r="H33" s="149">
        <f>IF(SER_hh_tes!H33=0,"",SER_hh_tes!H33/SER_hh_fec!H33)</f>
        <v>0.73820312951908507</v>
      </c>
      <c r="I33" s="149">
        <f>IF(SER_hh_tes!I33=0,"",SER_hh_tes!I33/SER_hh_fec!I33)</f>
        <v>0.74024429344328013</v>
      </c>
      <c r="J33" s="149">
        <f>IF(SER_hh_tes!J33=0,"",SER_hh_tes!J33/SER_hh_fec!J33)</f>
        <v>0.74284025506057372</v>
      </c>
      <c r="K33" s="149">
        <f>IF(SER_hh_tes!K33=0,"",SER_hh_tes!K33/SER_hh_fec!K33)</f>
        <v>0.74529454052229216</v>
      </c>
      <c r="L33" s="149">
        <f>IF(SER_hh_tes!L33=0,"",SER_hh_tes!L33/SER_hh_fec!L33)</f>
        <v>0.74766357702641295</v>
      </c>
      <c r="M33" s="149">
        <f>IF(SER_hh_tes!M33=0,"",SER_hh_tes!M33/SER_hh_fec!M33)</f>
        <v>0.74890418733645991</v>
      </c>
      <c r="N33" s="149">
        <f>IF(SER_hh_tes!N33=0,"",SER_hh_tes!N33/SER_hh_fec!N33)</f>
        <v>0.75124524921943581</v>
      </c>
      <c r="O33" s="149">
        <f>IF(SER_hh_tes!O33=0,"",SER_hh_tes!O33/SER_hh_fec!O33)</f>
        <v>0.75423430761000987</v>
      </c>
      <c r="P33" s="149">
        <f>IF(SER_hh_tes!P33=0,"",SER_hh_tes!P33/SER_hh_fec!P33)</f>
        <v>0.75794423893491936</v>
      </c>
      <c r="Q33" s="149">
        <f>IF(SER_hh_tes!Q33=0,"",SER_hh_tes!Q33/SER_hh_fec!Q33)</f>
        <v>0.76212275428185405</v>
      </c>
      <c r="R33" s="149">
        <f>IF(SER_hh_tes!R33=0,"",SER_hh_tes!R33/SER_hh_fec!R33)</f>
        <v>0.76747827065596552</v>
      </c>
      <c r="S33" s="149">
        <f>IF(SER_hh_tes!S33=0,"",SER_hh_tes!S33/SER_hh_fec!S33)</f>
        <v>0.7733297882273743</v>
      </c>
      <c r="T33" s="149">
        <f>IF(SER_hh_tes!T33=0,"",SER_hh_tes!T33/SER_hh_fec!T33)</f>
        <v>0.78042588269992197</v>
      </c>
      <c r="U33" s="149">
        <f>IF(SER_hh_tes!U33=0,"",SER_hh_tes!U33/SER_hh_fec!U33)</f>
        <v>0.79044584867285517</v>
      </c>
      <c r="V33" s="149">
        <f>IF(SER_hh_tes!V33=0,"",SER_hh_tes!V33/SER_hh_fec!V33)</f>
        <v>0.80155450715835186</v>
      </c>
      <c r="W33" s="149">
        <f>IF(SER_hh_tes!W33=0,"",SER_hh_tes!W33/SER_hh_fec!W33)</f>
        <v>0.81299429179304306</v>
      </c>
      <c r="X33" s="149">
        <f>IF(SER_hh_tes!X33=0,"",SER_hh_tes!X33/SER_hh_fec!X33)</f>
        <v>0.82444047457224556</v>
      </c>
      <c r="Y33" s="149">
        <f>IF(SER_hh_tes!Y33=0,"",SER_hh_tes!Y33/SER_hh_fec!Y33)</f>
        <v>0.83606691599467109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48.078090234720122</v>
      </c>
      <c r="C3" s="125">
        <f t="shared" si="0"/>
        <v>48.078090234720129</v>
      </c>
      <c r="D3" s="125">
        <f t="shared" si="0"/>
        <v>54.89483279254879</v>
      </c>
      <c r="E3" s="125">
        <f t="shared" si="0"/>
        <v>64.342492792548768</v>
      </c>
      <c r="F3" s="125">
        <f t="shared" si="0"/>
        <v>67.491799072548815</v>
      </c>
      <c r="G3" s="125">
        <f t="shared" si="0"/>
        <v>58.074488507755994</v>
      </c>
      <c r="H3" s="125">
        <f t="shared" si="0"/>
        <v>54.458155387109763</v>
      </c>
      <c r="I3" s="125">
        <f t="shared" si="0"/>
        <v>63.600875463704739</v>
      </c>
      <c r="J3" s="125">
        <f t="shared" si="0"/>
        <v>63.590144707109779</v>
      </c>
      <c r="K3" s="125">
        <f t="shared" si="0"/>
        <v>51.108725811303451</v>
      </c>
      <c r="L3" s="125">
        <f t="shared" si="0"/>
        <v>69.880292487855826</v>
      </c>
      <c r="M3" s="125">
        <f t="shared" si="0"/>
        <v>48.124426424708211</v>
      </c>
      <c r="N3" s="125">
        <f t="shared" si="0"/>
        <v>70.146533727855811</v>
      </c>
      <c r="O3" s="125">
        <f t="shared" si="0"/>
        <v>83.111042811303435</v>
      </c>
      <c r="P3" s="125">
        <f t="shared" si="0"/>
        <v>89.588933847855813</v>
      </c>
      <c r="Q3" s="125">
        <f t="shared" si="0"/>
        <v>108.09093461656657</v>
      </c>
      <c r="R3" s="125">
        <f t="shared" ref="R3:W3" si="1">SUM(R4,R16,R19,R29)</f>
        <v>99.10699184785588</v>
      </c>
      <c r="S3" s="125">
        <f t="shared" si="1"/>
        <v>90.95654159999998</v>
      </c>
      <c r="T3" s="125">
        <f t="shared" si="1"/>
        <v>65.246223239999992</v>
      </c>
      <c r="U3" s="125">
        <f t="shared" si="1"/>
        <v>64.806378840000008</v>
      </c>
      <c r="V3" s="125">
        <f t="shared" si="1"/>
        <v>50.699870279999999</v>
      </c>
      <c r="W3" s="125">
        <f t="shared" si="1"/>
        <v>54.88523172</v>
      </c>
      <c r="X3" s="125">
        <f t="shared" ref="X3:Y3" si="2">SUM(X4,X16,X19,X29)</f>
        <v>67.44424751999999</v>
      </c>
      <c r="Y3" s="125">
        <f t="shared" si="2"/>
        <v>59.75405135999997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43.838464921604739</v>
      </c>
      <c r="C4" s="130">
        <f t="shared" si="3"/>
        <v>43.875259167795789</v>
      </c>
      <c r="D4" s="130">
        <f t="shared" si="3"/>
        <v>50.15477920644085</v>
      </c>
      <c r="E4" s="130">
        <f t="shared" si="3"/>
        <v>59.964650182768814</v>
      </c>
      <c r="F4" s="130">
        <f t="shared" si="3"/>
        <v>63.359590352578188</v>
      </c>
      <c r="G4" s="130">
        <f t="shared" si="3"/>
        <v>53.582931860638048</v>
      </c>
      <c r="H4" s="130">
        <f t="shared" si="3"/>
        <v>44.861959294895883</v>
      </c>
      <c r="I4" s="130">
        <f t="shared" si="3"/>
        <v>51.648458338828021</v>
      </c>
      <c r="J4" s="130">
        <f t="shared" si="3"/>
        <v>49.087303382569445</v>
      </c>
      <c r="K4" s="130">
        <f t="shared" si="3"/>
        <v>32.341227154923814</v>
      </c>
      <c r="L4" s="130">
        <f t="shared" si="3"/>
        <v>56.837296905972806</v>
      </c>
      <c r="M4" s="130">
        <f t="shared" si="3"/>
        <v>33.542516118989646</v>
      </c>
      <c r="N4" s="130">
        <f t="shared" si="3"/>
        <v>56.731809944368926</v>
      </c>
      <c r="O4" s="130">
        <f t="shared" si="3"/>
        <v>70.541850917808247</v>
      </c>
      <c r="P4" s="130">
        <f t="shared" si="3"/>
        <v>77.217059408607909</v>
      </c>
      <c r="Q4" s="130">
        <f t="shared" si="3"/>
        <v>93.885320553153221</v>
      </c>
      <c r="R4" s="130">
        <f t="shared" ref="R4:W4" si="4">SUM(R5:R15)</f>
        <v>86.920417696338632</v>
      </c>
      <c r="S4" s="130">
        <f t="shared" si="4"/>
        <v>75.884805535763476</v>
      </c>
      <c r="T4" s="130">
        <f t="shared" si="4"/>
        <v>45.536140870138397</v>
      </c>
      <c r="U4" s="130">
        <f t="shared" si="4"/>
        <v>44.025467232730485</v>
      </c>
      <c r="V4" s="130">
        <f t="shared" si="4"/>
        <v>36.702016163973099</v>
      </c>
      <c r="W4" s="130">
        <f t="shared" si="4"/>
        <v>39.490618078593208</v>
      </c>
      <c r="X4" s="130">
        <f t="shared" ref="X4:Y4" si="5">SUM(X5:X15)</f>
        <v>47.495683975106353</v>
      </c>
      <c r="Y4" s="130">
        <f t="shared" si="5"/>
        <v>37.099857693999255</v>
      </c>
      <c r="DA4" s="155" t="s">
        <v>234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358</v>
      </c>
    </row>
    <row r="6" spans="1:105" ht="12" customHeight="1" x14ac:dyDescent="0.25">
      <c r="A6" s="131" t="s">
        <v>52</v>
      </c>
      <c r="B6" s="132">
        <v>4.187491708135501</v>
      </c>
      <c r="C6" s="132">
        <v>4.2242859543265521</v>
      </c>
      <c r="D6" s="132">
        <v>4.2137632598150345</v>
      </c>
      <c r="E6" s="132">
        <v>4.5759742361430265</v>
      </c>
      <c r="F6" s="132">
        <v>4.821608125952344</v>
      </c>
      <c r="G6" s="132">
        <v>4.2161676328820485</v>
      </c>
      <c r="H6" s="132">
        <v>4.9168291477861183</v>
      </c>
      <c r="I6" s="132">
        <v>5.463258595123289</v>
      </c>
      <c r="J6" s="132">
        <v>2.9128343954596647</v>
      </c>
      <c r="K6" s="132">
        <v>1.5506003836203648</v>
      </c>
      <c r="L6" s="132">
        <v>7.2751034581169858</v>
      </c>
      <c r="M6" s="132">
        <v>5.736188734281443</v>
      </c>
      <c r="N6" s="132">
        <v>6.9033752565131072</v>
      </c>
      <c r="O6" s="132">
        <v>4.8464838265048007</v>
      </c>
      <c r="P6" s="132">
        <v>5.0438012807520893</v>
      </c>
      <c r="Q6" s="132">
        <v>6.1124849765866447</v>
      </c>
      <c r="R6" s="132">
        <v>5.2291015684827684</v>
      </c>
      <c r="S6" s="132">
        <v>6.114341335763517</v>
      </c>
      <c r="T6" s="132">
        <v>8.0706769901384057</v>
      </c>
      <c r="U6" s="132">
        <v>8.1376921927304835</v>
      </c>
      <c r="V6" s="132">
        <v>6.265272203973109</v>
      </c>
      <c r="W6" s="132">
        <v>7.2427889985932286</v>
      </c>
      <c r="X6" s="132">
        <v>7.7769959351063633</v>
      </c>
      <c r="Y6" s="132">
        <v>5.9218528539992805</v>
      </c>
      <c r="DA6" s="156" t="s">
        <v>359</v>
      </c>
    </row>
    <row r="7" spans="1:105" ht="12" customHeight="1" x14ac:dyDescent="0.25">
      <c r="A7" s="131" t="s">
        <v>161</v>
      </c>
      <c r="B7" s="132">
        <v>39.650973213469236</v>
      </c>
      <c r="C7" s="132">
        <v>39.650973213469236</v>
      </c>
      <c r="D7" s="132">
        <v>45.941015946625818</v>
      </c>
      <c r="E7" s="132">
        <v>55.388675946625789</v>
      </c>
      <c r="F7" s="132">
        <v>58.537982226625843</v>
      </c>
      <c r="G7" s="132">
        <v>49.366764227756001</v>
      </c>
      <c r="H7" s="132">
        <v>39.945130147109765</v>
      </c>
      <c r="I7" s="132">
        <v>46.185199743704736</v>
      </c>
      <c r="J7" s="132">
        <v>46.174468987109783</v>
      </c>
      <c r="K7" s="132">
        <v>30.790626771303447</v>
      </c>
      <c r="L7" s="132">
        <v>49.562193447855819</v>
      </c>
      <c r="M7" s="132">
        <v>27.806327384708201</v>
      </c>
      <c r="N7" s="132">
        <v>49.828434687855818</v>
      </c>
      <c r="O7" s="132">
        <v>65.695367091303453</v>
      </c>
      <c r="P7" s="132">
        <v>72.173258127855817</v>
      </c>
      <c r="Q7" s="132">
        <v>87.772835576566578</v>
      </c>
      <c r="R7" s="132">
        <v>81.691316127855856</v>
      </c>
      <c r="S7" s="132">
        <v>69.770464199999964</v>
      </c>
      <c r="T7" s="132">
        <v>37.465463879999994</v>
      </c>
      <c r="U7" s="132">
        <v>35.887775040000001</v>
      </c>
      <c r="V7" s="132">
        <v>30.436743959999987</v>
      </c>
      <c r="W7" s="132">
        <v>32.247829079999981</v>
      </c>
      <c r="X7" s="132">
        <v>39.718688039999989</v>
      </c>
      <c r="Y7" s="132">
        <v>31.178004839999975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361</v>
      </c>
    </row>
    <row r="9" spans="1:105" ht="12" customHeight="1" x14ac:dyDescent="0.25">
      <c r="A9" s="131" t="s">
        <v>78</v>
      </c>
      <c r="B9" s="132">
        <v>0</v>
      </c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</v>
      </c>
      <c r="N9" s="132">
        <v>0</v>
      </c>
      <c r="O9" s="132">
        <v>0</v>
      </c>
      <c r="P9" s="132">
        <v>0</v>
      </c>
      <c r="Q9" s="132">
        <v>0</v>
      </c>
      <c r="R9" s="132">
        <v>0</v>
      </c>
      <c r="S9" s="132">
        <v>0</v>
      </c>
      <c r="T9" s="132">
        <v>0</v>
      </c>
      <c r="U9" s="132">
        <v>0</v>
      </c>
      <c r="V9" s="132">
        <v>0</v>
      </c>
      <c r="W9" s="132">
        <v>0</v>
      </c>
      <c r="X9" s="132">
        <v>0</v>
      </c>
      <c r="Y9" s="132">
        <v>0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</v>
      </c>
      <c r="C16" s="130">
        <f t="shared" si="6"/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235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2.0793722428155901</v>
      </c>
      <c r="C19" s="130">
        <f t="shared" si="9"/>
        <v>2.097643069257193</v>
      </c>
      <c r="D19" s="130">
        <f t="shared" si="9"/>
        <v>2.0924178412658487</v>
      </c>
      <c r="E19" s="130">
        <f t="shared" si="9"/>
        <v>1.8114491158021326</v>
      </c>
      <c r="F19" s="130">
        <f t="shared" si="9"/>
        <v>1.6922201689637351</v>
      </c>
      <c r="G19" s="130">
        <f t="shared" si="9"/>
        <v>1.8630327475555035</v>
      </c>
      <c r="H19" s="130">
        <f t="shared" si="9"/>
        <v>4.7315472111352097</v>
      </c>
      <c r="I19" s="130">
        <f t="shared" si="9"/>
        <v>5.9373260204199703</v>
      </c>
      <c r="J19" s="130">
        <f t="shared" si="9"/>
        <v>5.5930910800577927</v>
      </c>
      <c r="K19" s="130">
        <f t="shared" si="9"/>
        <v>5.1936595010821014</v>
      </c>
      <c r="L19" s="130">
        <f t="shared" si="9"/>
        <v>2.5362080761190806</v>
      </c>
      <c r="M19" s="130">
        <f t="shared" si="9"/>
        <v>2.3559328168350002</v>
      </c>
      <c r="N19" s="130">
        <f t="shared" si="9"/>
        <v>1.7172409674084268</v>
      </c>
      <c r="O19" s="130">
        <f t="shared" si="9"/>
        <v>0.9581164101252776</v>
      </c>
      <c r="P19" s="130">
        <f t="shared" si="9"/>
        <v>0.75979704886940336</v>
      </c>
      <c r="Q19" s="130">
        <f t="shared" si="9"/>
        <v>0.65484327730560798</v>
      </c>
      <c r="R19" s="130">
        <f t="shared" ref="R19:W19" si="10">SUM(R20:R27)</f>
        <v>0.554552798106412</v>
      </c>
      <c r="S19" s="130">
        <f t="shared" si="10"/>
        <v>0.67636673380403523</v>
      </c>
      <c r="T19" s="130">
        <f t="shared" si="10"/>
        <v>0.9044039168112783</v>
      </c>
      <c r="U19" s="130">
        <f t="shared" si="10"/>
        <v>0.91041064000750382</v>
      </c>
      <c r="V19" s="130">
        <f t="shared" si="10"/>
        <v>0.69809527389997439</v>
      </c>
      <c r="W19" s="130">
        <f t="shared" si="10"/>
        <v>0.76186901668852369</v>
      </c>
      <c r="X19" s="130">
        <f t="shared" ref="X19:Y19" si="11">SUM(X20:X27)</f>
        <v>0.94431921005208608</v>
      </c>
      <c r="Y19" s="130">
        <f t="shared" si="11"/>
        <v>0.6597297207547288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2.0793722428155901</v>
      </c>
      <c r="C21" s="132">
        <v>2.097643069257193</v>
      </c>
      <c r="D21" s="132">
        <v>2.0924178412658487</v>
      </c>
      <c r="E21" s="132">
        <v>1.8114491158021326</v>
      </c>
      <c r="F21" s="132">
        <v>1.6922201689637351</v>
      </c>
      <c r="G21" s="132">
        <v>1.8630327475555035</v>
      </c>
      <c r="H21" s="132">
        <v>4.7315472111352097</v>
      </c>
      <c r="I21" s="132">
        <v>5.9373260204199703</v>
      </c>
      <c r="J21" s="132">
        <v>5.5930910800577927</v>
      </c>
      <c r="K21" s="132">
        <v>5.1936595010821014</v>
      </c>
      <c r="L21" s="132">
        <v>2.5362080761190806</v>
      </c>
      <c r="M21" s="132">
        <v>2.3559328168350002</v>
      </c>
      <c r="N21" s="132">
        <v>1.7172409674084268</v>
      </c>
      <c r="O21" s="132">
        <v>0.9581164101252776</v>
      </c>
      <c r="P21" s="132">
        <v>0.75979704886940336</v>
      </c>
      <c r="Q21" s="132">
        <v>0.65484327730560798</v>
      </c>
      <c r="R21" s="132">
        <v>0.554552798106412</v>
      </c>
      <c r="S21" s="132">
        <v>0.67636673380403523</v>
      </c>
      <c r="T21" s="132">
        <v>0.9044039168112783</v>
      </c>
      <c r="U21" s="132">
        <v>0.91041064000750382</v>
      </c>
      <c r="V21" s="132">
        <v>0.69809527389997439</v>
      </c>
      <c r="W21" s="132">
        <v>0.76186901668852369</v>
      </c>
      <c r="X21" s="132">
        <v>0.94431921005208608</v>
      </c>
      <c r="Y21" s="132">
        <v>0.6597297207547288</v>
      </c>
      <c r="DA21" s="156" t="s">
        <v>372</v>
      </c>
    </row>
    <row r="22" spans="1:105" ht="12" customHeight="1" x14ac:dyDescent="0.25">
      <c r="A22" s="131" t="s">
        <v>161</v>
      </c>
      <c r="B22" s="132">
        <v>0</v>
      </c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373</v>
      </c>
    </row>
    <row r="23" spans="1:105" ht="12" customHeight="1" x14ac:dyDescent="0.25">
      <c r="A23" s="131" t="s">
        <v>149</v>
      </c>
      <c r="B23" s="132">
        <v>0</v>
      </c>
      <c r="C23" s="132">
        <v>0</v>
      </c>
      <c r="D23" s="132">
        <v>0</v>
      </c>
      <c r="E23" s="132">
        <v>0</v>
      </c>
      <c r="F23" s="132">
        <v>0</v>
      </c>
      <c r="G23" s="132">
        <v>0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32">
        <v>0</v>
      </c>
      <c r="Y23" s="132">
        <v>0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2.1602530702997971</v>
      </c>
      <c r="C29" s="130">
        <f t="shared" si="12"/>
        <v>2.1051879976671422</v>
      </c>
      <c r="D29" s="130">
        <f t="shared" si="12"/>
        <v>2.64763574484209</v>
      </c>
      <c r="E29" s="130">
        <f t="shared" si="12"/>
        <v>2.5663934939778139</v>
      </c>
      <c r="F29" s="130">
        <f t="shared" si="12"/>
        <v>2.4399885510068922</v>
      </c>
      <c r="G29" s="130">
        <f t="shared" si="12"/>
        <v>2.6285238995624454</v>
      </c>
      <c r="H29" s="130">
        <f t="shared" si="12"/>
        <v>4.8646488810786721</v>
      </c>
      <c r="I29" s="130">
        <f t="shared" si="12"/>
        <v>6.0150911044567446</v>
      </c>
      <c r="J29" s="130">
        <f t="shared" si="12"/>
        <v>8.9097502444825434</v>
      </c>
      <c r="K29" s="130">
        <f t="shared" si="12"/>
        <v>13.573839155297533</v>
      </c>
      <c r="L29" s="130">
        <f t="shared" si="12"/>
        <v>10.506787505763938</v>
      </c>
      <c r="M29" s="130">
        <f t="shared" si="12"/>
        <v>12.225977488883565</v>
      </c>
      <c r="N29" s="130">
        <f t="shared" si="12"/>
        <v>11.697482816078461</v>
      </c>
      <c r="O29" s="130">
        <f t="shared" si="12"/>
        <v>11.61107548336992</v>
      </c>
      <c r="P29" s="130">
        <f t="shared" si="12"/>
        <v>11.612077390378504</v>
      </c>
      <c r="Q29" s="130">
        <f t="shared" si="12"/>
        <v>13.550770786107748</v>
      </c>
      <c r="R29" s="130">
        <f t="shared" ref="R29:W29" si="13">SUM(R30:R33)</f>
        <v>11.632021353410831</v>
      </c>
      <c r="S29" s="130">
        <f t="shared" si="13"/>
        <v>14.395369330432469</v>
      </c>
      <c r="T29" s="130">
        <f t="shared" si="13"/>
        <v>18.805678453050319</v>
      </c>
      <c r="U29" s="130">
        <f t="shared" si="13"/>
        <v>19.870500967262014</v>
      </c>
      <c r="V29" s="130">
        <f t="shared" si="13"/>
        <v>13.299758842126923</v>
      </c>
      <c r="W29" s="130">
        <f t="shared" si="13"/>
        <v>14.632744624718269</v>
      </c>
      <c r="X29" s="130">
        <f t="shared" ref="X29:Y29" si="14">SUM(X30:X33)</f>
        <v>19.004244334841548</v>
      </c>
      <c r="Y29" s="130">
        <f t="shared" si="14"/>
        <v>21.99446394524599</v>
      </c>
      <c r="DA29" s="155" t="s">
        <v>237</v>
      </c>
    </row>
    <row r="30" spans="1:105" ht="12" customHeight="1" x14ac:dyDescent="0.25">
      <c r="A30" s="131" t="s">
        <v>52</v>
      </c>
      <c r="B30" s="132">
        <v>2.1602530702997971</v>
      </c>
      <c r="C30" s="132">
        <v>2.1051879976671422</v>
      </c>
      <c r="D30" s="132">
        <v>2.64763574484209</v>
      </c>
      <c r="E30" s="132">
        <v>2.5663934939778139</v>
      </c>
      <c r="F30" s="132">
        <v>2.4399885510068922</v>
      </c>
      <c r="G30" s="132">
        <v>2.6285238995624454</v>
      </c>
      <c r="H30" s="132">
        <v>4.8646488810786721</v>
      </c>
      <c r="I30" s="132">
        <v>6.0150911044567446</v>
      </c>
      <c r="J30" s="132">
        <v>8.9097502444825434</v>
      </c>
      <c r="K30" s="132">
        <v>13.573839155297533</v>
      </c>
      <c r="L30" s="132">
        <v>10.506787505763938</v>
      </c>
      <c r="M30" s="132">
        <v>12.225977488883565</v>
      </c>
      <c r="N30" s="132">
        <v>11.697482816078461</v>
      </c>
      <c r="O30" s="132">
        <v>11.61107548336992</v>
      </c>
      <c r="P30" s="132">
        <v>11.612077390378504</v>
      </c>
      <c r="Q30" s="132">
        <v>13.550770786107748</v>
      </c>
      <c r="R30" s="132">
        <v>11.632021353410831</v>
      </c>
      <c r="S30" s="132">
        <v>14.395369330432469</v>
      </c>
      <c r="T30" s="132">
        <v>18.805678453050319</v>
      </c>
      <c r="U30" s="132">
        <v>19.870500967262014</v>
      </c>
      <c r="V30" s="132">
        <v>13.299758842126923</v>
      </c>
      <c r="W30" s="132">
        <v>14.632744624718269</v>
      </c>
      <c r="X30" s="132">
        <v>19.004244334841548</v>
      </c>
      <c r="Y30" s="132">
        <v>21.99446394524599</v>
      </c>
      <c r="DA30" s="156" t="s">
        <v>379</v>
      </c>
    </row>
    <row r="31" spans="1:105" ht="12" customHeight="1" x14ac:dyDescent="0.25">
      <c r="A31" s="131" t="s">
        <v>149</v>
      </c>
      <c r="B31" s="132">
        <v>0</v>
      </c>
      <c r="C31" s="132">
        <v>0</v>
      </c>
      <c r="D31" s="132">
        <v>0</v>
      </c>
      <c r="E31" s="132">
        <v>0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240941.28440082312</v>
      </c>
      <c r="C3" s="125">
        <f>IF(SER_hh_fec!C3=0,0,11630*1000*SER_hh_fec!C3/SER_hh_num!C3)</f>
        <v>243536.1777118411</v>
      </c>
      <c r="D3" s="125">
        <f>IF(SER_hh_fec!D3=0,0,11630*1000*SER_hh_fec!D3/SER_hh_num!D3)</f>
        <v>258577.23671994041</v>
      </c>
      <c r="E3" s="125">
        <f>IF(SER_hh_fec!E3=0,0,11630*1000*SER_hh_fec!E3/SER_hh_num!E3)</f>
        <v>285382.06887836143</v>
      </c>
      <c r="F3" s="125">
        <f>IF(SER_hh_fec!F3=0,0,11630*1000*SER_hh_fec!F3/SER_hh_num!F3)</f>
        <v>286607.44155618618</v>
      </c>
      <c r="G3" s="125">
        <f>IF(SER_hh_fec!G3=0,0,11630*1000*SER_hh_fec!G3/SER_hh_num!G3)</f>
        <v>304745.68884313467</v>
      </c>
      <c r="H3" s="125">
        <f>IF(SER_hh_fec!H3=0,0,11630*1000*SER_hh_fec!H3/SER_hh_num!H3)</f>
        <v>255068.96082172697</v>
      </c>
      <c r="I3" s="125">
        <f>IF(SER_hh_fec!I3=0,0,11630*1000*SER_hh_fec!I3/SER_hh_num!I3)</f>
        <v>256643.74188592061</v>
      </c>
      <c r="J3" s="125">
        <f>IF(SER_hh_fec!J3=0,0,11630*1000*SER_hh_fec!J3/SER_hh_num!J3)</f>
        <v>233249.57945438652</v>
      </c>
      <c r="K3" s="125">
        <f>IF(SER_hh_fec!K3=0,0,11630*1000*SER_hh_fec!K3/SER_hh_num!K3)</f>
        <v>206820.36155209964</v>
      </c>
      <c r="L3" s="125">
        <f>IF(SER_hh_fec!L3=0,0,11630*1000*SER_hh_fec!L3/SER_hh_num!L3)</f>
        <v>293536.17783372651</v>
      </c>
      <c r="M3" s="125">
        <f>IF(SER_hh_fec!M3=0,0,11630*1000*SER_hh_fec!M3/SER_hh_num!M3)</f>
        <v>273261.58750960266</v>
      </c>
      <c r="N3" s="125">
        <f>IF(SER_hh_fec!N3=0,0,11630*1000*SER_hh_fec!N3/SER_hh_num!N3)</f>
        <v>305783.63864932989</v>
      </c>
      <c r="O3" s="125">
        <f>IF(SER_hh_fec!O3=0,0,11630*1000*SER_hh_fec!O3/SER_hh_num!O3)</f>
        <v>311215.15247673192</v>
      </c>
      <c r="P3" s="125">
        <f>IF(SER_hh_fec!P3=0,0,11630*1000*SER_hh_fec!P3/SER_hh_num!P3)</f>
        <v>319739.03840405226</v>
      </c>
      <c r="Q3" s="125">
        <f>IF(SER_hh_fec!Q3=0,0,11630*1000*SER_hh_fec!Q3/SER_hh_num!Q3)</f>
        <v>344669.39036756486</v>
      </c>
      <c r="R3" s="125">
        <f>IF(SER_hh_fec!R3=0,0,11630*1000*SER_hh_fec!R3/SER_hh_num!R3)</f>
        <v>322853.66692200967</v>
      </c>
      <c r="S3" s="125">
        <f>IF(SER_hh_fec!S3=0,0,11630*1000*SER_hh_fec!S3/SER_hh_num!S3)</f>
        <v>328153.93633254518</v>
      </c>
      <c r="T3" s="125">
        <f>IF(SER_hh_fec!T3=0,0,11630*1000*SER_hh_fec!T3/SER_hh_num!T3)</f>
        <v>288954.94744669419</v>
      </c>
      <c r="U3" s="125">
        <f>IF(SER_hh_fec!U3=0,0,11630*1000*SER_hh_fec!U3/SER_hh_num!U3)</f>
        <v>287421.28511101456</v>
      </c>
      <c r="V3" s="125">
        <f>IF(SER_hh_fec!V3=0,0,11630*1000*SER_hh_fec!V3/SER_hh_num!V3)</f>
        <v>233369.06357772482</v>
      </c>
      <c r="W3" s="125">
        <f>IF(SER_hh_fec!W3=0,0,11630*1000*SER_hh_fec!W3/SER_hh_num!W3)</f>
        <v>242200.56739155448</v>
      </c>
      <c r="X3" s="125">
        <f>IF(SER_hh_fec!X3=0,0,11630*1000*SER_hh_fec!X3/SER_hh_num!X3)</f>
        <v>276216.35096075502</v>
      </c>
      <c r="Y3" s="125">
        <f>IF(SER_hh_fec!Y3=0,0,11630*1000*SER_hh_fec!Y3/SER_hh_num!Y3)</f>
        <v>266491.84824917873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108828.76944676416</v>
      </c>
      <c r="C4" s="130">
        <f>IF(SER_hh_fec!C4=0,0,11630*1000*SER_hh_fec!C4/SER_hh_num!C4)</f>
        <v>111409.9533042323</v>
      </c>
      <c r="D4" s="130">
        <f>IF(SER_hh_fec!D4=0,0,11630*1000*SER_hh_fec!D4/SER_hh_num!D4)</f>
        <v>128990.84320171645</v>
      </c>
      <c r="E4" s="130">
        <f>IF(SER_hh_fec!E4=0,0,11630*1000*SER_hh_fec!E4/SER_hh_num!E4)</f>
        <v>145237.4963023804</v>
      </c>
      <c r="F4" s="130">
        <f>IF(SER_hh_fec!F4=0,0,11630*1000*SER_hh_fec!F4/SER_hh_num!F4)</f>
        <v>157439.06279620511</v>
      </c>
      <c r="G4" s="130">
        <f>IF(SER_hh_fec!G4=0,0,11630*1000*SER_hh_fec!G4/SER_hh_num!G4)</f>
        <v>179071.78641293567</v>
      </c>
      <c r="H4" s="130">
        <f>IF(SER_hh_fec!H4=0,0,11630*1000*SER_hh_fec!H4/SER_hh_num!H4)</f>
        <v>123797.77809446932</v>
      </c>
      <c r="I4" s="130">
        <f>IF(SER_hh_fec!I4=0,0,11630*1000*SER_hh_fec!I4/SER_hh_num!I4)</f>
        <v>126361.55571014885</v>
      </c>
      <c r="J4" s="130">
        <f>IF(SER_hh_fec!J4=0,0,11630*1000*SER_hh_fec!J4/SER_hh_num!J4)</f>
        <v>109211.7886083534</v>
      </c>
      <c r="K4" s="130">
        <f>IF(SER_hh_fec!K4=0,0,11630*1000*SER_hh_fec!K4/SER_hh_num!K4)</f>
        <v>79276.690520686869</v>
      </c>
      <c r="L4" s="130">
        <f>IF(SER_hh_fec!L4=0,0,11630*1000*SER_hh_fec!L4/SER_hh_num!L4)</f>
        <v>168593.27417892677</v>
      </c>
      <c r="M4" s="130">
        <f>IF(SER_hh_fec!M4=0,0,11630*1000*SER_hh_fec!M4/SER_hh_num!M4)</f>
        <v>146791.82623692343</v>
      </c>
      <c r="N4" s="130">
        <f>IF(SER_hh_fec!N4=0,0,11630*1000*SER_hh_fec!N4/SER_hh_num!N4)</f>
        <v>172593.20973439061</v>
      </c>
      <c r="O4" s="130">
        <f>IF(SER_hh_fec!O4=0,0,11630*1000*SER_hh_fec!O4/SER_hh_num!O4)</f>
        <v>185972.22226590296</v>
      </c>
      <c r="P4" s="130">
        <f>IF(SER_hh_fec!P4=0,0,11630*1000*SER_hh_fec!P4/SER_hh_num!P4)</f>
        <v>194883.42159940524</v>
      </c>
      <c r="Q4" s="130">
        <f>IF(SER_hh_fec!Q4=0,0,11630*1000*SER_hh_fec!Q4/SER_hh_num!Q4)</f>
        <v>219424.51463149194</v>
      </c>
      <c r="R4" s="130">
        <f>IF(SER_hh_fec!R4=0,0,11630*1000*SER_hh_fec!R4/SER_hh_num!R4)</f>
        <v>202601.53158556635</v>
      </c>
      <c r="S4" s="130">
        <f>IF(SER_hh_fec!S4=0,0,11630*1000*SER_hh_fec!S4/SER_hh_num!S4)</f>
        <v>207009.29077677353</v>
      </c>
      <c r="T4" s="130">
        <f>IF(SER_hh_fec!T4=0,0,11630*1000*SER_hh_fec!T4/SER_hh_num!T4)</f>
        <v>169477.87395861285</v>
      </c>
      <c r="U4" s="130">
        <f>IF(SER_hh_fec!U4=0,0,11630*1000*SER_hh_fec!U4/SER_hh_num!U4)</f>
        <v>163095.67289570655</v>
      </c>
      <c r="V4" s="130">
        <f>IF(SER_hh_fec!V4=0,0,11630*1000*SER_hh_fec!V4/SER_hh_num!V4)</f>
        <v>123332.28345277996</v>
      </c>
      <c r="W4" s="130">
        <f>IF(SER_hh_fec!W4=0,0,11630*1000*SER_hh_fec!W4/SER_hh_num!W4)</f>
        <v>126436.54768938012</v>
      </c>
      <c r="X4" s="130">
        <f>IF(SER_hh_fec!X4=0,0,11630*1000*SER_hh_fec!X4/SER_hh_num!X4)</f>
        <v>158468.04471839889</v>
      </c>
      <c r="Y4" s="130">
        <f>IF(SER_hh_fec!Y4=0,0,11630*1000*SER_hh_fec!Y4/SER_hh_num!Y4)</f>
        <v>148689.67025640295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0</v>
      </c>
      <c r="C5" s="132">
        <f>IF(SER_hh_fec!C5=0,0,11630*1000*SER_hh_fec!C5/SER_hh_num!C5)</f>
        <v>0</v>
      </c>
      <c r="D5" s="132">
        <f>IF(SER_hh_fec!D5=0,0,11630*1000*SER_hh_fec!D5/SER_hh_num!D5)</f>
        <v>0</v>
      </c>
      <c r="E5" s="132">
        <f>IF(SER_hh_fec!E5=0,0,11630*1000*SER_hh_fec!E5/SER_hh_num!E5)</f>
        <v>0</v>
      </c>
      <c r="F5" s="132">
        <f>IF(SER_hh_fec!F5=0,0,11630*1000*SER_hh_fec!F5/SER_hh_num!F5)</f>
        <v>0</v>
      </c>
      <c r="G5" s="132">
        <f>IF(SER_hh_fec!G5=0,0,11630*1000*SER_hh_fec!G5/SER_hh_num!G5)</f>
        <v>0</v>
      </c>
      <c r="H5" s="132">
        <f>IF(SER_hh_fec!H5=0,0,11630*1000*SER_hh_fec!H5/SER_hh_num!H5)</f>
        <v>0</v>
      </c>
      <c r="I5" s="132">
        <f>IF(SER_hh_fec!I5=0,0,11630*1000*SER_hh_fec!I5/SER_hh_num!I5)</f>
        <v>0</v>
      </c>
      <c r="J5" s="132">
        <f>IF(SER_hh_fec!J5=0,0,11630*1000*SER_hh_fec!J5/SER_hh_num!J5)</f>
        <v>0</v>
      </c>
      <c r="K5" s="132">
        <f>IF(SER_hh_fec!K5=0,0,11630*1000*SER_hh_fec!K5/SER_hh_num!K5)</f>
        <v>0</v>
      </c>
      <c r="L5" s="132">
        <f>IF(SER_hh_fec!L5=0,0,11630*1000*SER_hh_fec!L5/SER_hh_num!L5)</f>
        <v>0</v>
      </c>
      <c r="M5" s="132">
        <f>IF(SER_hh_fec!M5=0,0,11630*1000*SER_hh_fec!M5/SER_hh_num!M5)</f>
        <v>0</v>
      </c>
      <c r="N5" s="132">
        <f>IF(SER_hh_fec!N5=0,0,11630*1000*SER_hh_fec!N5/SER_hh_num!N5)</f>
        <v>0</v>
      </c>
      <c r="O5" s="132">
        <f>IF(SER_hh_fec!O5=0,0,11630*1000*SER_hh_fec!O5/SER_hh_num!O5)</f>
        <v>0</v>
      </c>
      <c r="P5" s="132">
        <f>IF(SER_hh_fec!P5=0,0,11630*1000*SER_hh_fec!P5/SER_hh_num!P5)</f>
        <v>0</v>
      </c>
      <c r="Q5" s="132">
        <f>IF(SER_hh_fec!Q5=0,0,11630*1000*SER_hh_fec!Q5/SER_hh_num!Q5)</f>
        <v>0</v>
      </c>
      <c r="R5" s="132">
        <f>IF(SER_hh_fec!R5=0,0,11630*1000*SER_hh_fec!R5/SER_hh_num!R5)</f>
        <v>0</v>
      </c>
      <c r="S5" s="132">
        <f>IF(SER_hh_fec!S5=0,0,11630*1000*SER_hh_fec!S5/SER_hh_num!S5)</f>
        <v>0</v>
      </c>
      <c r="T5" s="132">
        <f>IF(SER_hh_fec!T5=0,0,11630*1000*SER_hh_fec!T5/SER_hh_num!T5)</f>
        <v>0</v>
      </c>
      <c r="U5" s="132">
        <f>IF(SER_hh_fec!U5=0,0,11630*1000*SER_hh_fec!U5/SER_hh_num!U5)</f>
        <v>0</v>
      </c>
      <c r="V5" s="132">
        <f>IF(SER_hh_fec!V5=0,0,11630*1000*SER_hh_fec!V5/SER_hh_num!V5)</f>
        <v>0</v>
      </c>
      <c r="W5" s="132">
        <f>IF(SER_hh_fec!W5=0,0,11630*1000*SER_hh_fec!W5/SER_hh_num!W5)</f>
        <v>0</v>
      </c>
      <c r="X5" s="132">
        <f>IF(SER_hh_fec!X5=0,0,11630*1000*SER_hh_fec!X5/SER_hh_num!X5)</f>
        <v>0</v>
      </c>
      <c r="Y5" s="132">
        <f>IF(SER_hh_fec!Y5=0,0,11630*1000*SER_hh_fec!Y5/SER_hh_num!Y5)</f>
        <v>0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113659.36401478926</v>
      </c>
      <c r="C6" s="132">
        <f>IF(SER_hh_fec!C6=0,0,11630*1000*SER_hh_fec!C6/SER_hh_num!C6)</f>
        <v>120361.725564475</v>
      </c>
      <c r="D6" s="132">
        <f>IF(SER_hh_fec!D6=0,0,11630*1000*SER_hh_fec!D6/SER_hh_num!D6)</f>
        <v>122820.00070761505</v>
      </c>
      <c r="E6" s="132">
        <f>IF(SER_hh_fec!E6=0,0,11630*1000*SER_hh_fec!E6/SER_hh_num!E6)</f>
        <v>139252.78718537846</v>
      </c>
      <c r="F6" s="132">
        <f>IF(SER_hh_fec!F6=0,0,11630*1000*SER_hh_fec!F6/SER_hh_num!F6)</f>
        <v>145939.13856298791</v>
      </c>
      <c r="G6" s="132">
        <f>IF(SER_hh_fec!G6=0,0,11630*1000*SER_hh_fec!G6/SER_hh_num!G6)</f>
        <v>126314.28275469954</v>
      </c>
      <c r="H6" s="132">
        <f>IF(SER_hh_fec!H6=0,0,11630*1000*SER_hh_fec!H6/SER_hh_num!H6)</f>
        <v>145483.41211923448</v>
      </c>
      <c r="I6" s="132">
        <f>IF(SER_hh_fec!I6=0,0,11630*1000*SER_hh_fec!I6/SER_hh_num!I6)</f>
        <v>163638.01000257436</v>
      </c>
      <c r="J6" s="132">
        <f>IF(SER_hh_fec!J6=0,0,11630*1000*SER_hh_fec!J6/SER_hh_num!J6)</f>
        <v>87788.449120112651</v>
      </c>
      <c r="K6" s="132">
        <f>IF(SER_hh_fec!K6=0,0,11630*1000*SER_hh_fec!K6/SER_hh_num!K6)</f>
        <v>45852.832059058128</v>
      </c>
      <c r="L6" s="132">
        <f>IF(SER_hh_fec!L6=0,0,11630*1000*SER_hh_fec!L6/SER_hh_num!L6)</f>
        <v>207600.03428776664</v>
      </c>
      <c r="M6" s="132">
        <f>IF(SER_hh_fec!M6=0,0,11630*1000*SER_hh_fec!M6/SER_hh_num!M6)</f>
        <v>158528.48283698939</v>
      </c>
      <c r="N6" s="132">
        <f>IF(SER_hh_fec!N6=0,0,11630*1000*SER_hh_fec!N6/SER_hh_num!N6)</f>
        <v>195516.76098713648</v>
      </c>
      <c r="O6" s="132">
        <f>IF(SER_hh_fec!O6=0,0,11630*1000*SER_hh_fec!O6/SER_hh_num!O6)</f>
        <v>152069.1495833892</v>
      </c>
      <c r="P6" s="132">
        <f>IF(SER_hh_fec!P6=0,0,11630*1000*SER_hh_fec!P6/SER_hh_num!P6)</f>
        <v>160775.2556122721</v>
      </c>
      <c r="Q6" s="132">
        <f>IF(SER_hh_fec!Q6=0,0,11630*1000*SER_hh_fec!Q6/SER_hh_num!Q6)</f>
        <v>193114.01078727917</v>
      </c>
      <c r="R6" s="132">
        <f>IF(SER_hh_fec!R6=0,0,11630*1000*SER_hh_fec!R6/SER_hh_num!R6)</f>
        <v>161342.92763320892</v>
      </c>
      <c r="S6" s="132">
        <f>IF(SER_hh_fec!S6=0,0,11630*1000*SER_hh_fec!S6/SER_hh_num!S6)</f>
        <v>174412.30072859832</v>
      </c>
      <c r="T6" s="132">
        <f>IF(SER_hh_fec!T6=0,0,11630*1000*SER_hh_fec!T6/SER_hh_num!T6)</f>
        <v>199663.70960625503</v>
      </c>
      <c r="U6" s="132">
        <f>IF(SER_hh_fec!U6=0,0,11630*1000*SER_hh_fec!U6/SER_hh_num!U6)</f>
        <v>180105.29637055597</v>
      </c>
      <c r="V6" s="132">
        <f>IF(SER_hh_fec!V6=0,0,11630*1000*SER_hh_fec!V6/SER_hh_num!V6)</f>
        <v>133901.67669009863</v>
      </c>
      <c r="W6" s="132">
        <f>IF(SER_hh_fec!W6=0,0,11630*1000*SER_hh_fec!W6/SER_hh_num!W6)</f>
        <v>157139.61120955492</v>
      </c>
      <c r="X6" s="132">
        <f>IF(SER_hh_fec!X6=0,0,11630*1000*SER_hh_fec!X6/SER_hh_num!X6)</f>
        <v>181449.35552679439</v>
      </c>
      <c r="Y6" s="132">
        <f>IF(SER_hh_fec!Y6=0,0,11630*1000*SER_hh_fec!Y6/SER_hh_num!Y6)</f>
        <v>158578.26128294168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111271.26656600636</v>
      </c>
      <c r="C7" s="132">
        <f>IF(SER_hh_fec!C7=0,0,11630*1000*SER_hh_fec!C7/SER_hh_num!C7)</f>
        <v>108665.84332238263</v>
      </c>
      <c r="D7" s="132">
        <f>IF(SER_hh_fec!D7=0,0,11630*1000*SER_hh_fec!D7/SER_hh_num!D7)</f>
        <v>124966.29008464247</v>
      </c>
      <c r="E7" s="132">
        <f>IF(SER_hh_fec!E7=0,0,11630*1000*SER_hh_fec!E7/SER_hh_num!E7)</f>
        <v>154880.19737241731</v>
      </c>
      <c r="F7" s="132">
        <f>IF(SER_hh_fec!F7=0,0,11630*1000*SER_hh_fec!F7/SER_hh_num!F7)</f>
        <v>176658.93141686174</v>
      </c>
      <c r="G7" s="132">
        <f>IF(SER_hh_fec!G7=0,0,11630*1000*SER_hh_fec!G7/SER_hh_num!G7)</f>
        <v>154205.95872150626</v>
      </c>
      <c r="H7" s="132">
        <f>IF(SER_hh_fec!H7=0,0,11630*1000*SER_hh_fec!H7/SER_hh_num!H7)</f>
        <v>121635.09363270109</v>
      </c>
      <c r="I7" s="132">
        <f>IF(SER_hh_fec!I7=0,0,11630*1000*SER_hh_fec!I7/SER_hh_num!I7)</f>
        <v>133415.8171691194</v>
      </c>
      <c r="J7" s="132">
        <f>IF(SER_hh_fec!J7=0,0,11630*1000*SER_hh_fec!J7/SER_hh_num!J7)</f>
        <v>122694.11591118856</v>
      </c>
      <c r="K7" s="132">
        <f>IF(SER_hh_fec!K7=0,0,11630*1000*SER_hh_fec!K7/SER_hh_num!K7)</f>
        <v>92601.503633857705</v>
      </c>
      <c r="L7" s="132">
        <f>IF(SER_hh_fec!L7=0,0,11630*1000*SER_hh_fec!L7/SER_hh_num!L7)</f>
        <v>170438.48557088638</v>
      </c>
      <c r="M7" s="132">
        <f>IF(SER_hh_fec!M7=0,0,11630*1000*SER_hh_fec!M7/SER_hh_num!M7)</f>
        <v>99945.90188166032</v>
      </c>
      <c r="N7" s="132">
        <f>IF(SER_hh_fec!N7=0,0,11630*1000*SER_hh_fec!N7/SER_hh_num!N7)</f>
        <v>162313.22980891401</v>
      </c>
      <c r="O7" s="132">
        <f>IF(SER_hh_fec!O7=0,0,11630*1000*SER_hh_fec!O7/SER_hh_num!O7)</f>
        <v>206066.30983899676</v>
      </c>
      <c r="P7" s="132">
        <f>IF(SER_hh_fec!P7=0,0,11630*1000*SER_hh_fec!P7/SER_hh_num!P7)</f>
        <v>206119.81985156293</v>
      </c>
      <c r="Q7" s="132">
        <f>IF(SER_hh_fec!Q7=0,0,11630*1000*SER_hh_fec!Q7/SER_hh_num!Q7)</f>
        <v>242636.83245706261</v>
      </c>
      <c r="R7" s="132">
        <f>IF(SER_hh_fec!R7=0,0,11630*1000*SER_hh_fec!R7/SER_hh_num!R7)</f>
        <v>237742.08349245865</v>
      </c>
      <c r="S7" s="132">
        <f>IF(SER_hh_fec!S7=0,0,11630*1000*SER_hh_fec!S7/SER_hh_num!S7)</f>
        <v>233052.970352437</v>
      </c>
      <c r="T7" s="132">
        <f>IF(SER_hh_fec!T7=0,0,11630*1000*SER_hh_fec!T7/SER_hh_num!T7)</f>
        <v>154795.58351870754</v>
      </c>
      <c r="U7" s="132">
        <f>IF(SER_hh_fec!U7=0,0,11630*1000*SER_hh_fec!U7/SER_hh_num!U7)</f>
        <v>168990.4797047672</v>
      </c>
      <c r="V7" s="132">
        <f>IF(SER_hh_fec!V7=0,0,11630*1000*SER_hh_fec!V7/SER_hh_num!V7)</f>
        <v>148855.546271222</v>
      </c>
      <c r="W7" s="132">
        <f>IF(SER_hh_fec!W7=0,0,11630*1000*SER_hh_fec!W7/SER_hh_num!W7)</f>
        <v>159649.12172370474</v>
      </c>
      <c r="X7" s="132">
        <f>IF(SER_hh_fec!X7=0,0,11630*1000*SER_hh_fec!X7/SER_hh_num!X7)</f>
        <v>201079.0029883353</v>
      </c>
      <c r="Y7" s="132">
        <f>IF(SER_hh_fec!Y7=0,0,11630*1000*SER_hh_fec!Y7/SER_hh_num!Y7)</f>
        <v>171135.06510820243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0</v>
      </c>
      <c r="S8" s="132">
        <f>IF(SER_hh_fec!S8=0,0,11630*1000*SER_hh_fec!S8/SER_hh_num!S8)</f>
        <v>0</v>
      </c>
      <c r="T8" s="132">
        <f>IF(SER_hh_fec!T8=0,0,11630*1000*SER_hh_fec!T8/SER_hh_num!T8)</f>
        <v>0</v>
      </c>
      <c r="U8" s="132">
        <f>IF(SER_hh_fec!U8=0,0,11630*1000*SER_hh_fec!U8/SER_hh_num!U8)</f>
        <v>0</v>
      </c>
      <c r="V8" s="132">
        <f>IF(SER_hh_fec!V8=0,0,11630*1000*SER_hh_fec!V8/SER_hh_num!V8)</f>
        <v>0</v>
      </c>
      <c r="W8" s="132">
        <f>IF(SER_hh_fec!W8=0,0,11630*1000*SER_hh_fec!W8/SER_hh_num!W8)</f>
        <v>0</v>
      </c>
      <c r="X8" s="132">
        <f>IF(SER_hh_fec!X8=0,0,11630*1000*SER_hh_fec!X8/SER_hh_num!X8)</f>
        <v>0</v>
      </c>
      <c r="Y8" s="132">
        <f>IF(SER_hh_fec!Y8=0,0,11630*1000*SER_hh_fec!Y8/SER_hh_num!Y8)</f>
        <v>0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0</v>
      </c>
      <c r="C9" s="132">
        <f>IF(SER_hh_fec!C9=0,0,11630*1000*SER_hh_fec!C9/SER_hh_num!C9)</f>
        <v>0</v>
      </c>
      <c r="D9" s="132">
        <f>IF(SER_hh_fec!D9=0,0,11630*1000*SER_hh_fec!D9/SER_hh_num!D9)</f>
        <v>0</v>
      </c>
      <c r="E9" s="132">
        <f>IF(SER_hh_fec!E9=0,0,11630*1000*SER_hh_fec!E9/SER_hh_num!E9)</f>
        <v>0</v>
      </c>
      <c r="F9" s="132">
        <f>IF(SER_hh_fec!F9=0,0,11630*1000*SER_hh_fec!F9/SER_hh_num!F9)</f>
        <v>0</v>
      </c>
      <c r="G9" s="132">
        <f>IF(SER_hh_fec!G9=0,0,11630*1000*SER_hh_fec!G9/SER_hh_num!G9)</f>
        <v>0</v>
      </c>
      <c r="H9" s="132">
        <f>IF(SER_hh_fec!H9=0,0,11630*1000*SER_hh_fec!H9/SER_hh_num!H9)</f>
        <v>0</v>
      </c>
      <c r="I9" s="132">
        <f>IF(SER_hh_fec!I9=0,0,11630*1000*SER_hh_fec!I9/SER_hh_num!I9)</f>
        <v>0</v>
      </c>
      <c r="J9" s="132">
        <f>IF(SER_hh_fec!J9=0,0,11630*1000*SER_hh_fec!J9/SER_hh_num!J9)</f>
        <v>0</v>
      </c>
      <c r="K9" s="132">
        <f>IF(SER_hh_fec!K9=0,0,11630*1000*SER_hh_fec!K9/SER_hh_num!K9)</f>
        <v>0</v>
      </c>
      <c r="L9" s="132">
        <f>IF(SER_hh_fec!L9=0,0,11630*1000*SER_hh_fec!L9/SER_hh_num!L9)</f>
        <v>0</v>
      </c>
      <c r="M9" s="132">
        <f>IF(SER_hh_fec!M9=0,0,11630*1000*SER_hh_fec!M9/SER_hh_num!M9)</f>
        <v>164646.06996314265</v>
      </c>
      <c r="N9" s="132">
        <f>IF(SER_hh_fec!N9=0,0,11630*1000*SER_hh_fec!N9/SER_hh_num!N9)</f>
        <v>187462.02464321841</v>
      </c>
      <c r="O9" s="132">
        <f>IF(SER_hh_fec!O9=0,0,11630*1000*SER_hh_fec!O9/SER_hh_num!O9)</f>
        <v>136135.66479949054</v>
      </c>
      <c r="P9" s="132">
        <f>IF(SER_hh_fec!P9=0,0,11630*1000*SER_hh_fec!P9/SER_hh_num!P9)</f>
        <v>162647.04539333459</v>
      </c>
      <c r="Q9" s="132">
        <f>IF(SER_hh_fec!Q9=0,0,11630*1000*SER_hh_fec!Q9/SER_hh_num!Q9)</f>
        <v>161957.43282307181</v>
      </c>
      <c r="R9" s="132">
        <f>IF(SER_hh_fec!R9=0,0,11630*1000*SER_hh_fec!R9/SER_hh_num!R9)</f>
        <v>196645.65149618499</v>
      </c>
      <c r="S9" s="132">
        <f>IF(SER_hh_fec!S9=0,0,11630*1000*SER_hh_fec!S9/SER_hh_num!S9)</f>
        <v>161439.88688680597</v>
      </c>
      <c r="T9" s="132">
        <f>IF(SER_hh_fec!T9=0,0,11630*1000*SER_hh_fec!T9/SER_hh_num!T9)</f>
        <v>126972.08771778535</v>
      </c>
      <c r="U9" s="132">
        <f>IF(SER_hh_fec!U9=0,0,11630*1000*SER_hh_fec!U9/SER_hh_num!U9)</f>
        <v>178306.14545543565</v>
      </c>
      <c r="V9" s="132">
        <f>IF(SER_hh_fec!V9=0,0,11630*1000*SER_hh_fec!V9/SER_hh_num!V9)</f>
        <v>136457.34489866981</v>
      </c>
      <c r="W9" s="132">
        <f>IF(SER_hh_fec!W9=0,0,11630*1000*SER_hh_fec!W9/SER_hh_num!W9)</f>
        <v>103392.96764768071</v>
      </c>
      <c r="X9" s="132">
        <f>IF(SER_hh_fec!X9=0,0,11630*1000*SER_hh_fec!X9/SER_hh_num!X9)</f>
        <v>165317.71141162314</v>
      </c>
      <c r="Y9" s="132">
        <f>IF(SER_hh_fec!Y9=0,0,11630*1000*SER_hh_fec!Y9/SER_hh_num!Y9)</f>
        <v>160077.00534585686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0</v>
      </c>
      <c r="C10" s="132">
        <f>IF(SER_hh_fec!C10=0,0,11630*1000*SER_hh_fec!C10/SER_hh_num!C10)</f>
        <v>0</v>
      </c>
      <c r="D10" s="132">
        <f>IF(SER_hh_fec!D10=0,0,11630*1000*SER_hh_fec!D10/SER_hh_num!D10)</f>
        <v>0</v>
      </c>
      <c r="E10" s="132">
        <f>IF(SER_hh_fec!E10=0,0,11630*1000*SER_hh_fec!E10/SER_hh_num!E10)</f>
        <v>0</v>
      </c>
      <c r="F10" s="132">
        <f>IF(SER_hh_fec!F10=0,0,11630*1000*SER_hh_fec!F10/SER_hh_num!F10)</f>
        <v>0</v>
      </c>
      <c r="G10" s="132">
        <f>IF(SER_hh_fec!G10=0,0,11630*1000*SER_hh_fec!G10/SER_hh_num!G10)</f>
        <v>0</v>
      </c>
      <c r="H10" s="132">
        <f>IF(SER_hh_fec!H10=0,0,11630*1000*SER_hh_fec!H10/SER_hh_num!H10)</f>
        <v>0</v>
      </c>
      <c r="I10" s="132">
        <f>IF(SER_hh_fec!I10=0,0,11630*1000*SER_hh_fec!I10/SER_hh_num!I10)</f>
        <v>0</v>
      </c>
      <c r="J10" s="132">
        <f>IF(SER_hh_fec!J10=0,0,11630*1000*SER_hh_fec!J10/SER_hh_num!J10)</f>
        <v>0</v>
      </c>
      <c r="K10" s="132">
        <f>IF(SER_hh_fec!K10=0,0,11630*1000*SER_hh_fec!K10/SER_hh_num!K10)</f>
        <v>0</v>
      </c>
      <c r="L10" s="132">
        <f>IF(SER_hh_fec!L10=0,0,11630*1000*SER_hh_fec!L10/SER_hh_num!L10)</f>
        <v>0</v>
      </c>
      <c r="M10" s="132">
        <f>IF(SER_hh_fec!M10=0,0,11630*1000*SER_hh_fec!M10/SER_hh_num!M10)</f>
        <v>0</v>
      </c>
      <c r="N10" s="132">
        <f>IF(SER_hh_fec!N10=0,0,11630*1000*SER_hh_fec!N10/SER_hh_num!N10)</f>
        <v>0</v>
      </c>
      <c r="O10" s="132">
        <f>IF(SER_hh_fec!O10=0,0,11630*1000*SER_hh_fec!O10/SER_hh_num!O10)</f>
        <v>0</v>
      </c>
      <c r="P10" s="132">
        <f>IF(SER_hh_fec!P10=0,0,11630*1000*SER_hh_fec!P10/SER_hh_num!P10)</f>
        <v>0</v>
      </c>
      <c r="Q10" s="132">
        <f>IF(SER_hh_fec!Q10=0,0,11630*1000*SER_hh_fec!Q10/SER_hh_num!Q10)</f>
        <v>0</v>
      </c>
      <c r="R10" s="132">
        <f>IF(SER_hh_fec!R10=0,0,11630*1000*SER_hh_fec!R10/SER_hh_num!R10)</f>
        <v>0</v>
      </c>
      <c r="S10" s="132">
        <f>IF(SER_hh_fec!S10=0,0,11630*1000*SER_hh_fec!S10/SER_hh_num!S10)</f>
        <v>0</v>
      </c>
      <c r="T10" s="132">
        <f>IF(SER_hh_fec!T10=0,0,11630*1000*SER_hh_fec!T10/SER_hh_num!T10)</f>
        <v>0</v>
      </c>
      <c r="U10" s="132">
        <f>IF(SER_hh_fec!U10=0,0,11630*1000*SER_hh_fec!U10/SER_hh_num!U10)</f>
        <v>0</v>
      </c>
      <c r="V10" s="132">
        <f>IF(SER_hh_fec!V10=0,0,11630*1000*SER_hh_fec!V10/SER_hh_num!V10)</f>
        <v>0</v>
      </c>
      <c r="W10" s="132">
        <f>IF(SER_hh_fec!W10=0,0,11630*1000*SER_hh_fec!W10/SER_hh_num!W10)</f>
        <v>0</v>
      </c>
      <c r="X10" s="132">
        <f>IF(SER_hh_fec!X10=0,0,11630*1000*SER_hh_fec!X10/SER_hh_num!X10)</f>
        <v>0</v>
      </c>
      <c r="Y10" s="132">
        <f>IF(SER_hh_fec!Y10=0,0,11630*1000*SER_hh_fec!Y10/SER_hh_num!Y10)</f>
        <v>0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0</v>
      </c>
      <c r="M11" s="132">
        <f>IF(SER_hh_fec!M11=0,0,11630*1000*SER_hh_fec!M11/SER_hh_num!M11)</f>
        <v>0</v>
      </c>
      <c r="N11" s="132">
        <f>IF(SER_hh_fec!N11=0,0,11630*1000*SER_hh_fec!N11/SER_hh_num!N11)</f>
        <v>0</v>
      </c>
      <c r="O11" s="132">
        <f>IF(SER_hh_fec!O11=0,0,11630*1000*SER_hh_fec!O11/SER_hh_num!O11)</f>
        <v>0</v>
      </c>
      <c r="P11" s="132">
        <f>IF(SER_hh_fec!P11=0,0,11630*1000*SER_hh_fec!P11/SER_hh_num!P11)</f>
        <v>0</v>
      </c>
      <c r="Q11" s="132">
        <f>IF(SER_hh_fec!Q11=0,0,11630*1000*SER_hh_fec!Q11/SER_hh_num!Q11)</f>
        <v>0</v>
      </c>
      <c r="R11" s="132">
        <f>IF(SER_hh_fec!R11=0,0,11630*1000*SER_hh_fec!R11/SER_hh_num!R11)</f>
        <v>0</v>
      </c>
      <c r="S11" s="132">
        <f>IF(SER_hh_fec!S11=0,0,11630*1000*SER_hh_fec!S11/SER_hh_num!S11)</f>
        <v>0</v>
      </c>
      <c r="T11" s="132">
        <f>IF(SER_hh_fec!T11=0,0,11630*1000*SER_hh_fec!T11/SER_hh_num!T11)</f>
        <v>0</v>
      </c>
      <c r="U11" s="132">
        <f>IF(SER_hh_fec!U11=0,0,11630*1000*SER_hh_fec!U11/SER_hh_num!U11)</f>
        <v>0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0</v>
      </c>
      <c r="C12" s="132">
        <f>IF(SER_hh_fec!C12=0,0,11630*1000*SER_hh_fec!C12/SER_hh_num!C12)</f>
        <v>0</v>
      </c>
      <c r="D12" s="132">
        <f>IF(SER_hh_fec!D12=0,0,11630*1000*SER_hh_fec!D12/SER_hh_num!D12)</f>
        <v>0</v>
      </c>
      <c r="E12" s="132">
        <f>IF(SER_hh_fec!E12=0,0,11630*1000*SER_hh_fec!E12/SER_hh_num!E12)</f>
        <v>0</v>
      </c>
      <c r="F12" s="132">
        <f>IF(SER_hh_fec!F12=0,0,11630*1000*SER_hh_fec!F12/SER_hh_num!F12)</f>
        <v>0</v>
      </c>
      <c r="G12" s="132">
        <f>IF(SER_hh_fec!G12=0,0,11630*1000*SER_hh_fec!G12/SER_hh_num!G12)</f>
        <v>0</v>
      </c>
      <c r="H12" s="132">
        <f>IF(SER_hh_fec!H12=0,0,11630*1000*SER_hh_fec!H12/SER_hh_num!H12)</f>
        <v>0</v>
      </c>
      <c r="I12" s="132">
        <f>IF(SER_hh_fec!I12=0,0,11630*1000*SER_hh_fec!I12/SER_hh_num!I12)</f>
        <v>0</v>
      </c>
      <c r="J12" s="132">
        <f>IF(SER_hh_fec!J12=0,0,11630*1000*SER_hh_fec!J12/SER_hh_num!J12)</f>
        <v>0</v>
      </c>
      <c r="K12" s="132">
        <f>IF(SER_hh_fec!K12=0,0,11630*1000*SER_hh_fec!K12/SER_hh_num!K12)</f>
        <v>0</v>
      </c>
      <c r="L12" s="132">
        <f>IF(SER_hh_fec!L12=0,0,11630*1000*SER_hh_fec!L12/SER_hh_num!L12)</f>
        <v>0</v>
      </c>
      <c r="M12" s="132">
        <f>IF(SER_hh_fec!M12=0,0,11630*1000*SER_hh_fec!M12/SER_hh_num!M12)</f>
        <v>181297.65187058129</v>
      </c>
      <c r="N12" s="132">
        <f>IF(SER_hh_fec!N12=0,0,11630*1000*SER_hh_fec!N12/SER_hh_num!N12)</f>
        <v>291812.03641149844</v>
      </c>
      <c r="O12" s="132">
        <f>IF(SER_hh_fec!O12=0,0,11630*1000*SER_hh_fec!O12/SER_hh_num!O12)</f>
        <v>40837.057816198372</v>
      </c>
      <c r="P12" s="132">
        <f>IF(SER_hh_fec!P12=0,0,11630*1000*SER_hh_fec!P12/SER_hh_num!P12)</f>
        <v>48869.567264075034</v>
      </c>
      <c r="Q12" s="132">
        <f>IF(SER_hh_fec!Q12=0,0,11630*1000*SER_hh_fec!Q12/SER_hh_num!Q12)</f>
        <v>353265.26320291247</v>
      </c>
      <c r="R12" s="132">
        <f>IF(SER_hh_fec!R12=0,0,11630*1000*SER_hh_fec!R12/SER_hh_num!R12)</f>
        <v>218658.84894257761</v>
      </c>
      <c r="S12" s="132">
        <f>IF(SER_hh_fec!S12=0,0,11630*1000*SER_hh_fec!S12/SER_hh_num!S12)</f>
        <v>49404.188009722864</v>
      </c>
      <c r="T12" s="132">
        <f>IF(SER_hh_fec!T12=0,0,11630*1000*SER_hh_fec!T12/SER_hh_num!T12)</f>
        <v>94207.517632069386</v>
      </c>
      <c r="U12" s="132">
        <f>IF(SER_hh_fec!U12=0,0,11630*1000*SER_hh_fec!U12/SER_hh_num!U12)</f>
        <v>308438.14256791602</v>
      </c>
      <c r="V12" s="132">
        <f>IF(SER_hh_fec!V12=0,0,11630*1000*SER_hh_fec!V12/SER_hh_num!V12)</f>
        <v>0</v>
      </c>
      <c r="W12" s="132">
        <f>IF(SER_hh_fec!W12=0,0,11630*1000*SER_hh_fec!W12/SER_hh_num!W12)</f>
        <v>0</v>
      </c>
      <c r="X12" s="132">
        <f>IF(SER_hh_fec!X12=0,0,11630*1000*SER_hh_fec!X12/SER_hh_num!X12)</f>
        <v>0</v>
      </c>
      <c r="Y12" s="132">
        <f>IF(SER_hh_fec!Y12=0,0,11630*1000*SER_hh_fec!Y12/SER_hh_num!Y12)</f>
        <v>0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34199.385427307447</v>
      </c>
      <c r="C13" s="132">
        <f>IF(SER_hh_fec!C13=0,0,11630*1000*SER_hh_fec!C13/SER_hh_num!C13)</f>
        <v>44592.367289654161</v>
      </c>
      <c r="D13" s="132">
        <f>IF(SER_hh_fec!D13=0,0,11630*1000*SER_hh_fec!D13/SER_hh_num!D13)</f>
        <v>46697.263163300428</v>
      </c>
      <c r="E13" s="132">
        <f>IF(SER_hh_fec!E13=0,0,11630*1000*SER_hh_fec!E13/SER_hh_num!E13)</f>
        <v>52857.766664637129</v>
      </c>
      <c r="F13" s="132">
        <f>IF(SER_hh_fec!F13=0,0,11630*1000*SER_hh_fec!F13/SER_hh_num!F13)</f>
        <v>45348.969758670719</v>
      </c>
      <c r="G13" s="132">
        <f>IF(SER_hh_fec!G13=0,0,11630*1000*SER_hh_fec!G13/SER_hh_num!G13)</f>
        <v>44813.307236270331</v>
      </c>
      <c r="H13" s="132">
        <f>IF(SER_hh_fec!H13=0,0,11630*1000*SER_hh_fec!H13/SER_hh_num!H13)</f>
        <v>33624.508209174404</v>
      </c>
      <c r="I13" s="132">
        <f>IF(SER_hh_fec!I13=0,0,11630*1000*SER_hh_fec!I13/SER_hh_num!I13)</f>
        <v>31092.486180938147</v>
      </c>
      <c r="J13" s="132">
        <f>IF(SER_hh_fec!J13=0,0,11630*1000*SER_hh_fec!J13/SER_hh_num!J13)</f>
        <v>33163.258755837531</v>
      </c>
      <c r="K13" s="132">
        <f>IF(SER_hh_fec!K13=0,0,11630*1000*SER_hh_fec!K13/SER_hh_num!K13)</f>
        <v>35294.707483443599</v>
      </c>
      <c r="L13" s="132">
        <f>IF(SER_hh_fec!L13=0,0,11630*1000*SER_hh_fec!L13/SER_hh_num!L13)</f>
        <v>36795.061817388727</v>
      </c>
      <c r="M13" s="132">
        <f>IF(SER_hh_fec!M13=0,0,11630*1000*SER_hh_fec!M13/SER_hh_num!M13)</f>
        <v>43502.831999946837</v>
      </c>
      <c r="N13" s="132">
        <f>IF(SER_hh_fec!N13=0,0,11630*1000*SER_hh_fec!N13/SER_hh_num!N13)</f>
        <v>50225.702463543901</v>
      </c>
      <c r="O13" s="132">
        <f>IF(SER_hh_fec!O13=0,0,11630*1000*SER_hh_fec!O13/SER_hh_num!O13)</f>
        <v>50071.071456690908</v>
      </c>
      <c r="P13" s="132">
        <f>IF(SER_hh_fec!P13=0,0,11630*1000*SER_hh_fec!P13/SER_hh_num!P13)</f>
        <v>55315.317660165318</v>
      </c>
      <c r="Q13" s="132">
        <f>IF(SER_hh_fec!Q13=0,0,11630*1000*SER_hh_fec!Q13/SER_hh_num!Q13)</f>
        <v>59082.891323376047</v>
      </c>
      <c r="R13" s="132">
        <f>IF(SER_hh_fec!R13=0,0,11630*1000*SER_hh_fec!R13/SER_hh_num!R13)</f>
        <v>53725.786730109838</v>
      </c>
      <c r="S13" s="132">
        <f>IF(SER_hh_fec!S13=0,0,11630*1000*SER_hh_fec!S13/SER_hh_num!S13)</f>
        <v>49830.295312101647</v>
      </c>
      <c r="T13" s="132">
        <f>IF(SER_hh_fec!T13=0,0,11630*1000*SER_hh_fec!T13/SER_hh_num!T13)</f>
        <v>42132.558575333962</v>
      </c>
      <c r="U13" s="132">
        <f>IF(SER_hh_fec!U13=0,0,11630*1000*SER_hh_fec!U13/SER_hh_num!U13)</f>
        <v>34348.260205534534</v>
      </c>
      <c r="V13" s="132">
        <f>IF(SER_hh_fec!V13=0,0,11630*1000*SER_hh_fec!V13/SER_hh_num!V13)</f>
        <v>31968.463352081486</v>
      </c>
      <c r="W13" s="132">
        <f>IF(SER_hh_fec!W13=0,0,11630*1000*SER_hh_fec!W13/SER_hh_num!W13)</f>
        <v>33913.311950039599</v>
      </c>
      <c r="X13" s="132">
        <f>IF(SER_hh_fec!X13=0,0,11630*1000*SER_hh_fec!X13/SER_hh_num!X13)</f>
        <v>35668.257462688081</v>
      </c>
      <c r="Y13" s="132">
        <f>IF(SER_hh_fec!Y13=0,0,11630*1000*SER_hh_fec!Y13/SER_hh_num!Y13)</f>
        <v>37570.686257558904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100826.48304733657</v>
      </c>
      <c r="C14" s="65">
        <f>IF(SER_hh_fec!C14=0,0,11630*1000*SER_hh_fec!C14/SER_hh_num!C14)</f>
        <v>113423.39955824347</v>
      </c>
      <c r="D14" s="65">
        <f>IF(SER_hh_fec!D14=0,0,11630*1000*SER_hh_fec!D14/SER_hh_num!D14)</f>
        <v>136852.25079450564</v>
      </c>
      <c r="E14" s="65">
        <f>IF(SER_hh_fec!E14=0,0,11630*1000*SER_hh_fec!E14/SER_hh_num!E14)</f>
        <v>130729.30443186742</v>
      </c>
      <c r="F14" s="65">
        <f>IF(SER_hh_fec!F14=0,0,11630*1000*SER_hh_fec!F14/SER_hh_num!F14)</f>
        <v>135250.51219108421</v>
      </c>
      <c r="G14" s="65">
        <f>IF(SER_hh_fec!G14=0,0,11630*1000*SER_hh_fec!G14/SER_hh_num!G14)</f>
        <v>216255.79441563299</v>
      </c>
      <c r="H14" s="65">
        <f>IF(SER_hh_fec!H14=0,0,11630*1000*SER_hh_fec!H14/SER_hh_num!H14)</f>
        <v>128613.94444626315</v>
      </c>
      <c r="I14" s="65">
        <f>IF(SER_hh_fec!I14=0,0,11630*1000*SER_hh_fec!I14/SER_hh_num!I14)</f>
        <v>123882.68191243491</v>
      </c>
      <c r="J14" s="65">
        <f>IF(SER_hh_fec!J14=0,0,11630*1000*SER_hh_fec!J14/SER_hh_num!J14)</f>
        <v>107301.32430213764</v>
      </c>
      <c r="K14" s="65">
        <f>IF(SER_hh_fec!K14=0,0,11630*1000*SER_hh_fec!K14/SER_hh_num!K14)</f>
        <v>77139.653588290996</v>
      </c>
      <c r="L14" s="65">
        <f>IF(SER_hh_fec!L14=0,0,11630*1000*SER_hh_fec!L14/SER_hh_num!L14)</f>
        <v>182218.17112353441</v>
      </c>
      <c r="M14" s="65">
        <f>IF(SER_hh_fec!M14=0,0,11630*1000*SER_hh_fec!M14/SER_hh_num!M14)</f>
        <v>192750.26631885735</v>
      </c>
      <c r="N14" s="65">
        <f>IF(SER_hh_fec!N14=0,0,11630*1000*SER_hh_fec!N14/SER_hh_num!N14)</f>
        <v>194703.00266374034</v>
      </c>
      <c r="O14" s="65">
        <f>IF(SER_hh_fec!O14=0,0,11630*1000*SER_hh_fec!O14/SER_hh_num!O14)</f>
        <v>198088.7414684965</v>
      </c>
      <c r="P14" s="65">
        <f>IF(SER_hh_fec!P14=0,0,11630*1000*SER_hh_fec!P14/SER_hh_num!P14)</f>
        <v>216556.30230213422</v>
      </c>
      <c r="Q14" s="65">
        <f>IF(SER_hh_fec!Q14=0,0,11630*1000*SER_hh_fec!Q14/SER_hh_num!Q14)</f>
        <v>237379.13922814064</v>
      </c>
      <c r="R14" s="65">
        <f>IF(SER_hh_fec!R14=0,0,11630*1000*SER_hh_fec!R14/SER_hh_num!R14)</f>
        <v>213746.05918361744</v>
      </c>
      <c r="S14" s="65">
        <f>IF(SER_hh_fec!S14=0,0,11630*1000*SER_hh_fec!S14/SER_hh_num!S14)</f>
        <v>233123.53436861836</v>
      </c>
      <c r="T14" s="65">
        <f>IF(SER_hh_fec!T14=0,0,11630*1000*SER_hh_fec!T14/SER_hh_num!T14)</f>
        <v>208108.65638832064</v>
      </c>
      <c r="U14" s="65">
        <f>IF(SER_hh_fec!U14=0,0,11630*1000*SER_hh_fec!U14/SER_hh_num!U14)</f>
        <v>198068.55644685187</v>
      </c>
      <c r="V14" s="65">
        <f>IF(SER_hh_fec!V14=0,0,11630*1000*SER_hh_fec!V14/SER_hh_num!V14)</f>
        <v>147361.04526234022</v>
      </c>
      <c r="W14" s="65">
        <f>IF(SER_hh_fec!W14=0,0,11630*1000*SER_hh_fec!W14/SER_hh_num!W14)</f>
        <v>152629.62348784023</v>
      </c>
      <c r="X14" s="65">
        <f>IF(SER_hh_fec!X14=0,0,11630*1000*SER_hh_fec!X14/SER_hh_num!X14)</f>
        <v>196928.51526003965</v>
      </c>
      <c r="Y14" s="65">
        <f>IF(SER_hh_fec!Y14=0,0,11630*1000*SER_hh_fec!Y14/SER_hh_num!Y14)</f>
        <v>189667.87765110863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1225.3491847717421</v>
      </c>
      <c r="C15" s="134">
        <f>IF(SER_hh_fec!C15=0,0,11630*1000*SER_hh_fec!C15/SER_hh_num!C15)</f>
        <v>1192.5794722499697</v>
      </c>
      <c r="D15" s="134">
        <f>IF(SER_hh_fec!D15=0,0,11630*1000*SER_hh_fec!D15/SER_hh_num!D15)</f>
        <v>1339.2065341706329</v>
      </c>
      <c r="E15" s="134">
        <f>IF(SER_hh_fec!E15=0,0,11630*1000*SER_hh_fec!E15/SER_hh_num!E15)</f>
        <v>1625.4894828496749</v>
      </c>
      <c r="F15" s="134">
        <f>IF(SER_hh_fec!F15=0,0,11630*1000*SER_hh_fec!F15/SER_hh_num!F15)</f>
        <v>1811.9609322344074</v>
      </c>
      <c r="G15" s="134">
        <f>IF(SER_hh_fec!G15=0,0,11630*1000*SER_hh_fec!G15/SER_hh_num!G15)</f>
        <v>1558.7204034672886</v>
      </c>
      <c r="H15" s="134">
        <f>IF(SER_hh_fec!H15=0,0,11630*1000*SER_hh_fec!H15/SER_hh_num!H15)</f>
        <v>1280.213238109352</v>
      </c>
      <c r="I15" s="134">
        <f>IF(SER_hh_fec!I15=0,0,11630*1000*SER_hh_fec!I15/SER_hh_num!I15)</f>
        <v>1408.2386514022442</v>
      </c>
      <c r="J15" s="134">
        <f>IF(SER_hh_fec!J15=0,0,11630*1000*SER_hh_fec!J15/SER_hh_num!J15)</f>
        <v>1235.2033956758405</v>
      </c>
      <c r="K15" s="134">
        <f>IF(SER_hh_fec!K15=0,0,11630*1000*SER_hh_fec!K15/SER_hh_num!K15)</f>
        <v>901.23295787193172</v>
      </c>
      <c r="L15" s="134">
        <f>IF(SER_hh_fec!L15=0,0,11630*1000*SER_hh_fec!L15/SER_hh_num!L15)</f>
        <v>1802.1817886020697</v>
      </c>
      <c r="M15" s="134">
        <f>IF(SER_hh_fec!M15=0,0,11630*1000*SER_hh_fec!M15/SER_hh_num!M15)</f>
        <v>1161.3992421797584</v>
      </c>
      <c r="N15" s="134">
        <f>IF(SER_hh_fec!N15=0,0,11630*1000*SER_hh_fec!N15/SER_hh_num!N15)</f>
        <v>1787.0839724863902</v>
      </c>
      <c r="O15" s="134">
        <f>IF(SER_hh_fec!O15=0,0,11630*1000*SER_hh_fec!O15/SER_hh_num!O15)</f>
        <v>2122.1476806708711</v>
      </c>
      <c r="P15" s="134">
        <f>IF(SER_hh_fec!P15=0,0,11630*1000*SER_hh_fec!P15/SER_hh_num!P15)</f>
        <v>2167.2190172822711</v>
      </c>
      <c r="Q15" s="134">
        <f>IF(SER_hh_fec!Q15=0,0,11630*1000*SER_hh_fec!Q15/SER_hh_num!Q15)</f>
        <v>2559.3889769895768</v>
      </c>
      <c r="R15" s="134">
        <f>IF(SER_hh_fec!R15=0,0,11630*1000*SER_hh_fec!R15/SER_hh_num!R15)</f>
        <v>2494.5367407169683</v>
      </c>
      <c r="S15" s="134">
        <f>IF(SER_hh_fec!S15=0,0,11630*1000*SER_hh_fec!S15/SER_hh_num!S15)</f>
        <v>2437.2237972294197</v>
      </c>
      <c r="T15" s="134">
        <f>IF(SER_hh_fec!T15=0,0,11630*1000*SER_hh_fec!T15/SER_hh_num!T15)</f>
        <v>1768.2568814294273</v>
      </c>
      <c r="U15" s="134">
        <f>IF(SER_hh_fec!U15=0,0,11630*1000*SER_hh_fec!U15/SER_hh_num!U15)</f>
        <v>1911.9385143536056</v>
      </c>
      <c r="V15" s="134">
        <f>IF(SER_hh_fec!V15=0,0,11630*1000*SER_hh_fec!V15/SER_hh_num!V15)</f>
        <v>1617.830606663518</v>
      </c>
      <c r="W15" s="134">
        <f>IF(SER_hh_fec!W15=0,0,11630*1000*SER_hh_fec!W15/SER_hh_num!W15)</f>
        <v>1753.034122400471</v>
      </c>
      <c r="X15" s="134">
        <f>IF(SER_hh_fec!X15=0,0,11630*1000*SER_hh_fec!X15/SER_hh_num!X15)</f>
        <v>2238.68936840579</v>
      </c>
      <c r="Y15" s="134">
        <f>IF(SER_hh_fec!Y15=0,0,11630*1000*SER_hh_fec!Y15/SER_hh_num!Y15)</f>
        <v>1965.1363661437335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39918.965333976957</v>
      </c>
      <c r="C16" s="130">
        <f>IF(SER_hh_fec!C16=0,0,11630*1000*SER_hh_fec!C16/SER_hh_num!C16)</f>
        <v>42373.622152924298</v>
      </c>
      <c r="D16" s="130">
        <f>IF(SER_hh_fec!D16=0,0,11630*1000*SER_hh_fec!D16/SER_hh_num!D16)</f>
        <v>31449.692092982306</v>
      </c>
      <c r="E16" s="130">
        <f>IF(SER_hh_fec!E16=0,0,11630*1000*SER_hh_fec!E16/SER_hh_num!E16)</f>
        <v>45921.209105522343</v>
      </c>
      <c r="F16" s="130">
        <f>IF(SER_hh_fec!F16=0,0,11630*1000*SER_hh_fec!F16/SER_hh_num!F16)</f>
        <v>22996.451698661571</v>
      </c>
      <c r="G16" s="130">
        <f>IF(SER_hh_fec!G16=0,0,11630*1000*SER_hh_fec!G16/SER_hh_num!G16)</f>
        <v>21495.29714953369</v>
      </c>
      <c r="H16" s="130">
        <f>IF(SER_hh_fec!H16=0,0,11630*1000*SER_hh_fec!H16/SER_hh_num!H16)</f>
        <v>27663.104820023851</v>
      </c>
      <c r="I16" s="130">
        <f>IF(SER_hh_fec!I16=0,0,11630*1000*SER_hh_fec!I16/SER_hh_num!I16)</f>
        <v>27063.61259317027</v>
      </c>
      <c r="J16" s="130">
        <f>IF(SER_hh_fec!J16=0,0,11630*1000*SER_hh_fec!J16/SER_hh_num!J16)</f>
        <v>21768.594163522412</v>
      </c>
      <c r="K16" s="130">
        <f>IF(SER_hh_fec!K16=0,0,11630*1000*SER_hh_fec!K16/SER_hh_num!K16)</f>
        <v>22190.740285393367</v>
      </c>
      <c r="L16" s="130">
        <f>IF(SER_hh_fec!L16=0,0,11630*1000*SER_hh_fec!L16/SER_hh_num!L16)</f>
        <v>17834.546871122471</v>
      </c>
      <c r="M16" s="130">
        <f>IF(SER_hh_fec!M16=0,0,11630*1000*SER_hh_fec!M16/SER_hh_num!M16)</f>
        <v>18799.598929072159</v>
      </c>
      <c r="N16" s="130">
        <f>IF(SER_hh_fec!N16=0,0,11630*1000*SER_hh_fec!N16/SER_hh_num!N16)</f>
        <v>31973.951354157656</v>
      </c>
      <c r="O16" s="130">
        <f>IF(SER_hh_fec!O16=0,0,11630*1000*SER_hh_fec!O16/SER_hh_num!O16)</f>
        <v>22050.10363088395</v>
      </c>
      <c r="P16" s="130">
        <f>IF(SER_hh_fec!P16=0,0,11630*1000*SER_hh_fec!P16/SER_hh_num!P16)</f>
        <v>22167.779135531386</v>
      </c>
      <c r="Q16" s="130">
        <f>IF(SER_hh_fec!Q16=0,0,11630*1000*SER_hh_fec!Q16/SER_hh_num!Q16)</f>
        <v>23154.376651819381</v>
      </c>
      <c r="R16" s="130">
        <f>IF(SER_hh_fec!R16=0,0,11630*1000*SER_hh_fec!R16/SER_hh_num!R16)</f>
        <v>18751.571955463009</v>
      </c>
      <c r="S16" s="130">
        <f>IF(SER_hh_fec!S16=0,0,11630*1000*SER_hh_fec!S16/SER_hh_num!S16)</f>
        <v>21652.156209082867</v>
      </c>
      <c r="T16" s="130">
        <f>IF(SER_hh_fec!T16=0,0,11630*1000*SER_hh_fec!T16/SER_hh_num!T16)</f>
        <v>18850.388219928227</v>
      </c>
      <c r="U16" s="130">
        <f>IF(SER_hh_fec!U16=0,0,11630*1000*SER_hh_fec!U16/SER_hh_num!U16)</f>
        <v>25438.350676705777</v>
      </c>
      <c r="V16" s="130">
        <f>IF(SER_hh_fec!V16=0,0,11630*1000*SER_hh_fec!V16/SER_hh_num!V16)</f>
        <v>19629.008446578053</v>
      </c>
      <c r="W16" s="130">
        <f>IF(SER_hh_fec!W16=0,0,11630*1000*SER_hh_fec!W16/SER_hh_num!W16)</f>
        <v>24752.328674320495</v>
      </c>
      <c r="X16" s="130">
        <f>IF(SER_hh_fec!X16=0,0,11630*1000*SER_hh_fec!X16/SER_hh_num!X16)</f>
        <v>26217.326381505867</v>
      </c>
      <c r="Y16" s="130">
        <f>IF(SER_hh_fec!Y16=0,0,11630*1000*SER_hh_fec!Y16/SER_hh_num!Y16)</f>
        <v>23076.416310720826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0</v>
      </c>
      <c r="C17" s="132">
        <f>IF(SER_hh_fec!C17=0,0,11630*1000*SER_hh_fec!C17/SER_hh_num!C17)</f>
        <v>0</v>
      </c>
      <c r="D17" s="132">
        <f>IF(SER_hh_fec!D17=0,0,11630*1000*SER_hh_fec!D17/SER_hh_num!D17)</f>
        <v>0</v>
      </c>
      <c r="E17" s="132">
        <f>IF(SER_hh_fec!E17=0,0,11630*1000*SER_hh_fec!E17/SER_hh_num!E17)</f>
        <v>0</v>
      </c>
      <c r="F17" s="132">
        <f>IF(SER_hh_fec!F17=0,0,11630*1000*SER_hh_fec!F17/SER_hh_num!F17)</f>
        <v>0</v>
      </c>
      <c r="G17" s="132">
        <f>IF(SER_hh_fec!G17=0,0,11630*1000*SER_hh_fec!G17/SER_hh_num!G17)</f>
        <v>0</v>
      </c>
      <c r="H17" s="132">
        <f>IF(SER_hh_fec!H17=0,0,11630*1000*SER_hh_fec!H17/SER_hh_num!H17)</f>
        <v>0</v>
      </c>
      <c r="I17" s="132">
        <f>IF(SER_hh_fec!I17=0,0,11630*1000*SER_hh_fec!I17/SER_hh_num!I17)</f>
        <v>0</v>
      </c>
      <c r="J17" s="132">
        <f>IF(SER_hh_fec!J17=0,0,11630*1000*SER_hh_fec!J17/SER_hh_num!J17)</f>
        <v>0</v>
      </c>
      <c r="K17" s="132">
        <f>IF(SER_hh_fec!K17=0,0,11630*1000*SER_hh_fec!K17/SER_hh_num!K17)</f>
        <v>0</v>
      </c>
      <c r="L17" s="132">
        <f>IF(SER_hh_fec!L17=0,0,11630*1000*SER_hh_fec!L17/SER_hh_num!L17)</f>
        <v>0</v>
      </c>
      <c r="M17" s="132">
        <f>IF(SER_hh_fec!M17=0,0,11630*1000*SER_hh_fec!M17/SER_hh_num!M17)</f>
        <v>0</v>
      </c>
      <c r="N17" s="132">
        <f>IF(SER_hh_fec!N17=0,0,11630*1000*SER_hh_fec!N17/SER_hh_num!N17)</f>
        <v>0</v>
      </c>
      <c r="O17" s="132">
        <f>IF(SER_hh_fec!O17=0,0,11630*1000*SER_hh_fec!O17/SER_hh_num!O17)</f>
        <v>0</v>
      </c>
      <c r="P17" s="132">
        <f>IF(SER_hh_fec!P17=0,0,11630*1000*SER_hh_fec!P17/SER_hh_num!P17)</f>
        <v>0</v>
      </c>
      <c r="Q17" s="132">
        <f>IF(SER_hh_fec!Q17=0,0,11630*1000*SER_hh_fec!Q17/SER_hh_num!Q17)</f>
        <v>0</v>
      </c>
      <c r="R17" s="132">
        <f>IF(SER_hh_fec!R17=0,0,11630*1000*SER_hh_fec!R17/SER_hh_num!R17)</f>
        <v>0</v>
      </c>
      <c r="S17" s="132">
        <f>IF(SER_hh_fec!S17=0,0,11630*1000*SER_hh_fec!S17/SER_hh_num!S17)</f>
        <v>0</v>
      </c>
      <c r="T17" s="132">
        <f>IF(SER_hh_fec!T17=0,0,11630*1000*SER_hh_fec!T17/SER_hh_num!T17)</f>
        <v>0</v>
      </c>
      <c r="U17" s="132">
        <f>IF(SER_hh_fec!U17=0,0,11630*1000*SER_hh_fec!U17/SER_hh_num!U17)</f>
        <v>0</v>
      </c>
      <c r="V17" s="132">
        <f>IF(SER_hh_fec!V17=0,0,11630*1000*SER_hh_fec!V17/SER_hh_num!V17)</f>
        <v>0</v>
      </c>
      <c r="W17" s="132">
        <f>IF(SER_hh_fec!W17=0,0,11630*1000*SER_hh_fec!W17/SER_hh_num!W17)</f>
        <v>0</v>
      </c>
      <c r="X17" s="132">
        <f>IF(SER_hh_fec!X17=0,0,11630*1000*SER_hh_fec!X17/SER_hh_num!X17)</f>
        <v>0</v>
      </c>
      <c r="Y17" s="132">
        <f>IF(SER_hh_fec!Y17=0,0,11630*1000*SER_hh_fec!Y17/SER_hh_num!Y17)</f>
        <v>0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39918.965333976957</v>
      </c>
      <c r="C18" s="132">
        <f>IF(SER_hh_fec!C18=0,0,11630*1000*SER_hh_fec!C18/SER_hh_num!C18)</f>
        <v>42373.622152924298</v>
      </c>
      <c r="D18" s="132">
        <f>IF(SER_hh_fec!D18=0,0,11630*1000*SER_hh_fec!D18/SER_hh_num!D18)</f>
        <v>31449.692092982306</v>
      </c>
      <c r="E18" s="132">
        <f>IF(SER_hh_fec!E18=0,0,11630*1000*SER_hh_fec!E18/SER_hh_num!E18)</f>
        <v>45921.209105522343</v>
      </c>
      <c r="F18" s="132">
        <f>IF(SER_hh_fec!F18=0,0,11630*1000*SER_hh_fec!F18/SER_hh_num!F18)</f>
        <v>22996.451698661571</v>
      </c>
      <c r="G18" s="132">
        <f>IF(SER_hh_fec!G18=0,0,11630*1000*SER_hh_fec!G18/SER_hh_num!G18)</f>
        <v>21495.29714953369</v>
      </c>
      <c r="H18" s="132">
        <f>IF(SER_hh_fec!H18=0,0,11630*1000*SER_hh_fec!H18/SER_hh_num!H18)</f>
        <v>27663.104820023851</v>
      </c>
      <c r="I18" s="132">
        <f>IF(SER_hh_fec!I18=0,0,11630*1000*SER_hh_fec!I18/SER_hh_num!I18)</f>
        <v>27063.61259317027</v>
      </c>
      <c r="J18" s="132">
        <f>IF(SER_hh_fec!J18=0,0,11630*1000*SER_hh_fec!J18/SER_hh_num!J18)</f>
        <v>21768.594163522412</v>
      </c>
      <c r="K18" s="132">
        <f>IF(SER_hh_fec!K18=0,0,11630*1000*SER_hh_fec!K18/SER_hh_num!K18)</f>
        <v>22190.740285393367</v>
      </c>
      <c r="L18" s="132">
        <f>IF(SER_hh_fec!L18=0,0,11630*1000*SER_hh_fec!L18/SER_hh_num!L18)</f>
        <v>17834.546871122471</v>
      </c>
      <c r="M18" s="132">
        <f>IF(SER_hh_fec!M18=0,0,11630*1000*SER_hh_fec!M18/SER_hh_num!M18)</f>
        <v>18799.598929072159</v>
      </c>
      <c r="N18" s="132">
        <f>IF(SER_hh_fec!N18=0,0,11630*1000*SER_hh_fec!N18/SER_hh_num!N18)</f>
        <v>31973.951354157656</v>
      </c>
      <c r="O18" s="132">
        <f>IF(SER_hh_fec!O18=0,0,11630*1000*SER_hh_fec!O18/SER_hh_num!O18)</f>
        <v>22050.10363088395</v>
      </c>
      <c r="P18" s="132">
        <f>IF(SER_hh_fec!P18=0,0,11630*1000*SER_hh_fec!P18/SER_hh_num!P18)</f>
        <v>22167.779135531386</v>
      </c>
      <c r="Q18" s="132">
        <f>IF(SER_hh_fec!Q18=0,0,11630*1000*SER_hh_fec!Q18/SER_hh_num!Q18)</f>
        <v>23154.376651819381</v>
      </c>
      <c r="R18" s="132">
        <f>IF(SER_hh_fec!R18=0,0,11630*1000*SER_hh_fec!R18/SER_hh_num!R18)</f>
        <v>18751.571955463009</v>
      </c>
      <c r="S18" s="132">
        <f>IF(SER_hh_fec!S18=0,0,11630*1000*SER_hh_fec!S18/SER_hh_num!S18)</f>
        <v>21652.156209082867</v>
      </c>
      <c r="T18" s="132">
        <f>IF(SER_hh_fec!T18=0,0,11630*1000*SER_hh_fec!T18/SER_hh_num!T18)</f>
        <v>18850.388219928227</v>
      </c>
      <c r="U18" s="132">
        <f>IF(SER_hh_fec!U18=0,0,11630*1000*SER_hh_fec!U18/SER_hh_num!U18)</f>
        <v>25438.350676705777</v>
      </c>
      <c r="V18" s="132">
        <f>IF(SER_hh_fec!V18=0,0,11630*1000*SER_hh_fec!V18/SER_hh_num!V18)</f>
        <v>19629.008446578053</v>
      </c>
      <c r="W18" s="132">
        <f>IF(SER_hh_fec!W18=0,0,11630*1000*SER_hh_fec!W18/SER_hh_num!W18)</f>
        <v>24752.328674320495</v>
      </c>
      <c r="X18" s="132">
        <f>IF(SER_hh_fec!X18=0,0,11630*1000*SER_hh_fec!X18/SER_hh_num!X18)</f>
        <v>26217.326381505867</v>
      </c>
      <c r="Y18" s="132">
        <f>IF(SER_hh_fec!Y18=0,0,11630*1000*SER_hh_fec!Y18/SER_hh_num!Y18)</f>
        <v>23076.416310720826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52694.811592342216</v>
      </c>
      <c r="C19" s="130">
        <f>IF(SER_hh_fec!C19=0,0,11630*1000*SER_hh_fec!C19/SER_hh_num!C19)</f>
        <v>50351.886169450045</v>
      </c>
      <c r="D19" s="130">
        <f>IF(SER_hh_fec!D19=0,0,11630*1000*SER_hh_fec!D19/SER_hh_num!D19)</f>
        <v>51466.91957835944</v>
      </c>
      <c r="E19" s="130">
        <f>IF(SER_hh_fec!E19=0,0,11630*1000*SER_hh_fec!E19/SER_hh_num!E19)</f>
        <v>51544.637564223936</v>
      </c>
      <c r="F19" s="130">
        <f>IF(SER_hh_fec!F19=0,0,11630*1000*SER_hh_fec!F19/SER_hh_num!F19)</f>
        <v>52600.237165783423</v>
      </c>
      <c r="G19" s="130">
        <f>IF(SER_hh_fec!G19=0,0,11630*1000*SER_hh_fec!G19/SER_hh_num!G19)</f>
        <v>51463.809101515297</v>
      </c>
      <c r="H19" s="130">
        <f>IF(SER_hh_fec!H19=0,0,11630*1000*SER_hh_fec!H19/SER_hh_num!H19)</f>
        <v>51975.500220128073</v>
      </c>
      <c r="I19" s="130">
        <f>IF(SER_hh_fec!I19=0,0,11630*1000*SER_hh_fec!I19/SER_hh_num!I19)</f>
        <v>51357.193434886627</v>
      </c>
      <c r="J19" s="130">
        <f>IF(SER_hh_fec!J19=0,0,11630*1000*SER_hh_fec!J19/SER_hh_num!J19)</f>
        <v>49516.231769216334</v>
      </c>
      <c r="K19" s="130">
        <f>IF(SER_hh_fec!K19=0,0,11630*1000*SER_hh_fec!K19/SER_hh_num!K19)</f>
        <v>49669.160726431641</v>
      </c>
      <c r="L19" s="130">
        <f>IF(SER_hh_fec!L19=0,0,11630*1000*SER_hh_fec!L19/SER_hh_num!L19)</f>
        <v>50364.532737627182</v>
      </c>
      <c r="M19" s="130">
        <f>IF(SER_hh_fec!M19=0,0,11630*1000*SER_hh_fec!M19/SER_hh_num!M19)</f>
        <v>50484.157536970939</v>
      </c>
      <c r="N19" s="130">
        <f>IF(SER_hh_fec!N19=0,0,11630*1000*SER_hh_fec!N19/SER_hh_num!N19)</f>
        <v>48632.183123401795</v>
      </c>
      <c r="O19" s="130">
        <f>IF(SER_hh_fec!O19=0,0,11630*1000*SER_hh_fec!O19/SER_hh_num!O19)</f>
        <v>48672.410579448522</v>
      </c>
      <c r="P19" s="130">
        <f>IF(SER_hh_fec!P19=0,0,11630*1000*SER_hh_fec!P19/SER_hh_num!P19)</f>
        <v>47925.415909085918</v>
      </c>
      <c r="Q19" s="130">
        <f>IF(SER_hh_fec!Q19=0,0,11630*1000*SER_hh_fec!Q19/SER_hh_num!Q19)</f>
        <v>47127.138100929798</v>
      </c>
      <c r="R19" s="130">
        <f>IF(SER_hh_fec!R19=0,0,11630*1000*SER_hh_fec!R19/SER_hh_num!R19)</f>
        <v>46422.453811650666</v>
      </c>
      <c r="S19" s="130">
        <f>IF(SER_hh_fec!S19=0,0,11630*1000*SER_hh_fec!S19/SER_hh_num!S19)</f>
        <v>45293.279745326603</v>
      </c>
      <c r="T19" s="130">
        <f>IF(SER_hh_fec!T19=0,0,11630*1000*SER_hh_fec!T19/SER_hh_num!T19)</f>
        <v>44480.80852388042</v>
      </c>
      <c r="U19" s="130">
        <f>IF(SER_hh_fec!U19=0,0,11630*1000*SER_hh_fec!U19/SER_hh_num!U19)</f>
        <v>43775.875634590368</v>
      </c>
      <c r="V19" s="130">
        <f>IF(SER_hh_fec!V19=0,0,11630*1000*SER_hh_fec!V19/SER_hh_num!V19)</f>
        <v>41050.332797987809</v>
      </c>
      <c r="W19" s="130">
        <f>IF(SER_hh_fec!W19=0,0,11630*1000*SER_hh_fec!W19/SER_hh_num!W19)</f>
        <v>41201.512705415946</v>
      </c>
      <c r="X19" s="130">
        <f>IF(SER_hh_fec!X19=0,0,11630*1000*SER_hh_fec!X19/SER_hh_num!X19)</f>
        <v>40584.27159135347</v>
      </c>
      <c r="Y19" s="130">
        <f>IF(SER_hh_fec!Y19=0,0,11630*1000*SER_hh_fec!Y19/SER_hh_num!Y19)</f>
        <v>41103.897756299491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63177.847421965911</v>
      </c>
      <c r="C21" s="132">
        <f>IF(SER_hh_fec!C21=0,0,11630*1000*SER_hh_fec!C21/SER_hh_num!C21)</f>
        <v>62688.261535818856</v>
      </c>
      <c r="D21" s="132">
        <f>IF(SER_hh_fec!D21=0,0,11630*1000*SER_hh_fec!D21/SER_hh_num!D21)</f>
        <v>63760.169596850159</v>
      </c>
      <c r="E21" s="132">
        <f>IF(SER_hh_fec!E21=0,0,11630*1000*SER_hh_fec!E21/SER_hh_num!E21)</f>
        <v>54736.205080003216</v>
      </c>
      <c r="F21" s="132">
        <f>IF(SER_hh_fec!F21=0,0,11630*1000*SER_hh_fec!F21/SER_hh_num!F21)</f>
        <v>47667.704035993112</v>
      </c>
      <c r="G21" s="132">
        <f>IF(SER_hh_fec!G21=0,0,11630*1000*SER_hh_fec!G21/SER_hh_num!G21)</f>
        <v>40160.981588803392</v>
      </c>
      <c r="H21" s="132">
        <f>IF(SER_hh_fec!H21=0,0,11630*1000*SER_hh_fec!H21/SER_hh_num!H21)</f>
        <v>90354.144861631969</v>
      </c>
      <c r="I21" s="132">
        <f>IF(SER_hh_fec!I21=0,0,11630*1000*SER_hh_fec!I21/SER_hh_num!I21)</f>
        <v>110139.34630851509</v>
      </c>
      <c r="J21" s="132">
        <f>IF(SER_hh_fec!J21=0,0,11630*1000*SER_hh_fec!J21/SER_hh_num!J21)</f>
        <v>100347.24818308106</v>
      </c>
      <c r="K21" s="132">
        <f>IF(SER_hh_fec!K21=0,0,11630*1000*SER_hh_fec!K21/SER_hh_num!K21)</f>
        <v>93008.180772362539</v>
      </c>
      <c r="L21" s="132">
        <f>IF(SER_hh_fec!L21=0,0,11630*1000*SER_hh_fec!L21/SER_hh_num!L21)</f>
        <v>49274.350138703034</v>
      </c>
      <c r="M21" s="132">
        <f>IF(SER_hh_fec!M21=0,0,11630*1000*SER_hh_fec!M21/SER_hh_num!M21)</f>
        <v>57415.31281630219</v>
      </c>
      <c r="N21" s="132">
        <f>IF(SER_hh_fec!N21=0,0,11630*1000*SER_hh_fec!N21/SER_hh_num!N21)</f>
        <v>60034.807026341667</v>
      </c>
      <c r="O21" s="132">
        <f>IF(SER_hh_fec!O21=0,0,11630*1000*SER_hh_fec!O21/SER_hh_num!O21)</f>
        <v>47631.708820895052</v>
      </c>
      <c r="P21" s="132">
        <f>IF(SER_hh_fec!P21=0,0,11630*1000*SER_hh_fec!P21/SER_hh_num!P21)</f>
        <v>51991.122403853129</v>
      </c>
      <c r="Q21" s="132">
        <f>IF(SER_hh_fec!Q21=0,0,11630*1000*SER_hh_fec!Q21/SER_hh_num!Q21)</f>
        <v>55282.544826066689</v>
      </c>
      <c r="R21" s="132">
        <f>IF(SER_hh_fec!R21=0,0,11630*1000*SER_hh_fec!R21/SER_hh_num!R21)</f>
        <v>48268.403557885016</v>
      </c>
      <c r="S21" s="132">
        <f>IF(SER_hh_fec!S21=0,0,11630*1000*SER_hh_fec!S21/SER_hh_num!S21)</f>
        <v>51817.66483505127</v>
      </c>
      <c r="T21" s="132">
        <f>IF(SER_hh_fec!T21=0,0,11630*1000*SER_hh_fec!T21/SER_hh_num!T21)</f>
        <v>59674.173442005733</v>
      </c>
      <c r="U21" s="132">
        <f>IF(SER_hh_fec!U21=0,0,11630*1000*SER_hh_fec!U21/SER_hh_num!U21)</f>
        <v>56089.89121690156</v>
      </c>
      <c r="V21" s="132">
        <f>IF(SER_hh_fec!V21=0,0,11630*1000*SER_hh_fec!V21/SER_hh_num!V21)</f>
        <v>42231.363249435264</v>
      </c>
      <c r="W21" s="132">
        <f>IF(SER_hh_fec!W21=0,0,11630*1000*SER_hh_fec!W21/SER_hh_num!W21)</f>
        <v>44564.53039501037</v>
      </c>
      <c r="X21" s="132">
        <f>IF(SER_hh_fec!X21=0,0,11630*1000*SER_hh_fec!X21/SER_hh_num!X21)</f>
        <v>58111.664543428858</v>
      </c>
      <c r="Y21" s="132">
        <f>IF(SER_hh_fec!Y21=0,0,11630*1000*SER_hh_fec!Y21/SER_hh_num!Y21)</f>
        <v>38898.351049310113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0</v>
      </c>
      <c r="C22" s="132">
        <f>IF(SER_hh_fec!C22=0,0,11630*1000*SER_hh_fec!C22/SER_hh_num!C22)</f>
        <v>0</v>
      </c>
      <c r="D22" s="132">
        <f>IF(SER_hh_fec!D22=0,0,11630*1000*SER_hh_fec!D22/SER_hh_num!D22)</f>
        <v>0</v>
      </c>
      <c r="E22" s="132">
        <f>IF(SER_hh_fec!E22=0,0,11630*1000*SER_hh_fec!E22/SER_hh_num!E22)</f>
        <v>0</v>
      </c>
      <c r="F22" s="132">
        <f>IF(SER_hh_fec!F22=0,0,11630*1000*SER_hh_fec!F22/SER_hh_num!F22)</f>
        <v>0</v>
      </c>
      <c r="G22" s="132">
        <f>IF(SER_hh_fec!G22=0,0,11630*1000*SER_hh_fec!G22/SER_hh_num!G22)</f>
        <v>0</v>
      </c>
      <c r="H22" s="132">
        <f>IF(SER_hh_fec!H22=0,0,11630*1000*SER_hh_fec!H22/SER_hh_num!H22)</f>
        <v>0</v>
      </c>
      <c r="I22" s="132">
        <f>IF(SER_hh_fec!I22=0,0,11630*1000*SER_hh_fec!I22/SER_hh_num!I22)</f>
        <v>0</v>
      </c>
      <c r="J22" s="132">
        <f>IF(SER_hh_fec!J22=0,0,11630*1000*SER_hh_fec!J22/SER_hh_num!J22)</f>
        <v>0</v>
      </c>
      <c r="K22" s="132">
        <f>IF(SER_hh_fec!K22=0,0,11630*1000*SER_hh_fec!K22/SER_hh_num!K22)</f>
        <v>0</v>
      </c>
      <c r="L22" s="132">
        <f>IF(SER_hh_fec!L22=0,0,11630*1000*SER_hh_fec!L22/SER_hh_num!L22)</f>
        <v>0</v>
      </c>
      <c r="M22" s="132">
        <f>IF(SER_hh_fec!M22=0,0,11630*1000*SER_hh_fec!M22/SER_hh_num!M22)</f>
        <v>0</v>
      </c>
      <c r="N22" s="132">
        <f>IF(SER_hh_fec!N22=0,0,11630*1000*SER_hh_fec!N22/SER_hh_num!N22)</f>
        <v>0</v>
      </c>
      <c r="O22" s="132">
        <f>IF(SER_hh_fec!O22=0,0,11630*1000*SER_hh_fec!O22/SER_hh_num!O22)</f>
        <v>0</v>
      </c>
      <c r="P22" s="132">
        <f>IF(SER_hh_fec!P22=0,0,11630*1000*SER_hh_fec!P22/SER_hh_num!P22)</f>
        <v>0</v>
      </c>
      <c r="Q22" s="132">
        <f>IF(SER_hh_fec!Q22=0,0,11630*1000*SER_hh_fec!Q22/SER_hh_num!Q22)</f>
        <v>0</v>
      </c>
      <c r="R22" s="132">
        <f>IF(SER_hh_fec!R22=0,0,11630*1000*SER_hh_fec!R22/SER_hh_num!R22)</f>
        <v>0</v>
      </c>
      <c r="S22" s="132">
        <f>IF(SER_hh_fec!S22=0,0,11630*1000*SER_hh_fec!S22/SER_hh_num!S22)</f>
        <v>0</v>
      </c>
      <c r="T22" s="132">
        <f>IF(SER_hh_fec!T22=0,0,11630*1000*SER_hh_fec!T22/SER_hh_num!T22)</f>
        <v>0</v>
      </c>
      <c r="U22" s="132">
        <f>IF(SER_hh_fec!U22=0,0,11630*1000*SER_hh_fec!U22/SER_hh_num!U22)</f>
        <v>0</v>
      </c>
      <c r="V22" s="132">
        <f>IF(SER_hh_fec!V22=0,0,11630*1000*SER_hh_fec!V22/SER_hh_num!V22)</f>
        <v>0</v>
      </c>
      <c r="W22" s="132">
        <f>IF(SER_hh_fec!W22=0,0,11630*1000*SER_hh_fec!W22/SER_hh_num!W22)</f>
        <v>0</v>
      </c>
      <c r="X22" s="132">
        <f>IF(SER_hh_fec!X22=0,0,11630*1000*SER_hh_fec!X22/SER_hh_num!X22)</f>
        <v>0</v>
      </c>
      <c r="Y22" s="132">
        <f>IF(SER_hh_fec!Y22=0,0,11630*1000*SER_hh_fec!Y22/SER_hh_num!Y22)</f>
        <v>0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0</v>
      </c>
      <c r="C23" s="132">
        <f>IF(SER_hh_fec!C23=0,0,11630*1000*SER_hh_fec!C23/SER_hh_num!C23)</f>
        <v>0</v>
      </c>
      <c r="D23" s="132">
        <f>IF(SER_hh_fec!D23=0,0,11630*1000*SER_hh_fec!D23/SER_hh_num!D23)</f>
        <v>0</v>
      </c>
      <c r="E23" s="132">
        <f>IF(SER_hh_fec!E23=0,0,11630*1000*SER_hh_fec!E23/SER_hh_num!E23)</f>
        <v>0</v>
      </c>
      <c r="F23" s="132">
        <f>IF(SER_hh_fec!F23=0,0,11630*1000*SER_hh_fec!F23/SER_hh_num!F23)</f>
        <v>0</v>
      </c>
      <c r="G23" s="132">
        <f>IF(SER_hh_fec!G23=0,0,11630*1000*SER_hh_fec!G23/SER_hh_num!G23)</f>
        <v>0</v>
      </c>
      <c r="H23" s="132">
        <f>IF(SER_hh_fec!H23=0,0,11630*1000*SER_hh_fec!H23/SER_hh_num!H23)</f>
        <v>0</v>
      </c>
      <c r="I23" s="132">
        <f>IF(SER_hh_fec!I23=0,0,11630*1000*SER_hh_fec!I23/SER_hh_num!I23)</f>
        <v>0</v>
      </c>
      <c r="J23" s="132">
        <f>IF(SER_hh_fec!J23=0,0,11630*1000*SER_hh_fec!J23/SER_hh_num!J23)</f>
        <v>0</v>
      </c>
      <c r="K23" s="132">
        <f>IF(SER_hh_fec!K23=0,0,11630*1000*SER_hh_fec!K23/SER_hh_num!K23)</f>
        <v>0</v>
      </c>
      <c r="L23" s="132">
        <f>IF(SER_hh_fec!L23=0,0,11630*1000*SER_hh_fec!L23/SER_hh_num!L23)</f>
        <v>0</v>
      </c>
      <c r="M23" s="132">
        <f>IF(SER_hh_fec!M23=0,0,11630*1000*SER_hh_fec!M23/SER_hh_num!M23)</f>
        <v>0</v>
      </c>
      <c r="N23" s="132">
        <f>IF(SER_hh_fec!N23=0,0,11630*1000*SER_hh_fec!N23/SER_hh_num!N23)</f>
        <v>0</v>
      </c>
      <c r="O23" s="132">
        <f>IF(SER_hh_fec!O23=0,0,11630*1000*SER_hh_fec!O23/SER_hh_num!O23)</f>
        <v>0</v>
      </c>
      <c r="P23" s="132">
        <f>IF(SER_hh_fec!P23=0,0,11630*1000*SER_hh_fec!P23/SER_hh_num!P23)</f>
        <v>0</v>
      </c>
      <c r="Q23" s="132">
        <f>IF(SER_hh_fec!Q23=0,0,11630*1000*SER_hh_fec!Q23/SER_hh_num!Q23)</f>
        <v>0</v>
      </c>
      <c r="R23" s="132">
        <f>IF(SER_hh_fec!R23=0,0,11630*1000*SER_hh_fec!R23/SER_hh_num!R23)</f>
        <v>0</v>
      </c>
      <c r="S23" s="132">
        <f>IF(SER_hh_fec!S23=0,0,11630*1000*SER_hh_fec!S23/SER_hh_num!S23)</f>
        <v>0</v>
      </c>
      <c r="T23" s="132">
        <f>IF(SER_hh_fec!T23=0,0,11630*1000*SER_hh_fec!T23/SER_hh_num!T23)</f>
        <v>0</v>
      </c>
      <c r="U23" s="132">
        <f>IF(SER_hh_fec!U23=0,0,11630*1000*SER_hh_fec!U23/SER_hh_num!U23)</f>
        <v>0</v>
      </c>
      <c r="V23" s="132">
        <f>IF(SER_hh_fec!V23=0,0,11630*1000*SER_hh_fec!V23/SER_hh_num!V23)</f>
        <v>0</v>
      </c>
      <c r="W23" s="132">
        <f>IF(SER_hh_fec!W23=0,0,11630*1000*SER_hh_fec!W23/SER_hh_num!W23)</f>
        <v>0</v>
      </c>
      <c r="X23" s="132">
        <f>IF(SER_hh_fec!X23=0,0,11630*1000*SER_hh_fec!X23/SER_hh_num!X23)</f>
        <v>0</v>
      </c>
      <c r="Y23" s="132">
        <f>IF(SER_hh_fec!Y23=0,0,11630*1000*SER_hh_fec!Y23/SER_hh_num!Y23)</f>
        <v>0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0</v>
      </c>
      <c r="C25" s="132">
        <f>IF(SER_hh_fec!C25=0,0,11630*1000*SER_hh_fec!C25/SER_hh_num!C25)</f>
        <v>0</v>
      </c>
      <c r="D25" s="132">
        <f>IF(SER_hh_fec!D25=0,0,11630*1000*SER_hh_fec!D25/SER_hh_num!D25)</f>
        <v>0</v>
      </c>
      <c r="E25" s="132">
        <f>IF(SER_hh_fec!E25=0,0,11630*1000*SER_hh_fec!E25/SER_hh_num!E25)</f>
        <v>0</v>
      </c>
      <c r="F25" s="132">
        <f>IF(SER_hh_fec!F25=0,0,11630*1000*SER_hh_fec!F25/SER_hh_num!F25)</f>
        <v>0</v>
      </c>
      <c r="G25" s="132">
        <f>IF(SER_hh_fec!G25=0,0,11630*1000*SER_hh_fec!G25/SER_hh_num!G25)</f>
        <v>0</v>
      </c>
      <c r="H25" s="132">
        <f>IF(SER_hh_fec!H25=0,0,11630*1000*SER_hh_fec!H25/SER_hh_num!H25)</f>
        <v>0</v>
      </c>
      <c r="I25" s="132">
        <f>IF(SER_hh_fec!I25=0,0,11630*1000*SER_hh_fec!I25/SER_hh_num!I25)</f>
        <v>0</v>
      </c>
      <c r="J25" s="132">
        <f>IF(SER_hh_fec!J25=0,0,11630*1000*SER_hh_fec!J25/SER_hh_num!J25)</f>
        <v>0</v>
      </c>
      <c r="K25" s="132">
        <f>IF(SER_hh_fec!K25=0,0,11630*1000*SER_hh_fec!K25/SER_hh_num!K25)</f>
        <v>0</v>
      </c>
      <c r="L25" s="132">
        <f>IF(SER_hh_fec!L25=0,0,11630*1000*SER_hh_fec!L25/SER_hh_num!L25)</f>
        <v>0</v>
      </c>
      <c r="M25" s="132">
        <f>IF(SER_hh_fec!M25=0,0,11630*1000*SER_hh_fec!M25/SER_hh_num!M25)</f>
        <v>62821.729647880049</v>
      </c>
      <c r="N25" s="132">
        <f>IF(SER_hh_fec!N25=0,0,11630*1000*SER_hh_fec!N25/SER_hh_num!N25)</f>
        <v>45306.765065042593</v>
      </c>
      <c r="O25" s="132">
        <f>IF(SER_hh_fec!O25=0,0,11630*1000*SER_hh_fec!O25/SER_hh_num!O25)</f>
        <v>45492.375802636416</v>
      </c>
      <c r="P25" s="132">
        <f>IF(SER_hh_fec!P25=0,0,11630*1000*SER_hh_fec!P25/SER_hh_num!P25)</f>
        <v>41735.408503523853</v>
      </c>
      <c r="Q25" s="132">
        <f>IF(SER_hh_fec!Q25=0,0,11630*1000*SER_hh_fec!Q25/SER_hh_num!Q25)</f>
        <v>46610.019501224</v>
      </c>
      <c r="R25" s="132">
        <f>IF(SER_hh_fec!R25=0,0,11630*1000*SER_hh_fec!R25/SER_hh_num!R25)</f>
        <v>47388.301276878308</v>
      </c>
      <c r="S25" s="132">
        <f>IF(SER_hh_fec!S25=0,0,11630*1000*SER_hh_fec!S25/SER_hh_num!S25)</f>
        <v>32056.323249457986</v>
      </c>
      <c r="T25" s="132">
        <f>IF(SER_hh_fec!T25=0,0,11630*1000*SER_hh_fec!T25/SER_hh_num!T25)</f>
        <v>40865.63578460447</v>
      </c>
      <c r="U25" s="132">
        <f>IF(SER_hh_fec!U25=0,0,11630*1000*SER_hh_fec!U25/SER_hh_num!U25)</f>
        <v>60918.820790531026</v>
      </c>
      <c r="V25" s="132">
        <f>IF(SER_hh_fec!V25=0,0,11630*1000*SER_hh_fec!V25/SER_hh_num!V25)</f>
        <v>0</v>
      </c>
      <c r="W25" s="132">
        <f>IF(SER_hh_fec!W25=0,0,11630*1000*SER_hh_fec!W25/SER_hh_num!W25)</f>
        <v>0</v>
      </c>
      <c r="X25" s="132">
        <f>IF(SER_hh_fec!X25=0,0,11630*1000*SER_hh_fec!X25/SER_hh_num!X25)</f>
        <v>0</v>
      </c>
      <c r="Y25" s="132">
        <f>IF(SER_hh_fec!Y25=0,0,11630*1000*SER_hh_fec!Y25/SER_hh_num!Y25)</f>
        <v>0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51959.551007729897</v>
      </c>
      <c r="C26" s="65">
        <f>IF(SER_hh_fec!C26=0,0,11630*1000*SER_hh_fec!C26/SER_hh_num!C26)</f>
        <v>49513.996262389424</v>
      </c>
      <c r="D26" s="65">
        <f>IF(SER_hh_fec!D26=0,0,11630*1000*SER_hh_fec!D26/SER_hh_num!D26)</f>
        <v>50669.37698241404</v>
      </c>
      <c r="E26" s="65">
        <f>IF(SER_hh_fec!E26=0,0,11630*1000*SER_hh_fec!E26/SER_hh_num!E26)</f>
        <v>51338.722733854629</v>
      </c>
      <c r="F26" s="65">
        <f>IF(SER_hh_fec!F26=0,0,11630*1000*SER_hh_fec!F26/SER_hh_num!F26)</f>
        <v>52940.560199598985</v>
      </c>
      <c r="G26" s="65">
        <f>IF(SER_hh_fec!G26=0,0,11630*1000*SER_hh_fec!G26/SER_hh_num!G26)</f>
        <v>52460.290513574204</v>
      </c>
      <c r="H26" s="65">
        <f>IF(SER_hh_fec!H26=0,0,11630*1000*SER_hh_fec!H26/SER_hh_num!H26)</f>
        <v>48238.167493808767</v>
      </c>
      <c r="I26" s="65">
        <f>IF(SER_hh_fec!I26=0,0,11630*1000*SER_hh_fec!I26/SER_hh_num!I26)</f>
        <v>45660.533362842689</v>
      </c>
      <c r="J26" s="65">
        <f>IF(SER_hh_fec!J26=0,0,11630*1000*SER_hh_fec!J26/SER_hh_num!J26)</f>
        <v>44742.129272608836</v>
      </c>
      <c r="K26" s="65">
        <f>IF(SER_hh_fec!K26=0,0,11630*1000*SER_hh_fec!K26/SER_hh_num!K26)</f>
        <v>45628.8326063856</v>
      </c>
      <c r="L26" s="65">
        <f>IF(SER_hh_fec!L26=0,0,11630*1000*SER_hh_fec!L26/SER_hh_num!L26)</f>
        <v>50456.113418822461</v>
      </c>
      <c r="M26" s="65">
        <f>IF(SER_hh_fec!M26=0,0,11630*1000*SER_hh_fec!M26/SER_hh_num!M26)</f>
        <v>50036.225554595258</v>
      </c>
      <c r="N26" s="65">
        <f>IF(SER_hh_fec!N26=0,0,11630*1000*SER_hh_fec!N26/SER_hh_num!N26)</f>
        <v>48154.406733233118</v>
      </c>
      <c r="O26" s="65">
        <f>IF(SER_hh_fec!O26=0,0,11630*1000*SER_hh_fec!O26/SER_hh_num!O26)</f>
        <v>48703.01879021959</v>
      </c>
      <c r="P26" s="65">
        <f>IF(SER_hh_fec!P26=0,0,11630*1000*SER_hh_fec!P26/SER_hh_num!P26)</f>
        <v>47846.703951749732</v>
      </c>
      <c r="Q26" s="65">
        <f>IF(SER_hh_fec!Q26=0,0,11630*1000*SER_hh_fec!Q26/SER_hh_num!Q26)</f>
        <v>47000.912712513644</v>
      </c>
      <c r="R26" s="65">
        <f>IF(SER_hh_fec!R26=0,0,11630*1000*SER_hh_fec!R26/SER_hh_num!R26)</f>
        <v>46395.395652429266</v>
      </c>
      <c r="S26" s="65">
        <f>IF(SER_hh_fec!S26=0,0,11630*1000*SER_hh_fec!S26/SER_hh_num!S26)</f>
        <v>45190.712522427173</v>
      </c>
      <c r="T26" s="65">
        <f>IF(SER_hh_fec!T26=0,0,11630*1000*SER_hh_fec!T26/SER_hh_num!T26)</f>
        <v>44206.449108962799</v>
      </c>
      <c r="U26" s="65">
        <f>IF(SER_hh_fec!U26=0,0,11630*1000*SER_hh_fec!U26/SER_hh_num!U26)</f>
        <v>43542.60446319855</v>
      </c>
      <c r="V26" s="65">
        <f>IF(SER_hh_fec!V26=0,0,11630*1000*SER_hh_fec!V26/SER_hh_num!V26)</f>
        <v>41028.275130915121</v>
      </c>
      <c r="W26" s="65">
        <f>IF(SER_hh_fec!W26=0,0,11630*1000*SER_hh_fec!W26/SER_hh_num!W26)</f>
        <v>41138.169224117308</v>
      </c>
      <c r="X26" s="65">
        <f>IF(SER_hh_fec!X26=0,0,11630*1000*SER_hh_fec!X26/SER_hh_num!X26)</f>
        <v>40278.399027803578</v>
      </c>
      <c r="Y26" s="65">
        <f>IF(SER_hh_fec!Y26=0,0,11630*1000*SER_hh_fec!Y26/SER_hh_num!Y26)</f>
        <v>41143.160645521632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0</v>
      </c>
      <c r="H27" s="145">
        <f>IF(SER_hh_fec!H27=0,0,11630*1000*SER_hh_fec!H27/SER_hh_num!H19)</f>
        <v>0</v>
      </c>
      <c r="I27" s="145">
        <f>IF(SER_hh_fec!I27=0,0,11630*1000*SER_hh_fec!I27/SER_hh_num!I19)</f>
        <v>0</v>
      </c>
      <c r="J27" s="145">
        <f>IF(SER_hh_fec!J27=0,0,11630*1000*SER_hh_fec!J27/SER_hh_num!J19)</f>
        <v>0</v>
      </c>
      <c r="K27" s="145">
        <f>IF(SER_hh_fec!K27=0,0,11630*1000*SER_hh_fec!K27/SER_hh_num!K19)</f>
        <v>0</v>
      </c>
      <c r="L27" s="145">
        <f>IF(SER_hh_fec!L27=0,0,11630*1000*SER_hh_fec!L27/SER_hh_num!L19)</f>
        <v>0</v>
      </c>
      <c r="M27" s="145">
        <f>IF(SER_hh_fec!M27=0,0,11630*1000*SER_hh_fec!M27/SER_hh_num!M19)</f>
        <v>0</v>
      </c>
      <c r="N27" s="145">
        <f>IF(SER_hh_fec!N27=0,0,11630*1000*SER_hh_fec!N27/SER_hh_num!N19)</f>
        <v>0</v>
      </c>
      <c r="O27" s="145">
        <f>IF(SER_hh_fec!O27=0,0,11630*1000*SER_hh_fec!O27/SER_hh_num!O19)</f>
        <v>0</v>
      </c>
      <c r="P27" s="145">
        <f>IF(SER_hh_fec!P27=0,0,11630*1000*SER_hh_fec!P27/SER_hh_num!P19)</f>
        <v>0</v>
      </c>
      <c r="Q27" s="145">
        <f>IF(SER_hh_fec!Q27=0,0,11630*1000*SER_hh_fec!Q27/SER_hh_num!Q19)</f>
        <v>0</v>
      </c>
      <c r="R27" s="145">
        <f>IF(SER_hh_fec!R27=0,0,11630*1000*SER_hh_fec!R27/SER_hh_num!R19)</f>
        <v>0</v>
      </c>
      <c r="S27" s="145">
        <f>IF(SER_hh_fec!S27=0,0,11630*1000*SER_hh_fec!S27/SER_hh_num!S19)</f>
        <v>0</v>
      </c>
      <c r="T27" s="145">
        <f>IF(SER_hh_fec!T27=0,0,11630*1000*SER_hh_fec!T27/SER_hh_num!T19)</f>
        <v>0</v>
      </c>
      <c r="U27" s="145">
        <f>IF(SER_hh_fec!U27=0,0,11630*1000*SER_hh_fec!U27/SER_hh_num!U19)</f>
        <v>0</v>
      </c>
      <c r="V27" s="145">
        <f>IF(SER_hh_fec!V27=0,0,11630*1000*SER_hh_fec!V27/SER_hh_num!V19)</f>
        <v>0</v>
      </c>
      <c r="W27" s="145">
        <f>IF(SER_hh_fec!W27=0,0,11630*1000*SER_hh_fec!W27/SER_hh_num!W19)</f>
        <v>0</v>
      </c>
      <c r="X27" s="145">
        <f>IF(SER_hh_fec!X27=0,0,11630*1000*SER_hh_fec!X27/SER_hh_num!X19)</f>
        <v>0</v>
      </c>
      <c r="Y27" s="145">
        <f>IF(SER_hh_fec!Y27=0,0,11630*1000*SER_hh_fec!Y27/SER_hh_num!Y19)</f>
        <v>0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0</v>
      </c>
      <c r="H28" s="146">
        <f>IF(SER_hh_fec!H27=0,0,11630*1000*SER_hh_fec!H27/SER_hh_num!H27)</f>
        <v>0</v>
      </c>
      <c r="I28" s="146">
        <f>IF(SER_hh_fec!I27=0,0,11630*1000*SER_hh_fec!I27/SER_hh_num!I27)</f>
        <v>0</v>
      </c>
      <c r="J28" s="146">
        <f>IF(SER_hh_fec!J27=0,0,11630*1000*SER_hh_fec!J27/SER_hh_num!J27)</f>
        <v>0</v>
      </c>
      <c r="K28" s="146">
        <f>IF(SER_hh_fec!K27=0,0,11630*1000*SER_hh_fec!K27/SER_hh_num!K27)</f>
        <v>0</v>
      </c>
      <c r="L28" s="146">
        <f>IF(SER_hh_fec!L27=0,0,11630*1000*SER_hh_fec!L27/SER_hh_num!L27)</f>
        <v>0</v>
      </c>
      <c r="M28" s="146">
        <f>IF(SER_hh_fec!M27=0,0,11630*1000*SER_hh_fec!M27/SER_hh_num!M27)</f>
        <v>0</v>
      </c>
      <c r="N28" s="146">
        <f>IF(SER_hh_fec!N27=0,0,11630*1000*SER_hh_fec!N27/SER_hh_num!N27)</f>
        <v>0</v>
      </c>
      <c r="O28" s="146">
        <f>IF(SER_hh_fec!O27=0,0,11630*1000*SER_hh_fec!O27/SER_hh_num!O27)</f>
        <v>0</v>
      </c>
      <c r="P28" s="146">
        <f>IF(SER_hh_fec!P27=0,0,11630*1000*SER_hh_fec!P27/SER_hh_num!P27)</f>
        <v>0</v>
      </c>
      <c r="Q28" s="146">
        <f>IF(SER_hh_fec!Q27=0,0,11630*1000*SER_hh_fec!Q27/SER_hh_num!Q27)</f>
        <v>0</v>
      </c>
      <c r="R28" s="146">
        <f>IF(SER_hh_fec!R27=0,0,11630*1000*SER_hh_fec!R27/SER_hh_num!R27)</f>
        <v>0</v>
      </c>
      <c r="S28" s="146">
        <f>IF(SER_hh_fec!S27=0,0,11630*1000*SER_hh_fec!S27/SER_hh_num!S27)</f>
        <v>0</v>
      </c>
      <c r="T28" s="146">
        <f>IF(SER_hh_fec!T27=0,0,11630*1000*SER_hh_fec!T27/SER_hh_num!T27)</f>
        <v>0</v>
      </c>
      <c r="U28" s="146">
        <f>IF(SER_hh_fec!U27=0,0,11630*1000*SER_hh_fec!U27/SER_hh_num!U27)</f>
        <v>0</v>
      </c>
      <c r="V28" s="146">
        <f>IF(SER_hh_fec!V27=0,0,11630*1000*SER_hh_fec!V27/SER_hh_num!V27)</f>
        <v>0</v>
      </c>
      <c r="W28" s="146">
        <f>IF(SER_hh_fec!W27=0,0,11630*1000*SER_hh_fec!W27/SER_hh_num!W27)</f>
        <v>0</v>
      </c>
      <c r="X28" s="146">
        <f>IF(SER_hh_fec!X27=0,0,11630*1000*SER_hh_fec!X27/SER_hh_num!X27)</f>
        <v>0</v>
      </c>
      <c r="Y28" s="146">
        <f>IF(SER_hh_fec!Y27=0,0,11630*1000*SER_hh_fec!Y27/SER_hh_num!Y27)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58460.273013733495</v>
      </c>
      <c r="C29" s="130">
        <f>IF(SER_hh_fec!C29=0,0,11630*1000*SER_hh_fec!C29/SER_hh_num!C29)</f>
        <v>58255.678060363374</v>
      </c>
      <c r="D29" s="130">
        <f>IF(SER_hh_fec!D29=0,0,11630*1000*SER_hh_fec!D29/SER_hh_num!D29)</f>
        <v>59897.398871860605</v>
      </c>
      <c r="E29" s="130">
        <f>IF(SER_hh_fec!E29=0,0,11630*1000*SER_hh_fec!E29/SER_hh_num!E29)</f>
        <v>61286.164275920964</v>
      </c>
      <c r="F29" s="130">
        <f>IF(SER_hh_fec!F29=0,0,11630*1000*SER_hh_fec!F29/SER_hh_num!F29)</f>
        <v>62456.904959364336</v>
      </c>
      <c r="G29" s="130">
        <f>IF(SER_hh_fec!G29=0,0,11630*1000*SER_hh_fec!G29/SER_hh_num!G29)</f>
        <v>60577.202758223641</v>
      </c>
      <c r="H29" s="130">
        <f>IF(SER_hh_fec!H29=0,0,11630*1000*SER_hh_fec!H29/SER_hh_num!H29)</f>
        <v>61046.603557993963</v>
      </c>
      <c r="I29" s="130">
        <f>IF(SER_hh_fec!I29=0,0,11630*1000*SER_hh_fec!I29/SER_hh_num!I29)</f>
        <v>60575.162543516039</v>
      </c>
      <c r="J29" s="130">
        <f>IF(SER_hh_fec!J29=0,0,11630*1000*SER_hh_fec!J29/SER_hh_num!J29)</f>
        <v>59534.465980317204</v>
      </c>
      <c r="K29" s="130">
        <f>IF(SER_hh_fec!K29=0,0,11630*1000*SER_hh_fec!K29/SER_hh_num!K29)</f>
        <v>61643.14926363853</v>
      </c>
      <c r="L29" s="130">
        <f>IF(SER_hh_fec!L29=0,0,11630*1000*SER_hh_fec!L29/SER_hh_num!L29)</f>
        <v>61288.232426670598</v>
      </c>
      <c r="M29" s="130">
        <f>IF(SER_hh_fec!M29=0,0,11630*1000*SER_hh_fec!M29/SER_hh_num!M29)</f>
        <v>61789.020470621057</v>
      </c>
      <c r="N29" s="130">
        <f>IF(SER_hh_fec!N29=0,0,11630*1000*SER_hh_fec!N29/SER_hh_num!N29)</f>
        <v>60280.489804400881</v>
      </c>
      <c r="O29" s="130">
        <f>IF(SER_hh_fec!O29=0,0,11630*1000*SER_hh_fec!O29/SER_hh_num!O29)</f>
        <v>59638.86830841747</v>
      </c>
      <c r="P29" s="130">
        <f>IF(SER_hh_fec!P29=0,0,11630*1000*SER_hh_fec!P29/SER_hh_num!P29)</f>
        <v>59774.268447192808</v>
      </c>
      <c r="Q29" s="130">
        <f>IF(SER_hh_fec!Q29=0,0,11630*1000*SER_hh_fec!Q29/SER_hh_num!Q29)</f>
        <v>60067.217845662453</v>
      </c>
      <c r="R29" s="130">
        <f>IF(SER_hh_fec!R29=0,0,11630*1000*SER_hh_fec!R29/SER_hh_num!R29)</f>
        <v>59194.335429744358</v>
      </c>
      <c r="S29" s="130">
        <f>IF(SER_hh_fec!S29=0,0,11630*1000*SER_hh_fec!S29/SER_hh_num!S29)</f>
        <v>58835.368033805789</v>
      </c>
      <c r="T29" s="130">
        <f>IF(SER_hh_fec!T29=0,0,11630*1000*SER_hh_fec!T29/SER_hh_num!T29)</f>
        <v>59951.497027437304</v>
      </c>
      <c r="U29" s="130">
        <f>IF(SER_hh_fec!U29=0,0,11630*1000*SER_hh_fec!U29/SER_hh_num!U29)</f>
        <v>59888.686397425394</v>
      </c>
      <c r="V29" s="130">
        <f>IF(SER_hh_fec!V29=0,0,11630*1000*SER_hh_fec!V29/SER_hh_num!V29)</f>
        <v>53193.489641645443</v>
      </c>
      <c r="W29" s="130">
        <f>IF(SER_hh_fec!W29=0,0,11630*1000*SER_hh_fec!W29/SER_hh_num!W29)</f>
        <v>54616.496527612326</v>
      </c>
      <c r="X29" s="130">
        <f>IF(SER_hh_fec!X29=0,0,11630*1000*SER_hh_fec!X29/SER_hh_num!X29)</f>
        <v>55881.337679294833</v>
      </c>
      <c r="Y29" s="130">
        <f>IF(SER_hh_fec!Y29=0,0,11630*1000*SER_hh_fec!Y29/SER_hh_num!Y29)</f>
        <v>57541.685858321602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76577.399281335733</v>
      </c>
      <c r="C30" s="132">
        <f>IF(SER_hh_fec!C30=0,0,11630*1000*SER_hh_fec!C30/SER_hh_num!C30)</f>
        <v>71361.815608732082</v>
      </c>
      <c r="D30" s="132">
        <f>IF(SER_hh_fec!D30=0,0,11630*1000*SER_hh_fec!D30/SER_hh_num!D30)</f>
        <v>84173.761966616643</v>
      </c>
      <c r="E30" s="132">
        <f>IF(SER_hh_fec!E30=0,0,11630*1000*SER_hh_fec!E30/SER_hh_num!E30)</f>
        <v>80707.036024337693</v>
      </c>
      <c r="F30" s="132">
        <f>IF(SER_hh_fec!F30=0,0,11630*1000*SER_hh_fec!F30/SER_hh_num!F30)</f>
        <v>70237.30803316526</v>
      </c>
      <c r="G30" s="132">
        <f>IF(SER_hh_fec!G30=0,0,11630*1000*SER_hh_fec!G30/SER_hh_num!G30)</f>
        <v>61378.808593416783</v>
      </c>
      <c r="H30" s="132">
        <f>IF(SER_hh_fec!H30=0,0,11630*1000*SER_hh_fec!H30/SER_hh_num!H30)</f>
        <v>78262.03046281595</v>
      </c>
      <c r="I30" s="132">
        <f>IF(SER_hh_fec!I30=0,0,11630*1000*SER_hh_fec!I30/SER_hh_num!I30)</f>
        <v>67556.239670365685</v>
      </c>
      <c r="J30" s="132">
        <f>IF(SER_hh_fec!J30=0,0,11630*1000*SER_hh_fec!J30/SER_hh_num!J30)</f>
        <v>74485.088835056027</v>
      </c>
      <c r="K30" s="132">
        <f>IF(SER_hh_fec!K30=0,0,11630*1000*SER_hh_fec!K30/SER_hh_num!K30)</f>
        <v>91983.287265348947</v>
      </c>
      <c r="L30" s="132">
        <f>IF(SER_hh_fec!L30=0,0,11630*1000*SER_hh_fec!L30/SER_hh_num!L30)</f>
        <v>69703.958424750395</v>
      </c>
      <c r="M30" s="132">
        <f>IF(SER_hh_fec!M30=0,0,11630*1000*SER_hh_fec!M30/SER_hh_num!M30)</f>
        <v>78201.079002677303</v>
      </c>
      <c r="N30" s="132">
        <f>IF(SER_hh_fec!N30=0,0,11630*1000*SER_hh_fec!N30/SER_hh_num!N30)</f>
        <v>75617.633287948236</v>
      </c>
      <c r="O30" s="132">
        <f>IF(SER_hh_fec!O30=0,0,11630*1000*SER_hh_fec!O30/SER_hh_num!O30)</f>
        <v>73302.301769413505</v>
      </c>
      <c r="P30" s="132">
        <f>IF(SER_hh_fec!P30=0,0,11630*1000*SER_hh_fec!P30/SER_hh_num!P30)</f>
        <v>72538.940137764759</v>
      </c>
      <c r="Q30" s="132">
        <f>IF(SER_hh_fec!Q30=0,0,11630*1000*SER_hh_fec!Q30/SER_hh_num!Q30)</f>
        <v>80115.873749335035</v>
      </c>
      <c r="R30" s="132">
        <f>IF(SER_hh_fec!R30=0,0,11630*1000*SER_hh_fec!R30/SER_hh_num!R30)</f>
        <v>65304.202873956878</v>
      </c>
      <c r="S30" s="132">
        <f>IF(SER_hh_fec!S30=0,0,11630*1000*SER_hh_fec!S30/SER_hh_num!S30)</f>
        <v>70069.380851683221</v>
      </c>
      <c r="T30" s="132">
        <f>IF(SER_hh_fec!T30=0,0,11630*1000*SER_hh_fec!T30/SER_hh_num!T30)</f>
        <v>81474.93045969386</v>
      </c>
      <c r="U30" s="132">
        <f>IF(SER_hh_fec!U30=0,0,11630*1000*SER_hh_fec!U30/SER_hh_num!U30)</f>
        <v>82951.708030791153</v>
      </c>
      <c r="V30" s="132">
        <f>IF(SER_hh_fec!V30=0,0,11630*1000*SER_hh_fec!V30/SER_hh_num!V30)</f>
        <v>53056.664818069396</v>
      </c>
      <c r="W30" s="132">
        <f>IF(SER_hh_fec!W30=0,0,11630*1000*SER_hh_fec!W30/SER_hh_num!W30)</f>
        <v>56584.211963764326</v>
      </c>
      <c r="X30" s="132">
        <f>IF(SER_hh_fec!X30=0,0,11630*1000*SER_hh_fec!X30/SER_hh_num!X30)</f>
        <v>68687.751872839814</v>
      </c>
      <c r="Y30" s="132">
        <f>IF(SER_hh_fec!Y30=0,0,11630*1000*SER_hh_fec!Y30/SER_hh_num!Y30)</f>
        <v>74492.738721276022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0</v>
      </c>
      <c r="C31" s="132">
        <f>IF(SER_hh_fec!C31=0,0,11630*1000*SER_hh_fec!C31/SER_hh_num!C31)</f>
        <v>0</v>
      </c>
      <c r="D31" s="132">
        <f>IF(SER_hh_fec!D31=0,0,11630*1000*SER_hh_fec!D31/SER_hh_num!D31)</f>
        <v>0</v>
      </c>
      <c r="E31" s="132">
        <f>IF(SER_hh_fec!E31=0,0,11630*1000*SER_hh_fec!E31/SER_hh_num!E31)</f>
        <v>0</v>
      </c>
      <c r="F31" s="132">
        <f>IF(SER_hh_fec!F31=0,0,11630*1000*SER_hh_fec!F31/SER_hh_num!F31)</f>
        <v>0</v>
      </c>
      <c r="G31" s="132">
        <f>IF(SER_hh_fec!G31=0,0,11630*1000*SER_hh_fec!G31/SER_hh_num!G31)</f>
        <v>0</v>
      </c>
      <c r="H31" s="132">
        <f>IF(SER_hh_fec!H31=0,0,11630*1000*SER_hh_fec!H31/SER_hh_num!H31)</f>
        <v>0</v>
      </c>
      <c r="I31" s="132">
        <f>IF(SER_hh_fec!I31=0,0,11630*1000*SER_hh_fec!I31/SER_hh_num!I31)</f>
        <v>0</v>
      </c>
      <c r="J31" s="132">
        <f>IF(SER_hh_fec!J31=0,0,11630*1000*SER_hh_fec!J31/SER_hh_num!J31)</f>
        <v>0</v>
      </c>
      <c r="K31" s="132">
        <f>IF(SER_hh_fec!K31=0,0,11630*1000*SER_hh_fec!K31/SER_hh_num!K31)</f>
        <v>0</v>
      </c>
      <c r="L31" s="132">
        <f>IF(SER_hh_fec!L31=0,0,11630*1000*SER_hh_fec!L31/SER_hh_num!L31)</f>
        <v>0</v>
      </c>
      <c r="M31" s="132">
        <f>IF(SER_hh_fec!M31=0,0,11630*1000*SER_hh_fec!M31/SER_hh_num!M31)</f>
        <v>0</v>
      </c>
      <c r="N31" s="132">
        <f>IF(SER_hh_fec!N31=0,0,11630*1000*SER_hh_fec!N31/SER_hh_num!N31)</f>
        <v>0</v>
      </c>
      <c r="O31" s="132">
        <f>IF(SER_hh_fec!O31=0,0,11630*1000*SER_hh_fec!O31/SER_hh_num!O31)</f>
        <v>0</v>
      </c>
      <c r="P31" s="132">
        <f>IF(SER_hh_fec!P31=0,0,11630*1000*SER_hh_fec!P31/SER_hh_num!P31)</f>
        <v>0</v>
      </c>
      <c r="Q31" s="132">
        <f>IF(SER_hh_fec!Q31=0,0,11630*1000*SER_hh_fec!Q31/SER_hh_num!Q31)</f>
        <v>0</v>
      </c>
      <c r="R31" s="132">
        <f>IF(SER_hh_fec!R31=0,0,11630*1000*SER_hh_fec!R31/SER_hh_num!R31)</f>
        <v>0</v>
      </c>
      <c r="S31" s="132">
        <f>IF(SER_hh_fec!S31=0,0,11630*1000*SER_hh_fec!S31/SER_hh_num!S31)</f>
        <v>0</v>
      </c>
      <c r="T31" s="132">
        <f>IF(SER_hh_fec!T31=0,0,11630*1000*SER_hh_fec!T31/SER_hh_num!T31)</f>
        <v>0</v>
      </c>
      <c r="U31" s="132">
        <f>IF(SER_hh_fec!U31=0,0,11630*1000*SER_hh_fec!U31/SER_hh_num!U31)</f>
        <v>0</v>
      </c>
      <c r="V31" s="132">
        <f>IF(SER_hh_fec!V31=0,0,11630*1000*SER_hh_fec!V31/SER_hh_num!V31)</f>
        <v>0</v>
      </c>
      <c r="W31" s="132">
        <f>IF(SER_hh_fec!W31=0,0,11630*1000*SER_hh_fec!W31/SER_hh_num!W31)</f>
        <v>0</v>
      </c>
      <c r="X31" s="132">
        <f>IF(SER_hh_fec!X31=0,0,11630*1000*SER_hh_fec!X31/SER_hh_num!X31)</f>
        <v>0</v>
      </c>
      <c r="Y31" s="132">
        <f>IF(SER_hh_fec!Y31=0,0,11630*1000*SER_hh_fec!Y31/SER_hh_num!Y31)</f>
        <v>0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57381.948994287115</v>
      </c>
      <c r="C33" s="68">
        <f>IF(SER_hh_fec!C33=0,0,11630*1000*SER_hh_fec!C33/SER_hh_num!C33)</f>
        <v>57477.147457795058</v>
      </c>
      <c r="D33" s="68">
        <f>IF(SER_hh_fec!D33=0,0,11630*1000*SER_hh_fec!D33/SER_hh_num!D33)</f>
        <v>58391.884034361312</v>
      </c>
      <c r="E33" s="68">
        <f>IF(SER_hh_fec!E33=0,0,11630*1000*SER_hh_fec!E33/SER_hh_num!E33)</f>
        <v>60085.23508737317</v>
      </c>
      <c r="F33" s="68">
        <f>IF(SER_hh_fec!F33=0,0,11630*1000*SER_hh_fec!F33/SER_hh_num!F33)</f>
        <v>61932.376864906582</v>
      </c>
      <c r="G33" s="68">
        <f>IF(SER_hh_fec!G33=0,0,11630*1000*SER_hh_fec!G33/SER_hh_num!G33)</f>
        <v>60512.400797015056</v>
      </c>
      <c r="H33" s="68">
        <f>IF(SER_hh_fec!H33=0,0,11630*1000*SER_hh_fec!H33/SER_hh_num!H33)</f>
        <v>59019.779529215477</v>
      </c>
      <c r="I33" s="68">
        <f>IF(SER_hh_fec!I33=0,0,11630*1000*SER_hh_fec!I33/SER_hh_num!I33)</f>
        <v>59382.387993970849</v>
      </c>
      <c r="J33" s="68">
        <f>IF(SER_hh_fec!J33=0,0,11630*1000*SER_hh_fec!J33/SER_hh_num!J33)</f>
        <v>56157.448731130389</v>
      </c>
      <c r="K33" s="68">
        <f>IF(SER_hh_fec!K33=0,0,11630*1000*SER_hh_fec!K33/SER_hh_num!K33)</f>
        <v>52816.733962695238</v>
      </c>
      <c r="L33" s="68">
        <f>IF(SER_hh_fec!L33=0,0,11630*1000*SER_hh_fec!L33/SER_hh_num!L33)</f>
        <v>58817.626484012086</v>
      </c>
      <c r="M33" s="68">
        <f>IF(SER_hh_fec!M33=0,0,11630*1000*SER_hh_fec!M33/SER_hh_num!M33)</f>
        <v>56894.189710003011</v>
      </c>
      <c r="N33" s="68">
        <f>IF(SER_hh_fec!N33=0,0,11630*1000*SER_hh_fec!N33/SER_hh_num!N33)</f>
        <v>56008.498858990883</v>
      </c>
      <c r="O33" s="68">
        <f>IF(SER_hh_fec!O33=0,0,11630*1000*SER_hh_fec!O33/SER_hh_num!O33)</f>
        <v>55838.32706580613</v>
      </c>
      <c r="P33" s="68">
        <f>IF(SER_hh_fec!P33=0,0,11630*1000*SER_hh_fec!P33/SER_hh_num!P33)</f>
        <v>56325.73238645817</v>
      </c>
      <c r="Q33" s="68">
        <f>IF(SER_hh_fec!Q33=0,0,11630*1000*SER_hh_fec!Q33/SER_hh_num!Q33)</f>
        <v>54484.490221851658</v>
      </c>
      <c r="R33" s="68">
        <f>IF(SER_hh_fec!R33=0,0,11630*1000*SER_hh_fec!R33/SER_hh_num!R33)</f>
        <v>57448.241086137001</v>
      </c>
      <c r="S33" s="68">
        <f>IF(SER_hh_fec!S33=0,0,11630*1000*SER_hh_fec!S33/SER_hh_num!S33)</f>
        <v>55126.166354714893</v>
      </c>
      <c r="T33" s="68">
        <f>IF(SER_hh_fec!T33=0,0,11630*1000*SER_hh_fec!T33/SER_hh_num!T33)</f>
        <v>51971.310356983071</v>
      </c>
      <c r="U33" s="68">
        <f>IF(SER_hh_fec!U33=0,0,11630*1000*SER_hh_fec!U33/SER_hh_num!U33)</f>
        <v>51231.676294846955</v>
      </c>
      <c r="V33" s="68">
        <f>IF(SER_hh_fec!V33=0,0,11630*1000*SER_hh_fec!V33/SER_hh_num!V33)</f>
        <v>53246.179868400046</v>
      </c>
      <c r="W33" s="68">
        <f>IF(SER_hh_fec!W33=0,0,11630*1000*SER_hh_fec!W33/SER_hh_num!W33)</f>
        <v>53852.617575586075</v>
      </c>
      <c r="X33" s="68">
        <f>IF(SER_hh_fec!X33=0,0,11630*1000*SER_hh_fec!X33/SER_hh_num!X33)</f>
        <v>50598.864579290646</v>
      </c>
      <c r="Y33" s="68">
        <f>IF(SER_hh_fec!Y33=0,0,11630*1000*SER_hh_fec!Y33/SER_hh_num!Y33)</f>
        <v>50120.759400052062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165881.74927124032</v>
      </c>
      <c r="C3" s="125">
        <f>IF(SER_hh_tes!C3=0,0,11630*1000*SER_hh_tes!C3/SER_hh_num!C3)</f>
        <v>174109.06641547789</v>
      </c>
      <c r="D3" s="125">
        <f>IF(SER_hh_tes!D3=0,0,11630*1000*SER_hh_tes!D3/SER_hh_num!D3)</f>
        <v>178623.31033045772</v>
      </c>
      <c r="E3" s="125">
        <f>IF(SER_hh_tes!E3=0,0,11630*1000*SER_hh_tes!E3/SER_hh_num!E3)</f>
        <v>210699.60612709113</v>
      </c>
      <c r="F3" s="125">
        <f>IF(SER_hh_tes!F3=0,0,11630*1000*SER_hh_tes!F3/SER_hh_num!F3)</f>
        <v>194327.29641911248</v>
      </c>
      <c r="G3" s="125">
        <f>IF(SER_hh_tes!G3=0,0,11630*1000*SER_hh_tes!G3/SER_hh_num!G3)</f>
        <v>207693.03624407822</v>
      </c>
      <c r="H3" s="125">
        <f>IF(SER_hh_tes!H3=0,0,11630*1000*SER_hh_tes!H3/SER_hh_num!H3)</f>
        <v>190196.73801713189</v>
      </c>
      <c r="I3" s="125">
        <f>IF(SER_hh_tes!I3=0,0,11630*1000*SER_hh_tes!I3/SER_hh_num!I3)</f>
        <v>196118.73896662146</v>
      </c>
      <c r="J3" s="125">
        <f>IF(SER_hh_tes!J3=0,0,11630*1000*SER_hh_tes!J3/SER_hh_num!J3)</f>
        <v>180130.82210984424</v>
      </c>
      <c r="K3" s="125">
        <f>IF(SER_hh_tes!K3=0,0,11630*1000*SER_hh_tes!K3/SER_hh_num!K3)</f>
        <v>168974.41866486557</v>
      </c>
      <c r="L3" s="125">
        <f>IF(SER_hh_tes!L3=0,0,11630*1000*SER_hh_tes!L3/SER_hh_num!L3)</f>
        <v>218280.84539539041</v>
      </c>
      <c r="M3" s="125">
        <f>IF(SER_hh_tes!M3=0,0,11630*1000*SER_hh_tes!M3/SER_hh_num!M3)</f>
        <v>212425.87709835038</v>
      </c>
      <c r="N3" s="125">
        <f>IF(SER_hh_tes!N3=0,0,11630*1000*SER_hh_tes!N3/SER_hh_num!N3)</f>
        <v>265116.76773419784</v>
      </c>
      <c r="O3" s="125">
        <f>IF(SER_hh_tes!O3=0,0,11630*1000*SER_hh_tes!O3/SER_hh_num!O3)</f>
        <v>253823.2136806917</v>
      </c>
      <c r="P3" s="125">
        <f>IF(SER_hh_tes!P3=0,0,11630*1000*SER_hh_tes!P3/SER_hh_num!P3)</f>
        <v>266170.46932860394</v>
      </c>
      <c r="Q3" s="125">
        <f>IF(SER_hh_tes!Q3=0,0,11630*1000*SER_hh_tes!Q3/SER_hh_num!Q3)</f>
        <v>291635.37148238439</v>
      </c>
      <c r="R3" s="125">
        <f>IF(SER_hh_tes!R3=0,0,11630*1000*SER_hh_tes!R3/SER_hh_num!R3)</f>
        <v>272660.36544475</v>
      </c>
      <c r="S3" s="125">
        <f>IF(SER_hh_tes!S3=0,0,11630*1000*SER_hh_tes!S3/SER_hh_num!S3)</f>
        <v>289099.23615626025</v>
      </c>
      <c r="T3" s="125">
        <f>IF(SER_hh_tes!T3=0,0,11630*1000*SER_hh_tes!T3/SER_hh_num!T3)</f>
        <v>261065.99678613513</v>
      </c>
      <c r="U3" s="125">
        <f>IF(SER_hh_tes!U3=0,0,11630*1000*SER_hh_tes!U3/SER_hh_num!U3)</f>
        <v>285285.51267986506</v>
      </c>
      <c r="V3" s="125">
        <f>IF(SER_hh_tes!V3=0,0,11630*1000*SER_hh_tes!V3/SER_hh_num!V3)</f>
        <v>238060.38249233962</v>
      </c>
      <c r="W3" s="125">
        <f>IF(SER_hh_tes!W3=0,0,11630*1000*SER_hh_tes!W3/SER_hh_num!W3)</f>
        <v>268051.12820490688</v>
      </c>
      <c r="X3" s="125">
        <f>IF(SER_hh_tes!X3=0,0,11630*1000*SER_hh_tes!X3/SER_hh_num!X3)</f>
        <v>303398.00160231726</v>
      </c>
      <c r="Y3" s="125">
        <f>IF(SER_hh_tes!Y3=0,0,11630*1000*SER_hh_tes!Y3/SER_hh_num!Y3)</f>
        <v>294291.98330684542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60583.154000356859</v>
      </c>
      <c r="C4" s="130">
        <f>IF(SER_hh_tes!C4=0,0,11630*1000*SER_hh_tes!C4/SER_hh_num!C4)</f>
        <v>62748.349879646157</v>
      </c>
      <c r="D4" s="130">
        <f>IF(SER_hh_tes!D4=0,0,11630*1000*SER_hh_tes!D4/SER_hh_num!D4)</f>
        <v>73373.633567912184</v>
      </c>
      <c r="E4" s="130">
        <f>IF(SER_hh_tes!E4=0,0,11630*1000*SER_hh_tes!E4/SER_hh_num!E4)</f>
        <v>83362.617508544485</v>
      </c>
      <c r="F4" s="130">
        <f>IF(SER_hh_tes!F4=0,0,11630*1000*SER_hh_tes!F4/SER_hh_num!F4)</f>
        <v>91011.228276416907</v>
      </c>
      <c r="G4" s="130">
        <f>IF(SER_hh_tes!G4=0,0,11630*1000*SER_hh_tes!G4/SER_hh_num!G4)</f>
        <v>105147.51905513015</v>
      </c>
      <c r="H4" s="130">
        <f>IF(SER_hh_tes!H4=0,0,11630*1000*SER_hh_tes!H4/SER_hh_num!H4)</f>
        <v>73995.086080462745</v>
      </c>
      <c r="I4" s="130">
        <f>IF(SER_hh_tes!I4=0,0,11630*1000*SER_hh_tes!I4/SER_hh_num!I4)</f>
        <v>77131.238690569313</v>
      </c>
      <c r="J4" s="130">
        <f>IF(SER_hh_tes!J4=0,0,11630*1000*SER_hh_tes!J4/SER_hh_num!J4)</f>
        <v>68966.716258486762</v>
      </c>
      <c r="K4" s="130">
        <f>IF(SER_hh_tes!K4=0,0,11630*1000*SER_hh_tes!K4/SER_hh_num!K4)</f>
        <v>52311.277272650208</v>
      </c>
      <c r="L4" s="130">
        <f>IF(SER_hh_tes!L4=0,0,11630*1000*SER_hh_tes!L4/SER_hh_num!L4)</f>
        <v>107640.59612676581</v>
      </c>
      <c r="M4" s="130">
        <f>IF(SER_hh_tes!M4=0,0,11630*1000*SER_hh_tes!M4/SER_hh_num!M4)</f>
        <v>96855.949230858416</v>
      </c>
      <c r="N4" s="130">
        <f>IF(SER_hh_tes!N4=0,0,11630*1000*SER_hh_tes!N4/SER_hh_num!N4)</f>
        <v>115589.22398641864</v>
      </c>
      <c r="O4" s="130">
        <f>IF(SER_hh_tes!O4=0,0,11630*1000*SER_hh_tes!O4/SER_hh_num!O4)</f>
        <v>126361.57411968788</v>
      </c>
      <c r="P4" s="130">
        <f>IF(SER_hh_tes!P4=0,0,11630*1000*SER_hh_tes!P4/SER_hh_num!P4)</f>
        <v>135223.88074500434</v>
      </c>
      <c r="Q4" s="130">
        <f>IF(SER_hh_tes!Q4=0,0,11630*1000*SER_hh_tes!Q4/SER_hh_num!Q4)</f>
        <v>154728.07505152549</v>
      </c>
      <c r="R4" s="130">
        <f>IF(SER_hh_tes!R4=0,0,11630*1000*SER_hh_tes!R4/SER_hh_num!R4)</f>
        <v>146039.57885046187</v>
      </c>
      <c r="S4" s="130">
        <f>IF(SER_hh_tes!S4=0,0,11630*1000*SER_hh_tes!S4/SER_hh_num!S4)</f>
        <v>151170.01224785813</v>
      </c>
      <c r="T4" s="130">
        <f>IF(SER_hh_tes!T4=0,0,11630*1000*SER_hh_tes!T4/SER_hh_num!T4)</f>
        <v>128607.11845401536</v>
      </c>
      <c r="U4" s="130">
        <f>IF(SER_hh_tes!U4=0,0,11630*1000*SER_hh_tes!U4/SER_hh_num!U4)</f>
        <v>126189.3519369437</v>
      </c>
      <c r="V4" s="130">
        <f>IF(SER_hh_tes!V4=0,0,11630*1000*SER_hh_tes!V4/SER_hh_num!V4)</f>
        <v>102800.22492741005</v>
      </c>
      <c r="W4" s="130">
        <f>IF(SER_hh_tes!W4=0,0,11630*1000*SER_hh_tes!W4/SER_hh_num!W4)</f>
        <v>110329.19832397124</v>
      </c>
      <c r="X4" s="130">
        <f>IF(SER_hh_tes!X4=0,0,11630*1000*SER_hh_tes!X4/SER_hh_num!X4)</f>
        <v>137174.53287603971</v>
      </c>
      <c r="Y4" s="130">
        <f>IF(SER_hh_tes!Y4=0,0,11630*1000*SER_hh_tes!Y4/SER_hh_num!Y4)</f>
        <v>134445.26904864568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0</v>
      </c>
      <c r="C5" s="132">
        <f>IF(SER_hh_tes!C5=0,0,11630*1000*SER_hh_tes!C5/SER_hh_num!C5)</f>
        <v>0</v>
      </c>
      <c r="D5" s="132">
        <f>IF(SER_hh_tes!D5=0,0,11630*1000*SER_hh_tes!D5/SER_hh_num!D5)</f>
        <v>0</v>
      </c>
      <c r="E5" s="132">
        <f>IF(SER_hh_tes!E5=0,0,11630*1000*SER_hh_tes!E5/SER_hh_num!E5)</f>
        <v>0</v>
      </c>
      <c r="F5" s="132">
        <f>IF(SER_hh_tes!F5=0,0,11630*1000*SER_hh_tes!F5/SER_hh_num!F5)</f>
        <v>0</v>
      </c>
      <c r="G5" s="132">
        <f>IF(SER_hh_tes!G5=0,0,11630*1000*SER_hh_tes!G5/SER_hh_num!G5)</f>
        <v>0</v>
      </c>
      <c r="H5" s="132">
        <f>IF(SER_hh_tes!H5=0,0,11630*1000*SER_hh_tes!H5/SER_hh_num!H5)</f>
        <v>0</v>
      </c>
      <c r="I5" s="132">
        <f>IF(SER_hh_tes!I5=0,0,11630*1000*SER_hh_tes!I5/SER_hh_num!I5)</f>
        <v>0</v>
      </c>
      <c r="J5" s="132">
        <f>IF(SER_hh_tes!J5=0,0,11630*1000*SER_hh_tes!J5/SER_hh_num!J5)</f>
        <v>0</v>
      </c>
      <c r="K5" s="132">
        <f>IF(SER_hh_tes!K5=0,0,11630*1000*SER_hh_tes!K5/SER_hh_num!K5)</f>
        <v>0</v>
      </c>
      <c r="L5" s="132">
        <f>IF(SER_hh_tes!L5=0,0,11630*1000*SER_hh_tes!L5/SER_hh_num!L5)</f>
        <v>0</v>
      </c>
      <c r="M5" s="132">
        <f>IF(SER_hh_tes!M5=0,0,11630*1000*SER_hh_tes!M5/SER_hh_num!M5)</f>
        <v>0</v>
      </c>
      <c r="N5" s="132">
        <f>IF(SER_hh_tes!N5=0,0,11630*1000*SER_hh_tes!N5/SER_hh_num!N5)</f>
        <v>0</v>
      </c>
      <c r="O5" s="132">
        <f>IF(SER_hh_tes!O5=0,0,11630*1000*SER_hh_tes!O5/SER_hh_num!O5)</f>
        <v>0</v>
      </c>
      <c r="P5" s="132">
        <f>IF(SER_hh_tes!P5=0,0,11630*1000*SER_hh_tes!P5/SER_hh_num!P5)</f>
        <v>0</v>
      </c>
      <c r="Q5" s="132">
        <f>IF(SER_hh_tes!Q5=0,0,11630*1000*SER_hh_tes!Q5/SER_hh_num!Q5)</f>
        <v>0</v>
      </c>
      <c r="R5" s="132">
        <f>IF(SER_hh_tes!R5=0,0,11630*1000*SER_hh_tes!R5/SER_hh_num!R5)</f>
        <v>0</v>
      </c>
      <c r="S5" s="132">
        <f>IF(SER_hh_tes!S5=0,0,11630*1000*SER_hh_tes!S5/SER_hh_num!S5)</f>
        <v>0</v>
      </c>
      <c r="T5" s="132">
        <f>IF(SER_hh_tes!T5=0,0,11630*1000*SER_hh_tes!T5/SER_hh_num!T5)</f>
        <v>0</v>
      </c>
      <c r="U5" s="132">
        <f>IF(SER_hh_tes!U5=0,0,11630*1000*SER_hh_tes!U5/SER_hh_num!U5)</f>
        <v>0</v>
      </c>
      <c r="V5" s="132">
        <f>IF(SER_hh_tes!V5=0,0,11630*1000*SER_hh_tes!V5/SER_hh_num!V5)</f>
        <v>0</v>
      </c>
      <c r="W5" s="132">
        <f>IF(SER_hh_tes!W5=0,0,11630*1000*SER_hh_tes!W5/SER_hh_num!W5)</f>
        <v>0</v>
      </c>
      <c r="X5" s="132">
        <f>IF(SER_hh_tes!X5=0,0,11630*1000*SER_hh_tes!X5/SER_hh_num!X5)</f>
        <v>0</v>
      </c>
      <c r="Y5" s="132">
        <f>IF(SER_hh_tes!Y5=0,0,11630*1000*SER_hh_tes!Y5/SER_hh_num!Y5)</f>
        <v>0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63550.500850949124</v>
      </c>
      <c r="C6" s="132">
        <f>IF(SER_hh_tes!C6=0,0,11630*1000*SER_hh_tes!C6/SER_hh_num!C6)</f>
        <v>67515.148954666569</v>
      </c>
      <c r="D6" s="132">
        <f>IF(SER_hh_tes!D6=0,0,11630*1000*SER_hh_tes!D6/SER_hh_num!D6)</f>
        <v>69347.144627755144</v>
      </c>
      <c r="E6" s="132">
        <f>IF(SER_hh_tes!E6=0,0,11630*1000*SER_hh_tes!E6/SER_hh_num!E6)</f>
        <v>79049.169168129374</v>
      </c>
      <c r="F6" s="132">
        <f>IF(SER_hh_tes!F6=0,0,11630*1000*SER_hh_tes!F6/SER_hh_num!F6)</f>
        <v>83769.652887459059</v>
      </c>
      <c r="G6" s="132">
        <f>IF(SER_hh_tes!G6=0,0,11630*1000*SER_hh_tes!G6/SER_hh_num!G6)</f>
        <v>73381.489882094713</v>
      </c>
      <c r="H6" s="132">
        <f>IF(SER_hh_tes!H6=0,0,11630*1000*SER_hh_tes!H6/SER_hh_num!H6)</f>
        <v>85608.462424500787</v>
      </c>
      <c r="I6" s="132">
        <f>IF(SER_hh_tes!I6=0,0,11630*1000*SER_hh_tes!I6/SER_hh_num!I6)</f>
        <v>97398.668960755924</v>
      </c>
      <c r="J6" s="132">
        <f>IF(SER_hh_tes!J6=0,0,11630*1000*SER_hh_tes!J6/SER_hh_num!J6)</f>
        <v>52929.773807077581</v>
      </c>
      <c r="K6" s="132">
        <f>IF(SER_hh_tes!K6=0,0,11630*1000*SER_hh_tes!K6/SER_hh_num!K6)</f>
        <v>28099.769816024807</v>
      </c>
      <c r="L6" s="132">
        <f>IF(SER_hh_tes!L6=0,0,11630*1000*SER_hh_tes!L6/SER_hh_num!L6)</f>
        <v>129564.08776398016</v>
      </c>
      <c r="M6" s="132">
        <f>IF(SER_hh_tes!M6=0,0,11630*1000*SER_hh_tes!M6/SER_hh_num!M6)</f>
        <v>100878.21551531754</v>
      </c>
      <c r="N6" s="132">
        <f>IF(SER_hh_tes!N6=0,0,11630*1000*SER_hh_tes!N6/SER_hh_num!N6)</f>
        <v>126727.37177732534</v>
      </c>
      <c r="O6" s="132">
        <f>IF(SER_hh_tes!O6=0,0,11630*1000*SER_hh_tes!O6/SER_hh_num!O6)</f>
        <v>99810.94167575911</v>
      </c>
      <c r="P6" s="132">
        <f>IF(SER_hh_tes!P6=0,0,11630*1000*SER_hh_tes!P6/SER_hh_num!P6)</f>
        <v>105858.62151147102</v>
      </c>
      <c r="Q6" s="132">
        <f>IF(SER_hh_tes!Q6=0,0,11630*1000*SER_hh_tes!Q6/SER_hh_num!Q6)</f>
        <v>128385.42061684284</v>
      </c>
      <c r="R6" s="132">
        <f>IF(SER_hh_tes!R6=0,0,11630*1000*SER_hh_tes!R6/SER_hh_num!R6)</f>
        <v>108815.47097601401</v>
      </c>
      <c r="S6" s="132">
        <f>IF(SER_hh_tes!S6=0,0,11630*1000*SER_hh_tes!S6/SER_hh_num!S6)</f>
        <v>120495.10855238578</v>
      </c>
      <c r="T6" s="132">
        <f>IF(SER_hh_tes!T6=0,0,11630*1000*SER_hh_tes!T6/SER_hh_num!T6)</f>
        <v>142152.52968236606</v>
      </c>
      <c r="U6" s="132">
        <f>IF(SER_hh_tes!U6=0,0,11630*1000*SER_hh_tes!U6/SER_hh_num!U6)</f>
        <v>131223.57450723238</v>
      </c>
      <c r="V6" s="132">
        <f>IF(SER_hh_tes!V6=0,0,11630*1000*SER_hh_tes!V6/SER_hh_num!V6)</f>
        <v>99160.743186117688</v>
      </c>
      <c r="W6" s="132">
        <f>IF(SER_hh_tes!W6=0,0,11630*1000*SER_hh_tes!W6/SER_hh_num!W6)</f>
        <v>117841.20308834528</v>
      </c>
      <c r="X6" s="132">
        <f>IF(SER_hh_tes!X6=0,0,11630*1000*SER_hh_tes!X6/SER_hh_num!X6)</f>
        <v>137391.26647033566</v>
      </c>
      <c r="Y6" s="132">
        <f>IF(SER_hh_tes!Y6=0,0,11630*1000*SER_hh_tes!Y6/SER_hh_num!Y6)</f>
        <v>121238.09993793191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60997.346840305698</v>
      </c>
      <c r="C7" s="132">
        <f>IF(SER_hh_tes!C7=0,0,11630*1000*SER_hh_tes!C7/SER_hh_num!C7)</f>
        <v>60166.409969650129</v>
      </c>
      <c r="D7" s="132">
        <f>IF(SER_hh_tes!D7=0,0,11630*1000*SER_hh_tes!D7/SER_hh_num!D7)</f>
        <v>69808.70013998264</v>
      </c>
      <c r="E7" s="132">
        <f>IF(SER_hh_tes!E7=0,0,11630*1000*SER_hh_tes!E7/SER_hh_num!E7)</f>
        <v>87064.587825051785</v>
      </c>
      <c r="F7" s="132">
        <f>IF(SER_hh_tes!F7=0,0,11630*1000*SER_hh_tes!F7/SER_hh_num!F7)</f>
        <v>99567.278787057352</v>
      </c>
      <c r="G7" s="132">
        <f>IF(SER_hh_tes!G7=0,0,11630*1000*SER_hh_tes!G7/SER_hh_num!G7)</f>
        <v>87237.744652169538</v>
      </c>
      <c r="H7" s="132">
        <f>IF(SER_hh_tes!H7=0,0,11630*1000*SER_hh_tes!H7/SER_hh_num!H7)</f>
        <v>69799.171845692676</v>
      </c>
      <c r="I7" s="132">
        <f>IF(SER_hh_tes!I7=0,0,11630*1000*SER_hh_tes!I7/SER_hh_num!I7)</f>
        <v>77842.328679906263</v>
      </c>
      <c r="J7" s="132">
        <f>IF(SER_hh_tes!J7=0,0,11630*1000*SER_hh_tes!J7/SER_hh_num!J7)</f>
        <v>72964.034876164893</v>
      </c>
      <c r="K7" s="132">
        <f>IF(SER_hh_tes!K7=0,0,11630*1000*SER_hh_tes!K7/SER_hh_num!K7)</f>
        <v>55460.337092093374</v>
      </c>
      <c r="L7" s="132">
        <f>IF(SER_hh_tes!L7=0,0,11630*1000*SER_hh_tes!L7/SER_hh_num!L7)</f>
        <v>102916.32054352312</v>
      </c>
      <c r="M7" s="132">
        <f>IF(SER_hh_tes!M7=0,0,11630*1000*SER_hh_tes!M7/SER_hh_num!M7)</f>
        <v>61275.125465383026</v>
      </c>
      <c r="N7" s="132">
        <f>IF(SER_hh_tes!N7=0,0,11630*1000*SER_hh_tes!N7/SER_hh_num!N7)</f>
        <v>102737.03955613445</v>
      </c>
      <c r="O7" s="132">
        <f>IF(SER_hh_tes!O7=0,0,11630*1000*SER_hh_tes!O7/SER_hh_num!O7)</f>
        <v>133976.64371245925</v>
      </c>
      <c r="P7" s="132">
        <f>IF(SER_hh_tes!P7=0,0,11630*1000*SER_hh_tes!P7/SER_hh_num!P7)</f>
        <v>136068.34446534098</v>
      </c>
      <c r="Q7" s="132">
        <f>IF(SER_hh_tes!Q7=0,0,11630*1000*SER_hh_tes!Q7/SER_hh_num!Q7)</f>
        <v>162250.40642428855</v>
      </c>
      <c r="R7" s="132">
        <f>IF(SER_hh_tes!R7=0,0,11630*1000*SER_hh_tes!R7/SER_hh_num!R7)</f>
        <v>159987.65567389151</v>
      </c>
      <c r="S7" s="132">
        <f>IF(SER_hh_tes!S7=0,0,11630*1000*SER_hh_tes!S7/SER_hh_num!S7)</f>
        <v>157868.66971432557</v>
      </c>
      <c r="T7" s="132">
        <f>IF(SER_hh_tes!T7=0,0,11630*1000*SER_hh_tes!T7/SER_hh_num!T7)</f>
        <v>105323.87087083854</v>
      </c>
      <c r="U7" s="132">
        <f>IF(SER_hh_tes!U7=0,0,11630*1000*SER_hh_tes!U7/SER_hh_num!U7)</f>
        <v>115193.25914504936</v>
      </c>
      <c r="V7" s="132">
        <f>IF(SER_hh_tes!V7=0,0,11630*1000*SER_hh_tes!V7/SER_hh_num!V7)</f>
        <v>101717.51099960205</v>
      </c>
      <c r="W7" s="132">
        <f>IF(SER_hh_tes!W7=0,0,11630*1000*SER_hh_tes!W7/SER_hh_num!W7)</f>
        <v>110760.48017892534</v>
      </c>
      <c r="X7" s="132">
        <f>IF(SER_hh_tes!X7=0,0,11630*1000*SER_hh_tes!X7/SER_hh_num!X7)</f>
        <v>142222.20278156901</v>
      </c>
      <c r="Y7" s="132">
        <f>IF(SER_hh_tes!Y7=0,0,11630*1000*SER_hh_tes!Y7/SER_hh_num!Y7)</f>
        <v>122737.74672309615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0</v>
      </c>
      <c r="S8" s="132">
        <f>IF(SER_hh_tes!S8=0,0,11630*1000*SER_hh_tes!S8/SER_hh_num!S8)</f>
        <v>0</v>
      </c>
      <c r="T8" s="132">
        <f>IF(SER_hh_tes!T8=0,0,11630*1000*SER_hh_tes!T8/SER_hh_num!T8)</f>
        <v>0</v>
      </c>
      <c r="U8" s="132">
        <f>IF(SER_hh_tes!U8=0,0,11630*1000*SER_hh_tes!U8/SER_hh_num!U8)</f>
        <v>0</v>
      </c>
      <c r="V8" s="132">
        <f>IF(SER_hh_tes!V8=0,0,11630*1000*SER_hh_tes!V8/SER_hh_num!V8)</f>
        <v>0</v>
      </c>
      <c r="W8" s="132">
        <f>IF(SER_hh_tes!W8=0,0,11630*1000*SER_hh_tes!W8/SER_hh_num!W8)</f>
        <v>0</v>
      </c>
      <c r="X8" s="132">
        <f>IF(SER_hh_tes!X8=0,0,11630*1000*SER_hh_tes!X8/SER_hh_num!X8)</f>
        <v>0</v>
      </c>
      <c r="Y8" s="132">
        <f>IF(SER_hh_tes!Y8=0,0,11630*1000*SER_hh_tes!Y8/SER_hh_num!Y8)</f>
        <v>0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0</v>
      </c>
      <c r="C9" s="132">
        <f>IF(SER_hh_tes!C9=0,0,11630*1000*SER_hh_tes!C9/SER_hh_num!C9)</f>
        <v>0</v>
      </c>
      <c r="D9" s="132">
        <f>IF(SER_hh_tes!D9=0,0,11630*1000*SER_hh_tes!D9/SER_hh_num!D9)</f>
        <v>0</v>
      </c>
      <c r="E9" s="132">
        <f>IF(SER_hh_tes!E9=0,0,11630*1000*SER_hh_tes!E9/SER_hh_num!E9)</f>
        <v>0</v>
      </c>
      <c r="F9" s="132">
        <f>IF(SER_hh_tes!F9=0,0,11630*1000*SER_hh_tes!F9/SER_hh_num!F9)</f>
        <v>0</v>
      </c>
      <c r="G9" s="132">
        <f>IF(SER_hh_tes!G9=0,0,11630*1000*SER_hh_tes!G9/SER_hh_num!G9)</f>
        <v>0</v>
      </c>
      <c r="H9" s="132">
        <f>IF(SER_hh_tes!H9=0,0,11630*1000*SER_hh_tes!H9/SER_hh_num!H9)</f>
        <v>0</v>
      </c>
      <c r="I9" s="132">
        <f>IF(SER_hh_tes!I9=0,0,11630*1000*SER_hh_tes!I9/SER_hh_num!I9)</f>
        <v>0</v>
      </c>
      <c r="J9" s="132">
        <f>IF(SER_hh_tes!J9=0,0,11630*1000*SER_hh_tes!J9/SER_hh_num!J9)</f>
        <v>0</v>
      </c>
      <c r="K9" s="132">
        <f>IF(SER_hh_tes!K9=0,0,11630*1000*SER_hh_tes!K9/SER_hh_num!K9)</f>
        <v>0</v>
      </c>
      <c r="L9" s="132">
        <f>IF(SER_hh_tes!L9=0,0,11630*1000*SER_hh_tes!L9/SER_hh_num!L9)</f>
        <v>0</v>
      </c>
      <c r="M9" s="132">
        <f>IF(SER_hh_tes!M9=0,0,11630*1000*SER_hh_tes!M9/SER_hh_num!M9)</f>
        <v>134590.03431398369</v>
      </c>
      <c r="N9" s="132">
        <f>IF(SER_hh_tes!N9=0,0,11630*1000*SER_hh_tes!N9/SER_hh_num!N9)</f>
        <v>153613.8484437743</v>
      </c>
      <c r="O9" s="132">
        <f>IF(SER_hh_tes!O9=0,0,11630*1000*SER_hh_tes!O9/SER_hh_num!O9)</f>
        <v>111565.69796851461</v>
      </c>
      <c r="P9" s="132">
        <f>IF(SER_hh_tes!P9=0,0,11630*1000*SER_hh_tes!P9/SER_hh_num!P9)</f>
        <v>133293.10859111126</v>
      </c>
      <c r="Q9" s="132">
        <f>IF(SER_hh_tes!Q9=0,0,11630*1000*SER_hh_tes!Q9/SER_hh_num!Q9)</f>
        <v>132727.95474530029</v>
      </c>
      <c r="R9" s="132">
        <f>IF(SER_hh_tes!R9=0,0,11630*1000*SER_hh_tes!R9/SER_hh_num!R9)</f>
        <v>161267.1454093309</v>
      </c>
      <c r="S9" s="132">
        <f>IF(SER_hh_tes!S9=0,0,11630*1000*SER_hh_tes!S9/SER_hh_num!S9)</f>
        <v>132395.22542185691</v>
      </c>
      <c r="T9" s="132">
        <f>IF(SER_hh_tes!T9=0,0,11630*1000*SER_hh_tes!T9/SER_hh_num!T9)</f>
        <v>104880.57309166748</v>
      </c>
      <c r="U9" s="132">
        <f>IF(SER_hh_tes!U9=0,0,11630*1000*SER_hh_tes!U9/SER_hh_num!U9)</f>
        <v>148760.91706219272</v>
      </c>
      <c r="V9" s="132">
        <f>IF(SER_hh_tes!V9=0,0,11630*1000*SER_hh_tes!V9/SER_hh_num!V9)</f>
        <v>113848.10135124135</v>
      </c>
      <c r="W9" s="132">
        <f>IF(SER_hh_tes!W9=0,0,11630*1000*SER_hh_tes!W9/SER_hh_num!W9)</f>
        <v>86607.162748439194</v>
      </c>
      <c r="X9" s="132">
        <f>IF(SER_hh_tes!X9=0,0,11630*1000*SER_hh_tes!X9/SER_hh_num!X9)</f>
        <v>139781.64191353926</v>
      </c>
      <c r="Y9" s="132">
        <f>IF(SER_hh_tes!Y9=0,0,11630*1000*SER_hh_tes!Y9/SER_hh_num!Y9)</f>
        <v>137421.71771317319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0</v>
      </c>
      <c r="C10" s="132">
        <f>IF(SER_hh_tes!C10=0,0,11630*1000*SER_hh_tes!C10/SER_hh_num!C10)</f>
        <v>0</v>
      </c>
      <c r="D10" s="132">
        <f>IF(SER_hh_tes!D10=0,0,11630*1000*SER_hh_tes!D10/SER_hh_num!D10)</f>
        <v>0</v>
      </c>
      <c r="E10" s="132">
        <f>IF(SER_hh_tes!E10=0,0,11630*1000*SER_hh_tes!E10/SER_hh_num!E10)</f>
        <v>0</v>
      </c>
      <c r="F10" s="132">
        <f>IF(SER_hh_tes!F10=0,0,11630*1000*SER_hh_tes!F10/SER_hh_num!F10)</f>
        <v>0</v>
      </c>
      <c r="G10" s="132">
        <f>IF(SER_hh_tes!G10=0,0,11630*1000*SER_hh_tes!G10/SER_hh_num!G10)</f>
        <v>0</v>
      </c>
      <c r="H10" s="132">
        <f>IF(SER_hh_tes!H10=0,0,11630*1000*SER_hh_tes!H10/SER_hh_num!H10)</f>
        <v>0</v>
      </c>
      <c r="I10" s="132">
        <f>IF(SER_hh_tes!I10=0,0,11630*1000*SER_hh_tes!I10/SER_hh_num!I10)</f>
        <v>0</v>
      </c>
      <c r="J10" s="132">
        <f>IF(SER_hh_tes!J10=0,0,11630*1000*SER_hh_tes!J10/SER_hh_num!J10)</f>
        <v>0</v>
      </c>
      <c r="K10" s="132">
        <f>IF(SER_hh_tes!K10=0,0,11630*1000*SER_hh_tes!K10/SER_hh_num!K10)</f>
        <v>0</v>
      </c>
      <c r="L10" s="132">
        <f>IF(SER_hh_tes!L10=0,0,11630*1000*SER_hh_tes!L10/SER_hh_num!L10)</f>
        <v>0</v>
      </c>
      <c r="M10" s="132">
        <f>IF(SER_hh_tes!M10=0,0,11630*1000*SER_hh_tes!M10/SER_hh_num!M10)</f>
        <v>0</v>
      </c>
      <c r="N10" s="132">
        <f>IF(SER_hh_tes!N10=0,0,11630*1000*SER_hh_tes!N10/SER_hh_num!N10)</f>
        <v>0</v>
      </c>
      <c r="O10" s="132">
        <f>IF(SER_hh_tes!O10=0,0,11630*1000*SER_hh_tes!O10/SER_hh_num!O10)</f>
        <v>0</v>
      </c>
      <c r="P10" s="132">
        <f>IF(SER_hh_tes!P10=0,0,11630*1000*SER_hh_tes!P10/SER_hh_num!P10)</f>
        <v>0</v>
      </c>
      <c r="Q10" s="132">
        <f>IF(SER_hh_tes!Q10=0,0,11630*1000*SER_hh_tes!Q10/SER_hh_num!Q10)</f>
        <v>0</v>
      </c>
      <c r="R10" s="132">
        <f>IF(SER_hh_tes!R10=0,0,11630*1000*SER_hh_tes!R10/SER_hh_num!R10)</f>
        <v>0</v>
      </c>
      <c r="S10" s="132">
        <f>IF(SER_hh_tes!S10=0,0,11630*1000*SER_hh_tes!S10/SER_hh_num!S10)</f>
        <v>0</v>
      </c>
      <c r="T10" s="132">
        <f>IF(SER_hh_tes!T10=0,0,11630*1000*SER_hh_tes!T10/SER_hh_num!T10)</f>
        <v>0</v>
      </c>
      <c r="U10" s="132">
        <f>IF(SER_hh_tes!U10=0,0,11630*1000*SER_hh_tes!U10/SER_hh_num!U10)</f>
        <v>0</v>
      </c>
      <c r="V10" s="132">
        <f>IF(SER_hh_tes!V10=0,0,11630*1000*SER_hh_tes!V10/SER_hh_num!V10)</f>
        <v>0</v>
      </c>
      <c r="W10" s="132">
        <f>IF(SER_hh_tes!W10=0,0,11630*1000*SER_hh_tes!W10/SER_hh_num!W10)</f>
        <v>0</v>
      </c>
      <c r="X10" s="132">
        <f>IF(SER_hh_tes!X10=0,0,11630*1000*SER_hh_tes!X10/SER_hh_num!X10)</f>
        <v>0</v>
      </c>
      <c r="Y10" s="132">
        <f>IF(SER_hh_tes!Y10=0,0,11630*1000*SER_hh_tes!Y10/SER_hh_num!Y10)</f>
        <v>0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0</v>
      </c>
      <c r="M11" s="132">
        <f>IF(SER_hh_tes!M11=0,0,11630*1000*SER_hh_tes!M11/SER_hh_num!M11)</f>
        <v>0</v>
      </c>
      <c r="N11" s="132">
        <f>IF(SER_hh_tes!N11=0,0,11630*1000*SER_hh_tes!N11/SER_hh_num!N11)</f>
        <v>0</v>
      </c>
      <c r="O11" s="132">
        <f>IF(SER_hh_tes!O11=0,0,11630*1000*SER_hh_tes!O11/SER_hh_num!O11)</f>
        <v>0</v>
      </c>
      <c r="P11" s="132">
        <f>IF(SER_hh_tes!P11=0,0,11630*1000*SER_hh_tes!P11/SER_hh_num!P11)</f>
        <v>0</v>
      </c>
      <c r="Q11" s="132">
        <f>IF(SER_hh_tes!Q11=0,0,11630*1000*SER_hh_tes!Q11/SER_hh_num!Q11)</f>
        <v>0</v>
      </c>
      <c r="R11" s="132">
        <f>IF(SER_hh_tes!R11=0,0,11630*1000*SER_hh_tes!R11/SER_hh_num!R11)</f>
        <v>0</v>
      </c>
      <c r="S11" s="132">
        <f>IF(SER_hh_tes!S11=0,0,11630*1000*SER_hh_tes!S11/SER_hh_num!S11)</f>
        <v>0</v>
      </c>
      <c r="T11" s="132">
        <f>IF(SER_hh_tes!T11=0,0,11630*1000*SER_hh_tes!T11/SER_hh_num!T11)</f>
        <v>0</v>
      </c>
      <c r="U11" s="132">
        <f>IF(SER_hh_tes!U11=0,0,11630*1000*SER_hh_tes!U11/SER_hh_num!U11)</f>
        <v>0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0</v>
      </c>
      <c r="C12" s="132">
        <f>IF(SER_hh_tes!C12=0,0,11630*1000*SER_hh_tes!C12/SER_hh_num!C12)</f>
        <v>0</v>
      </c>
      <c r="D12" s="132">
        <f>IF(SER_hh_tes!D12=0,0,11630*1000*SER_hh_tes!D12/SER_hh_num!D12)</f>
        <v>0</v>
      </c>
      <c r="E12" s="132">
        <f>IF(SER_hh_tes!E12=0,0,11630*1000*SER_hh_tes!E12/SER_hh_num!E12)</f>
        <v>0</v>
      </c>
      <c r="F12" s="132">
        <f>IF(SER_hh_tes!F12=0,0,11630*1000*SER_hh_tes!F12/SER_hh_num!F12)</f>
        <v>0</v>
      </c>
      <c r="G12" s="132">
        <f>IF(SER_hh_tes!G12=0,0,11630*1000*SER_hh_tes!G12/SER_hh_num!G12)</f>
        <v>0</v>
      </c>
      <c r="H12" s="132">
        <f>IF(SER_hh_tes!H12=0,0,11630*1000*SER_hh_tes!H12/SER_hh_num!H12)</f>
        <v>0</v>
      </c>
      <c r="I12" s="132">
        <f>IF(SER_hh_tes!I12=0,0,11630*1000*SER_hh_tes!I12/SER_hh_num!I12)</f>
        <v>0</v>
      </c>
      <c r="J12" s="132">
        <f>IF(SER_hh_tes!J12=0,0,11630*1000*SER_hh_tes!J12/SER_hh_num!J12)</f>
        <v>0</v>
      </c>
      <c r="K12" s="132">
        <f>IF(SER_hh_tes!K12=0,0,11630*1000*SER_hh_tes!K12/SER_hh_num!K12)</f>
        <v>0</v>
      </c>
      <c r="L12" s="132">
        <f>IF(SER_hh_tes!L12=0,0,11630*1000*SER_hh_tes!L12/SER_hh_num!L12)</f>
        <v>0</v>
      </c>
      <c r="M12" s="132">
        <f>IF(SER_hh_tes!M12=0,0,11630*1000*SER_hh_tes!M12/SER_hh_num!M12)</f>
        <v>140774.67686190174</v>
      </c>
      <c r="N12" s="132">
        <f>IF(SER_hh_tes!N12=0,0,11630*1000*SER_hh_tes!N12/SER_hh_num!N12)</f>
        <v>226599.93801412114</v>
      </c>
      <c r="O12" s="132">
        <f>IF(SER_hh_tes!O12=0,0,11630*1000*SER_hh_tes!O12/SER_hh_num!O12)</f>
        <v>31711.082364114143</v>
      </c>
      <c r="P12" s="132">
        <f>IF(SER_hh_tes!P12=0,0,11630*1000*SER_hh_tes!P12/SER_hh_num!P12)</f>
        <v>37948.543687566911</v>
      </c>
      <c r="Q12" s="132">
        <f>IF(SER_hh_tes!Q12=0,0,11630*1000*SER_hh_tes!Q12/SER_hh_num!Q12)</f>
        <v>274320.05283604155</v>
      </c>
      <c r="R12" s="132">
        <f>IF(SER_hh_tes!R12=0,0,11630*1000*SER_hh_tes!R12/SER_hh_num!R12)</f>
        <v>169794.52338777643</v>
      </c>
      <c r="S12" s="132">
        <f>IF(SER_hh_tes!S12=0,0,11630*1000*SER_hh_tes!S12/SER_hh_num!S12)</f>
        <v>38363.691188523218</v>
      </c>
      <c r="T12" s="132">
        <f>IF(SER_hh_tes!T12=0,0,11630*1000*SER_hh_tes!T12/SER_hh_num!T12)</f>
        <v>73154.691123813085</v>
      </c>
      <c r="U12" s="132">
        <f>IF(SER_hh_tes!U12=0,0,11630*1000*SER_hh_tes!U12/SER_hh_num!U12)</f>
        <v>239510.5785345262</v>
      </c>
      <c r="V12" s="132">
        <f>IF(SER_hh_tes!V12=0,0,11630*1000*SER_hh_tes!V12/SER_hh_num!V12)</f>
        <v>0</v>
      </c>
      <c r="W12" s="132">
        <f>IF(SER_hh_tes!W12=0,0,11630*1000*SER_hh_tes!W12/SER_hh_num!W12)</f>
        <v>0</v>
      </c>
      <c r="X12" s="132">
        <f>IF(SER_hh_tes!X12=0,0,11630*1000*SER_hh_tes!X12/SER_hh_num!X12)</f>
        <v>0</v>
      </c>
      <c r="Y12" s="132">
        <f>IF(SER_hh_tes!Y12=0,0,11630*1000*SER_hh_tes!Y12/SER_hh_num!Y12)</f>
        <v>0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44460.26997203505</v>
      </c>
      <c r="C13" s="132">
        <f>IF(SER_hh_tes!C13=0,0,11630*1000*SER_hh_tes!C13/SER_hh_num!C13)</f>
        <v>63764.539283751314</v>
      </c>
      <c r="D13" s="132">
        <f>IF(SER_hh_tes!D13=0,0,11630*1000*SER_hh_tes!D13/SER_hh_num!D13)</f>
        <v>72374.826179347627</v>
      </c>
      <c r="E13" s="132">
        <f>IF(SER_hh_tes!E13=0,0,11630*1000*SER_hh_tes!E13/SER_hh_num!E13)</f>
        <v>86720.406340637055</v>
      </c>
      <c r="F13" s="132">
        <f>IF(SER_hh_tes!F13=0,0,11630*1000*SER_hh_tes!F13/SER_hh_num!F13)</f>
        <v>78493.884325300678</v>
      </c>
      <c r="G13" s="132">
        <f>IF(SER_hh_tes!G13=0,0,11630*1000*SER_hh_tes!G13/SER_hh_num!G13)</f>
        <v>82431.30884370784</v>
      </c>
      <c r="H13" s="132">
        <f>IF(SER_hh_tes!H13=0,0,11630*1000*SER_hh_tes!H13/SER_hh_num!H13)</f>
        <v>66062.583224550137</v>
      </c>
      <c r="I13" s="132">
        <f>IF(SER_hh_tes!I13=0,0,11630*1000*SER_hh_tes!I13/SER_hh_num!I13)</f>
        <v>64663.569549146843</v>
      </c>
      <c r="J13" s="132">
        <f>IF(SER_hh_tes!J13=0,0,11630*1000*SER_hh_tes!J13/SER_hh_num!J13)</f>
        <v>71637.199402522208</v>
      </c>
      <c r="K13" s="132">
        <f>IF(SER_hh_tes!K13=0,0,11630*1000*SER_hh_tes!K13/SER_hh_num!K13)</f>
        <v>77749.647512291936</v>
      </c>
      <c r="L13" s="132">
        <f>IF(SER_hh_tes!L13=0,0,11630*1000*SER_hh_tes!L13/SER_hh_num!L13)</f>
        <v>81570.674278896229</v>
      </c>
      <c r="M13" s="132">
        <f>IF(SER_hh_tes!M13=0,0,11630*1000*SER_hh_tes!M13/SER_hh_num!M13)</f>
        <v>97596.720765404607</v>
      </c>
      <c r="N13" s="132">
        <f>IF(SER_hh_tes!N13=0,0,11630*1000*SER_hh_tes!N13/SER_hh_num!N13)</f>
        <v>114135.64303017729</v>
      </c>
      <c r="O13" s="132">
        <f>IF(SER_hh_tes!O13=0,0,11630*1000*SER_hh_tes!O13/SER_hh_num!O13)</f>
        <v>117945.22224672127</v>
      </c>
      <c r="P13" s="132">
        <f>IF(SER_hh_tes!P13=0,0,11630*1000*SER_hh_tes!P13/SER_hh_num!P13)</f>
        <v>136137.80579734533</v>
      </c>
      <c r="Q13" s="132">
        <f>IF(SER_hh_tes!Q13=0,0,11630*1000*SER_hh_tes!Q13/SER_hh_num!Q13)</f>
        <v>152344.65512904868</v>
      </c>
      <c r="R13" s="132">
        <f>IF(SER_hh_tes!R13=0,0,11630*1000*SER_hh_tes!R13/SER_hh_num!R13)</f>
        <v>146608.74294108016</v>
      </c>
      <c r="S13" s="132">
        <f>IF(SER_hh_tes!S13=0,0,11630*1000*SER_hh_tes!S13/SER_hh_num!S13)</f>
        <v>143473.21136504397</v>
      </c>
      <c r="T13" s="132">
        <f>IF(SER_hh_tes!T13=0,0,11630*1000*SER_hh_tes!T13/SER_hh_num!T13)</f>
        <v>129258.40519877827</v>
      </c>
      <c r="U13" s="132">
        <f>IF(SER_hh_tes!U13=0,0,11630*1000*SER_hh_tes!U13/SER_hh_num!U13)</f>
        <v>111303.73886438613</v>
      </c>
      <c r="V13" s="132">
        <f>IF(SER_hh_tes!V13=0,0,11630*1000*SER_hh_tes!V13/SER_hh_num!V13)</f>
        <v>109035.20025931882</v>
      </c>
      <c r="W13" s="132">
        <f>IF(SER_hh_tes!W13=0,0,11630*1000*SER_hh_tes!W13/SER_hh_num!W13)</f>
        <v>120143.35905047078</v>
      </c>
      <c r="X13" s="132">
        <f>IF(SER_hh_tes!X13=0,0,11630*1000*SER_hh_tes!X13/SER_hh_num!X13)</f>
        <v>129989.61857117474</v>
      </c>
      <c r="Y13" s="132">
        <f>IF(SER_hh_tes!Y13=0,0,11630*1000*SER_hh_tes!Y13/SER_hh_num!Y13)</f>
        <v>140159.12527915003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56418.522971673061</v>
      </c>
      <c r="C14" s="65">
        <f>IF(SER_hh_tes!C14=0,0,11630*1000*SER_hh_tes!C14/SER_hh_num!C14)</f>
        <v>64112.903039517645</v>
      </c>
      <c r="D14" s="65">
        <f>IF(SER_hh_tes!D14=0,0,11630*1000*SER_hh_tes!D14/SER_hh_num!D14)</f>
        <v>77927.109547918197</v>
      </c>
      <c r="E14" s="65">
        <f>IF(SER_hh_tes!E14=0,0,11630*1000*SER_hh_tes!E14/SER_hh_num!E14)</f>
        <v>75126.073130584511</v>
      </c>
      <c r="F14" s="65">
        <f>IF(SER_hh_tes!F14=0,0,11630*1000*SER_hh_tes!F14/SER_hh_num!F14)</f>
        <v>78561.386368479318</v>
      </c>
      <c r="G14" s="65">
        <f>IF(SER_hh_tes!G14=0,0,11630*1000*SER_hh_tes!G14/SER_hh_num!G14)</f>
        <v>127136.14447577615</v>
      </c>
      <c r="H14" s="65">
        <f>IF(SER_hh_tes!H14=0,0,11630*1000*SER_hh_tes!H14/SER_hh_num!H14)</f>
        <v>75999.221711306731</v>
      </c>
      <c r="I14" s="65">
        <f>IF(SER_hh_tes!I14=0,0,11630*1000*SER_hh_tes!I14/SER_hh_num!I14)</f>
        <v>73500.47198859854</v>
      </c>
      <c r="J14" s="65">
        <f>IF(SER_hh_tes!J14=0,0,11630*1000*SER_hh_tes!J14/SER_hh_num!J14)</f>
        <v>64029.262042045761</v>
      </c>
      <c r="K14" s="65">
        <f>IF(SER_hh_tes!K14=0,0,11630*1000*SER_hh_tes!K14/SER_hh_num!K14)</f>
        <v>46563.86615338194</v>
      </c>
      <c r="L14" s="65">
        <f>IF(SER_hh_tes!L14=0,0,11630*1000*SER_hh_tes!L14/SER_hh_num!L14)</f>
        <v>111335.04434411079</v>
      </c>
      <c r="M14" s="65">
        <f>IF(SER_hh_tes!M14=0,0,11630*1000*SER_hh_tes!M14/SER_hh_num!M14)</f>
        <v>118540.66610989759</v>
      </c>
      <c r="N14" s="65">
        <f>IF(SER_hh_tes!N14=0,0,11630*1000*SER_hh_tes!N14/SER_hh_num!N14)</f>
        <v>120564.57344599505</v>
      </c>
      <c r="O14" s="65">
        <f>IF(SER_hh_tes!O14=0,0,11630*1000*SER_hh_tes!O14/SER_hh_num!O14)</f>
        <v>123477.29988894629</v>
      </c>
      <c r="P14" s="65">
        <f>IF(SER_hh_tes!P14=0,0,11630*1000*SER_hh_tes!P14/SER_hh_num!P14)</f>
        <v>135236.2889594131</v>
      </c>
      <c r="Q14" s="65">
        <f>IF(SER_hh_tes!Q14=0,0,11630*1000*SER_hh_tes!Q14/SER_hh_num!Q14)</f>
        <v>148879.24746570905</v>
      </c>
      <c r="R14" s="65">
        <f>IF(SER_hh_tes!R14=0,0,11630*1000*SER_hh_tes!R14/SER_hh_num!R14)</f>
        <v>135421.95920333828</v>
      </c>
      <c r="S14" s="65">
        <f>IF(SER_hh_tes!S14=0,0,11630*1000*SER_hh_tes!S14/SER_hh_num!S14)</f>
        <v>150548.64286681684</v>
      </c>
      <c r="T14" s="65">
        <f>IF(SER_hh_tes!T14=0,0,11630*1000*SER_hh_tes!T14/SER_hh_num!T14)</f>
        <v>137190.37556192203</v>
      </c>
      <c r="U14" s="65">
        <f>IF(SER_hh_tes!U14=0,0,11630*1000*SER_hh_tes!U14/SER_hh_num!U14)</f>
        <v>132744.28369806861</v>
      </c>
      <c r="V14" s="65">
        <f>IF(SER_hh_tes!V14=0,0,11630*1000*SER_hh_tes!V14/SER_hh_num!V14)</f>
        <v>99990.042584258423</v>
      </c>
      <c r="W14" s="65">
        <f>IF(SER_hh_tes!W14=0,0,11630*1000*SER_hh_tes!W14/SER_hh_num!W14)</f>
        <v>105016.914557859</v>
      </c>
      <c r="X14" s="65">
        <f>IF(SER_hh_tes!X14=0,0,11630*1000*SER_hh_tes!X14/SER_hh_num!X14)</f>
        <v>137637.98272264132</v>
      </c>
      <c r="Y14" s="65">
        <f>IF(SER_hh_tes!Y14=0,0,11630*1000*SER_hh_tes!Y14/SER_hh_num!Y14)</f>
        <v>135365.92489404278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1225.3491847717421</v>
      </c>
      <c r="C15" s="134">
        <f>IF(SER_hh_tes!C15=0,0,11630*1000*SER_hh_tes!C15/SER_hh_num!C15)</f>
        <v>1192.5794722499697</v>
      </c>
      <c r="D15" s="134">
        <f>IF(SER_hh_tes!D15=0,0,11630*1000*SER_hh_tes!D15/SER_hh_num!D15)</f>
        <v>1339.2065341706329</v>
      </c>
      <c r="E15" s="134">
        <f>IF(SER_hh_tes!E15=0,0,11630*1000*SER_hh_tes!E15/SER_hh_num!E15)</f>
        <v>1625.4894828496749</v>
      </c>
      <c r="F15" s="134">
        <f>IF(SER_hh_tes!F15=0,0,11630*1000*SER_hh_tes!F15/SER_hh_num!F15)</f>
        <v>1811.9609322344074</v>
      </c>
      <c r="G15" s="134">
        <f>IF(SER_hh_tes!G15=0,0,11630*1000*SER_hh_tes!G15/SER_hh_num!G15)</f>
        <v>1558.7204034672886</v>
      </c>
      <c r="H15" s="134">
        <f>IF(SER_hh_tes!H15=0,0,11630*1000*SER_hh_tes!H15/SER_hh_num!H15)</f>
        <v>1280.213238109352</v>
      </c>
      <c r="I15" s="134">
        <f>IF(SER_hh_tes!I15=0,0,11630*1000*SER_hh_tes!I15/SER_hh_num!I15)</f>
        <v>1408.2386514022442</v>
      </c>
      <c r="J15" s="134">
        <f>IF(SER_hh_tes!J15=0,0,11630*1000*SER_hh_tes!J15/SER_hh_num!J15)</f>
        <v>1235.2033956758405</v>
      </c>
      <c r="K15" s="134">
        <f>IF(SER_hh_tes!K15=0,0,11630*1000*SER_hh_tes!K15/SER_hh_num!K15)</f>
        <v>901.23295787193172</v>
      </c>
      <c r="L15" s="134">
        <f>IF(SER_hh_tes!L15=0,0,11630*1000*SER_hh_tes!L15/SER_hh_num!L15)</f>
        <v>1802.1817886020697</v>
      </c>
      <c r="M15" s="134">
        <f>IF(SER_hh_tes!M15=0,0,11630*1000*SER_hh_tes!M15/SER_hh_num!M15)</f>
        <v>1161.3992421797584</v>
      </c>
      <c r="N15" s="134">
        <f>IF(SER_hh_tes!N15=0,0,11630*1000*SER_hh_tes!N15/SER_hh_num!N15)</f>
        <v>1787.0839724863902</v>
      </c>
      <c r="O15" s="134">
        <f>IF(SER_hh_tes!O15=0,0,11630*1000*SER_hh_tes!O15/SER_hh_num!O15)</f>
        <v>2122.1476806708711</v>
      </c>
      <c r="P15" s="134">
        <f>IF(SER_hh_tes!P15=0,0,11630*1000*SER_hh_tes!P15/SER_hh_num!P15)</f>
        <v>2167.2190172822711</v>
      </c>
      <c r="Q15" s="134">
        <f>IF(SER_hh_tes!Q15=0,0,11630*1000*SER_hh_tes!Q15/SER_hh_num!Q15)</f>
        <v>2559.3889769895768</v>
      </c>
      <c r="R15" s="134">
        <f>IF(SER_hh_tes!R15=0,0,11630*1000*SER_hh_tes!R15/SER_hh_num!R15)</f>
        <v>2494.5367407169683</v>
      </c>
      <c r="S15" s="134">
        <f>IF(SER_hh_tes!S15=0,0,11630*1000*SER_hh_tes!S15/SER_hh_num!S15)</f>
        <v>2437.2237972294197</v>
      </c>
      <c r="T15" s="134">
        <f>IF(SER_hh_tes!T15=0,0,11630*1000*SER_hh_tes!T15/SER_hh_num!T15)</f>
        <v>1768.2568814294273</v>
      </c>
      <c r="U15" s="134">
        <f>IF(SER_hh_tes!U15=0,0,11630*1000*SER_hh_tes!U15/SER_hh_num!U15)</f>
        <v>1911.9385143536056</v>
      </c>
      <c r="V15" s="134">
        <f>IF(SER_hh_tes!V15=0,0,11630*1000*SER_hh_tes!V15/SER_hh_num!V15)</f>
        <v>1617.830606663518</v>
      </c>
      <c r="W15" s="134">
        <f>IF(SER_hh_tes!W15=0,0,11630*1000*SER_hh_tes!W15/SER_hh_num!W15)</f>
        <v>1753.034122400471</v>
      </c>
      <c r="X15" s="134">
        <f>IF(SER_hh_tes!X15=0,0,11630*1000*SER_hh_tes!X15/SER_hh_num!X15)</f>
        <v>2238.68936840579</v>
      </c>
      <c r="Y15" s="134">
        <f>IF(SER_hh_tes!Y15=0,0,11630*1000*SER_hh_tes!Y15/SER_hh_num!Y15)</f>
        <v>1965.1363661437335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69738.817451184848</v>
      </c>
      <c r="C16" s="130">
        <f>IF(SER_hh_tes!C16=0,0,11630*1000*SER_hh_tes!C16/SER_hh_num!C16)</f>
        <v>78857.917542856754</v>
      </c>
      <c r="D16" s="130">
        <f>IF(SER_hh_tes!D16=0,0,11630*1000*SER_hh_tes!D16/SER_hh_num!D16)</f>
        <v>61879.919164124527</v>
      </c>
      <c r="E16" s="130">
        <f>IF(SER_hh_tes!E16=0,0,11630*1000*SER_hh_tes!E16/SER_hh_num!E16)</f>
        <v>95180.389866791884</v>
      </c>
      <c r="F16" s="130">
        <f>IF(SER_hh_tes!F16=0,0,11630*1000*SER_hh_tes!F16/SER_hh_num!F16)</f>
        <v>50389.587323190659</v>
      </c>
      <c r="G16" s="130">
        <f>IF(SER_hh_tes!G16=0,0,11630*1000*SER_hh_tes!G16/SER_hh_num!G16)</f>
        <v>50333.811437378703</v>
      </c>
      <c r="H16" s="130">
        <f>IF(SER_hh_tes!H16=0,0,11630*1000*SER_hh_tes!H16/SER_hh_num!H16)</f>
        <v>69376.398216424408</v>
      </c>
      <c r="I16" s="130">
        <f>IF(SER_hh_tes!I16=0,0,11630*1000*SER_hh_tes!I16/SER_hh_num!I16)</f>
        <v>72869.953050661512</v>
      </c>
      <c r="J16" s="130">
        <f>IF(SER_hh_tes!J16=0,0,11630*1000*SER_hh_tes!J16/SER_hh_num!J16)</f>
        <v>63405.120170919108</v>
      </c>
      <c r="K16" s="130">
        <f>IF(SER_hh_tes!K16=0,0,11630*1000*SER_hh_tes!K16/SER_hh_num!K16)</f>
        <v>66282.21692683248</v>
      </c>
      <c r="L16" s="130">
        <f>IF(SER_hh_tes!L16=0,0,11630*1000*SER_hh_tes!L16/SER_hh_num!L16)</f>
        <v>54797.516366672491</v>
      </c>
      <c r="M16" s="130">
        <f>IF(SER_hh_tes!M16=0,0,11630*1000*SER_hh_tes!M16/SER_hh_num!M16)</f>
        <v>60150.554609506042</v>
      </c>
      <c r="N16" s="130">
        <f>IF(SER_hh_tes!N16=0,0,11630*1000*SER_hh_tes!N16/SER_hh_num!N16)</f>
        <v>106349.35461515629</v>
      </c>
      <c r="O16" s="130">
        <f>IF(SER_hh_tes!O16=0,0,11630*1000*SER_hh_tes!O16/SER_hh_num!O16)</f>
        <v>76167.21756947336</v>
      </c>
      <c r="P16" s="130">
        <f>IF(SER_hh_tes!P16=0,0,11630*1000*SER_hh_tes!P16/SER_hh_num!P16)</f>
        <v>79773.626989739918</v>
      </c>
      <c r="Q16" s="130">
        <f>IF(SER_hh_tes!Q16=0,0,11630*1000*SER_hh_tes!Q16/SER_hh_num!Q16)</f>
        <v>86955.182863322421</v>
      </c>
      <c r="R16" s="130">
        <f>IF(SER_hh_tes!R16=0,0,11630*1000*SER_hh_tes!R16/SER_hh_num!R16)</f>
        <v>73425.373815429033</v>
      </c>
      <c r="S16" s="130">
        <f>IF(SER_hh_tes!S16=0,0,11630*1000*SER_hh_tes!S16/SER_hh_num!S16)</f>
        <v>88213.316055879783</v>
      </c>
      <c r="T16" s="130">
        <f>IF(SER_hh_tes!T16=0,0,11630*1000*SER_hh_tes!T16/SER_hh_num!T16)</f>
        <v>79622.864681102466</v>
      </c>
      <c r="U16" s="130">
        <f>IF(SER_hh_tes!U16=0,0,11630*1000*SER_hh_tes!U16/SER_hh_num!U16)</f>
        <v>110538.78439748894</v>
      </c>
      <c r="V16" s="130">
        <f>IF(SER_hh_tes!V16=0,0,11630*1000*SER_hh_tes!V16/SER_hh_num!V16)</f>
        <v>87236.506603041373</v>
      </c>
      <c r="W16" s="130">
        <f>IF(SER_hh_tes!W16=0,0,11630*1000*SER_hh_tes!W16/SER_hh_num!W16)</f>
        <v>112371.38727707429</v>
      </c>
      <c r="X16" s="130">
        <f>IF(SER_hh_tes!X16=0,0,11630*1000*SER_hh_tes!X16/SER_hh_num!X16)</f>
        <v>121084.23897497996</v>
      </c>
      <c r="Y16" s="130">
        <f>IF(SER_hh_tes!Y16=0,0,11630*1000*SER_hh_tes!Y16/SER_hh_num!Y16)</f>
        <v>108035.72609212522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0</v>
      </c>
      <c r="C17" s="132">
        <f>IF(SER_hh_tes!C17=0,0,11630*1000*SER_hh_tes!C17/SER_hh_num!C17)</f>
        <v>0</v>
      </c>
      <c r="D17" s="132">
        <f>IF(SER_hh_tes!D17=0,0,11630*1000*SER_hh_tes!D17/SER_hh_num!D17)</f>
        <v>0</v>
      </c>
      <c r="E17" s="132">
        <f>IF(SER_hh_tes!E17=0,0,11630*1000*SER_hh_tes!E17/SER_hh_num!E17)</f>
        <v>0</v>
      </c>
      <c r="F17" s="132">
        <f>IF(SER_hh_tes!F17=0,0,11630*1000*SER_hh_tes!F17/SER_hh_num!F17)</f>
        <v>0</v>
      </c>
      <c r="G17" s="132">
        <f>IF(SER_hh_tes!G17=0,0,11630*1000*SER_hh_tes!G17/SER_hh_num!G17)</f>
        <v>0</v>
      </c>
      <c r="H17" s="132">
        <f>IF(SER_hh_tes!H17=0,0,11630*1000*SER_hh_tes!H17/SER_hh_num!H17)</f>
        <v>0</v>
      </c>
      <c r="I17" s="132">
        <f>IF(SER_hh_tes!I17=0,0,11630*1000*SER_hh_tes!I17/SER_hh_num!I17)</f>
        <v>0</v>
      </c>
      <c r="J17" s="132">
        <f>IF(SER_hh_tes!J17=0,0,11630*1000*SER_hh_tes!J17/SER_hh_num!J17)</f>
        <v>0</v>
      </c>
      <c r="K17" s="132">
        <f>IF(SER_hh_tes!K17=0,0,11630*1000*SER_hh_tes!K17/SER_hh_num!K17)</f>
        <v>0</v>
      </c>
      <c r="L17" s="132">
        <f>IF(SER_hh_tes!L17=0,0,11630*1000*SER_hh_tes!L17/SER_hh_num!L17)</f>
        <v>0</v>
      </c>
      <c r="M17" s="132">
        <f>IF(SER_hh_tes!M17=0,0,11630*1000*SER_hh_tes!M17/SER_hh_num!M17)</f>
        <v>0</v>
      </c>
      <c r="N17" s="132">
        <f>IF(SER_hh_tes!N17=0,0,11630*1000*SER_hh_tes!N17/SER_hh_num!N17)</f>
        <v>0</v>
      </c>
      <c r="O17" s="132">
        <f>IF(SER_hh_tes!O17=0,0,11630*1000*SER_hh_tes!O17/SER_hh_num!O17)</f>
        <v>0</v>
      </c>
      <c r="P17" s="132">
        <f>IF(SER_hh_tes!P17=0,0,11630*1000*SER_hh_tes!P17/SER_hh_num!P17)</f>
        <v>0</v>
      </c>
      <c r="Q17" s="132">
        <f>IF(SER_hh_tes!Q17=0,0,11630*1000*SER_hh_tes!Q17/SER_hh_num!Q17)</f>
        <v>0</v>
      </c>
      <c r="R17" s="132">
        <f>IF(SER_hh_tes!R17=0,0,11630*1000*SER_hh_tes!R17/SER_hh_num!R17)</f>
        <v>0</v>
      </c>
      <c r="S17" s="132">
        <f>IF(SER_hh_tes!S17=0,0,11630*1000*SER_hh_tes!S17/SER_hh_num!S17)</f>
        <v>0</v>
      </c>
      <c r="T17" s="132">
        <f>IF(SER_hh_tes!T17=0,0,11630*1000*SER_hh_tes!T17/SER_hh_num!T17)</f>
        <v>0</v>
      </c>
      <c r="U17" s="132">
        <f>IF(SER_hh_tes!U17=0,0,11630*1000*SER_hh_tes!U17/SER_hh_num!U17)</f>
        <v>0</v>
      </c>
      <c r="V17" s="132">
        <f>IF(SER_hh_tes!V17=0,0,11630*1000*SER_hh_tes!V17/SER_hh_num!V17)</f>
        <v>0</v>
      </c>
      <c r="W17" s="132">
        <f>IF(SER_hh_tes!W17=0,0,11630*1000*SER_hh_tes!W17/SER_hh_num!W17)</f>
        <v>0</v>
      </c>
      <c r="X17" s="132">
        <f>IF(SER_hh_tes!X17=0,0,11630*1000*SER_hh_tes!X17/SER_hh_num!X17)</f>
        <v>0</v>
      </c>
      <c r="Y17" s="132">
        <f>IF(SER_hh_tes!Y17=0,0,11630*1000*SER_hh_tes!Y17/SER_hh_num!Y17)</f>
        <v>0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69738.817451184848</v>
      </c>
      <c r="C18" s="132">
        <f>IF(SER_hh_tes!C18=0,0,11630*1000*SER_hh_tes!C18/SER_hh_num!C18)</f>
        <v>78857.917542856754</v>
      </c>
      <c r="D18" s="132">
        <f>IF(SER_hh_tes!D18=0,0,11630*1000*SER_hh_tes!D18/SER_hh_num!D18)</f>
        <v>61879.919164124527</v>
      </c>
      <c r="E18" s="132">
        <f>IF(SER_hh_tes!E18=0,0,11630*1000*SER_hh_tes!E18/SER_hh_num!E18)</f>
        <v>95180.389866791884</v>
      </c>
      <c r="F18" s="132">
        <f>IF(SER_hh_tes!F18=0,0,11630*1000*SER_hh_tes!F18/SER_hh_num!F18)</f>
        <v>50389.587323190659</v>
      </c>
      <c r="G18" s="132">
        <f>IF(SER_hh_tes!G18=0,0,11630*1000*SER_hh_tes!G18/SER_hh_num!G18)</f>
        <v>50333.811437378703</v>
      </c>
      <c r="H18" s="132">
        <f>IF(SER_hh_tes!H18=0,0,11630*1000*SER_hh_tes!H18/SER_hh_num!H18)</f>
        <v>69376.398216424408</v>
      </c>
      <c r="I18" s="132">
        <f>IF(SER_hh_tes!I18=0,0,11630*1000*SER_hh_tes!I18/SER_hh_num!I18)</f>
        <v>72869.953050661512</v>
      </c>
      <c r="J18" s="132">
        <f>IF(SER_hh_tes!J18=0,0,11630*1000*SER_hh_tes!J18/SER_hh_num!J18)</f>
        <v>63405.120170919108</v>
      </c>
      <c r="K18" s="132">
        <f>IF(SER_hh_tes!K18=0,0,11630*1000*SER_hh_tes!K18/SER_hh_num!K18)</f>
        <v>66282.21692683248</v>
      </c>
      <c r="L18" s="132">
        <f>IF(SER_hh_tes!L18=0,0,11630*1000*SER_hh_tes!L18/SER_hh_num!L18)</f>
        <v>54797.516366672491</v>
      </c>
      <c r="M18" s="132">
        <f>IF(SER_hh_tes!M18=0,0,11630*1000*SER_hh_tes!M18/SER_hh_num!M18)</f>
        <v>60150.554609506042</v>
      </c>
      <c r="N18" s="132">
        <f>IF(SER_hh_tes!N18=0,0,11630*1000*SER_hh_tes!N18/SER_hh_num!N18)</f>
        <v>106349.35461515629</v>
      </c>
      <c r="O18" s="132">
        <f>IF(SER_hh_tes!O18=0,0,11630*1000*SER_hh_tes!O18/SER_hh_num!O18)</f>
        <v>76167.21756947336</v>
      </c>
      <c r="P18" s="132">
        <f>IF(SER_hh_tes!P18=0,0,11630*1000*SER_hh_tes!P18/SER_hh_num!P18)</f>
        <v>79773.626989739918</v>
      </c>
      <c r="Q18" s="132">
        <f>IF(SER_hh_tes!Q18=0,0,11630*1000*SER_hh_tes!Q18/SER_hh_num!Q18)</f>
        <v>86955.182863322421</v>
      </c>
      <c r="R18" s="132">
        <f>IF(SER_hh_tes!R18=0,0,11630*1000*SER_hh_tes!R18/SER_hh_num!R18)</f>
        <v>73425.373815429033</v>
      </c>
      <c r="S18" s="132">
        <f>IF(SER_hh_tes!S18=0,0,11630*1000*SER_hh_tes!S18/SER_hh_num!S18)</f>
        <v>88213.316055879783</v>
      </c>
      <c r="T18" s="132">
        <f>IF(SER_hh_tes!T18=0,0,11630*1000*SER_hh_tes!T18/SER_hh_num!T18)</f>
        <v>79622.864681102466</v>
      </c>
      <c r="U18" s="132">
        <f>IF(SER_hh_tes!U18=0,0,11630*1000*SER_hh_tes!U18/SER_hh_num!U18)</f>
        <v>110538.78439748894</v>
      </c>
      <c r="V18" s="132">
        <f>IF(SER_hh_tes!V18=0,0,11630*1000*SER_hh_tes!V18/SER_hh_num!V18)</f>
        <v>87236.506603041373</v>
      </c>
      <c r="W18" s="132">
        <f>IF(SER_hh_tes!W18=0,0,11630*1000*SER_hh_tes!W18/SER_hh_num!W18)</f>
        <v>112371.38727707429</v>
      </c>
      <c r="X18" s="132">
        <f>IF(SER_hh_tes!X18=0,0,11630*1000*SER_hh_tes!X18/SER_hh_num!X18)</f>
        <v>121084.23897497996</v>
      </c>
      <c r="Y18" s="132">
        <f>IF(SER_hh_tes!Y18=0,0,11630*1000*SER_hh_tes!Y18/SER_hh_num!Y18)</f>
        <v>108035.72609212522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26917.832635733288</v>
      </c>
      <c r="C19" s="130">
        <f>IF(SER_hh_tes!C19=0,0,11630*1000*SER_hh_tes!C19/SER_hh_num!C19)</f>
        <v>25817.979699528889</v>
      </c>
      <c r="D19" s="130">
        <f>IF(SER_hh_tes!D19=0,0,11630*1000*SER_hh_tes!D19/SER_hh_num!D19)</f>
        <v>26494.536544719671</v>
      </c>
      <c r="E19" s="130">
        <f>IF(SER_hh_tes!E19=0,0,11630*1000*SER_hh_tes!E19/SER_hh_num!E19)</f>
        <v>26672.065524865855</v>
      </c>
      <c r="F19" s="130">
        <f>IF(SER_hh_tes!F19=0,0,11630*1000*SER_hh_tes!F19/SER_hh_num!F19)</f>
        <v>27337.248653778042</v>
      </c>
      <c r="G19" s="130">
        <f>IF(SER_hh_tes!G19=0,0,11630*1000*SER_hh_tes!G19/SER_hh_num!G19)</f>
        <v>26848.675165089768</v>
      </c>
      <c r="H19" s="130">
        <f>IF(SER_hh_tes!H19=0,0,11630*1000*SER_hh_tes!H19/SER_hh_num!H19)</f>
        <v>26858.610595910734</v>
      </c>
      <c r="I19" s="130">
        <f>IF(SER_hh_tes!I19=0,0,11630*1000*SER_hh_tes!I19/SER_hh_num!I19)</f>
        <v>26525.066248969182</v>
      </c>
      <c r="J19" s="130">
        <f>IF(SER_hh_tes!J19=0,0,11630*1000*SER_hh_tes!J19/SER_hh_num!J19)</f>
        <v>25793.435713686307</v>
      </c>
      <c r="K19" s="130">
        <f>IF(SER_hh_tes!K19=0,0,11630*1000*SER_hh_tes!K19/SER_hh_num!K19)</f>
        <v>26058.549469179419</v>
      </c>
      <c r="L19" s="130">
        <f>IF(SER_hh_tes!L19=0,0,11630*1000*SER_hh_tes!L19/SER_hh_num!L19)</f>
        <v>26930.045017734144</v>
      </c>
      <c r="M19" s="130">
        <f>IF(SER_hh_tes!M19=0,0,11630*1000*SER_hh_tes!M19/SER_hh_num!M19)</f>
        <v>27237.85606447719</v>
      </c>
      <c r="N19" s="130">
        <f>IF(SER_hh_tes!N19=0,0,11630*1000*SER_hh_tes!N19/SER_hh_num!N19)</f>
        <v>26612.231757805741</v>
      </c>
      <c r="O19" s="130">
        <f>IF(SER_hh_tes!O19=0,0,11630*1000*SER_hh_tes!O19/SER_hh_num!O19)</f>
        <v>27057.081532600459</v>
      </c>
      <c r="P19" s="130">
        <f>IF(SER_hh_tes!P19=0,0,11630*1000*SER_hh_tes!P19/SER_hh_num!P19)</f>
        <v>26917.422008879792</v>
      </c>
      <c r="Q19" s="130">
        <f>IF(SER_hh_tes!Q19=0,0,11630*1000*SER_hh_tes!Q19/SER_hh_num!Q19)</f>
        <v>26807.587152267381</v>
      </c>
      <c r="R19" s="130">
        <f>IF(SER_hh_tes!R19=0,0,11630*1000*SER_hh_tes!R19/SER_hh_num!R19)</f>
        <v>26817.962823516507</v>
      </c>
      <c r="S19" s="130">
        <f>IF(SER_hh_tes!S19=0,0,11630*1000*SER_hh_tes!S19/SER_hh_num!S19)</f>
        <v>26645.60260465071</v>
      </c>
      <c r="T19" s="130">
        <f>IF(SER_hh_tes!T19=0,0,11630*1000*SER_hh_tes!T19/SER_hh_num!T19)</f>
        <v>26643.093137992681</v>
      </c>
      <c r="U19" s="130">
        <f>IF(SER_hh_tes!U19=0,0,11630*1000*SER_hh_tes!U19/SER_hh_num!U19)</f>
        <v>26742.484224107808</v>
      </c>
      <c r="V19" s="130">
        <f>IF(SER_hh_tes!V19=0,0,11630*1000*SER_hh_tes!V19/SER_hh_num!V19)</f>
        <v>25631.615952642736</v>
      </c>
      <c r="W19" s="130">
        <f>IF(SER_hh_tes!W19=0,0,11630*1000*SER_hh_tes!W19/SER_hh_num!W19)</f>
        <v>26318.592689061745</v>
      </c>
      <c r="X19" s="130">
        <f>IF(SER_hh_tes!X19=0,0,11630*1000*SER_hh_tes!X19/SER_hh_num!X19)</f>
        <v>26520.579684134504</v>
      </c>
      <c r="Y19" s="130">
        <f>IF(SER_hh_tes!Y19=0,0,11630*1000*SER_hh_tes!Y19/SER_hh_num!Y19)</f>
        <v>27513.378523101706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27340.832244956069</v>
      </c>
      <c r="C21" s="132">
        <f>IF(SER_hh_tes!C21=0,0,11630*1000*SER_hh_tes!C21/SER_hh_num!C21)</f>
        <v>27225.697419604301</v>
      </c>
      <c r="D21" s="132">
        <f>IF(SER_hh_tes!D21=0,0,11630*1000*SER_hh_tes!D21/SER_hh_num!D21)</f>
        <v>27762.083368490825</v>
      </c>
      <c r="E21" s="132">
        <f>IF(SER_hh_tes!E21=0,0,11630*1000*SER_hh_tes!E21/SER_hh_num!E21)</f>
        <v>23928.419394196055</v>
      </c>
      <c r="F21" s="132">
        <f>IF(SER_hh_tes!F21=0,0,11630*1000*SER_hh_tes!F21/SER_hh_num!F21)</f>
        <v>20976.291304254944</v>
      </c>
      <c r="G21" s="132">
        <f>IF(SER_hh_tes!G21=0,0,11630*1000*SER_hh_tes!G21/SER_hh_num!G21)</f>
        <v>17899.116775706807</v>
      </c>
      <c r="H21" s="132">
        <f>IF(SER_hh_tes!H21=0,0,11630*1000*SER_hh_tes!H21/SER_hh_num!H21)</f>
        <v>40552.879121368991</v>
      </c>
      <c r="I21" s="132">
        <f>IF(SER_hh_tes!I21=0,0,11630*1000*SER_hh_tes!I21/SER_hh_num!I21)</f>
        <v>49649.330129835893</v>
      </c>
      <c r="J21" s="132">
        <f>IF(SER_hh_tes!J21=0,0,11630*1000*SER_hh_tes!J21/SER_hh_num!J21)</f>
        <v>45457.471259190337</v>
      </c>
      <c r="K21" s="132">
        <f>IF(SER_hh_tes!K21=0,0,11630*1000*SER_hh_tes!K21/SER_hh_num!K21)</f>
        <v>42317.524312408765</v>
      </c>
      <c r="L21" s="132">
        <f>IF(SER_hh_tes!L21=0,0,11630*1000*SER_hh_tes!L21/SER_hh_num!L21)</f>
        <v>22475.58518197776</v>
      </c>
      <c r="M21" s="132">
        <f>IF(SER_hh_tes!M21=0,0,11630*1000*SER_hh_tes!M21/SER_hh_num!M21)</f>
        <v>26261.629914749159</v>
      </c>
      <c r="N21" s="132">
        <f>IF(SER_hh_tes!N21=0,0,11630*1000*SER_hh_tes!N21/SER_hh_num!N21)</f>
        <v>27534.019658855144</v>
      </c>
      <c r="O21" s="132">
        <f>IF(SER_hh_tes!O21=0,0,11630*1000*SER_hh_tes!O21/SER_hh_num!O21)</f>
        <v>21918.532182937161</v>
      </c>
      <c r="P21" s="132">
        <f>IF(SER_hh_tes!P21=0,0,11630*1000*SER_hh_tes!P21/SER_hh_num!P21)</f>
        <v>23924.589687111406</v>
      </c>
      <c r="Q21" s="132">
        <f>IF(SER_hh_tes!Q21=0,0,11630*1000*SER_hh_tes!Q21/SER_hh_num!Q21)</f>
        <v>25439.193090491346</v>
      </c>
      <c r="R21" s="132">
        <f>IF(SER_hh_tes!R21=0,0,11630*1000*SER_hh_tes!R21/SER_hh_num!R21)</f>
        <v>22215.205613622758</v>
      </c>
      <c r="S21" s="132">
        <f>IF(SER_hh_tes!S21=0,0,11630*1000*SER_hh_tes!S21/SER_hh_num!S21)</f>
        <v>24871.141200733065</v>
      </c>
      <c r="T21" s="132">
        <f>IF(SER_hh_tes!T21=0,0,11630*1000*SER_hh_tes!T21/SER_hh_num!T21)</f>
        <v>29855.708269209652</v>
      </c>
      <c r="U21" s="132">
        <f>IF(SER_hh_tes!U21=0,0,11630*1000*SER_hh_tes!U21/SER_hh_num!U21)</f>
        <v>28918.810174593385</v>
      </c>
      <c r="V21" s="132">
        <f>IF(SER_hh_tes!V21=0,0,11630*1000*SER_hh_tes!V21/SER_hh_num!V21)</f>
        <v>22691.760536715912</v>
      </c>
      <c r="W21" s="132">
        <f>IF(SER_hh_tes!W21=0,0,11630*1000*SER_hh_tes!W21/SER_hh_num!W21)</f>
        <v>25682.53593269167</v>
      </c>
      <c r="X21" s="132">
        <f>IF(SER_hh_tes!X21=0,0,11630*1000*SER_hh_tes!X21/SER_hh_num!X21)</f>
        <v>34774.885919798151</v>
      </c>
      <c r="Y21" s="132">
        <f>IF(SER_hh_tes!Y21=0,0,11630*1000*SER_hh_tes!Y21/SER_hh_num!Y21)</f>
        <v>23986.027810053245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0</v>
      </c>
      <c r="C22" s="132">
        <f>IF(SER_hh_tes!C22=0,0,11630*1000*SER_hh_tes!C22/SER_hh_num!C22)</f>
        <v>0</v>
      </c>
      <c r="D22" s="132">
        <f>IF(SER_hh_tes!D22=0,0,11630*1000*SER_hh_tes!D22/SER_hh_num!D22)</f>
        <v>0</v>
      </c>
      <c r="E22" s="132">
        <f>IF(SER_hh_tes!E22=0,0,11630*1000*SER_hh_tes!E22/SER_hh_num!E22)</f>
        <v>0</v>
      </c>
      <c r="F22" s="132">
        <f>IF(SER_hh_tes!F22=0,0,11630*1000*SER_hh_tes!F22/SER_hh_num!F22)</f>
        <v>0</v>
      </c>
      <c r="G22" s="132">
        <f>IF(SER_hh_tes!G22=0,0,11630*1000*SER_hh_tes!G22/SER_hh_num!G22)</f>
        <v>0</v>
      </c>
      <c r="H22" s="132">
        <f>IF(SER_hh_tes!H22=0,0,11630*1000*SER_hh_tes!H22/SER_hh_num!H22)</f>
        <v>0</v>
      </c>
      <c r="I22" s="132">
        <f>IF(SER_hh_tes!I22=0,0,11630*1000*SER_hh_tes!I22/SER_hh_num!I22)</f>
        <v>0</v>
      </c>
      <c r="J22" s="132">
        <f>IF(SER_hh_tes!J22=0,0,11630*1000*SER_hh_tes!J22/SER_hh_num!J22)</f>
        <v>0</v>
      </c>
      <c r="K22" s="132">
        <f>IF(SER_hh_tes!K22=0,0,11630*1000*SER_hh_tes!K22/SER_hh_num!K22)</f>
        <v>0</v>
      </c>
      <c r="L22" s="132">
        <f>IF(SER_hh_tes!L22=0,0,11630*1000*SER_hh_tes!L22/SER_hh_num!L22)</f>
        <v>0</v>
      </c>
      <c r="M22" s="132">
        <f>IF(SER_hh_tes!M22=0,0,11630*1000*SER_hh_tes!M22/SER_hh_num!M22)</f>
        <v>0</v>
      </c>
      <c r="N22" s="132">
        <f>IF(SER_hh_tes!N22=0,0,11630*1000*SER_hh_tes!N22/SER_hh_num!N22)</f>
        <v>0</v>
      </c>
      <c r="O22" s="132">
        <f>IF(SER_hh_tes!O22=0,0,11630*1000*SER_hh_tes!O22/SER_hh_num!O22)</f>
        <v>0</v>
      </c>
      <c r="P22" s="132">
        <f>IF(SER_hh_tes!P22=0,0,11630*1000*SER_hh_tes!P22/SER_hh_num!P22)</f>
        <v>0</v>
      </c>
      <c r="Q22" s="132">
        <f>IF(SER_hh_tes!Q22=0,0,11630*1000*SER_hh_tes!Q22/SER_hh_num!Q22)</f>
        <v>0</v>
      </c>
      <c r="R22" s="132">
        <f>IF(SER_hh_tes!R22=0,0,11630*1000*SER_hh_tes!R22/SER_hh_num!R22)</f>
        <v>0</v>
      </c>
      <c r="S22" s="132">
        <f>IF(SER_hh_tes!S22=0,0,11630*1000*SER_hh_tes!S22/SER_hh_num!S22)</f>
        <v>0</v>
      </c>
      <c r="T22" s="132">
        <f>IF(SER_hh_tes!T22=0,0,11630*1000*SER_hh_tes!T22/SER_hh_num!T22)</f>
        <v>0</v>
      </c>
      <c r="U22" s="132">
        <f>IF(SER_hh_tes!U22=0,0,11630*1000*SER_hh_tes!U22/SER_hh_num!U22)</f>
        <v>0</v>
      </c>
      <c r="V22" s="132">
        <f>IF(SER_hh_tes!V22=0,0,11630*1000*SER_hh_tes!V22/SER_hh_num!V22)</f>
        <v>0</v>
      </c>
      <c r="W22" s="132">
        <f>IF(SER_hh_tes!W22=0,0,11630*1000*SER_hh_tes!W22/SER_hh_num!W22)</f>
        <v>0</v>
      </c>
      <c r="X22" s="132">
        <f>IF(SER_hh_tes!X22=0,0,11630*1000*SER_hh_tes!X22/SER_hh_num!X22)</f>
        <v>0</v>
      </c>
      <c r="Y22" s="132">
        <f>IF(SER_hh_tes!Y22=0,0,11630*1000*SER_hh_tes!Y22/SER_hh_num!Y22)</f>
        <v>0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0</v>
      </c>
      <c r="C23" s="132">
        <f>IF(SER_hh_tes!C23=0,0,11630*1000*SER_hh_tes!C23/SER_hh_num!C23)</f>
        <v>0</v>
      </c>
      <c r="D23" s="132">
        <f>IF(SER_hh_tes!D23=0,0,11630*1000*SER_hh_tes!D23/SER_hh_num!D23)</f>
        <v>0</v>
      </c>
      <c r="E23" s="132">
        <f>IF(SER_hh_tes!E23=0,0,11630*1000*SER_hh_tes!E23/SER_hh_num!E23)</f>
        <v>0</v>
      </c>
      <c r="F23" s="132">
        <f>IF(SER_hh_tes!F23=0,0,11630*1000*SER_hh_tes!F23/SER_hh_num!F23)</f>
        <v>0</v>
      </c>
      <c r="G23" s="132">
        <f>IF(SER_hh_tes!G23=0,0,11630*1000*SER_hh_tes!G23/SER_hh_num!G23)</f>
        <v>0</v>
      </c>
      <c r="H23" s="132">
        <f>IF(SER_hh_tes!H23=0,0,11630*1000*SER_hh_tes!H23/SER_hh_num!H23)</f>
        <v>0</v>
      </c>
      <c r="I23" s="132">
        <f>IF(SER_hh_tes!I23=0,0,11630*1000*SER_hh_tes!I23/SER_hh_num!I23)</f>
        <v>0</v>
      </c>
      <c r="J23" s="132">
        <f>IF(SER_hh_tes!J23=0,0,11630*1000*SER_hh_tes!J23/SER_hh_num!J23)</f>
        <v>0</v>
      </c>
      <c r="K23" s="132">
        <f>IF(SER_hh_tes!K23=0,0,11630*1000*SER_hh_tes!K23/SER_hh_num!K23)</f>
        <v>0</v>
      </c>
      <c r="L23" s="132">
        <f>IF(SER_hh_tes!L23=0,0,11630*1000*SER_hh_tes!L23/SER_hh_num!L23)</f>
        <v>0</v>
      </c>
      <c r="M23" s="132">
        <f>IF(SER_hh_tes!M23=0,0,11630*1000*SER_hh_tes!M23/SER_hh_num!M23)</f>
        <v>0</v>
      </c>
      <c r="N23" s="132">
        <f>IF(SER_hh_tes!N23=0,0,11630*1000*SER_hh_tes!N23/SER_hh_num!N23)</f>
        <v>0</v>
      </c>
      <c r="O23" s="132">
        <f>IF(SER_hh_tes!O23=0,0,11630*1000*SER_hh_tes!O23/SER_hh_num!O23)</f>
        <v>0</v>
      </c>
      <c r="P23" s="132">
        <f>IF(SER_hh_tes!P23=0,0,11630*1000*SER_hh_tes!P23/SER_hh_num!P23)</f>
        <v>0</v>
      </c>
      <c r="Q23" s="132">
        <f>IF(SER_hh_tes!Q23=0,0,11630*1000*SER_hh_tes!Q23/SER_hh_num!Q23)</f>
        <v>0</v>
      </c>
      <c r="R23" s="132">
        <f>IF(SER_hh_tes!R23=0,0,11630*1000*SER_hh_tes!R23/SER_hh_num!R23)</f>
        <v>0</v>
      </c>
      <c r="S23" s="132">
        <f>IF(SER_hh_tes!S23=0,0,11630*1000*SER_hh_tes!S23/SER_hh_num!S23)</f>
        <v>0</v>
      </c>
      <c r="T23" s="132">
        <f>IF(SER_hh_tes!T23=0,0,11630*1000*SER_hh_tes!T23/SER_hh_num!T23)</f>
        <v>0</v>
      </c>
      <c r="U23" s="132">
        <f>IF(SER_hh_tes!U23=0,0,11630*1000*SER_hh_tes!U23/SER_hh_num!U23)</f>
        <v>0</v>
      </c>
      <c r="V23" s="132">
        <f>IF(SER_hh_tes!V23=0,0,11630*1000*SER_hh_tes!V23/SER_hh_num!V23)</f>
        <v>0</v>
      </c>
      <c r="W23" s="132">
        <f>IF(SER_hh_tes!W23=0,0,11630*1000*SER_hh_tes!W23/SER_hh_num!W23)</f>
        <v>0</v>
      </c>
      <c r="X23" s="132">
        <f>IF(SER_hh_tes!X23=0,0,11630*1000*SER_hh_tes!X23/SER_hh_num!X23)</f>
        <v>0</v>
      </c>
      <c r="Y23" s="132">
        <f>IF(SER_hh_tes!Y23=0,0,11630*1000*SER_hh_tes!Y23/SER_hh_num!Y23)</f>
        <v>0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0</v>
      </c>
      <c r="C25" s="132">
        <f>IF(SER_hh_tes!C25=0,0,11630*1000*SER_hh_tes!C25/SER_hh_num!C25)</f>
        <v>0</v>
      </c>
      <c r="D25" s="132">
        <f>IF(SER_hh_tes!D25=0,0,11630*1000*SER_hh_tes!D25/SER_hh_num!D25)</f>
        <v>0</v>
      </c>
      <c r="E25" s="132">
        <f>IF(SER_hh_tes!E25=0,0,11630*1000*SER_hh_tes!E25/SER_hh_num!E25)</f>
        <v>0</v>
      </c>
      <c r="F25" s="132">
        <f>IF(SER_hh_tes!F25=0,0,11630*1000*SER_hh_tes!F25/SER_hh_num!F25)</f>
        <v>0</v>
      </c>
      <c r="G25" s="132">
        <f>IF(SER_hh_tes!G25=0,0,11630*1000*SER_hh_tes!G25/SER_hh_num!G25)</f>
        <v>0</v>
      </c>
      <c r="H25" s="132">
        <f>IF(SER_hh_tes!H25=0,0,11630*1000*SER_hh_tes!H25/SER_hh_num!H25)</f>
        <v>0</v>
      </c>
      <c r="I25" s="132">
        <f>IF(SER_hh_tes!I25=0,0,11630*1000*SER_hh_tes!I25/SER_hh_num!I25)</f>
        <v>0</v>
      </c>
      <c r="J25" s="132">
        <f>IF(SER_hh_tes!J25=0,0,11630*1000*SER_hh_tes!J25/SER_hh_num!J25)</f>
        <v>0</v>
      </c>
      <c r="K25" s="132">
        <f>IF(SER_hh_tes!K25=0,0,11630*1000*SER_hh_tes!K25/SER_hh_num!K25)</f>
        <v>0</v>
      </c>
      <c r="L25" s="132">
        <f>IF(SER_hh_tes!L25=0,0,11630*1000*SER_hh_tes!L25/SER_hh_num!L25)</f>
        <v>0</v>
      </c>
      <c r="M25" s="132">
        <f>IF(SER_hh_tes!M25=0,0,11630*1000*SER_hh_tes!M25/SER_hh_num!M25)</f>
        <v>39447.787508038811</v>
      </c>
      <c r="N25" s="132">
        <f>IF(SER_hh_tes!N25=0,0,11630*1000*SER_hh_tes!N25/SER_hh_num!N25)</f>
        <v>28491.29537383101</v>
      </c>
      <c r="O25" s="132">
        <f>IF(SER_hh_tes!O25=0,0,11630*1000*SER_hh_tes!O25/SER_hh_num!O25)</f>
        <v>28654.346237531099</v>
      </c>
      <c r="P25" s="132">
        <f>IF(SER_hh_tes!P25=0,0,11630*1000*SER_hh_tes!P25/SER_hh_num!P25)</f>
        <v>26288.164453493839</v>
      </c>
      <c r="Q25" s="132">
        <f>IF(SER_hh_tes!Q25=0,0,11630*1000*SER_hh_tes!Q25/SER_hh_num!Q25)</f>
        <v>29358.56870132891</v>
      </c>
      <c r="R25" s="132">
        <f>IF(SER_hh_tes!R25=0,0,11630*1000*SER_hh_tes!R25/SER_hh_num!R25)</f>
        <v>29848.790315137489</v>
      </c>
      <c r="S25" s="132">
        <f>IF(SER_hh_tes!S25=0,0,11630*1000*SER_hh_tes!S25/SER_hh_num!S25)</f>
        <v>20191.533462166972</v>
      </c>
      <c r="T25" s="132">
        <f>IF(SER_hh_tes!T25=0,0,11630*1000*SER_hh_tes!T25/SER_hh_num!T25)</f>
        <v>25740.314819526935</v>
      </c>
      <c r="U25" s="132">
        <f>IF(SER_hh_tes!U25=0,0,11630*1000*SER_hh_tes!U25/SER_hh_num!U25)</f>
        <v>38371.350291663839</v>
      </c>
      <c r="V25" s="132">
        <f>IF(SER_hh_tes!V25=0,0,11630*1000*SER_hh_tes!V25/SER_hh_num!V25)</f>
        <v>0</v>
      </c>
      <c r="W25" s="132">
        <f>IF(SER_hh_tes!W25=0,0,11630*1000*SER_hh_tes!W25/SER_hh_num!W25)</f>
        <v>0</v>
      </c>
      <c r="X25" s="132">
        <f>IF(SER_hh_tes!X25=0,0,11630*1000*SER_hh_tes!X25/SER_hh_num!X25)</f>
        <v>0</v>
      </c>
      <c r="Y25" s="132">
        <f>IF(SER_hh_tes!Y25=0,0,11630*1000*SER_hh_tes!Y25/SER_hh_num!Y25)</f>
        <v>0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26888.16423194046</v>
      </c>
      <c r="C26" s="65">
        <f>IF(SER_hh_tes!C26=0,0,11630*1000*SER_hh_tes!C26/SER_hh_num!C26)</f>
        <v>25722.367136307352</v>
      </c>
      <c r="D26" s="65">
        <f>IF(SER_hh_tes!D26=0,0,11630*1000*SER_hh_tes!D26/SER_hh_num!D26)</f>
        <v>26412.302588459755</v>
      </c>
      <c r="E26" s="65">
        <f>IF(SER_hh_tes!E26=0,0,11630*1000*SER_hh_tes!E26/SER_hh_num!E26)</f>
        <v>26849.08118403556</v>
      </c>
      <c r="F26" s="65">
        <f>IF(SER_hh_tes!F26=0,0,11630*1000*SER_hh_tes!F26/SER_hh_num!F26)</f>
        <v>27776.126659500242</v>
      </c>
      <c r="G26" s="65">
        <f>IF(SER_hh_tes!G26=0,0,11630*1000*SER_hh_tes!G26/SER_hh_num!G26)</f>
        <v>27637.687345548697</v>
      </c>
      <c r="H26" s="65">
        <f>IF(SER_hh_tes!H26=0,0,11630*1000*SER_hh_tes!H26/SER_hh_num!H26)</f>
        <v>25525.055479484032</v>
      </c>
      <c r="I26" s="65">
        <f>IF(SER_hh_tes!I26=0,0,11630*1000*SER_hh_tes!I26/SER_hh_num!I26)</f>
        <v>24284.061721136724</v>
      </c>
      <c r="J26" s="65">
        <f>IF(SER_hh_tes!J26=0,0,11630*1000*SER_hh_tes!J26/SER_hh_num!J26)</f>
        <v>23946.56882385636</v>
      </c>
      <c r="K26" s="65">
        <f>IF(SER_hh_tes!K26=0,0,11630*1000*SER_hh_tes!K26/SER_hh_num!K26)</f>
        <v>24542.78854074586</v>
      </c>
      <c r="L26" s="65">
        <f>IF(SER_hh_tes!L26=0,0,11630*1000*SER_hh_tes!L26/SER_hh_num!L26)</f>
        <v>27304.241474839699</v>
      </c>
      <c r="M26" s="65">
        <f>IF(SER_hh_tes!M26=0,0,11630*1000*SER_hh_tes!M26/SER_hh_num!M26)</f>
        <v>27297.451253226209</v>
      </c>
      <c r="N26" s="65">
        <f>IF(SER_hh_tes!N26=0,0,11630*1000*SER_hh_tes!N26/SER_hh_num!N26)</f>
        <v>26572.970304436611</v>
      </c>
      <c r="O26" s="65">
        <f>IF(SER_hh_tes!O26=0,0,11630*1000*SER_hh_tes!O26/SER_hh_num!O26)</f>
        <v>27202.658797714452</v>
      </c>
      <c r="P26" s="65">
        <f>IF(SER_hh_tes!P26=0,0,11630*1000*SER_hh_tes!P26/SER_hh_num!P26)</f>
        <v>26976.888981699467</v>
      </c>
      <c r="Q26" s="65">
        <f>IF(SER_hh_tes!Q26=0,0,11630*1000*SER_hh_tes!Q26/SER_hh_num!Q26)</f>
        <v>26828.119433904925</v>
      </c>
      <c r="R26" s="65">
        <f>IF(SER_hh_tes!R26=0,0,11630*1000*SER_hh_tes!R26/SER_hh_num!R26)</f>
        <v>26884.283651035803</v>
      </c>
      <c r="S26" s="65">
        <f>IF(SER_hh_tes!S26=0,0,11630*1000*SER_hh_tes!S26/SER_hh_num!S26)</f>
        <v>26675.00984588846</v>
      </c>
      <c r="T26" s="65">
        <f>IF(SER_hh_tes!T26=0,0,11630*1000*SER_hh_tes!T26/SER_hh_num!T26)</f>
        <v>26585.095036935054</v>
      </c>
      <c r="U26" s="65">
        <f>IF(SER_hh_tes!U26=0,0,11630*1000*SER_hh_tes!U26/SER_hh_num!U26)</f>
        <v>26700.633527276259</v>
      </c>
      <c r="V26" s="65">
        <f>IF(SER_hh_tes!V26=0,0,11630*1000*SER_hh_tes!V26/SER_hh_num!V26)</f>
        <v>25686.522540298374</v>
      </c>
      <c r="W26" s="65">
        <f>IF(SER_hh_tes!W26=0,0,11630*1000*SER_hh_tes!W26/SER_hh_num!W26)</f>
        <v>26330.573015355199</v>
      </c>
      <c r="X26" s="65">
        <f>IF(SER_hh_tes!X26=0,0,11630*1000*SER_hh_tes!X26/SER_hh_num!X26)</f>
        <v>26376.532830416349</v>
      </c>
      <c r="Y26" s="65">
        <f>IF(SER_hh_tes!Y26=0,0,11630*1000*SER_hh_tes!Y26/SER_hh_num!Y26)</f>
        <v>27576.172015461296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0</v>
      </c>
      <c r="H27" s="145">
        <f>IF(SER_hh_tes!H27=0,0,11630*1000*SER_hh_tes!H27/SER_hh_num!H19)</f>
        <v>0</v>
      </c>
      <c r="I27" s="145">
        <f>IF(SER_hh_tes!I27=0,0,11630*1000*SER_hh_tes!I27/SER_hh_num!I19)</f>
        <v>0</v>
      </c>
      <c r="J27" s="145">
        <f>IF(SER_hh_tes!J27=0,0,11630*1000*SER_hh_tes!J27/SER_hh_num!J19)</f>
        <v>0</v>
      </c>
      <c r="K27" s="145">
        <f>IF(SER_hh_tes!K27=0,0,11630*1000*SER_hh_tes!K27/SER_hh_num!K19)</f>
        <v>0</v>
      </c>
      <c r="L27" s="145">
        <f>IF(SER_hh_tes!L27=0,0,11630*1000*SER_hh_tes!L27/SER_hh_num!L19)</f>
        <v>0</v>
      </c>
      <c r="M27" s="145">
        <f>IF(SER_hh_tes!M27=0,0,11630*1000*SER_hh_tes!M27/SER_hh_num!M19)</f>
        <v>0</v>
      </c>
      <c r="N27" s="145">
        <f>IF(SER_hh_tes!N27=0,0,11630*1000*SER_hh_tes!N27/SER_hh_num!N19)</f>
        <v>0</v>
      </c>
      <c r="O27" s="145">
        <f>IF(SER_hh_tes!O27=0,0,11630*1000*SER_hh_tes!O27/SER_hh_num!O19)</f>
        <v>0</v>
      </c>
      <c r="P27" s="145">
        <f>IF(SER_hh_tes!P27=0,0,11630*1000*SER_hh_tes!P27/SER_hh_num!P19)</f>
        <v>0</v>
      </c>
      <c r="Q27" s="145">
        <f>IF(SER_hh_tes!Q27=0,0,11630*1000*SER_hh_tes!Q27/SER_hh_num!Q19)</f>
        <v>0</v>
      </c>
      <c r="R27" s="145">
        <f>IF(SER_hh_tes!R27=0,0,11630*1000*SER_hh_tes!R27/SER_hh_num!R19)</f>
        <v>0</v>
      </c>
      <c r="S27" s="145">
        <f>IF(SER_hh_tes!S27=0,0,11630*1000*SER_hh_tes!S27/SER_hh_num!S19)</f>
        <v>0</v>
      </c>
      <c r="T27" s="145">
        <f>IF(SER_hh_tes!T27=0,0,11630*1000*SER_hh_tes!T27/SER_hh_num!T19)</f>
        <v>0</v>
      </c>
      <c r="U27" s="145">
        <f>IF(SER_hh_tes!U27=0,0,11630*1000*SER_hh_tes!U27/SER_hh_num!U19)</f>
        <v>0</v>
      </c>
      <c r="V27" s="145">
        <f>IF(SER_hh_tes!V27=0,0,11630*1000*SER_hh_tes!V27/SER_hh_num!V19)</f>
        <v>0</v>
      </c>
      <c r="W27" s="145">
        <f>IF(SER_hh_tes!W27=0,0,11630*1000*SER_hh_tes!W27/SER_hh_num!W19)</f>
        <v>0</v>
      </c>
      <c r="X27" s="145">
        <f>IF(SER_hh_tes!X27=0,0,11630*1000*SER_hh_tes!X27/SER_hh_num!X19)</f>
        <v>0</v>
      </c>
      <c r="Y27" s="145">
        <f>IF(SER_hh_tes!Y27=0,0,11630*1000*SER_hh_tes!Y27/SER_hh_num!Y19)</f>
        <v>0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0</v>
      </c>
      <c r="H28" s="146">
        <f>IF(SER_hh_tes!H27=0,0,11630*1000*SER_hh_tes!H27/SER_hh_num!H27)</f>
        <v>0</v>
      </c>
      <c r="I28" s="146">
        <f>IF(SER_hh_tes!I27=0,0,11630*1000*SER_hh_tes!I27/SER_hh_num!I27)</f>
        <v>0</v>
      </c>
      <c r="J28" s="146">
        <f>IF(SER_hh_tes!J27=0,0,11630*1000*SER_hh_tes!J27/SER_hh_num!J27)</f>
        <v>0</v>
      </c>
      <c r="K28" s="146">
        <f>IF(SER_hh_tes!K27=0,0,11630*1000*SER_hh_tes!K27/SER_hh_num!K27)</f>
        <v>0</v>
      </c>
      <c r="L28" s="146">
        <f>IF(SER_hh_tes!L27=0,0,11630*1000*SER_hh_tes!L27/SER_hh_num!L27)</f>
        <v>0</v>
      </c>
      <c r="M28" s="146">
        <f>IF(SER_hh_tes!M27=0,0,11630*1000*SER_hh_tes!M27/SER_hh_num!M27)</f>
        <v>0</v>
      </c>
      <c r="N28" s="146">
        <f>IF(SER_hh_tes!N27=0,0,11630*1000*SER_hh_tes!N27/SER_hh_num!N27)</f>
        <v>0</v>
      </c>
      <c r="O28" s="146">
        <f>IF(SER_hh_tes!O27=0,0,11630*1000*SER_hh_tes!O27/SER_hh_num!O27)</f>
        <v>0</v>
      </c>
      <c r="P28" s="146">
        <f>IF(SER_hh_tes!P27=0,0,11630*1000*SER_hh_tes!P27/SER_hh_num!P27)</f>
        <v>0</v>
      </c>
      <c r="Q28" s="146">
        <f>IF(SER_hh_tes!Q27=0,0,11630*1000*SER_hh_tes!Q27/SER_hh_num!Q27)</f>
        <v>0</v>
      </c>
      <c r="R28" s="146">
        <f>IF(SER_hh_tes!R27=0,0,11630*1000*SER_hh_tes!R27/SER_hh_num!R27)</f>
        <v>0</v>
      </c>
      <c r="S28" s="146">
        <f>IF(SER_hh_tes!S27=0,0,11630*1000*SER_hh_tes!S27/SER_hh_num!S27)</f>
        <v>0</v>
      </c>
      <c r="T28" s="146">
        <f>IF(SER_hh_tes!T27=0,0,11630*1000*SER_hh_tes!T27/SER_hh_num!T27)</f>
        <v>0</v>
      </c>
      <c r="U28" s="146">
        <f>IF(SER_hh_tes!U27=0,0,11630*1000*SER_hh_tes!U27/SER_hh_num!U27)</f>
        <v>0</v>
      </c>
      <c r="V28" s="146">
        <f>IF(SER_hh_tes!V27=0,0,11630*1000*SER_hh_tes!V27/SER_hh_num!V27)</f>
        <v>0</v>
      </c>
      <c r="W28" s="146">
        <f>IF(SER_hh_tes!W27=0,0,11630*1000*SER_hh_tes!W27/SER_hh_num!W27)</f>
        <v>0</v>
      </c>
      <c r="X28" s="146">
        <f>IF(SER_hh_tes!X27=0,0,11630*1000*SER_hh_tes!X27/SER_hh_num!X27)</f>
        <v>0</v>
      </c>
      <c r="Y28" s="146">
        <f>IF(SER_hh_tes!Y27=0,0,11630*1000*SER_hh_tes!Y27/SER_hh_num!Y27)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41767.929685796851</v>
      </c>
      <c r="C29" s="130">
        <f>IF(SER_hh_tes!C29=0,0,11630*1000*SER_hh_tes!C29/SER_hh_num!C29)</f>
        <v>41774.173499286728</v>
      </c>
      <c r="D29" s="130">
        <f>IF(SER_hh_tes!D29=0,0,11630*1000*SER_hh_tes!D29/SER_hh_num!D29)</f>
        <v>42901.672117821763</v>
      </c>
      <c r="E29" s="130">
        <f>IF(SER_hh_tes!E29=0,0,11630*1000*SER_hh_tes!E29/SER_hh_num!E29)</f>
        <v>44051.968034176156</v>
      </c>
      <c r="F29" s="130">
        <f>IF(SER_hh_tes!F29=0,0,11630*1000*SER_hh_tes!F29/SER_hh_num!F29)</f>
        <v>45058.423596253713</v>
      </c>
      <c r="G29" s="130">
        <f>IF(SER_hh_tes!G29=0,0,11630*1000*SER_hh_tes!G29/SER_hh_num!G29)</f>
        <v>43773.796785340128</v>
      </c>
      <c r="H29" s="130">
        <f>IF(SER_hh_tes!H29=0,0,11630*1000*SER_hh_tes!H29/SER_hh_num!H29)</f>
        <v>43576.111833201139</v>
      </c>
      <c r="I29" s="130">
        <f>IF(SER_hh_tes!I29=0,0,11630*1000*SER_hh_tes!I29/SER_hh_num!I29)</f>
        <v>43054.718764881174</v>
      </c>
      <c r="J29" s="130">
        <f>IF(SER_hh_tes!J29=0,0,11630*1000*SER_hh_tes!J29/SER_hh_num!J29)</f>
        <v>41717.945866268536</v>
      </c>
      <c r="K29" s="130">
        <f>IF(SER_hh_tes!K29=0,0,11630*1000*SER_hh_tes!K29/SER_hh_num!K29)</f>
        <v>42122.631442061705</v>
      </c>
      <c r="L29" s="130">
        <f>IF(SER_hh_tes!L29=0,0,11630*1000*SER_hh_tes!L29/SER_hh_num!L29)</f>
        <v>42875.604599366627</v>
      </c>
      <c r="M29" s="130">
        <f>IF(SER_hh_tes!M29=0,0,11630*1000*SER_hh_tes!M29/SER_hh_num!M29)</f>
        <v>42909.168890203771</v>
      </c>
      <c r="N29" s="130">
        <f>IF(SER_hh_tes!N29=0,0,11630*1000*SER_hh_tes!N29/SER_hh_num!N29)</f>
        <v>42164.464147062623</v>
      </c>
      <c r="O29" s="130">
        <f>IF(SER_hh_tes!O29=0,0,11630*1000*SER_hh_tes!O29/SER_hh_num!O29)</f>
        <v>41917.904554345056</v>
      </c>
      <c r="P29" s="130">
        <f>IF(SER_hh_tes!P29=0,0,11630*1000*SER_hh_tes!P29/SER_hh_num!P29)</f>
        <v>42291.319610894672</v>
      </c>
      <c r="Q29" s="130">
        <f>IF(SER_hh_tes!Q29=0,0,11630*1000*SER_hh_tes!Q29/SER_hh_num!Q29)</f>
        <v>42311.823097298809</v>
      </c>
      <c r="R29" s="130">
        <f>IF(SER_hh_tes!R29=0,0,11630*1000*SER_hh_tes!R29/SER_hh_num!R29)</f>
        <v>42495.321205151929</v>
      </c>
      <c r="S29" s="130">
        <f>IF(SER_hh_tes!S29=0,0,11630*1000*SER_hh_tes!S29/SER_hh_num!S29)</f>
        <v>41958.535368561483</v>
      </c>
      <c r="T29" s="130">
        <f>IF(SER_hh_tes!T29=0,0,11630*1000*SER_hh_tes!T29/SER_hh_num!T29)</f>
        <v>42267.623341358798</v>
      </c>
      <c r="U29" s="130">
        <f>IF(SER_hh_tes!U29=0,0,11630*1000*SER_hh_tes!U29/SER_hh_num!U29)</f>
        <v>42573.981260190216</v>
      </c>
      <c r="V29" s="130">
        <f>IF(SER_hh_tes!V29=0,0,11630*1000*SER_hh_tes!V29/SER_hh_num!V29)</f>
        <v>39440.459461024853</v>
      </c>
      <c r="W29" s="130">
        <f>IF(SER_hh_tes!W29=0,0,11630*1000*SER_hh_tes!W29/SER_hh_num!W29)</f>
        <v>40851.821956610162</v>
      </c>
      <c r="X29" s="130">
        <f>IF(SER_hh_tes!X29=0,0,11630*1000*SER_hh_tes!X29/SER_hh_num!X29)</f>
        <v>41409.145101410526</v>
      </c>
      <c r="Y29" s="130">
        <f>IF(SER_hh_tes!Y29=0,0,11630*1000*SER_hh_tes!Y29/SER_hh_num!Y29)</f>
        <v>42648.847674671895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42105.183014713999</v>
      </c>
      <c r="C30" s="132">
        <f>IF(SER_hh_tes!C30=0,0,11630*1000*SER_hh_tes!C30/SER_hh_num!C30)</f>
        <v>39302.145573360976</v>
      </c>
      <c r="D30" s="132">
        <f>IF(SER_hh_tes!D30=0,0,11630*1000*SER_hh_tes!D30/SER_hh_num!D30)</f>
        <v>46447.300094304286</v>
      </c>
      <c r="E30" s="132">
        <f>IF(SER_hh_tes!E30=0,0,11630*1000*SER_hh_tes!E30/SER_hh_num!E30)</f>
        <v>44599.405649344117</v>
      </c>
      <c r="F30" s="132">
        <f>IF(SER_hh_tes!F30=0,0,11630*1000*SER_hh_tes!F30/SER_hh_num!F30)</f>
        <v>38902.684603647394</v>
      </c>
      <c r="G30" s="132">
        <f>IF(SER_hh_tes!G30=0,0,11630*1000*SER_hh_tes!G30/SER_hh_num!G30)</f>
        <v>34103.169053025864</v>
      </c>
      <c r="H30" s="132">
        <f>IF(SER_hh_tes!H30=0,0,11630*1000*SER_hh_tes!H30/SER_hh_num!H30)</f>
        <v>43640.035122045309</v>
      </c>
      <c r="I30" s="132">
        <f>IF(SER_hh_tes!I30=0,0,11630*1000*SER_hh_tes!I30/SER_hh_num!I30)</f>
        <v>37771.069115082093</v>
      </c>
      <c r="J30" s="132">
        <f>IF(SER_hh_tes!J30=0,0,11630*1000*SER_hh_tes!J30/SER_hh_num!J30)</f>
        <v>41726.500603876164</v>
      </c>
      <c r="K30" s="132">
        <f>IF(SER_hh_tes!K30=0,0,11630*1000*SER_hh_tes!K30/SER_hh_num!K30)</f>
        <v>51605.138631289898</v>
      </c>
      <c r="L30" s="132">
        <f>IF(SER_hh_tes!L30=0,0,11630*1000*SER_hh_tes!L30/SER_hh_num!L30)</f>
        <v>39127.974227888648</v>
      </c>
      <c r="M30" s="132">
        <f>IF(SER_hh_tes!M30=0,0,11630*1000*SER_hh_tes!M30/SER_hh_num!M30)</f>
        <v>43917.973649491498</v>
      </c>
      <c r="N30" s="132">
        <f>IF(SER_hh_tes!N30=0,0,11630*1000*SER_hh_tes!N30/SER_hh_num!N30)</f>
        <v>42481.638753605897</v>
      </c>
      <c r="O30" s="132">
        <f>IF(SER_hh_tes!O30=0,0,11630*1000*SER_hh_tes!O30/SER_hh_num!O30)</f>
        <v>41208.666992622559</v>
      </c>
      <c r="P30" s="132">
        <f>IF(SER_hh_tes!P30=0,0,11630*1000*SER_hh_tes!P30/SER_hh_num!P30)</f>
        <v>40809.083166078482</v>
      </c>
      <c r="Q30" s="132">
        <f>IF(SER_hh_tes!Q30=0,0,11630*1000*SER_hh_tes!Q30/SER_hh_num!Q30)</f>
        <v>45141.516129462085</v>
      </c>
      <c r="R30" s="132">
        <f>IF(SER_hh_tes!R30=0,0,11630*1000*SER_hh_tes!R30/SER_hh_num!R30)</f>
        <v>36914.313044270559</v>
      </c>
      <c r="S30" s="132">
        <f>IF(SER_hh_tes!S30=0,0,11630*1000*SER_hh_tes!S30/SER_hh_num!S30)</f>
        <v>39922.738894351416</v>
      </c>
      <c r="T30" s="132">
        <f>IF(SER_hh_tes!T30=0,0,11630*1000*SER_hh_tes!T30/SER_hh_num!T30)</f>
        <v>46873.928395041243</v>
      </c>
      <c r="U30" s="132">
        <f>IF(SER_hh_tes!U30=0,0,11630*1000*SER_hh_tes!U30/SER_hh_num!U30)</f>
        <v>48110.25996893338</v>
      </c>
      <c r="V30" s="132">
        <f>IF(SER_hh_tes!V30=0,0,11630*1000*SER_hh_tes!V30/SER_hh_num!V30)</f>
        <v>31028.830621751633</v>
      </c>
      <c r="W30" s="132">
        <f>IF(SER_hh_tes!W30=0,0,11630*1000*SER_hh_tes!W30/SER_hh_num!W30)</f>
        <v>33304.157368784552</v>
      </c>
      <c r="X30" s="132">
        <f>IF(SER_hh_tes!X30=0,0,11630*1000*SER_hh_tes!X30/SER_hh_num!X30)</f>
        <v>40665.831520216787</v>
      </c>
      <c r="Y30" s="132">
        <f>IF(SER_hh_tes!Y30=0,0,11630*1000*SER_hh_tes!Y30/SER_hh_num!Y30)</f>
        <v>44349.540833343781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0</v>
      </c>
      <c r="C31" s="132">
        <f>IF(SER_hh_tes!C31=0,0,11630*1000*SER_hh_tes!C31/SER_hh_num!C31)</f>
        <v>0</v>
      </c>
      <c r="D31" s="132">
        <f>IF(SER_hh_tes!D31=0,0,11630*1000*SER_hh_tes!D31/SER_hh_num!D31)</f>
        <v>0</v>
      </c>
      <c r="E31" s="132">
        <f>IF(SER_hh_tes!E31=0,0,11630*1000*SER_hh_tes!E31/SER_hh_num!E31)</f>
        <v>0</v>
      </c>
      <c r="F31" s="132">
        <f>IF(SER_hh_tes!F31=0,0,11630*1000*SER_hh_tes!F31/SER_hh_num!F31)</f>
        <v>0</v>
      </c>
      <c r="G31" s="132">
        <f>IF(SER_hh_tes!G31=0,0,11630*1000*SER_hh_tes!G31/SER_hh_num!G31)</f>
        <v>0</v>
      </c>
      <c r="H31" s="132">
        <f>IF(SER_hh_tes!H31=0,0,11630*1000*SER_hh_tes!H31/SER_hh_num!H31)</f>
        <v>0</v>
      </c>
      <c r="I31" s="132">
        <f>IF(SER_hh_tes!I31=0,0,11630*1000*SER_hh_tes!I31/SER_hh_num!I31)</f>
        <v>0</v>
      </c>
      <c r="J31" s="132">
        <f>IF(SER_hh_tes!J31=0,0,11630*1000*SER_hh_tes!J31/SER_hh_num!J31)</f>
        <v>0</v>
      </c>
      <c r="K31" s="132">
        <f>IF(SER_hh_tes!K31=0,0,11630*1000*SER_hh_tes!K31/SER_hh_num!K31)</f>
        <v>0</v>
      </c>
      <c r="L31" s="132">
        <f>IF(SER_hh_tes!L31=0,0,11630*1000*SER_hh_tes!L31/SER_hh_num!L31)</f>
        <v>0</v>
      </c>
      <c r="M31" s="132">
        <f>IF(SER_hh_tes!M31=0,0,11630*1000*SER_hh_tes!M31/SER_hh_num!M31)</f>
        <v>0</v>
      </c>
      <c r="N31" s="132">
        <f>IF(SER_hh_tes!N31=0,0,11630*1000*SER_hh_tes!N31/SER_hh_num!N31)</f>
        <v>0</v>
      </c>
      <c r="O31" s="132">
        <f>IF(SER_hh_tes!O31=0,0,11630*1000*SER_hh_tes!O31/SER_hh_num!O31)</f>
        <v>0</v>
      </c>
      <c r="P31" s="132">
        <f>IF(SER_hh_tes!P31=0,0,11630*1000*SER_hh_tes!P31/SER_hh_num!P31)</f>
        <v>0</v>
      </c>
      <c r="Q31" s="132">
        <f>IF(SER_hh_tes!Q31=0,0,11630*1000*SER_hh_tes!Q31/SER_hh_num!Q31)</f>
        <v>0</v>
      </c>
      <c r="R31" s="132">
        <f>IF(SER_hh_tes!R31=0,0,11630*1000*SER_hh_tes!R31/SER_hh_num!R31)</f>
        <v>0</v>
      </c>
      <c r="S31" s="132">
        <f>IF(SER_hh_tes!S31=0,0,11630*1000*SER_hh_tes!S31/SER_hh_num!S31)</f>
        <v>0</v>
      </c>
      <c r="T31" s="132">
        <f>IF(SER_hh_tes!T31=0,0,11630*1000*SER_hh_tes!T31/SER_hh_num!T31)</f>
        <v>0</v>
      </c>
      <c r="U31" s="132">
        <f>IF(SER_hh_tes!U31=0,0,11630*1000*SER_hh_tes!U31/SER_hh_num!U31)</f>
        <v>0</v>
      </c>
      <c r="V31" s="132">
        <f>IF(SER_hh_tes!V31=0,0,11630*1000*SER_hh_tes!V31/SER_hh_num!V31)</f>
        <v>0</v>
      </c>
      <c r="W31" s="132">
        <f>IF(SER_hh_tes!W31=0,0,11630*1000*SER_hh_tes!W31/SER_hh_num!W31)</f>
        <v>0</v>
      </c>
      <c r="X31" s="132">
        <f>IF(SER_hh_tes!X31=0,0,11630*1000*SER_hh_tes!X31/SER_hh_num!X31)</f>
        <v>0</v>
      </c>
      <c r="Y31" s="132">
        <f>IF(SER_hh_tes!Y31=0,0,11630*1000*SER_hh_tes!Y31/SER_hh_num!Y31)</f>
        <v>0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41747.856504220588</v>
      </c>
      <c r="C33" s="68">
        <f>IF(SER_hh_tes!C33=0,0,11630*1000*SER_hh_tes!C33/SER_hh_num!C33)</f>
        <v>41921.016868176623</v>
      </c>
      <c r="D33" s="68">
        <f>IF(SER_hh_tes!D33=0,0,11630*1000*SER_hh_tes!D33/SER_hh_num!D33)</f>
        <v>42681.787635701781</v>
      </c>
      <c r="E33" s="68">
        <f>IF(SER_hh_tes!E33=0,0,11630*1000*SER_hh_tes!E33/SER_hh_num!E33)</f>
        <v>44018.116113444659</v>
      </c>
      <c r="F33" s="68">
        <f>IF(SER_hh_tes!F33=0,0,11630*1000*SER_hh_tes!F33/SER_hh_num!F33)</f>
        <v>45473.422409701278</v>
      </c>
      <c r="G33" s="68">
        <f>IF(SER_hh_tes!G33=0,0,11630*1000*SER_hh_tes!G33/SER_hh_num!G33)</f>
        <v>44555.572086440705</v>
      </c>
      <c r="H33" s="68">
        <f>IF(SER_hh_tes!H33=0,0,11630*1000*SER_hh_tes!H33/SER_hh_num!H33)</f>
        <v>43568.585951993307</v>
      </c>
      <c r="I33" s="68">
        <f>IF(SER_hh_tes!I33=0,0,11630*1000*SER_hh_tes!I33/SER_hh_num!I33)</f>
        <v>43957.473843571679</v>
      </c>
      <c r="J33" s="68">
        <f>IF(SER_hh_tes!J33=0,0,11630*1000*SER_hh_tes!J33/SER_hh_num!J33)</f>
        <v>41716.013538983992</v>
      </c>
      <c r="K33" s="68">
        <f>IF(SER_hh_tes!K33=0,0,11630*1000*SER_hh_tes!K33/SER_hh_num!K33)</f>
        <v>39364.023470615088</v>
      </c>
      <c r="L33" s="68">
        <f>IF(SER_hh_tes!L33=0,0,11630*1000*SER_hh_tes!L33/SER_hh_num!L33)</f>
        <v>43975.797009239956</v>
      </c>
      <c r="M33" s="68">
        <f>IF(SER_hh_tes!M33=0,0,11630*1000*SER_hh_tes!M33/SER_hh_num!M33)</f>
        <v>42608.296908936187</v>
      </c>
      <c r="N33" s="68">
        <f>IF(SER_hh_tes!N33=0,0,11630*1000*SER_hh_tes!N33/SER_hh_num!N33)</f>
        <v>42076.118683729095</v>
      </c>
      <c r="O33" s="68">
        <f>IF(SER_hh_tes!O33=0,0,11630*1000*SER_hh_tes!O33/SER_hh_num!O33)</f>
        <v>42115.181952579558</v>
      </c>
      <c r="P33" s="68">
        <f>IF(SER_hh_tes!P33=0,0,11630*1000*SER_hh_tes!P33/SER_hh_num!P33)</f>
        <v>42691.76436610597</v>
      </c>
      <c r="Q33" s="68">
        <f>IF(SER_hh_tes!Q33=0,0,11630*1000*SER_hh_tes!Q33/SER_hh_num!Q33)</f>
        <v>41523.869753520339</v>
      </c>
      <c r="R33" s="68">
        <f>IF(SER_hh_tes!R33=0,0,11630*1000*SER_hh_tes!R33/SER_hh_num!R33)</f>
        <v>44090.276721015405</v>
      </c>
      <c r="S33" s="68">
        <f>IF(SER_hh_tes!S33=0,0,11630*1000*SER_hh_tes!S33/SER_hh_num!S33)</f>
        <v>42630.706552878677</v>
      </c>
      <c r="T33" s="68">
        <f>IF(SER_hh_tes!T33=0,0,11630*1000*SER_hh_tes!T33/SER_hh_num!T33)</f>
        <v>40559.755760420107</v>
      </c>
      <c r="U33" s="68">
        <f>IF(SER_hh_tes!U33=0,0,11630*1000*SER_hh_tes!U33/SER_hh_num!U33)</f>
        <v>40495.8658478133</v>
      </c>
      <c r="V33" s="68">
        <f>IF(SER_hh_tes!V33=0,0,11630*1000*SER_hh_tes!V33/SER_hh_num!V33)</f>
        <v>42679.715462480352</v>
      </c>
      <c r="W33" s="68">
        <f>IF(SER_hh_tes!W33=0,0,11630*1000*SER_hh_tes!W33/SER_hh_num!W33)</f>
        <v>43781.87068706518</v>
      </c>
      <c r="X33" s="68">
        <f>IF(SER_hh_tes!X33=0,0,11630*1000*SER_hh_tes!X33/SER_hh_num!X33)</f>
        <v>41715.751926567165</v>
      </c>
      <c r="Y33" s="68">
        <f>IF(SER_hh_tes!Y33=0,0,11630*1000*SER_hh_tes!Y33/SER_hh_num!Y33)</f>
        <v>41904.308738912448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21748.335541025441</v>
      </c>
      <c r="C3" s="125">
        <f>IF(SER_hh_emi!C3=0,0,1000000*SER_hh_emi!C3/SER_hh_num!C3)</f>
        <v>20758.418248186703</v>
      </c>
      <c r="D3" s="125">
        <f>IF(SER_hh_emi!D3=0,0,1000000*SER_hh_emi!D3/SER_hh_num!D3)</f>
        <v>23150.070638109009</v>
      </c>
      <c r="E3" s="125">
        <f>IF(SER_hh_emi!E3=0,0,1000000*SER_hh_emi!E3/SER_hh_num!E3)</f>
        <v>26767.555093427443</v>
      </c>
      <c r="F3" s="125">
        <f>IF(SER_hh_emi!F3=0,0,1000000*SER_hh_emi!F3/SER_hh_num!F3)</f>
        <v>27873.766123889756</v>
      </c>
      <c r="G3" s="125">
        <f>IF(SER_hh_emi!G3=0,0,1000000*SER_hh_emi!G3/SER_hh_num!G3)</f>
        <v>23040.376719347827</v>
      </c>
      <c r="H3" s="125">
        <f>IF(SER_hh_emi!H3=0,0,1000000*SER_hh_emi!H3/SER_hh_num!H3)</f>
        <v>20963.054776021083</v>
      </c>
      <c r="I3" s="125">
        <f>IF(SER_hh_emi!I3=0,0,1000000*SER_hh_emi!I3/SER_hh_num!I3)</f>
        <v>23678.262081575893</v>
      </c>
      <c r="J3" s="125">
        <f>IF(SER_hh_emi!J3=0,0,1000000*SER_hh_emi!J3/SER_hh_num!J3)</f>
        <v>22251.137322715913</v>
      </c>
      <c r="K3" s="125">
        <f>IF(SER_hh_emi!K3=0,0,1000000*SER_hh_emi!K3/SER_hh_num!K3)</f>
        <v>17729.730917898647</v>
      </c>
      <c r="L3" s="125">
        <f>IF(SER_hh_emi!L3=0,0,1000000*SER_hh_emi!L3/SER_hh_num!L3)</f>
        <v>23899.894085794003</v>
      </c>
      <c r="M3" s="125">
        <f>IF(SER_hh_emi!M3=0,0,1000000*SER_hh_emi!M3/SER_hh_num!M3)</f>
        <v>16063.649194369729</v>
      </c>
      <c r="N3" s="125">
        <f>IF(SER_hh_emi!N3=0,0,1000000*SER_hh_emi!N3/SER_hh_num!N3)</f>
        <v>22440.919080106727</v>
      </c>
      <c r="O3" s="125">
        <f>IF(SER_hh_emi!O3=0,0,1000000*SER_hh_emi!O3/SER_hh_num!O3)</f>
        <v>25938.097082264601</v>
      </c>
      <c r="P3" s="125">
        <f>IF(SER_hh_emi!P3=0,0,1000000*SER_hh_emi!P3/SER_hh_num!P3)</f>
        <v>27040.414002957943</v>
      </c>
      <c r="Q3" s="125">
        <f>IF(SER_hh_emi!Q3=0,0,1000000*SER_hh_emi!Q3/SER_hh_num!Q3)</f>
        <v>31619.143151150853</v>
      </c>
      <c r="R3" s="125">
        <f>IF(SER_hh_emi!R3=0,0,1000000*SER_hh_emi!R3/SER_hh_num!R3)</f>
        <v>28092.503227339912</v>
      </c>
      <c r="S3" s="125">
        <f>IF(SER_hh_emi!S3=0,0,1000000*SER_hh_emi!S3/SER_hh_num!S3)</f>
        <v>24963.626985850617</v>
      </c>
      <c r="T3" s="125">
        <f>IF(SER_hh_emi!T3=0,0,1000000*SER_hh_emi!T3/SER_hh_num!T3)</f>
        <v>17368.406424878791</v>
      </c>
      <c r="U3" s="125">
        <f>IF(SER_hh_emi!U3=0,0,1000000*SER_hh_emi!U3/SER_hh_num!U3)</f>
        <v>16772.602043308376</v>
      </c>
      <c r="V3" s="125">
        <f>IF(SER_hh_emi!V3=0,0,1000000*SER_hh_emi!V3/SER_hh_num!V3)</f>
        <v>12773.833492948343</v>
      </c>
      <c r="W3" s="125">
        <f>IF(SER_hh_emi!W3=0,0,1000000*SER_hh_emi!W3/SER_hh_num!W3)</f>
        <v>13482.336819720804</v>
      </c>
      <c r="X3" s="125">
        <f>IF(SER_hh_emi!X3=0,0,1000000*SER_hh_emi!X3/SER_hh_num!X3)</f>
        <v>16170.777882364</v>
      </c>
      <c r="Y3" s="125">
        <f>IF(SER_hh_emi!Y3=0,0,1000000*SER_hh_emi!Y3/SER_hh_num!Y3)</f>
        <v>13998.035883875767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19830.52238688997</v>
      </c>
      <c r="C4" s="130">
        <f>IF(SER_hh_emi!C4=0,0,1000000*SER_hh_emi!C4/SER_hh_num!C4)</f>
        <v>18943.784499471705</v>
      </c>
      <c r="D4" s="130">
        <f>IF(SER_hh_emi!D4=0,0,1000000*SER_hh_emi!D4/SER_hh_num!D4)</f>
        <v>21151.110631044095</v>
      </c>
      <c r="E4" s="130">
        <f>IF(SER_hh_emi!E4=0,0,1000000*SER_hh_emi!E4/SER_hh_num!E4)</f>
        <v>24946.299214743027</v>
      </c>
      <c r="F4" s="130">
        <f>IF(SER_hh_emi!F4=0,0,1000000*SER_hh_emi!F4/SER_hh_num!F4)</f>
        <v>26167.18516119014</v>
      </c>
      <c r="G4" s="130">
        <f>IF(SER_hh_emi!G4=0,0,1000000*SER_hh_emi!G4/SER_hh_num!G4)</f>
        <v>21258.403948428506</v>
      </c>
      <c r="H4" s="130">
        <f>IF(SER_hh_emi!H4=0,0,1000000*SER_hh_emi!H4/SER_hh_num!H4)</f>
        <v>17269.106956956042</v>
      </c>
      <c r="I4" s="130">
        <f>IF(SER_hh_emi!I4=0,0,1000000*SER_hh_emi!I4/SER_hh_num!I4)</f>
        <v>19228.441805868304</v>
      </c>
      <c r="J4" s="130">
        <f>IF(SER_hh_emi!J4=0,0,1000000*SER_hh_emi!J4/SER_hh_num!J4)</f>
        <v>17176.377462233544</v>
      </c>
      <c r="K4" s="130">
        <f>IF(SER_hh_emi!K4=0,0,1000000*SER_hh_emi!K4/SER_hh_num!K4)</f>
        <v>11219.243796616427</v>
      </c>
      <c r="L4" s="130">
        <f>IF(SER_hh_emi!L4=0,0,1000000*SER_hh_emi!L4/SER_hh_num!L4)</f>
        <v>19439.03392235584</v>
      </c>
      <c r="M4" s="130">
        <f>IF(SER_hh_emi!M4=0,0,1000000*SER_hh_emi!M4/SER_hh_num!M4)</f>
        <v>11196.293692454303</v>
      </c>
      <c r="N4" s="130">
        <f>IF(SER_hh_emi!N4=0,0,1000000*SER_hh_emi!N4/SER_hh_num!N4)</f>
        <v>18149.349491292287</v>
      </c>
      <c r="O4" s="130">
        <f>IF(SER_hh_emi!O4=0,0,1000000*SER_hh_emi!O4/SER_hh_num!O4)</f>
        <v>22015.382259406531</v>
      </c>
      <c r="P4" s="130">
        <f>IF(SER_hh_emi!P4=0,0,1000000*SER_hh_emi!P4/SER_hh_num!P4)</f>
        <v>23306.240679743616</v>
      </c>
      <c r="Q4" s="130">
        <f>IF(SER_hh_emi!Q4=0,0,1000000*SER_hh_emi!Q4/SER_hh_num!Q4)</f>
        <v>27463.666596022365</v>
      </c>
      <c r="R4" s="130">
        <f>IF(SER_hh_emi!R4=0,0,1000000*SER_hh_emi!R4/SER_hh_num!R4)</f>
        <v>24638.141761024031</v>
      </c>
      <c r="S4" s="130">
        <f>IF(SER_hh_emi!S4=0,0,1000000*SER_hh_emi!S4/SER_hh_num!S4)</f>
        <v>20827.088914829757</v>
      </c>
      <c r="T4" s="130">
        <f>IF(SER_hh_emi!T4=0,0,1000000*SER_hh_emi!T4/SER_hh_num!T4)</f>
        <v>12121.624247029711</v>
      </c>
      <c r="U4" s="130">
        <f>IF(SER_hh_emi!U4=0,0,1000000*SER_hh_emi!U4/SER_hh_num!U4)</f>
        <v>11394.27406503278</v>
      </c>
      <c r="V4" s="130">
        <f>IF(SER_hh_emi!V4=0,0,1000000*SER_hh_emi!V4/SER_hh_num!V4)</f>
        <v>9247.0738237575442</v>
      </c>
      <c r="W4" s="130">
        <f>IF(SER_hh_emi!W4=0,0,1000000*SER_hh_emi!W4/SER_hh_num!W4)</f>
        <v>9700.7117847429072</v>
      </c>
      <c r="X4" s="130">
        <f>IF(SER_hh_emi!X4=0,0,1000000*SER_hh_emi!X4/SER_hh_num!X4)</f>
        <v>11387.80821455001</v>
      </c>
      <c r="Y4" s="130">
        <f>IF(SER_hh_emi!Y4=0,0,1000000*SER_hh_emi!Y4/SER_hh_num!Y4)</f>
        <v>8691.0448323999008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0</v>
      </c>
      <c r="C5" s="132">
        <f>IF(SER_hh_emi!C5=0,0,1000000*SER_hh_emi!C5/SER_hh_num!C5)</f>
        <v>0</v>
      </c>
      <c r="D5" s="132">
        <f>IF(SER_hh_emi!D5=0,0,1000000*SER_hh_emi!D5/SER_hh_num!D5)</f>
        <v>0</v>
      </c>
      <c r="E5" s="132">
        <f>IF(SER_hh_emi!E5=0,0,1000000*SER_hh_emi!E5/SER_hh_num!E5)</f>
        <v>0</v>
      </c>
      <c r="F5" s="132">
        <f>IF(SER_hh_emi!F5=0,0,1000000*SER_hh_emi!F5/SER_hh_num!F5)</f>
        <v>0</v>
      </c>
      <c r="G5" s="132">
        <f>IF(SER_hh_emi!G5=0,0,1000000*SER_hh_emi!G5/SER_hh_num!G5)</f>
        <v>0</v>
      </c>
      <c r="H5" s="132">
        <f>IF(SER_hh_emi!H5=0,0,1000000*SER_hh_emi!H5/SER_hh_num!H5)</f>
        <v>0</v>
      </c>
      <c r="I5" s="132">
        <f>IF(SER_hh_emi!I5=0,0,1000000*SER_hh_emi!I5/SER_hh_num!I5)</f>
        <v>0</v>
      </c>
      <c r="J5" s="132">
        <f>IF(SER_hh_emi!J5=0,0,1000000*SER_hh_emi!J5/SER_hh_num!J5)</f>
        <v>0</v>
      </c>
      <c r="K5" s="132">
        <f>IF(SER_hh_emi!K5=0,0,1000000*SER_hh_emi!K5/SER_hh_num!K5)</f>
        <v>0</v>
      </c>
      <c r="L5" s="132">
        <f>IF(SER_hh_emi!L5=0,0,1000000*SER_hh_emi!L5/SER_hh_num!L5)</f>
        <v>0</v>
      </c>
      <c r="M5" s="132">
        <f>IF(SER_hh_emi!M5=0,0,1000000*SER_hh_emi!M5/SER_hh_num!M5)</f>
        <v>0</v>
      </c>
      <c r="N5" s="132">
        <f>IF(SER_hh_emi!N5=0,0,1000000*SER_hh_emi!N5/SER_hh_num!N5)</f>
        <v>0</v>
      </c>
      <c r="O5" s="132">
        <f>IF(SER_hh_emi!O5=0,0,1000000*SER_hh_emi!O5/SER_hh_num!O5)</f>
        <v>0</v>
      </c>
      <c r="P5" s="132">
        <f>IF(SER_hh_emi!P5=0,0,1000000*SER_hh_emi!P5/SER_hh_num!P5)</f>
        <v>0</v>
      </c>
      <c r="Q5" s="132">
        <f>IF(SER_hh_emi!Q5=0,0,1000000*SER_hh_emi!Q5/SER_hh_num!Q5)</f>
        <v>0</v>
      </c>
      <c r="R5" s="132">
        <f>IF(SER_hh_emi!R5=0,0,1000000*SER_hh_emi!R5/SER_hh_num!R5)</f>
        <v>0</v>
      </c>
      <c r="S5" s="132">
        <f>IF(SER_hh_emi!S5=0,0,1000000*SER_hh_emi!S5/SER_hh_num!S5)</f>
        <v>0</v>
      </c>
      <c r="T5" s="132">
        <f>IF(SER_hh_emi!T5=0,0,1000000*SER_hh_emi!T5/SER_hh_num!T5)</f>
        <v>0</v>
      </c>
      <c r="U5" s="132">
        <f>IF(SER_hh_emi!U5=0,0,1000000*SER_hh_emi!U5/SER_hh_num!U5)</f>
        <v>0</v>
      </c>
      <c r="V5" s="132">
        <f>IF(SER_hh_emi!V5=0,0,1000000*SER_hh_emi!V5/SER_hh_num!V5)</f>
        <v>0</v>
      </c>
      <c r="W5" s="132">
        <f>IF(SER_hh_emi!W5=0,0,1000000*SER_hh_emi!W5/SER_hh_num!W5)</f>
        <v>0</v>
      </c>
      <c r="X5" s="132">
        <f>IF(SER_hh_emi!X5=0,0,1000000*SER_hh_emi!X5/SER_hh_num!X5)</f>
        <v>0</v>
      </c>
      <c r="Y5" s="132">
        <f>IF(SER_hh_emi!Y5=0,0,1000000*SER_hh_emi!Y5/SER_hh_num!Y5)</f>
        <v>0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25818.861129599536</v>
      </c>
      <c r="C6" s="132">
        <f>IF(SER_hh_emi!C6=0,0,1000000*SER_hh_emi!C6/SER_hh_num!C6)</f>
        <v>27341.369579226146</v>
      </c>
      <c r="D6" s="132">
        <f>IF(SER_hh_emi!D6=0,0,1000000*SER_hh_emi!D6/SER_hh_num!D6)</f>
        <v>27899.791360741838</v>
      </c>
      <c r="E6" s="132">
        <f>IF(SER_hh_emi!E6=0,0,1000000*SER_hh_emi!E6/SER_hh_num!E6)</f>
        <v>31632.663137030573</v>
      </c>
      <c r="F6" s="132">
        <f>IF(SER_hh_emi!F6=0,0,1000000*SER_hh_emi!F6/SER_hh_num!F6)</f>
        <v>33151.534715968337</v>
      </c>
      <c r="G6" s="132">
        <f>IF(SER_hh_emi!G6=0,0,1000000*SER_hh_emi!G6/SER_hh_num!G6)</f>
        <v>28693.552470557544</v>
      </c>
      <c r="H6" s="132">
        <f>IF(SER_hh_emi!H6=0,0,1000000*SER_hh_emi!H6/SER_hh_num!H6)</f>
        <v>33048.011897005308</v>
      </c>
      <c r="I6" s="132">
        <f>IF(SER_hh_emi!I6=0,0,1000000*SER_hh_emi!I6/SER_hh_num!I6)</f>
        <v>37172.0103521848</v>
      </c>
      <c r="J6" s="132">
        <f>IF(SER_hh_emi!J6=0,0,1000000*SER_hh_emi!J6/SER_hh_num!J6)</f>
        <v>19942.024102124789</v>
      </c>
      <c r="K6" s="132">
        <f>IF(SER_hh_emi!K6=0,0,1000000*SER_hh_emi!K6/SER_hh_num!K6)</f>
        <v>10415.929330535646</v>
      </c>
      <c r="L6" s="132">
        <f>IF(SER_hh_emi!L6=0,0,1000000*SER_hh_emi!L6/SER_hh_num!L6)</f>
        <v>47158.423788809072</v>
      </c>
      <c r="M6" s="132">
        <f>IF(SER_hh_emi!M6=0,0,1000000*SER_hh_emi!M6/SER_hh_num!M6)</f>
        <v>36011.330161250517</v>
      </c>
      <c r="N6" s="132">
        <f>IF(SER_hh_emi!N6=0,0,1000000*SER_hh_emi!N6/SER_hh_num!N6)</f>
        <v>44413.587425837934</v>
      </c>
      <c r="O6" s="132">
        <f>IF(SER_hh_emi!O6=0,0,1000000*SER_hh_emi!O6/SER_hh_num!O6)</f>
        <v>34544.02801936269</v>
      </c>
      <c r="P6" s="132">
        <f>IF(SER_hh_emi!P6=0,0,1000000*SER_hh_emi!P6/SER_hh_num!P6)</f>
        <v>36521.707064883733</v>
      </c>
      <c r="Q6" s="132">
        <f>IF(SER_hh_emi!Q6=0,0,1000000*SER_hh_emi!Q6/SER_hh_num!Q6)</f>
        <v>43867.778690438347</v>
      </c>
      <c r="R6" s="132">
        <f>IF(SER_hh_emi!R6=0,0,1000000*SER_hh_emi!R6/SER_hh_num!R6)</f>
        <v>36650.65944115974</v>
      </c>
      <c r="S6" s="132">
        <f>IF(SER_hh_emi!S6=0,0,1000000*SER_hh_emi!S6/SER_hh_num!S6)</f>
        <v>39619.498233508399</v>
      </c>
      <c r="T6" s="132">
        <f>IF(SER_hh_emi!T6=0,0,1000000*SER_hh_emi!T6/SER_hh_num!T6)</f>
        <v>45355.608274156897</v>
      </c>
      <c r="U6" s="132">
        <f>IF(SER_hh_emi!U6=0,0,1000000*SER_hh_emi!U6/SER_hh_num!U6)</f>
        <v>40912.719123535506</v>
      </c>
      <c r="V6" s="132">
        <f>IF(SER_hh_emi!V6=0,0,1000000*SER_hh_emi!V6/SER_hh_num!V6)</f>
        <v>30417.104876922811</v>
      </c>
      <c r="W6" s="132">
        <f>IF(SER_hh_emi!W6=0,0,1000000*SER_hh_emi!W6/SER_hh_num!W6)</f>
        <v>35695.834082362504</v>
      </c>
      <c r="X6" s="132">
        <f>IF(SER_hh_emi!X6=0,0,1000000*SER_hh_emi!X6/SER_hh_num!X6)</f>
        <v>41218.035601466618</v>
      </c>
      <c r="Y6" s="132">
        <f>IF(SER_hh_emi!Y6=0,0,1000000*SER_hh_emi!Y6/SER_hh_num!Y6)</f>
        <v>36022.637833033034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28924.620161316856</v>
      </c>
      <c r="C7" s="132">
        <f>IF(SER_hh_emi!C7=0,0,1000000*SER_hh_emi!C7/SER_hh_num!C7)</f>
        <v>28247.348480971788</v>
      </c>
      <c r="D7" s="132">
        <f>IF(SER_hh_emi!D7=0,0,1000000*SER_hh_emi!D7/SER_hh_num!D7)</f>
        <v>32465.590351727282</v>
      </c>
      <c r="E7" s="132">
        <f>IF(SER_hh_emi!E7=0,0,1000000*SER_hh_emi!E7/SER_hh_num!E7)</f>
        <v>40211.766872398548</v>
      </c>
      <c r="F7" s="132">
        <f>IF(SER_hh_emi!F7=0,0,1000000*SER_hh_emi!F7/SER_hh_num!F7)</f>
        <v>45858.667098037615</v>
      </c>
      <c r="G7" s="132">
        <f>IF(SER_hh_emi!G7=0,0,1000000*SER_hh_emi!G7/SER_hh_num!G7)</f>
        <v>41721.925332491424</v>
      </c>
      <c r="H7" s="132">
        <f>IF(SER_hh_emi!H7=0,0,1000000*SER_hh_emi!H7/SER_hh_num!H7)</f>
        <v>32990.287450109245</v>
      </c>
      <c r="I7" s="132">
        <f>IF(SER_hh_emi!I7=0,0,1000000*SER_hh_emi!I7/SER_hh_num!I7)</f>
        <v>36391.654109029252</v>
      </c>
      <c r="J7" s="132">
        <f>IF(SER_hh_emi!J7=0,0,1000000*SER_hh_emi!J7/SER_hh_num!J7)</f>
        <v>33467.528522267326</v>
      </c>
      <c r="K7" s="132">
        <f>IF(SER_hh_emi!K7=0,0,1000000*SER_hh_emi!K7/SER_hh_num!K7)</f>
        <v>24946.571084509287</v>
      </c>
      <c r="L7" s="132">
        <f>IF(SER_hh_emi!L7=0,0,1000000*SER_hh_emi!L7/SER_hh_num!L7)</f>
        <v>46455.98910955579</v>
      </c>
      <c r="M7" s="132">
        <f>IF(SER_hh_emi!M7=0,0,1000000*SER_hh_emi!M7/SER_hh_num!M7)</f>
        <v>26679.026600074558</v>
      </c>
      <c r="N7" s="132">
        <f>IF(SER_hh_emi!N7=0,0,1000000*SER_hh_emi!N7/SER_hh_num!N7)</f>
        <v>43654.302240865138</v>
      </c>
      <c r="O7" s="132">
        <f>IF(SER_hh_emi!O7=0,0,1000000*SER_hh_emi!O7/SER_hh_num!O7)</f>
        <v>55643.523777261871</v>
      </c>
      <c r="P7" s="132">
        <f>IF(SER_hh_emi!P7=0,0,1000000*SER_hh_emi!P7/SER_hh_num!P7)</f>
        <v>55668.342243690626</v>
      </c>
      <c r="Q7" s="132">
        <f>IF(SER_hh_emi!Q7=0,0,1000000*SER_hh_emi!Q7/SER_hh_num!Q7)</f>
        <v>65317.006987978231</v>
      </c>
      <c r="R7" s="132">
        <f>IF(SER_hh_emi!R7=0,0,1000000*SER_hh_emi!R7/SER_hh_num!R7)</f>
        <v>63758.33630911824</v>
      </c>
      <c r="S7" s="132">
        <f>IF(SER_hh_emi!S7=0,0,1000000*SER_hh_emi!S7/SER_hh_num!S7)</f>
        <v>62556.607693970516</v>
      </c>
      <c r="T7" s="132">
        <f>IF(SER_hh_emi!T7=0,0,1000000*SER_hh_emi!T7/SER_hh_num!T7)</f>
        <v>41511.794993118921</v>
      </c>
      <c r="U7" s="132">
        <f>IF(SER_hh_emi!U7=0,0,1000000*SER_hh_emi!U7/SER_hh_num!U7)</f>
        <v>45401.879946895235</v>
      </c>
      <c r="V7" s="132">
        <f>IF(SER_hh_emi!V7=0,0,1000000*SER_hh_emi!V7/SER_hh_num!V7)</f>
        <v>40139.965171903736</v>
      </c>
      <c r="W7" s="132">
        <f>IF(SER_hh_emi!W7=0,0,1000000*SER_hh_emi!W7/SER_hh_num!W7)</f>
        <v>43135.023460614182</v>
      </c>
      <c r="X7" s="132">
        <f>IF(SER_hh_emi!X7=0,0,1000000*SER_hh_emi!X7/SER_hh_num!X7)</f>
        <v>54201.521486853875</v>
      </c>
      <c r="Y7" s="132">
        <f>IF(SER_hh_emi!Y7=0,0,1000000*SER_hh_emi!Y7/SER_hh_num!Y7)</f>
        <v>46258.18100686853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0</v>
      </c>
      <c r="S8" s="132">
        <f>IF(SER_hh_emi!S8=0,0,1000000*SER_hh_emi!S8/SER_hh_num!S8)</f>
        <v>0</v>
      </c>
      <c r="T8" s="132">
        <f>IF(SER_hh_emi!T8=0,0,1000000*SER_hh_emi!T8/SER_hh_num!T8)</f>
        <v>0</v>
      </c>
      <c r="U8" s="132">
        <f>IF(SER_hh_emi!U8=0,0,1000000*SER_hh_emi!U8/SER_hh_num!U8)</f>
        <v>0</v>
      </c>
      <c r="V8" s="132">
        <f>IF(SER_hh_emi!V8=0,0,1000000*SER_hh_emi!V8/SER_hh_num!V8)</f>
        <v>0</v>
      </c>
      <c r="W8" s="132">
        <f>IF(SER_hh_emi!W8=0,0,1000000*SER_hh_emi!W8/SER_hh_num!W8)</f>
        <v>0</v>
      </c>
      <c r="X8" s="132">
        <f>IF(SER_hh_emi!X8=0,0,1000000*SER_hh_emi!X8/SER_hh_num!X8)</f>
        <v>0</v>
      </c>
      <c r="Y8" s="132">
        <f>IF(SER_hh_emi!Y8=0,0,1000000*SER_hh_emi!Y8/SER_hh_num!Y8)</f>
        <v>0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0</v>
      </c>
      <c r="C9" s="132">
        <f>IF(SER_hh_emi!C9=0,0,1000000*SER_hh_emi!C9/SER_hh_num!C9)</f>
        <v>0</v>
      </c>
      <c r="D9" s="132">
        <f>IF(SER_hh_emi!D9=0,0,1000000*SER_hh_emi!D9/SER_hh_num!D9)</f>
        <v>0</v>
      </c>
      <c r="E9" s="132">
        <f>IF(SER_hh_emi!E9=0,0,1000000*SER_hh_emi!E9/SER_hh_num!E9)</f>
        <v>0</v>
      </c>
      <c r="F9" s="132">
        <f>IF(SER_hh_emi!F9=0,0,1000000*SER_hh_emi!F9/SER_hh_num!F9)</f>
        <v>0</v>
      </c>
      <c r="G9" s="132">
        <f>IF(SER_hh_emi!G9=0,0,1000000*SER_hh_emi!G9/SER_hh_num!G9)</f>
        <v>0</v>
      </c>
      <c r="H9" s="132">
        <f>IF(SER_hh_emi!H9=0,0,1000000*SER_hh_emi!H9/SER_hh_num!H9)</f>
        <v>0</v>
      </c>
      <c r="I9" s="132">
        <f>IF(SER_hh_emi!I9=0,0,1000000*SER_hh_emi!I9/SER_hh_num!I9)</f>
        <v>0</v>
      </c>
      <c r="J9" s="132">
        <f>IF(SER_hh_emi!J9=0,0,1000000*SER_hh_emi!J9/SER_hh_num!J9)</f>
        <v>0</v>
      </c>
      <c r="K9" s="132">
        <f>IF(SER_hh_emi!K9=0,0,1000000*SER_hh_emi!K9/SER_hh_num!K9)</f>
        <v>0</v>
      </c>
      <c r="L9" s="132">
        <f>IF(SER_hh_emi!L9=0,0,1000000*SER_hh_emi!L9/SER_hh_num!L9)</f>
        <v>0</v>
      </c>
      <c r="M9" s="132">
        <f>IF(SER_hh_emi!M9=0,0,1000000*SER_hh_emi!M9/SER_hh_num!M9)</f>
        <v>0</v>
      </c>
      <c r="N9" s="132">
        <f>IF(SER_hh_emi!N9=0,0,1000000*SER_hh_emi!N9/SER_hh_num!N9)</f>
        <v>0</v>
      </c>
      <c r="O9" s="132">
        <f>IF(SER_hh_emi!O9=0,0,1000000*SER_hh_emi!O9/SER_hh_num!O9)</f>
        <v>0</v>
      </c>
      <c r="P9" s="132">
        <f>IF(SER_hh_emi!P9=0,0,1000000*SER_hh_emi!P9/SER_hh_num!P9)</f>
        <v>0</v>
      </c>
      <c r="Q9" s="132">
        <f>IF(SER_hh_emi!Q9=0,0,1000000*SER_hh_emi!Q9/SER_hh_num!Q9)</f>
        <v>0</v>
      </c>
      <c r="R9" s="132">
        <f>IF(SER_hh_emi!R9=0,0,1000000*SER_hh_emi!R9/SER_hh_num!R9)</f>
        <v>0</v>
      </c>
      <c r="S9" s="132">
        <f>IF(SER_hh_emi!S9=0,0,1000000*SER_hh_emi!S9/SER_hh_num!S9)</f>
        <v>0</v>
      </c>
      <c r="T9" s="132">
        <f>IF(SER_hh_emi!T9=0,0,1000000*SER_hh_emi!T9/SER_hh_num!T9)</f>
        <v>0</v>
      </c>
      <c r="U9" s="132">
        <f>IF(SER_hh_emi!U9=0,0,1000000*SER_hh_emi!U9/SER_hh_num!U9)</f>
        <v>0</v>
      </c>
      <c r="V9" s="132">
        <f>IF(SER_hh_emi!V9=0,0,1000000*SER_hh_emi!V9/SER_hh_num!V9)</f>
        <v>0</v>
      </c>
      <c r="W9" s="132">
        <f>IF(SER_hh_emi!W9=0,0,1000000*SER_hh_emi!W9/SER_hh_num!W9)</f>
        <v>0</v>
      </c>
      <c r="X9" s="132">
        <f>IF(SER_hh_emi!X9=0,0,1000000*SER_hh_emi!X9/SER_hh_num!X9)</f>
        <v>0</v>
      </c>
      <c r="Y9" s="132">
        <f>IF(SER_hh_emi!Y9=0,0,1000000*SER_hh_emi!Y9/SER_hh_num!Y9)</f>
        <v>0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0</v>
      </c>
      <c r="C16" s="130">
        <f>IF(SER_hh_emi!C16=0,0,1000000*SER_hh_emi!C16/SER_hh_num!C16)</f>
        <v>0</v>
      </c>
      <c r="D16" s="130">
        <f>IF(SER_hh_emi!D16=0,0,1000000*SER_hh_emi!D16/SER_hh_num!D16)</f>
        <v>0</v>
      </c>
      <c r="E16" s="130">
        <f>IF(SER_hh_emi!E16=0,0,1000000*SER_hh_emi!E16/SER_hh_num!E16)</f>
        <v>0</v>
      </c>
      <c r="F16" s="130">
        <f>IF(SER_hh_emi!F16=0,0,1000000*SER_hh_emi!F16/SER_hh_num!F16)</f>
        <v>0</v>
      </c>
      <c r="G16" s="130">
        <f>IF(SER_hh_emi!G16=0,0,1000000*SER_hh_emi!G16/SER_hh_num!G16)</f>
        <v>0</v>
      </c>
      <c r="H16" s="130">
        <f>IF(SER_hh_emi!H16=0,0,1000000*SER_hh_emi!H16/SER_hh_num!H16)</f>
        <v>0</v>
      </c>
      <c r="I16" s="130">
        <f>IF(SER_hh_emi!I16=0,0,1000000*SER_hh_emi!I16/SER_hh_num!I16)</f>
        <v>0</v>
      </c>
      <c r="J16" s="130">
        <f>IF(SER_hh_emi!J16=0,0,1000000*SER_hh_emi!J16/SER_hh_num!J16)</f>
        <v>0</v>
      </c>
      <c r="K16" s="130">
        <f>IF(SER_hh_emi!K16=0,0,1000000*SER_hh_emi!K16/SER_hh_num!K16)</f>
        <v>0</v>
      </c>
      <c r="L16" s="130">
        <f>IF(SER_hh_emi!L16=0,0,1000000*SER_hh_emi!L16/SER_hh_num!L16)</f>
        <v>0</v>
      </c>
      <c r="M16" s="130">
        <f>IF(SER_hh_emi!M16=0,0,1000000*SER_hh_emi!M16/SER_hh_num!M16)</f>
        <v>0</v>
      </c>
      <c r="N16" s="130">
        <f>IF(SER_hh_emi!N16=0,0,1000000*SER_hh_emi!N16/SER_hh_num!N16)</f>
        <v>0</v>
      </c>
      <c r="O16" s="130">
        <f>IF(SER_hh_emi!O16=0,0,1000000*SER_hh_emi!O16/SER_hh_num!O16)</f>
        <v>0</v>
      </c>
      <c r="P16" s="130">
        <f>IF(SER_hh_emi!P16=0,0,1000000*SER_hh_emi!P16/SER_hh_num!P16)</f>
        <v>0</v>
      </c>
      <c r="Q16" s="130">
        <f>IF(SER_hh_emi!Q16=0,0,1000000*SER_hh_emi!Q16/SER_hh_num!Q16)</f>
        <v>0</v>
      </c>
      <c r="R16" s="130">
        <f>IF(SER_hh_emi!R16=0,0,1000000*SER_hh_emi!R16/SER_hh_num!R16)</f>
        <v>0</v>
      </c>
      <c r="S16" s="130">
        <f>IF(SER_hh_emi!S16=0,0,1000000*SER_hh_emi!S16/SER_hh_num!S16)</f>
        <v>0</v>
      </c>
      <c r="T16" s="130">
        <f>IF(SER_hh_emi!T16=0,0,1000000*SER_hh_emi!T16/SER_hh_num!T16)</f>
        <v>0</v>
      </c>
      <c r="U16" s="130">
        <f>IF(SER_hh_emi!U16=0,0,1000000*SER_hh_emi!U16/SER_hh_num!U16)</f>
        <v>0</v>
      </c>
      <c r="V16" s="130">
        <f>IF(SER_hh_emi!V16=0,0,1000000*SER_hh_emi!V16/SER_hh_num!V16)</f>
        <v>0</v>
      </c>
      <c r="W16" s="130">
        <f>IF(SER_hh_emi!W16=0,0,1000000*SER_hh_emi!W16/SER_hh_num!W16)</f>
        <v>0</v>
      </c>
      <c r="X16" s="130">
        <f>IF(SER_hh_emi!X16=0,0,1000000*SER_hh_emi!X16/SER_hh_num!X16)</f>
        <v>0</v>
      </c>
      <c r="Y16" s="130">
        <f>IF(SER_hh_emi!Y16=0,0,1000000*SER_hh_emi!Y16/SER_hh_num!Y16)</f>
        <v>0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0</v>
      </c>
      <c r="C17" s="132">
        <f>IF(SER_hh_emi!C17=0,0,1000000*SER_hh_emi!C17/SER_hh_num!C17)</f>
        <v>0</v>
      </c>
      <c r="D17" s="132">
        <f>IF(SER_hh_emi!D17=0,0,1000000*SER_hh_emi!D17/SER_hh_num!D17)</f>
        <v>0</v>
      </c>
      <c r="E17" s="132">
        <f>IF(SER_hh_emi!E17=0,0,1000000*SER_hh_emi!E17/SER_hh_num!E17)</f>
        <v>0</v>
      </c>
      <c r="F17" s="132">
        <f>IF(SER_hh_emi!F17=0,0,1000000*SER_hh_emi!F17/SER_hh_num!F17)</f>
        <v>0</v>
      </c>
      <c r="G17" s="132">
        <f>IF(SER_hh_emi!G17=0,0,1000000*SER_hh_emi!G17/SER_hh_num!G17)</f>
        <v>0</v>
      </c>
      <c r="H17" s="132">
        <f>IF(SER_hh_emi!H17=0,0,1000000*SER_hh_emi!H17/SER_hh_num!H17)</f>
        <v>0</v>
      </c>
      <c r="I17" s="132">
        <f>IF(SER_hh_emi!I17=0,0,1000000*SER_hh_emi!I17/SER_hh_num!I17)</f>
        <v>0</v>
      </c>
      <c r="J17" s="132">
        <f>IF(SER_hh_emi!J17=0,0,1000000*SER_hh_emi!J17/SER_hh_num!J17)</f>
        <v>0</v>
      </c>
      <c r="K17" s="132">
        <f>IF(SER_hh_emi!K17=0,0,1000000*SER_hh_emi!K17/SER_hh_num!K17)</f>
        <v>0</v>
      </c>
      <c r="L17" s="132">
        <f>IF(SER_hh_emi!L17=0,0,1000000*SER_hh_emi!L17/SER_hh_num!L17)</f>
        <v>0</v>
      </c>
      <c r="M17" s="132">
        <f>IF(SER_hh_emi!M17=0,0,1000000*SER_hh_emi!M17/SER_hh_num!M17)</f>
        <v>0</v>
      </c>
      <c r="N17" s="132">
        <f>IF(SER_hh_emi!N17=0,0,1000000*SER_hh_emi!N17/SER_hh_num!N17)</f>
        <v>0</v>
      </c>
      <c r="O17" s="132">
        <f>IF(SER_hh_emi!O17=0,0,1000000*SER_hh_emi!O17/SER_hh_num!O17)</f>
        <v>0</v>
      </c>
      <c r="P17" s="132">
        <f>IF(SER_hh_emi!P17=0,0,1000000*SER_hh_emi!P17/SER_hh_num!P17)</f>
        <v>0</v>
      </c>
      <c r="Q17" s="132">
        <f>IF(SER_hh_emi!Q17=0,0,1000000*SER_hh_emi!Q17/SER_hh_num!Q17)</f>
        <v>0</v>
      </c>
      <c r="R17" s="132">
        <f>IF(SER_hh_emi!R17=0,0,1000000*SER_hh_emi!R17/SER_hh_num!R17)</f>
        <v>0</v>
      </c>
      <c r="S17" s="132">
        <f>IF(SER_hh_emi!S17=0,0,1000000*SER_hh_emi!S17/SER_hh_num!S17)</f>
        <v>0</v>
      </c>
      <c r="T17" s="132">
        <f>IF(SER_hh_emi!T17=0,0,1000000*SER_hh_emi!T17/SER_hh_num!T17)</f>
        <v>0</v>
      </c>
      <c r="U17" s="132">
        <f>IF(SER_hh_emi!U17=0,0,1000000*SER_hh_emi!U17/SER_hh_num!U17)</f>
        <v>0</v>
      </c>
      <c r="V17" s="132">
        <f>IF(SER_hh_emi!V17=0,0,1000000*SER_hh_emi!V17/SER_hh_num!V17)</f>
        <v>0</v>
      </c>
      <c r="W17" s="132">
        <f>IF(SER_hh_emi!W17=0,0,1000000*SER_hh_emi!W17/SER_hh_num!W17)</f>
        <v>0</v>
      </c>
      <c r="X17" s="132">
        <f>IF(SER_hh_emi!X17=0,0,1000000*SER_hh_emi!X17/SER_hh_num!X17)</f>
        <v>0</v>
      </c>
      <c r="Y17" s="132">
        <f>IF(SER_hh_emi!Y17=0,0,1000000*SER_hh_emi!Y17/SER_hh_num!Y17)</f>
        <v>0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940.61317807482021</v>
      </c>
      <c r="C19" s="130">
        <f>IF(SER_hh_emi!C19=0,0,1000000*SER_hh_emi!C19/SER_hh_num!C19)</f>
        <v>905.68805779238892</v>
      </c>
      <c r="D19" s="130">
        <f>IF(SER_hh_emi!D19=0,0,1000000*SER_hh_emi!D19/SER_hh_num!D19)</f>
        <v>882.40765779905939</v>
      </c>
      <c r="E19" s="130">
        <f>IF(SER_hh_emi!E19=0,0,1000000*SER_hh_emi!E19/SER_hh_num!E19)</f>
        <v>753.59318394001059</v>
      </c>
      <c r="F19" s="130">
        <f>IF(SER_hh_emi!F19=0,0,1000000*SER_hh_emi!F19/SER_hh_num!F19)</f>
        <v>698.87823214079037</v>
      </c>
      <c r="G19" s="130">
        <f>IF(SER_hh_emi!G19=0,0,1000000*SER_hh_emi!G19/SER_hh_num!G19)</f>
        <v>739.13653735284652</v>
      </c>
      <c r="H19" s="130">
        <f>IF(SER_hh_emi!H19=0,0,1000000*SER_hh_emi!H19/SER_hh_num!H19)</f>
        <v>1821.3559136789072</v>
      </c>
      <c r="I19" s="130">
        <f>IF(SER_hh_emi!I19=0,0,1000000*SER_hh_emi!I19/SER_hh_num!I19)</f>
        <v>2210.4343776760179</v>
      </c>
      <c r="J19" s="130">
        <f>IF(SER_hh_emi!J19=0,0,1000000*SER_hh_emi!J19/SER_hh_num!J19)</f>
        <v>1957.1057473456071</v>
      </c>
      <c r="K19" s="130">
        <f>IF(SER_hh_emi!K19=0,0,1000000*SER_hh_emi!K19/SER_hh_num!K19)</f>
        <v>1801.6920588735957</v>
      </c>
      <c r="L19" s="130">
        <f>IF(SER_hh_emi!L19=0,0,1000000*SER_hh_emi!L19/SER_hh_num!L19)</f>
        <v>867.41343289762847</v>
      </c>
      <c r="M19" s="130">
        <f>IF(SER_hh_emi!M19=0,0,1000000*SER_hh_emi!M19/SER_hh_num!M19)</f>
        <v>786.39645408241734</v>
      </c>
      <c r="N19" s="130">
        <f>IF(SER_hh_emi!N19=0,0,1000000*SER_hh_emi!N19/SER_hh_num!N19)</f>
        <v>549.37091745922555</v>
      </c>
      <c r="O19" s="130">
        <f>IF(SER_hh_emi!O19=0,0,1000000*SER_hh_emi!O19/SER_hh_num!O19)</f>
        <v>299.01822455006385</v>
      </c>
      <c r="P19" s="130">
        <f>IF(SER_hh_emi!P19=0,0,1000000*SER_hh_emi!P19/SER_hh_num!P19)</f>
        <v>229.32772918746005</v>
      </c>
      <c r="Q19" s="130">
        <f>IF(SER_hh_emi!Q19=0,0,1000000*SER_hh_emi!Q19/SER_hh_num!Q19)</f>
        <v>191.55707553222825</v>
      </c>
      <c r="R19" s="130">
        <f>IF(SER_hh_emi!R19=0,0,1000000*SER_hh_emi!R19/SER_hh_num!R19)</f>
        <v>157.19149557531247</v>
      </c>
      <c r="S19" s="130">
        <f>IF(SER_hh_emi!S19=0,0,1000000*SER_hh_emi!S19/SER_hh_num!S19)</f>
        <v>185.63334259756039</v>
      </c>
      <c r="T19" s="130">
        <f>IF(SER_hh_emi!T19=0,0,1000000*SER_hh_emi!T19/SER_hh_num!T19)</f>
        <v>240.75040698755026</v>
      </c>
      <c r="U19" s="130">
        <f>IF(SER_hh_emi!U19=0,0,1000000*SER_hh_emi!U19/SER_hh_num!U19)</f>
        <v>235.62426468140461</v>
      </c>
      <c r="V19" s="130">
        <f>IF(SER_hh_emi!V19=0,0,1000000*SER_hh_emi!V19/SER_hh_num!V19)</f>
        <v>175.88512045030092</v>
      </c>
      <c r="W19" s="130">
        <f>IF(SER_hh_emi!W19=0,0,1000000*SER_hh_emi!W19/SER_hh_num!W19)</f>
        <v>187.15006521073238</v>
      </c>
      <c r="X19" s="130">
        <f>IF(SER_hh_emi!X19=0,0,1000000*SER_hh_emi!X19/SER_hh_num!X19)</f>
        <v>226.41480567002267</v>
      </c>
      <c r="Y19" s="130">
        <f>IF(SER_hh_emi!Y19=0,0,1000000*SER_hh_emi!Y19/SER_hh_num!Y19)</f>
        <v>154.54885643061172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14351.479820373779</v>
      </c>
      <c r="C21" s="132">
        <f>IF(SER_hh_emi!C21=0,0,1000000*SER_hh_emi!C21/SER_hh_num!C21)</f>
        <v>14240.265490476613</v>
      </c>
      <c r="D21" s="132">
        <f>IF(SER_hh_emi!D21=0,0,1000000*SER_hh_emi!D21/SER_hh_num!D21)</f>
        <v>14483.760125620483</v>
      </c>
      <c r="E21" s="132">
        <f>IF(SER_hh_emi!E21=0,0,1000000*SER_hh_emi!E21/SER_hh_num!E21)</f>
        <v>12433.876345973531</v>
      </c>
      <c r="F21" s="132">
        <f>IF(SER_hh_emi!F21=0,0,1000000*SER_hh_emi!F21/SER_hh_num!F21)</f>
        <v>10828.195648816196</v>
      </c>
      <c r="G21" s="132">
        <f>IF(SER_hh_emi!G21=0,0,1000000*SER_hh_emi!G21/SER_hh_num!G21)</f>
        <v>9122.9685777125815</v>
      </c>
      <c r="H21" s="132">
        <f>IF(SER_hh_emi!H21=0,0,1000000*SER_hh_emi!H21/SER_hh_num!H21)</f>
        <v>20524.84754676832</v>
      </c>
      <c r="I21" s="132">
        <f>IF(SER_hh_emi!I21=0,0,1000000*SER_hh_emi!I21/SER_hh_num!I21)</f>
        <v>25019.253907442289</v>
      </c>
      <c r="J21" s="132">
        <f>IF(SER_hh_emi!J21=0,0,1000000*SER_hh_emi!J21/SER_hh_num!J21)</f>
        <v>22794.8808972687</v>
      </c>
      <c r="K21" s="132">
        <f>IF(SER_hh_emi!K21=0,0,1000000*SER_hh_emi!K21/SER_hh_num!K21)</f>
        <v>21127.738344249879</v>
      </c>
      <c r="L21" s="132">
        <f>IF(SER_hh_emi!L21=0,0,1000000*SER_hh_emi!L21/SER_hh_num!L21)</f>
        <v>11193.161377507782</v>
      </c>
      <c r="M21" s="132">
        <f>IF(SER_hh_emi!M21=0,0,1000000*SER_hh_emi!M21/SER_hh_num!M21)</f>
        <v>13042.462459351207</v>
      </c>
      <c r="N21" s="132">
        <f>IF(SER_hh_emi!N21=0,0,1000000*SER_hh_emi!N21/SER_hh_num!N21)</f>
        <v>13637.506764103775</v>
      </c>
      <c r="O21" s="132">
        <f>IF(SER_hh_emi!O21=0,0,1000000*SER_hh_emi!O21/SER_hh_num!O21)</f>
        <v>10820.018975754523</v>
      </c>
      <c r="P21" s="132">
        <f>IF(SER_hh_emi!P21=0,0,1000000*SER_hh_emi!P21/SER_hh_num!P21)</f>
        <v>11810.303365259279</v>
      </c>
      <c r="Q21" s="132">
        <f>IF(SER_hh_emi!Q21=0,0,1000000*SER_hh_emi!Q21/SER_hh_num!Q21)</f>
        <v>12557.982882689312</v>
      </c>
      <c r="R21" s="132">
        <f>IF(SER_hh_emi!R21=0,0,1000000*SER_hh_emi!R21/SER_hh_num!R21)</f>
        <v>10964.650552209165</v>
      </c>
      <c r="S21" s="132">
        <f>IF(SER_hh_emi!S21=0,0,1000000*SER_hh_emi!S21/SER_hh_num!S21)</f>
        <v>11770.900743930248</v>
      </c>
      <c r="T21" s="132">
        <f>IF(SER_hh_emi!T21=0,0,1000000*SER_hh_emi!T21/SER_hh_num!T21)</f>
        <v>13555.585239086025</v>
      </c>
      <c r="U21" s="132">
        <f>IF(SER_hh_emi!U21=0,0,1000000*SER_hh_emi!U21/SER_hh_num!U21)</f>
        <v>12741.379688831361</v>
      </c>
      <c r="V21" s="132">
        <f>IF(SER_hh_emi!V21=0,0,1000000*SER_hh_emi!V21/SER_hh_num!V21)</f>
        <v>9593.2764757417171</v>
      </c>
      <c r="W21" s="132">
        <f>IF(SER_hh_emi!W21=0,0,1000000*SER_hh_emi!W21/SER_hh_num!W21)</f>
        <v>10123.278724530559</v>
      </c>
      <c r="X21" s="132">
        <f>IF(SER_hh_emi!X21=0,0,1000000*SER_hh_emi!X21/SER_hh_num!X21)</f>
        <v>13200.6457176853</v>
      </c>
      <c r="Y21" s="132">
        <f>IF(SER_hh_emi!Y21=0,0,1000000*SER_hh_emi!Y21/SER_hh_num!Y21)</f>
        <v>8836.1494243612869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0</v>
      </c>
      <c r="C22" s="132">
        <f>IF(SER_hh_emi!C22=0,0,1000000*SER_hh_emi!C22/SER_hh_num!C22)</f>
        <v>0</v>
      </c>
      <c r="D22" s="132">
        <f>IF(SER_hh_emi!D22=0,0,1000000*SER_hh_emi!D22/SER_hh_num!D22)</f>
        <v>0</v>
      </c>
      <c r="E22" s="132">
        <f>IF(SER_hh_emi!E22=0,0,1000000*SER_hh_emi!E22/SER_hh_num!E22)</f>
        <v>0</v>
      </c>
      <c r="F22" s="132">
        <f>IF(SER_hh_emi!F22=0,0,1000000*SER_hh_emi!F22/SER_hh_num!F22)</f>
        <v>0</v>
      </c>
      <c r="G22" s="132">
        <f>IF(SER_hh_emi!G22=0,0,1000000*SER_hh_emi!G22/SER_hh_num!G22)</f>
        <v>0</v>
      </c>
      <c r="H22" s="132">
        <f>IF(SER_hh_emi!H22=0,0,1000000*SER_hh_emi!H22/SER_hh_num!H22)</f>
        <v>0</v>
      </c>
      <c r="I22" s="132">
        <f>IF(SER_hh_emi!I22=0,0,1000000*SER_hh_emi!I22/SER_hh_num!I22)</f>
        <v>0</v>
      </c>
      <c r="J22" s="132">
        <f>IF(SER_hh_emi!J22=0,0,1000000*SER_hh_emi!J22/SER_hh_num!J22)</f>
        <v>0</v>
      </c>
      <c r="K22" s="132">
        <f>IF(SER_hh_emi!K22=0,0,1000000*SER_hh_emi!K22/SER_hh_num!K22)</f>
        <v>0</v>
      </c>
      <c r="L22" s="132">
        <f>IF(SER_hh_emi!L22=0,0,1000000*SER_hh_emi!L22/SER_hh_num!L22)</f>
        <v>0</v>
      </c>
      <c r="M22" s="132">
        <f>IF(SER_hh_emi!M22=0,0,1000000*SER_hh_emi!M22/SER_hh_num!M22)</f>
        <v>0</v>
      </c>
      <c r="N22" s="132">
        <f>IF(SER_hh_emi!N22=0,0,1000000*SER_hh_emi!N22/SER_hh_num!N22)</f>
        <v>0</v>
      </c>
      <c r="O22" s="132">
        <f>IF(SER_hh_emi!O22=0,0,1000000*SER_hh_emi!O22/SER_hh_num!O22)</f>
        <v>0</v>
      </c>
      <c r="P22" s="132">
        <f>IF(SER_hh_emi!P22=0,0,1000000*SER_hh_emi!P22/SER_hh_num!P22)</f>
        <v>0</v>
      </c>
      <c r="Q22" s="132">
        <f>IF(SER_hh_emi!Q22=0,0,1000000*SER_hh_emi!Q22/SER_hh_num!Q22)</f>
        <v>0</v>
      </c>
      <c r="R22" s="132">
        <f>IF(SER_hh_emi!R22=0,0,1000000*SER_hh_emi!R22/SER_hh_num!R22)</f>
        <v>0</v>
      </c>
      <c r="S22" s="132">
        <f>IF(SER_hh_emi!S22=0,0,1000000*SER_hh_emi!S22/SER_hh_num!S22)</f>
        <v>0</v>
      </c>
      <c r="T22" s="132">
        <f>IF(SER_hh_emi!T22=0,0,1000000*SER_hh_emi!T22/SER_hh_num!T22)</f>
        <v>0</v>
      </c>
      <c r="U22" s="132">
        <f>IF(SER_hh_emi!U22=0,0,1000000*SER_hh_emi!U22/SER_hh_num!U22)</f>
        <v>0</v>
      </c>
      <c r="V22" s="132">
        <f>IF(SER_hh_emi!V22=0,0,1000000*SER_hh_emi!V22/SER_hh_num!V22)</f>
        <v>0</v>
      </c>
      <c r="W22" s="132">
        <f>IF(SER_hh_emi!W22=0,0,1000000*SER_hh_emi!W22/SER_hh_num!W22)</f>
        <v>0</v>
      </c>
      <c r="X22" s="132">
        <f>IF(SER_hh_emi!X22=0,0,1000000*SER_hh_emi!X22/SER_hh_num!X22)</f>
        <v>0</v>
      </c>
      <c r="Y22" s="132">
        <f>IF(SER_hh_emi!Y22=0,0,1000000*SER_hh_emi!Y22/SER_hh_num!Y22)</f>
        <v>0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0</v>
      </c>
      <c r="C23" s="132">
        <f>IF(SER_hh_emi!C23=0,0,1000000*SER_hh_emi!C23/SER_hh_num!C23)</f>
        <v>0</v>
      </c>
      <c r="D23" s="132">
        <f>IF(SER_hh_emi!D23=0,0,1000000*SER_hh_emi!D23/SER_hh_num!D23)</f>
        <v>0</v>
      </c>
      <c r="E23" s="132">
        <f>IF(SER_hh_emi!E23=0,0,1000000*SER_hh_emi!E23/SER_hh_num!E23)</f>
        <v>0</v>
      </c>
      <c r="F23" s="132">
        <f>IF(SER_hh_emi!F23=0,0,1000000*SER_hh_emi!F23/SER_hh_num!F23)</f>
        <v>0</v>
      </c>
      <c r="G23" s="132">
        <f>IF(SER_hh_emi!G23=0,0,1000000*SER_hh_emi!G23/SER_hh_num!G23)</f>
        <v>0</v>
      </c>
      <c r="H23" s="132">
        <f>IF(SER_hh_emi!H23=0,0,1000000*SER_hh_emi!H23/SER_hh_num!H23)</f>
        <v>0</v>
      </c>
      <c r="I23" s="132">
        <f>IF(SER_hh_emi!I23=0,0,1000000*SER_hh_emi!I23/SER_hh_num!I23)</f>
        <v>0</v>
      </c>
      <c r="J23" s="132">
        <f>IF(SER_hh_emi!J23=0,0,1000000*SER_hh_emi!J23/SER_hh_num!J23)</f>
        <v>0</v>
      </c>
      <c r="K23" s="132">
        <f>IF(SER_hh_emi!K23=0,0,1000000*SER_hh_emi!K23/SER_hh_num!K23)</f>
        <v>0</v>
      </c>
      <c r="L23" s="132">
        <f>IF(SER_hh_emi!L23=0,0,1000000*SER_hh_emi!L23/SER_hh_num!L23)</f>
        <v>0</v>
      </c>
      <c r="M23" s="132">
        <f>IF(SER_hh_emi!M23=0,0,1000000*SER_hh_emi!M23/SER_hh_num!M23)</f>
        <v>0</v>
      </c>
      <c r="N23" s="132">
        <f>IF(SER_hh_emi!N23=0,0,1000000*SER_hh_emi!N23/SER_hh_num!N23)</f>
        <v>0</v>
      </c>
      <c r="O23" s="132">
        <f>IF(SER_hh_emi!O23=0,0,1000000*SER_hh_emi!O23/SER_hh_num!O23)</f>
        <v>0</v>
      </c>
      <c r="P23" s="132">
        <f>IF(SER_hh_emi!P23=0,0,1000000*SER_hh_emi!P23/SER_hh_num!P23)</f>
        <v>0</v>
      </c>
      <c r="Q23" s="132">
        <f>IF(SER_hh_emi!Q23=0,0,1000000*SER_hh_emi!Q23/SER_hh_num!Q23)</f>
        <v>0</v>
      </c>
      <c r="R23" s="132">
        <f>IF(SER_hh_emi!R23=0,0,1000000*SER_hh_emi!R23/SER_hh_num!R23)</f>
        <v>0</v>
      </c>
      <c r="S23" s="132">
        <f>IF(SER_hh_emi!S23=0,0,1000000*SER_hh_emi!S23/SER_hh_num!S23)</f>
        <v>0</v>
      </c>
      <c r="T23" s="132">
        <f>IF(SER_hh_emi!T23=0,0,1000000*SER_hh_emi!T23/SER_hh_num!T23)</f>
        <v>0</v>
      </c>
      <c r="U23" s="132">
        <f>IF(SER_hh_emi!U23=0,0,1000000*SER_hh_emi!U23/SER_hh_num!U23)</f>
        <v>0</v>
      </c>
      <c r="V23" s="132">
        <f>IF(SER_hh_emi!V23=0,0,1000000*SER_hh_emi!V23/SER_hh_num!V23)</f>
        <v>0</v>
      </c>
      <c r="W23" s="132">
        <f>IF(SER_hh_emi!W23=0,0,1000000*SER_hh_emi!W23/SER_hh_num!W23)</f>
        <v>0</v>
      </c>
      <c r="X23" s="132">
        <f>IF(SER_hh_emi!X23=0,0,1000000*SER_hh_emi!X23/SER_hh_num!X23)</f>
        <v>0</v>
      </c>
      <c r="Y23" s="132">
        <f>IF(SER_hh_emi!Y23=0,0,1000000*SER_hh_emi!Y23/SER_hh_num!Y23)</f>
        <v>0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977.19997606065294</v>
      </c>
      <c r="C29" s="130">
        <f>IF(SER_hh_emi!C29=0,0,1000000*SER_hh_emi!C29/SER_hh_num!C29)</f>
        <v>908.94569092260906</v>
      </c>
      <c r="D29" s="130">
        <f>IF(SER_hh_emi!D29=0,0,1000000*SER_hh_emi!D29/SER_hh_num!D29)</f>
        <v>1116.5523492658574</v>
      </c>
      <c r="E29" s="130">
        <f>IF(SER_hh_emi!E29=0,0,1000000*SER_hh_emi!E29/SER_hh_num!E29)</f>
        <v>1067.662694744402</v>
      </c>
      <c r="F29" s="130">
        <f>IF(SER_hh_emi!F29=0,0,1000000*SER_hh_emi!F29/SER_hh_num!F29)</f>
        <v>1007.7027305588208</v>
      </c>
      <c r="G29" s="130">
        <f>IF(SER_hh_emi!G29=0,0,1000000*SER_hh_emi!G29/SER_hh_num!G29)</f>
        <v>1042.8362335664772</v>
      </c>
      <c r="H29" s="130">
        <f>IF(SER_hh_emi!H29=0,0,1000000*SER_hh_emi!H29/SER_hh_num!H29)</f>
        <v>1872.591905386131</v>
      </c>
      <c r="I29" s="130">
        <f>IF(SER_hh_emi!I29=0,0,1000000*SER_hh_emi!I29/SER_hh_num!I29)</f>
        <v>2239.3858980315708</v>
      </c>
      <c r="J29" s="130">
        <f>IF(SER_hh_emi!J29=0,0,1000000*SER_hh_emi!J29/SER_hh_num!J29)</f>
        <v>3117.6541131367621</v>
      </c>
      <c r="K29" s="130">
        <f>IF(SER_hh_emi!K29=0,0,1000000*SER_hh_emi!K29/SER_hh_num!K29)</f>
        <v>4708.7950624086225</v>
      </c>
      <c r="L29" s="130">
        <f>IF(SER_hh_emi!L29=0,0,1000000*SER_hh_emi!L29/SER_hh_num!L29)</f>
        <v>3593.4467305405351</v>
      </c>
      <c r="M29" s="130">
        <f>IF(SER_hh_emi!M29=0,0,1000000*SER_hh_emi!M29/SER_hh_num!M29)</f>
        <v>4080.9590478330074</v>
      </c>
      <c r="N29" s="130">
        <f>IF(SER_hh_emi!N29=0,0,1000000*SER_hh_emi!N29/SER_hh_num!N29)</f>
        <v>3742.1986713552096</v>
      </c>
      <c r="O29" s="130">
        <f>IF(SER_hh_emi!O29=0,0,1000000*SER_hh_emi!O29/SER_hh_num!O29)</f>
        <v>3623.6965983080058</v>
      </c>
      <c r="P29" s="130">
        <f>IF(SER_hh_emi!P29=0,0,1000000*SER_hh_emi!P29/SER_hh_num!P29)</f>
        <v>3504.8455940268727</v>
      </c>
      <c r="Q29" s="130">
        <f>IF(SER_hh_emi!Q29=0,0,1000000*SER_hh_emi!Q29/SER_hh_num!Q29)</f>
        <v>3963.9194795962567</v>
      </c>
      <c r="R29" s="130">
        <f>IF(SER_hh_emi!R29=0,0,1000000*SER_hh_emi!R29/SER_hh_num!R29)</f>
        <v>3297.1699707405651</v>
      </c>
      <c r="S29" s="130">
        <f>IF(SER_hh_emi!S29=0,0,1000000*SER_hh_emi!S29/SER_hh_num!S29)</f>
        <v>3950.9047284232984</v>
      </c>
      <c r="T29" s="130">
        <f>IF(SER_hh_emi!T29=0,0,1000000*SER_hh_emi!T29/SER_hh_num!T29)</f>
        <v>5006.0317708615266</v>
      </c>
      <c r="U29" s="130">
        <f>IF(SER_hh_emi!U29=0,0,1000000*SER_hh_emi!U29/SER_hh_num!U29)</f>
        <v>5142.7037135941864</v>
      </c>
      <c r="V29" s="130">
        <f>IF(SER_hh_emi!V29=0,0,1000000*SER_hh_emi!V29/SER_hh_num!V29)</f>
        <v>3350.8745487404976</v>
      </c>
      <c r="W29" s="130">
        <f>IF(SER_hh_emi!W29=0,0,1000000*SER_hh_emi!W29/SER_hh_num!W29)</f>
        <v>3594.4749697671627</v>
      </c>
      <c r="X29" s="130">
        <f>IF(SER_hh_emi!X29=0,0,1000000*SER_hh_emi!X29/SER_hh_num!X29)</f>
        <v>4556.5548621439639</v>
      </c>
      <c r="Y29" s="130">
        <f>IF(SER_hh_emi!Y29=0,0,1000000*SER_hh_emi!Y29/SER_hh_num!Y29)</f>
        <v>5152.4421950452561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17395.32202074823</v>
      </c>
      <c r="C30" s="132">
        <f>IF(SER_hh_emi!C30=0,0,1000000*SER_hh_emi!C30/SER_hh_num!C30)</f>
        <v>16210.550033679581</v>
      </c>
      <c r="D30" s="132">
        <f>IF(SER_hh_emi!D30=0,0,1000000*SER_hh_emi!D30/SER_hh_num!D30)</f>
        <v>19120.911768336642</v>
      </c>
      <c r="E30" s="132">
        <f>IF(SER_hh_emi!E30=0,0,1000000*SER_hh_emi!E30/SER_hh_num!E30)</f>
        <v>18333.410303288558</v>
      </c>
      <c r="F30" s="132">
        <f>IF(SER_hh_emi!F30=0,0,1000000*SER_hh_emi!F30/SER_hh_num!F30)</f>
        <v>15955.106892813821</v>
      </c>
      <c r="G30" s="132">
        <f>IF(SER_hh_emi!G30=0,0,1000000*SER_hh_emi!G30/SER_hh_num!G30)</f>
        <v>13942.810160080558</v>
      </c>
      <c r="H30" s="132">
        <f>IF(SER_hh_emi!H30=0,0,1000000*SER_hh_emi!H30/SER_hh_num!H30)</f>
        <v>17778.002839933273</v>
      </c>
      <c r="I30" s="132">
        <f>IF(SER_hh_emi!I30=0,0,1000000*SER_hh_emi!I30/SER_hh_num!I30)</f>
        <v>15346.075403520272</v>
      </c>
      <c r="J30" s="132">
        <f>IF(SER_hh_emi!J30=0,0,1000000*SER_hh_emi!J30/SER_hh_num!J30)</f>
        <v>16920.032779771333</v>
      </c>
      <c r="K30" s="132">
        <f>IF(SER_hh_emi!K30=0,0,1000000*SER_hh_emi!K30/SER_hh_num!K30)</f>
        <v>20894.923535196667</v>
      </c>
      <c r="L30" s="132">
        <f>IF(SER_hh_emi!L30=0,0,1000000*SER_hh_emi!L30/SER_hh_num!L30)</f>
        <v>15833.951195766302</v>
      </c>
      <c r="M30" s="132">
        <f>IF(SER_hh_emi!M30=0,0,1000000*SER_hh_emi!M30/SER_hh_num!M30)</f>
        <v>17764.157106248174</v>
      </c>
      <c r="N30" s="132">
        <f>IF(SER_hh_emi!N30=0,0,1000000*SER_hh_emi!N30/SER_hh_num!N30)</f>
        <v>17177.301577690319</v>
      </c>
      <c r="O30" s="132">
        <f>IF(SER_hh_emi!O30=0,0,1000000*SER_hh_emi!O30/SER_hh_num!O30)</f>
        <v>16651.350869939975</v>
      </c>
      <c r="P30" s="132">
        <f>IF(SER_hh_emi!P30=0,0,1000000*SER_hh_emi!P30/SER_hh_num!P30)</f>
        <v>16477.945641694641</v>
      </c>
      <c r="Q30" s="132">
        <f>IF(SER_hh_emi!Q30=0,0,1000000*SER_hh_emi!Q30/SER_hh_num!Q30)</f>
        <v>18199.121880898947</v>
      </c>
      <c r="R30" s="132">
        <f>IF(SER_hh_emi!R30=0,0,1000000*SER_hh_emi!R30/SER_hh_num!R30)</f>
        <v>14834.502724848046</v>
      </c>
      <c r="S30" s="132">
        <f>IF(SER_hh_emi!S30=0,0,1000000*SER_hh_emi!S30/SER_hh_num!S30)</f>
        <v>15916.960554268364</v>
      </c>
      <c r="T30" s="132">
        <f>IF(SER_hh_emi!T30=0,0,1000000*SER_hh_emi!T30/SER_hh_num!T30)</f>
        <v>18507.84520322406</v>
      </c>
      <c r="U30" s="132">
        <f>IF(SER_hh_emi!U30=0,0,1000000*SER_hh_emi!U30/SER_hh_num!U30)</f>
        <v>18843.309996274525</v>
      </c>
      <c r="V30" s="132">
        <f>IF(SER_hh_emi!V30=0,0,1000000*SER_hh_emi!V30/SER_hh_num!V30)</f>
        <v>12052.351980072644</v>
      </c>
      <c r="W30" s="132">
        <f>IF(SER_hh_emi!W30=0,0,1000000*SER_hh_emi!W30/SER_hh_num!W30)</f>
        <v>12853.669589688707</v>
      </c>
      <c r="X30" s="132">
        <f>IF(SER_hh_emi!X30=0,0,1000000*SER_hh_emi!X30/SER_hh_num!X30)</f>
        <v>15603.109715434295</v>
      </c>
      <c r="Y30" s="132">
        <f>IF(SER_hh_emi!Y30=0,0,1000000*SER_hh_emi!Y30/SER_hh_num!Y30)</f>
        <v>16921.770527925062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0</v>
      </c>
      <c r="C31" s="132">
        <f>IF(SER_hh_emi!C31=0,0,1000000*SER_hh_emi!C31/SER_hh_num!C31)</f>
        <v>0</v>
      </c>
      <c r="D31" s="132">
        <f>IF(SER_hh_emi!D31=0,0,1000000*SER_hh_emi!D31/SER_hh_num!D31)</f>
        <v>0</v>
      </c>
      <c r="E31" s="132">
        <f>IF(SER_hh_emi!E31=0,0,1000000*SER_hh_emi!E31/SER_hh_num!E31)</f>
        <v>0</v>
      </c>
      <c r="F31" s="132">
        <f>IF(SER_hh_emi!F31=0,0,1000000*SER_hh_emi!F31/SER_hh_num!F31)</f>
        <v>0</v>
      </c>
      <c r="G31" s="132">
        <f>IF(SER_hh_emi!G31=0,0,1000000*SER_hh_emi!G31/SER_hh_num!G31)</f>
        <v>0</v>
      </c>
      <c r="H31" s="132">
        <f>IF(SER_hh_emi!H31=0,0,1000000*SER_hh_emi!H31/SER_hh_num!H31)</f>
        <v>0</v>
      </c>
      <c r="I31" s="132">
        <f>IF(SER_hh_emi!I31=0,0,1000000*SER_hh_emi!I31/SER_hh_num!I31)</f>
        <v>0</v>
      </c>
      <c r="J31" s="132">
        <f>IF(SER_hh_emi!J31=0,0,1000000*SER_hh_emi!J31/SER_hh_num!J31)</f>
        <v>0</v>
      </c>
      <c r="K31" s="132">
        <f>IF(SER_hh_emi!K31=0,0,1000000*SER_hh_emi!K31/SER_hh_num!K31)</f>
        <v>0</v>
      </c>
      <c r="L31" s="132">
        <f>IF(SER_hh_emi!L31=0,0,1000000*SER_hh_emi!L31/SER_hh_num!L31)</f>
        <v>0</v>
      </c>
      <c r="M31" s="132">
        <f>IF(SER_hh_emi!M31=0,0,1000000*SER_hh_emi!M31/SER_hh_num!M31)</f>
        <v>0</v>
      </c>
      <c r="N31" s="132">
        <f>IF(SER_hh_emi!N31=0,0,1000000*SER_hh_emi!N31/SER_hh_num!N31)</f>
        <v>0</v>
      </c>
      <c r="O31" s="132">
        <f>IF(SER_hh_emi!O31=0,0,1000000*SER_hh_emi!O31/SER_hh_num!O31)</f>
        <v>0</v>
      </c>
      <c r="P31" s="132">
        <f>IF(SER_hh_emi!P31=0,0,1000000*SER_hh_emi!P31/SER_hh_num!P31)</f>
        <v>0</v>
      </c>
      <c r="Q31" s="132">
        <f>IF(SER_hh_emi!Q31=0,0,1000000*SER_hh_emi!Q31/SER_hh_num!Q31)</f>
        <v>0</v>
      </c>
      <c r="R31" s="132">
        <f>IF(SER_hh_emi!R31=0,0,1000000*SER_hh_emi!R31/SER_hh_num!R31)</f>
        <v>0</v>
      </c>
      <c r="S31" s="132">
        <f>IF(SER_hh_emi!S31=0,0,1000000*SER_hh_emi!S31/SER_hh_num!S31)</f>
        <v>0</v>
      </c>
      <c r="T31" s="132">
        <f>IF(SER_hh_emi!T31=0,0,1000000*SER_hh_emi!T31/SER_hh_num!T31)</f>
        <v>0</v>
      </c>
      <c r="U31" s="132">
        <f>IF(SER_hh_emi!U31=0,0,1000000*SER_hh_emi!U31/SER_hh_num!U31)</f>
        <v>0</v>
      </c>
      <c r="V31" s="132">
        <f>IF(SER_hh_emi!V31=0,0,1000000*SER_hh_emi!V31/SER_hh_num!V31)</f>
        <v>0</v>
      </c>
      <c r="W31" s="132">
        <f>IF(SER_hh_emi!W31=0,0,1000000*SER_hh_emi!W31/SER_hh_num!W31)</f>
        <v>0</v>
      </c>
      <c r="X31" s="132">
        <f>IF(SER_hh_emi!X31=0,0,1000000*SER_hh_emi!X31/SER_hh_num!X31)</f>
        <v>0</v>
      </c>
      <c r="Y31" s="132">
        <f>IF(SER_hh_emi!Y31=0,0,1000000*SER_hh_emi!Y31/SER_hh_num!Y31)</f>
        <v>0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267.71253822313679</v>
      </c>
      <c r="C3" s="125">
        <f>IF(SER_hh_fech!C3=0,0,SER_hh_fech!C3/SER_summary!C$26)</f>
        <v>270.59575301315681</v>
      </c>
      <c r="D3" s="125">
        <f>IF(SER_hh_fech!D3=0,0,SER_hh_fech!D3/SER_summary!D$26)</f>
        <v>287.30804079993379</v>
      </c>
      <c r="E3" s="125">
        <f>IF(SER_hh_fech!E3=0,0,SER_hh_fech!E3/SER_summary!E$26)</f>
        <v>317.09118764262388</v>
      </c>
      <c r="F3" s="125">
        <f>IF(SER_hh_fech!F3=0,0,SER_hh_fech!F3/SER_summary!F$26)</f>
        <v>318.45271284020686</v>
      </c>
      <c r="G3" s="125">
        <f>IF(SER_hh_fech!G3=0,0,SER_hh_fech!G3/SER_summary!G$26)</f>
        <v>338.6063209368163</v>
      </c>
      <c r="H3" s="125">
        <f>IF(SER_hh_fech!H3=0,0,SER_hh_fech!H3/SER_summary!H$26)</f>
        <v>283.40995646858556</v>
      </c>
      <c r="I3" s="125">
        <f>IF(SER_hh_fech!I3=0,0,SER_hh_fech!I3/SER_summary!I$26)</f>
        <v>285.15971320657843</v>
      </c>
      <c r="J3" s="125">
        <f>IF(SER_hh_fech!J3=0,0,SER_hh_fech!J3/SER_summary!J$26)</f>
        <v>259.16619939376278</v>
      </c>
      <c r="K3" s="125">
        <f>IF(SER_hh_fech!K3=0,0,SER_hh_fech!K3/SER_summary!K$26)</f>
        <v>229.80040172455514</v>
      </c>
      <c r="L3" s="125">
        <f>IF(SER_hh_fech!L3=0,0,SER_hh_fech!L3/SER_summary!L$26)</f>
        <v>326.15130870414055</v>
      </c>
      <c r="M3" s="125">
        <f>IF(SER_hh_fech!M3=0,0,SER_hh_fech!M3/SER_summary!M$26)</f>
        <v>303.62398612178072</v>
      </c>
      <c r="N3" s="125">
        <f>IF(SER_hh_fech!N3=0,0,SER_hh_fech!N3/SER_summary!N$26)</f>
        <v>339.75959849925545</v>
      </c>
      <c r="O3" s="125">
        <f>IF(SER_hh_fech!O3=0,0,SER_hh_fech!O3/SER_summary!O$26)</f>
        <v>345.79461386303547</v>
      </c>
      <c r="P3" s="125">
        <f>IF(SER_hh_fech!P3=0,0,SER_hh_fech!P3/SER_summary!P$26)</f>
        <v>355.26559822672476</v>
      </c>
      <c r="Q3" s="125">
        <f>IF(SER_hh_fech!Q3=0,0,SER_hh_fech!Q3/SER_summary!Q$26)</f>
        <v>382.9659892972943</v>
      </c>
      <c r="R3" s="125">
        <f>IF(SER_hh_fech!R3=0,0,SER_hh_fech!R3/SER_summary!R$26)</f>
        <v>358.72629658001074</v>
      </c>
      <c r="S3" s="125">
        <f>IF(SER_hh_fech!S3=0,0,SER_hh_fech!S3/SER_summary!S$26)</f>
        <v>364.61548481393908</v>
      </c>
      <c r="T3" s="125">
        <f>IF(SER_hh_fech!T3=0,0,SER_hh_fech!T3/SER_summary!T$26)</f>
        <v>321.06105271854909</v>
      </c>
      <c r="U3" s="125">
        <f>IF(SER_hh_fech!U3=0,0,SER_hh_fech!U3/SER_summary!U$26)</f>
        <v>319.35698345668283</v>
      </c>
      <c r="V3" s="125">
        <f>IF(SER_hh_fech!V3=0,0,SER_hh_fech!V3/SER_summary!V$26)</f>
        <v>259.29895953080535</v>
      </c>
      <c r="W3" s="125">
        <f>IF(SER_hh_fech!W3=0,0,SER_hh_fech!W3/SER_summary!W$26)</f>
        <v>269.11174154617163</v>
      </c>
      <c r="X3" s="125">
        <f>IF(SER_hh_fech!X3=0,0,SER_hh_fech!X3/SER_summary!X$26)</f>
        <v>306.90705662306112</v>
      </c>
      <c r="Y3" s="125">
        <f>IF(SER_hh_fech!Y3=0,0,SER_hh_fech!Y3/SER_summary!Y$26)</f>
        <v>296.10205361019865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120.92085494084907</v>
      </c>
      <c r="C4" s="130">
        <f>IF(SER_hh_fech!C4=0,0,SER_hh_fech!C4/SER_summary!C$26)</f>
        <v>123.78883700470257</v>
      </c>
      <c r="D4" s="130">
        <f>IF(SER_hh_fech!D4=0,0,SER_hh_fech!D4/SER_summary!D$26)</f>
        <v>143.32315911301828</v>
      </c>
      <c r="E4" s="130">
        <f>IF(SER_hh_fech!E4=0,0,SER_hh_fech!E4/SER_summary!E$26)</f>
        <v>161.37499589153381</v>
      </c>
      <c r="F4" s="130">
        <f>IF(SER_hh_fech!F4=0,0,SER_hh_fech!F4/SER_summary!F$26)</f>
        <v>174.93229199578346</v>
      </c>
      <c r="G4" s="130">
        <f>IF(SER_hh_fech!G4=0,0,SER_hh_fech!G4/SER_summary!G$26)</f>
        <v>198.96865156992854</v>
      </c>
      <c r="H4" s="130">
        <f>IF(SER_hh_fech!H4=0,0,SER_hh_fech!H4/SER_summary!H$26)</f>
        <v>137.55308677163259</v>
      </c>
      <c r="I4" s="130">
        <f>IF(SER_hh_fech!I4=0,0,SER_hh_fech!I4/SER_summary!I$26)</f>
        <v>140.40172856683205</v>
      </c>
      <c r="J4" s="130">
        <f>IF(SER_hh_fech!J4=0,0,SER_hh_fech!J4/SER_summary!J$26)</f>
        <v>121.34643178705932</v>
      </c>
      <c r="K4" s="130">
        <f>IF(SER_hh_fech!K4=0,0,SER_hh_fech!K4/SER_summary!K$26)</f>
        <v>88.08521168965207</v>
      </c>
      <c r="L4" s="130">
        <f>IF(SER_hh_fech!L4=0,0,SER_hh_fech!L4/SER_summary!L$26)</f>
        <v>187.32586019880753</v>
      </c>
      <c r="M4" s="130">
        <f>IF(SER_hh_fech!M4=0,0,SER_hh_fech!M4/SER_summary!M$26)</f>
        <v>163.10202915213713</v>
      </c>
      <c r="N4" s="130">
        <f>IF(SER_hh_fech!N4=0,0,SER_hh_fech!N4/SER_summary!N$26)</f>
        <v>191.77023303821179</v>
      </c>
      <c r="O4" s="130">
        <f>IF(SER_hh_fech!O4=0,0,SER_hh_fech!O4/SER_summary!O$26)</f>
        <v>206.63580251766996</v>
      </c>
      <c r="P4" s="130">
        <f>IF(SER_hh_fech!P4=0,0,SER_hh_fech!P4/SER_summary!P$26)</f>
        <v>216.53713511045029</v>
      </c>
      <c r="Q4" s="130">
        <f>IF(SER_hh_fech!Q4=0,0,SER_hh_fech!Q4/SER_summary!Q$26)</f>
        <v>243.80501625721325</v>
      </c>
      <c r="R4" s="130">
        <f>IF(SER_hh_fech!R4=0,0,SER_hh_fech!R4/SER_summary!R$26)</f>
        <v>225.11281287285149</v>
      </c>
      <c r="S4" s="130">
        <f>IF(SER_hh_fech!S4=0,0,SER_hh_fech!S4/SER_summary!S$26)</f>
        <v>230.01032308530392</v>
      </c>
      <c r="T4" s="130">
        <f>IF(SER_hh_fech!T4=0,0,SER_hh_fech!T4/SER_summary!T$26)</f>
        <v>188.30874884290316</v>
      </c>
      <c r="U4" s="130">
        <f>IF(SER_hh_fech!U4=0,0,SER_hh_fech!U4/SER_summary!U$26)</f>
        <v>181.2174143285628</v>
      </c>
      <c r="V4" s="130">
        <f>IF(SER_hh_fech!V4=0,0,SER_hh_fech!V4/SER_summary!V$26)</f>
        <v>137.03587050308883</v>
      </c>
      <c r="W4" s="130">
        <f>IF(SER_hh_fech!W4=0,0,SER_hh_fech!W4/SER_summary!W$26)</f>
        <v>140.48505298820012</v>
      </c>
      <c r="X4" s="130">
        <f>IF(SER_hh_fech!X4=0,0,SER_hh_fech!X4/SER_summary!X$26)</f>
        <v>176.0756052426654</v>
      </c>
      <c r="Y4" s="130">
        <f>IF(SER_hh_fech!Y4=0,0,SER_hh_fech!Y4/SER_summary!Y$26)</f>
        <v>165.21074472933665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0</v>
      </c>
      <c r="C5" s="132">
        <f>IF(SER_hh_fech!C5=0,0,SER_hh_fech!C5/SER_summary!C$26)</f>
        <v>0</v>
      </c>
      <c r="D5" s="132">
        <f>IF(SER_hh_fech!D5=0,0,SER_hh_fech!D5/SER_summary!D$26)</f>
        <v>0</v>
      </c>
      <c r="E5" s="132">
        <f>IF(SER_hh_fech!E5=0,0,SER_hh_fech!E5/SER_summary!E$26)</f>
        <v>0</v>
      </c>
      <c r="F5" s="132">
        <f>IF(SER_hh_fech!F5=0,0,SER_hh_fech!F5/SER_summary!F$26)</f>
        <v>0</v>
      </c>
      <c r="G5" s="132">
        <f>IF(SER_hh_fech!G5=0,0,SER_hh_fech!G5/SER_summary!G$26)</f>
        <v>0</v>
      </c>
      <c r="H5" s="132">
        <f>IF(SER_hh_fech!H5=0,0,SER_hh_fech!H5/SER_summary!H$26)</f>
        <v>0</v>
      </c>
      <c r="I5" s="132">
        <f>IF(SER_hh_fech!I5=0,0,SER_hh_fech!I5/SER_summary!I$26)</f>
        <v>0</v>
      </c>
      <c r="J5" s="132">
        <f>IF(SER_hh_fech!J5=0,0,SER_hh_fech!J5/SER_summary!J$26)</f>
        <v>0</v>
      </c>
      <c r="K5" s="132">
        <f>IF(SER_hh_fech!K5=0,0,SER_hh_fech!K5/SER_summary!K$26)</f>
        <v>0</v>
      </c>
      <c r="L5" s="132">
        <f>IF(SER_hh_fech!L5=0,0,SER_hh_fech!L5/SER_summary!L$26)</f>
        <v>0</v>
      </c>
      <c r="M5" s="132">
        <f>IF(SER_hh_fech!M5=0,0,SER_hh_fech!M5/SER_summary!M$26)</f>
        <v>0</v>
      </c>
      <c r="N5" s="132">
        <f>IF(SER_hh_fech!N5=0,0,SER_hh_fech!N5/SER_summary!N$26)</f>
        <v>0</v>
      </c>
      <c r="O5" s="132">
        <f>IF(SER_hh_fech!O5=0,0,SER_hh_fech!O5/SER_summary!O$26)</f>
        <v>0</v>
      </c>
      <c r="P5" s="132">
        <f>IF(SER_hh_fech!P5=0,0,SER_hh_fech!P5/SER_summary!P$26)</f>
        <v>0</v>
      </c>
      <c r="Q5" s="132">
        <f>IF(SER_hh_fech!Q5=0,0,SER_hh_fech!Q5/SER_summary!Q$26)</f>
        <v>0</v>
      </c>
      <c r="R5" s="132">
        <f>IF(SER_hh_fech!R5=0,0,SER_hh_fech!R5/SER_summary!R$26)</f>
        <v>0</v>
      </c>
      <c r="S5" s="132">
        <f>IF(SER_hh_fech!S5=0,0,SER_hh_fech!S5/SER_summary!S$26)</f>
        <v>0</v>
      </c>
      <c r="T5" s="132">
        <f>IF(SER_hh_fech!T5=0,0,SER_hh_fech!T5/SER_summary!T$26)</f>
        <v>0</v>
      </c>
      <c r="U5" s="132">
        <f>IF(SER_hh_fech!U5=0,0,SER_hh_fech!U5/SER_summary!U$26)</f>
        <v>0</v>
      </c>
      <c r="V5" s="132">
        <f>IF(SER_hh_fech!V5=0,0,SER_hh_fech!V5/SER_summary!V$26)</f>
        <v>0</v>
      </c>
      <c r="W5" s="132">
        <f>IF(SER_hh_fech!W5=0,0,SER_hh_fech!W5/SER_summary!W$26)</f>
        <v>0</v>
      </c>
      <c r="X5" s="132">
        <f>IF(SER_hh_fech!X5=0,0,SER_hh_fech!X5/SER_summary!X$26)</f>
        <v>0</v>
      </c>
      <c r="Y5" s="132">
        <f>IF(SER_hh_fech!Y5=0,0,SER_hh_fech!Y5/SER_summary!Y$26)</f>
        <v>0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126.28818223865473</v>
      </c>
      <c r="C6" s="132">
        <f>IF(SER_hh_fech!C6=0,0,SER_hh_fech!C6/SER_summary!C$26)</f>
        <v>133.73525062719446</v>
      </c>
      <c r="D6" s="132">
        <f>IF(SER_hh_fech!D6=0,0,SER_hh_fech!D6/SER_summary!D$26)</f>
        <v>136.46666745290563</v>
      </c>
      <c r="E6" s="132">
        <f>IF(SER_hh_fech!E6=0,0,SER_hh_fech!E6/SER_summary!E$26)</f>
        <v>154.725319094865</v>
      </c>
      <c r="F6" s="132">
        <f>IF(SER_hh_fech!F6=0,0,SER_hh_fech!F6/SER_summary!F$26)</f>
        <v>162.15459840331991</v>
      </c>
      <c r="G6" s="132">
        <f>IF(SER_hh_fech!G6=0,0,SER_hh_fech!G6/SER_summary!G$26)</f>
        <v>140.34920306077726</v>
      </c>
      <c r="H6" s="132">
        <f>IF(SER_hh_fech!H6=0,0,SER_hh_fech!H6/SER_summary!H$26)</f>
        <v>161.64823568803834</v>
      </c>
      <c r="I6" s="132">
        <f>IF(SER_hh_fech!I6=0,0,SER_hh_fech!I6/SER_summary!I$26)</f>
        <v>181.82001111397147</v>
      </c>
      <c r="J6" s="132">
        <f>IF(SER_hh_fech!J6=0,0,SER_hh_fech!J6/SER_summary!J$26)</f>
        <v>97.542721244569606</v>
      </c>
      <c r="K6" s="132">
        <f>IF(SER_hh_fech!K6=0,0,SER_hh_fech!K6/SER_summary!K$26)</f>
        <v>50.947591176731251</v>
      </c>
      <c r="L6" s="132">
        <f>IF(SER_hh_fech!L6=0,0,SER_hh_fech!L6/SER_summary!L$26)</f>
        <v>230.66670476418517</v>
      </c>
      <c r="M6" s="132">
        <f>IF(SER_hh_fech!M6=0,0,SER_hh_fech!M6/SER_summary!M$26)</f>
        <v>176.14275870776601</v>
      </c>
      <c r="N6" s="132">
        <f>IF(SER_hh_fech!N6=0,0,SER_hh_fech!N6/SER_summary!N$26)</f>
        <v>217.24084554126276</v>
      </c>
      <c r="O6" s="132">
        <f>IF(SER_hh_fech!O6=0,0,SER_hh_fech!O6/SER_summary!O$26)</f>
        <v>168.96572175932133</v>
      </c>
      <c r="P6" s="132">
        <f>IF(SER_hh_fech!P6=0,0,SER_hh_fech!P6/SER_summary!P$26)</f>
        <v>178.63917290252456</v>
      </c>
      <c r="Q6" s="132">
        <f>IF(SER_hh_fech!Q6=0,0,SER_hh_fech!Q6/SER_summary!Q$26)</f>
        <v>214.57112309697686</v>
      </c>
      <c r="R6" s="132">
        <f>IF(SER_hh_fech!R6=0,0,SER_hh_fech!R6/SER_summary!R$26)</f>
        <v>179.26991959245436</v>
      </c>
      <c r="S6" s="132">
        <f>IF(SER_hh_fech!S6=0,0,SER_hh_fech!S6/SER_summary!S$26)</f>
        <v>193.79144525399812</v>
      </c>
      <c r="T6" s="132">
        <f>IF(SER_hh_fech!T6=0,0,SER_hh_fech!T6/SER_summary!T$26)</f>
        <v>221.84856622917226</v>
      </c>
      <c r="U6" s="132">
        <f>IF(SER_hh_fech!U6=0,0,SER_hh_fech!U6/SER_summary!U$26)</f>
        <v>200.1169959672844</v>
      </c>
      <c r="V6" s="132">
        <f>IF(SER_hh_fech!V6=0,0,SER_hh_fech!V6/SER_summary!V$26)</f>
        <v>148.77964076677625</v>
      </c>
      <c r="W6" s="132">
        <f>IF(SER_hh_fech!W6=0,0,SER_hh_fech!W6/SER_summary!W$26)</f>
        <v>174.59956801061657</v>
      </c>
      <c r="X6" s="132">
        <f>IF(SER_hh_fech!X6=0,0,SER_hh_fech!X6/SER_summary!X$26)</f>
        <v>201.61039502977152</v>
      </c>
      <c r="Y6" s="132">
        <f>IF(SER_hh_fech!Y6=0,0,SER_hh_fech!Y6/SER_summary!Y$26)</f>
        <v>176.19806809215746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123.63474062889595</v>
      </c>
      <c r="C7" s="132">
        <f>IF(SER_hh_fech!C7=0,0,SER_hh_fech!C7/SER_summary!C$26)</f>
        <v>120.73982591375849</v>
      </c>
      <c r="D7" s="132">
        <f>IF(SER_hh_fech!D7=0,0,SER_hh_fech!D7/SER_summary!D$26)</f>
        <v>138.85143342738053</v>
      </c>
      <c r="E7" s="132">
        <f>IF(SER_hh_fech!E7=0,0,SER_hh_fech!E7/SER_summary!E$26)</f>
        <v>172.08910819157484</v>
      </c>
      <c r="F7" s="132">
        <f>IF(SER_hh_fech!F7=0,0,SER_hh_fech!F7/SER_summary!F$26)</f>
        <v>196.28770157429082</v>
      </c>
      <c r="G7" s="132">
        <f>IF(SER_hh_fech!G7=0,0,SER_hh_fech!G7/SER_summary!G$26)</f>
        <v>171.33995413500696</v>
      </c>
      <c r="H7" s="132">
        <f>IF(SER_hh_fech!H7=0,0,SER_hh_fech!H7/SER_summary!H$26)</f>
        <v>135.15010403633457</v>
      </c>
      <c r="I7" s="132">
        <f>IF(SER_hh_fech!I7=0,0,SER_hh_fech!I7/SER_summary!I$26)</f>
        <v>148.23979685457709</v>
      </c>
      <c r="J7" s="132">
        <f>IF(SER_hh_fech!J7=0,0,SER_hh_fech!J7/SER_summary!J$26)</f>
        <v>136.32679545687617</v>
      </c>
      <c r="K7" s="132">
        <f>IF(SER_hh_fech!K7=0,0,SER_hh_fech!K7/SER_summary!K$26)</f>
        <v>102.89055959317523</v>
      </c>
      <c r="L7" s="132">
        <f>IF(SER_hh_fech!L7=0,0,SER_hh_fech!L7/SER_summary!L$26)</f>
        <v>189.37609507876263</v>
      </c>
      <c r="M7" s="132">
        <f>IF(SER_hh_fech!M7=0,0,SER_hh_fech!M7/SER_summary!M$26)</f>
        <v>111.05100209073369</v>
      </c>
      <c r="N7" s="132">
        <f>IF(SER_hh_fech!N7=0,0,SER_hh_fech!N7/SER_summary!N$26)</f>
        <v>180.34803312101556</v>
      </c>
      <c r="O7" s="132">
        <f>IF(SER_hh_fech!O7=0,0,SER_hh_fech!O7/SER_summary!O$26)</f>
        <v>228.96256648777418</v>
      </c>
      <c r="P7" s="132">
        <f>IF(SER_hh_fech!P7=0,0,SER_hh_fech!P7/SER_summary!P$26)</f>
        <v>229.02202205729219</v>
      </c>
      <c r="Q7" s="132">
        <f>IF(SER_hh_fech!Q7=0,0,SER_hh_fech!Q7/SER_summary!Q$26)</f>
        <v>269.59648050784733</v>
      </c>
      <c r="R7" s="132">
        <f>IF(SER_hh_fech!R7=0,0,SER_hh_fech!R7/SER_summary!R$26)</f>
        <v>264.15787054717629</v>
      </c>
      <c r="S7" s="132">
        <f>IF(SER_hh_fech!S7=0,0,SER_hh_fech!S7/SER_summary!S$26)</f>
        <v>258.94774483604112</v>
      </c>
      <c r="T7" s="132">
        <f>IF(SER_hh_fech!T7=0,0,SER_hh_fech!T7/SER_summary!T$26)</f>
        <v>171.99509279856395</v>
      </c>
      <c r="U7" s="132">
        <f>IF(SER_hh_fech!U7=0,0,SER_hh_fech!U7/SER_summary!U$26)</f>
        <v>187.76719967196354</v>
      </c>
      <c r="V7" s="132">
        <f>IF(SER_hh_fech!V7=0,0,SER_hh_fech!V7/SER_summary!V$26)</f>
        <v>165.39505141246889</v>
      </c>
      <c r="W7" s="132">
        <f>IF(SER_hh_fech!W7=0,0,SER_hh_fech!W7/SER_summary!W$26)</f>
        <v>177.38791302633859</v>
      </c>
      <c r="X7" s="132">
        <f>IF(SER_hh_fech!X7=0,0,SER_hh_fech!X7/SER_summary!X$26)</f>
        <v>223.42111443148363</v>
      </c>
      <c r="Y7" s="132">
        <f>IF(SER_hh_fech!Y7=0,0,SER_hh_fech!Y7/SER_summary!Y$26)</f>
        <v>190.1500723424472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0</v>
      </c>
      <c r="S8" s="132">
        <f>IF(SER_hh_fech!S8=0,0,SER_hh_fech!S8/SER_summary!S$26)</f>
        <v>0</v>
      </c>
      <c r="T8" s="132">
        <f>IF(SER_hh_fech!T8=0,0,SER_hh_fech!T8/SER_summary!T$26)</f>
        <v>0</v>
      </c>
      <c r="U8" s="132">
        <f>IF(SER_hh_fech!U8=0,0,SER_hh_fech!U8/SER_summary!U$26)</f>
        <v>0</v>
      </c>
      <c r="V8" s="132">
        <f>IF(SER_hh_fech!V8=0,0,SER_hh_fech!V8/SER_summary!V$26)</f>
        <v>0</v>
      </c>
      <c r="W8" s="132">
        <f>IF(SER_hh_fech!W8=0,0,SER_hh_fech!W8/SER_summary!W$26)</f>
        <v>0</v>
      </c>
      <c r="X8" s="132">
        <f>IF(SER_hh_fech!X8=0,0,SER_hh_fech!X8/SER_summary!X$26)</f>
        <v>0</v>
      </c>
      <c r="Y8" s="132">
        <f>IF(SER_hh_fech!Y8=0,0,SER_hh_fech!Y8/SER_summary!Y$26)</f>
        <v>0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0</v>
      </c>
      <c r="C9" s="132">
        <f>IF(SER_hh_fech!C9=0,0,SER_hh_fech!C9/SER_summary!C$26)</f>
        <v>0</v>
      </c>
      <c r="D9" s="132">
        <f>IF(SER_hh_fech!D9=0,0,SER_hh_fech!D9/SER_summary!D$26)</f>
        <v>0</v>
      </c>
      <c r="E9" s="132">
        <f>IF(SER_hh_fech!E9=0,0,SER_hh_fech!E9/SER_summary!E$26)</f>
        <v>0</v>
      </c>
      <c r="F9" s="132">
        <f>IF(SER_hh_fech!F9=0,0,SER_hh_fech!F9/SER_summary!F$26)</f>
        <v>0</v>
      </c>
      <c r="G9" s="132">
        <f>IF(SER_hh_fech!G9=0,0,SER_hh_fech!G9/SER_summary!G$26)</f>
        <v>0</v>
      </c>
      <c r="H9" s="132">
        <f>IF(SER_hh_fech!H9=0,0,SER_hh_fech!H9/SER_summary!H$26)</f>
        <v>0</v>
      </c>
      <c r="I9" s="132">
        <f>IF(SER_hh_fech!I9=0,0,SER_hh_fech!I9/SER_summary!I$26)</f>
        <v>0</v>
      </c>
      <c r="J9" s="132">
        <f>IF(SER_hh_fech!J9=0,0,SER_hh_fech!J9/SER_summary!J$26)</f>
        <v>0</v>
      </c>
      <c r="K9" s="132">
        <f>IF(SER_hh_fech!K9=0,0,SER_hh_fech!K9/SER_summary!K$26)</f>
        <v>0</v>
      </c>
      <c r="L9" s="132">
        <f>IF(SER_hh_fech!L9=0,0,SER_hh_fech!L9/SER_summary!L$26)</f>
        <v>0</v>
      </c>
      <c r="M9" s="132">
        <f>IF(SER_hh_fech!M9=0,0,SER_hh_fech!M9/SER_summary!M$26)</f>
        <v>182.94007773682517</v>
      </c>
      <c r="N9" s="132">
        <f>IF(SER_hh_fech!N9=0,0,SER_hh_fech!N9/SER_summary!N$26)</f>
        <v>208.29113849246491</v>
      </c>
      <c r="O9" s="132">
        <f>IF(SER_hh_fech!O9=0,0,SER_hh_fech!O9/SER_summary!O$26)</f>
        <v>151.26184977721169</v>
      </c>
      <c r="P9" s="132">
        <f>IF(SER_hh_fech!P9=0,0,SER_hh_fech!P9/SER_summary!P$26)</f>
        <v>180.71893932592735</v>
      </c>
      <c r="Q9" s="132">
        <f>IF(SER_hh_fech!Q9=0,0,SER_hh_fech!Q9/SER_summary!Q$26)</f>
        <v>179.95270313674646</v>
      </c>
      <c r="R9" s="132">
        <f>IF(SER_hh_fech!R9=0,0,SER_hh_fech!R9/SER_summary!R$26)</f>
        <v>218.49516832909444</v>
      </c>
      <c r="S9" s="132">
        <f>IF(SER_hh_fech!S9=0,0,SER_hh_fech!S9/SER_summary!S$26)</f>
        <v>179.37765209645107</v>
      </c>
      <c r="T9" s="132">
        <f>IF(SER_hh_fech!T9=0,0,SER_hh_fech!T9/SER_summary!T$26)</f>
        <v>141.08009746420595</v>
      </c>
      <c r="U9" s="132">
        <f>IF(SER_hh_fech!U9=0,0,SER_hh_fech!U9/SER_summary!U$26)</f>
        <v>198.11793939492847</v>
      </c>
      <c r="V9" s="132">
        <f>IF(SER_hh_fech!V9=0,0,SER_hh_fech!V9/SER_summary!V$26)</f>
        <v>151.61927210963313</v>
      </c>
      <c r="W9" s="132">
        <f>IF(SER_hh_fech!W9=0,0,SER_hh_fech!W9/SER_summary!W$26)</f>
        <v>114.88107516408968</v>
      </c>
      <c r="X9" s="132">
        <f>IF(SER_hh_fech!X9=0,0,SER_hh_fech!X9/SER_summary!X$26)</f>
        <v>183.68634601291458</v>
      </c>
      <c r="Y9" s="132">
        <f>IF(SER_hh_fech!Y9=0,0,SER_hh_fech!Y9/SER_summary!Y$26)</f>
        <v>177.86333927317432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0</v>
      </c>
      <c r="C10" s="132">
        <f>IF(SER_hh_fech!C10=0,0,SER_hh_fech!C10/SER_summary!C$26)</f>
        <v>0</v>
      </c>
      <c r="D10" s="132">
        <f>IF(SER_hh_fech!D10=0,0,SER_hh_fech!D10/SER_summary!D$26)</f>
        <v>0</v>
      </c>
      <c r="E10" s="132">
        <f>IF(SER_hh_fech!E10=0,0,SER_hh_fech!E10/SER_summary!E$26)</f>
        <v>0</v>
      </c>
      <c r="F10" s="132">
        <f>IF(SER_hh_fech!F10=0,0,SER_hh_fech!F10/SER_summary!F$26)</f>
        <v>0</v>
      </c>
      <c r="G10" s="132">
        <f>IF(SER_hh_fech!G10=0,0,SER_hh_fech!G10/SER_summary!G$26)</f>
        <v>0</v>
      </c>
      <c r="H10" s="132">
        <f>IF(SER_hh_fech!H10=0,0,SER_hh_fech!H10/SER_summary!H$26)</f>
        <v>0</v>
      </c>
      <c r="I10" s="132">
        <f>IF(SER_hh_fech!I10=0,0,SER_hh_fech!I10/SER_summary!I$26)</f>
        <v>0</v>
      </c>
      <c r="J10" s="132">
        <f>IF(SER_hh_fech!J10=0,0,SER_hh_fech!J10/SER_summary!J$26)</f>
        <v>0</v>
      </c>
      <c r="K10" s="132">
        <f>IF(SER_hh_fech!K10=0,0,SER_hh_fech!K10/SER_summary!K$26)</f>
        <v>0</v>
      </c>
      <c r="L10" s="132">
        <f>IF(SER_hh_fech!L10=0,0,SER_hh_fech!L10/SER_summary!L$26)</f>
        <v>0</v>
      </c>
      <c r="M10" s="132">
        <f>IF(SER_hh_fech!M10=0,0,SER_hh_fech!M10/SER_summary!M$26)</f>
        <v>0</v>
      </c>
      <c r="N10" s="132">
        <f>IF(SER_hh_fech!N10=0,0,SER_hh_fech!N10/SER_summary!N$26)</f>
        <v>0</v>
      </c>
      <c r="O10" s="132">
        <f>IF(SER_hh_fech!O10=0,0,SER_hh_fech!O10/SER_summary!O$26)</f>
        <v>0</v>
      </c>
      <c r="P10" s="132">
        <f>IF(SER_hh_fech!P10=0,0,SER_hh_fech!P10/SER_summary!P$26)</f>
        <v>0</v>
      </c>
      <c r="Q10" s="132">
        <f>IF(SER_hh_fech!Q10=0,0,SER_hh_fech!Q10/SER_summary!Q$26)</f>
        <v>0</v>
      </c>
      <c r="R10" s="132">
        <f>IF(SER_hh_fech!R10=0,0,SER_hh_fech!R10/SER_summary!R$26)</f>
        <v>0</v>
      </c>
      <c r="S10" s="132">
        <f>IF(SER_hh_fech!S10=0,0,SER_hh_fech!S10/SER_summary!S$26)</f>
        <v>0</v>
      </c>
      <c r="T10" s="132">
        <f>IF(SER_hh_fech!T10=0,0,SER_hh_fech!T10/SER_summary!T$26)</f>
        <v>0</v>
      </c>
      <c r="U10" s="132">
        <f>IF(SER_hh_fech!U10=0,0,SER_hh_fech!U10/SER_summary!U$26)</f>
        <v>0</v>
      </c>
      <c r="V10" s="132">
        <f>IF(SER_hh_fech!V10=0,0,SER_hh_fech!V10/SER_summary!V$26)</f>
        <v>0</v>
      </c>
      <c r="W10" s="132">
        <f>IF(SER_hh_fech!W10=0,0,SER_hh_fech!W10/SER_summary!W$26)</f>
        <v>0</v>
      </c>
      <c r="X10" s="132">
        <f>IF(SER_hh_fech!X10=0,0,SER_hh_fech!X10/SER_summary!X$26)</f>
        <v>0</v>
      </c>
      <c r="Y10" s="132">
        <f>IF(SER_hh_fech!Y10=0,0,SER_hh_fech!Y10/SER_summary!Y$26)</f>
        <v>0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0</v>
      </c>
      <c r="M11" s="132">
        <f>IF(SER_hh_fech!M11=0,0,SER_hh_fech!M11/SER_summary!M$26)</f>
        <v>0</v>
      </c>
      <c r="N11" s="132">
        <f>IF(SER_hh_fech!N11=0,0,SER_hh_fech!N11/SER_summary!N$26)</f>
        <v>0</v>
      </c>
      <c r="O11" s="132">
        <f>IF(SER_hh_fech!O11=0,0,SER_hh_fech!O11/SER_summary!O$26)</f>
        <v>0</v>
      </c>
      <c r="P11" s="132">
        <f>IF(SER_hh_fech!P11=0,0,SER_hh_fech!P11/SER_summary!P$26)</f>
        <v>0</v>
      </c>
      <c r="Q11" s="132">
        <f>IF(SER_hh_fech!Q11=0,0,SER_hh_fech!Q11/SER_summary!Q$26)</f>
        <v>0</v>
      </c>
      <c r="R11" s="132">
        <f>IF(SER_hh_fech!R11=0,0,SER_hh_fech!R11/SER_summary!R$26)</f>
        <v>0</v>
      </c>
      <c r="S11" s="132">
        <f>IF(SER_hh_fech!S11=0,0,SER_hh_fech!S11/SER_summary!S$26)</f>
        <v>0</v>
      </c>
      <c r="T11" s="132">
        <f>IF(SER_hh_fech!T11=0,0,SER_hh_fech!T11/SER_summary!T$26)</f>
        <v>0</v>
      </c>
      <c r="U11" s="132">
        <f>IF(SER_hh_fech!U11=0,0,SER_hh_fech!U11/SER_summary!U$26)</f>
        <v>0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0</v>
      </c>
      <c r="C12" s="132">
        <f>IF(SER_hh_fech!C12=0,0,SER_hh_fech!C12/SER_summary!C$26)</f>
        <v>0</v>
      </c>
      <c r="D12" s="132">
        <f>IF(SER_hh_fech!D12=0,0,SER_hh_fech!D12/SER_summary!D$26)</f>
        <v>0</v>
      </c>
      <c r="E12" s="132">
        <f>IF(SER_hh_fech!E12=0,0,SER_hh_fech!E12/SER_summary!E$26)</f>
        <v>0</v>
      </c>
      <c r="F12" s="132">
        <f>IF(SER_hh_fech!F12=0,0,SER_hh_fech!F12/SER_summary!F$26)</f>
        <v>0</v>
      </c>
      <c r="G12" s="132">
        <f>IF(SER_hh_fech!G12=0,0,SER_hh_fech!G12/SER_summary!G$26)</f>
        <v>0</v>
      </c>
      <c r="H12" s="132">
        <f>IF(SER_hh_fech!H12=0,0,SER_hh_fech!H12/SER_summary!H$26)</f>
        <v>0</v>
      </c>
      <c r="I12" s="132">
        <f>IF(SER_hh_fech!I12=0,0,SER_hh_fech!I12/SER_summary!I$26)</f>
        <v>0</v>
      </c>
      <c r="J12" s="132">
        <f>IF(SER_hh_fech!J12=0,0,SER_hh_fech!J12/SER_summary!J$26)</f>
        <v>0</v>
      </c>
      <c r="K12" s="132">
        <f>IF(SER_hh_fech!K12=0,0,SER_hh_fech!K12/SER_summary!K$26)</f>
        <v>0</v>
      </c>
      <c r="L12" s="132">
        <f>IF(SER_hh_fech!L12=0,0,SER_hh_fech!L12/SER_summary!L$26)</f>
        <v>0</v>
      </c>
      <c r="M12" s="132">
        <f>IF(SER_hh_fech!M12=0,0,SER_hh_fech!M12/SER_summary!M$26)</f>
        <v>201.44183541175698</v>
      </c>
      <c r="N12" s="132">
        <f>IF(SER_hh_fech!N12=0,0,SER_hh_fech!N12/SER_summary!N$26)</f>
        <v>324.23559601277606</v>
      </c>
      <c r="O12" s="132">
        <f>IF(SER_hh_fech!O12=0,0,SER_hh_fech!O12/SER_summary!O$26)</f>
        <v>45.37450868466486</v>
      </c>
      <c r="P12" s="132">
        <f>IF(SER_hh_fech!P12=0,0,SER_hh_fech!P12/SER_summary!P$26)</f>
        <v>54.299519182305602</v>
      </c>
      <c r="Q12" s="132">
        <f>IF(SER_hh_fech!Q12=0,0,SER_hh_fech!Q12/SER_summary!Q$26)</f>
        <v>392.51695911434717</v>
      </c>
      <c r="R12" s="132">
        <f>IF(SER_hh_fech!R12=0,0,SER_hh_fech!R12/SER_summary!R$26)</f>
        <v>242.95427660286401</v>
      </c>
      <c r="S12" s="132">
        <f>IF(SER_hh_fech!S12=0,0,SER_hh_fech!S12/SER_summary!S$26)</f>
        <v>54.893542233025407</v>
      </c>
      <c r="T12" s="132">
        <f>IF(SER_hh_fech!T12=0,0,SER_hh_fech!T12/SER_summary!T$26)</f>
        <v>104.6750195911882</v>
      </c>
      <c r="U12" s="132">
        <f>IF(SER_hh_fech!U12=0,0,SER_hh_fech!U12/SER_summary!U$26)</f>
        <v>342.70904729768444</v>
      </c>
      <c r="V12" s="132">
        <f>IF(SER_hh_fech!V12=0,0,SER_hh_fech!V12/SER_summary!V$26)</f>
        <v>0</v>
      </c>
      <c r="W12" s="132">
        <f>IF(SER_hh_fech!W12=0,0,SER_hh_fech!W12/SER_summary!W$26)</f>
        <v>0</v>
      </c>
      <c r="X12" s="132">
        <f>IF(SER_hh_fech!X12=0,0,SER_hh_fech!X12/SER_summary!X$26)</f>
        <v>0</v>
      </c>
      <c r="Y12" s="132">
        <f>IF(SER_hh_fech!Y12=0,0,SER_hh_fech!Y12/SER_summary!Y$26)</f>
        <v>0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37.999317141452721</v>
      </c>
      <c r="C13" s="132">
        <f>IF(SER_hh_fech!C13=0,0,SER_hh_fech!C13/SER_summary!C$26)</f>
        <v>49.547074766282407</v>
      </c>
      <c r="D13" s="132">
        <f>IF(SER_hh_fech!D13=0,0,SER_hh_fech!D13/SER_summary!D$26)</f>
        <v>51.885847959222694</v>
      </c>
      <c r="E13" s="132">
        <f>IF(SER_hh_fech!E13=0,0,SER_hh_fech!E13/SER_summary!E$26)</f>
        <v>58.730851849596824</v>
      </c>
      <c r="F13" s="132">
        <f>IF(SER_hh_fech!F13=0,0,SER_hh_fech!F13/SER_summary!F$26)</f>
        <v>50.387744176300799</v>
      </c>
      <c r="G13" s="132">
        <f>IF(SER_hh_fech!G13=0,0,SER_hh_fech!G13/SER_summary!G$26)</f>
        <v>49.792563595855924</v>
      </c>
      <c r="H13" s="132">
        <f>IF(SER_hh_fech!H13=0,0,SER_hh_fech!H13/SER_summary!H$26)</f>
        <v>37.360564676860456</v>
      </c>
      <c r="I13" s="132">
        <f>IF(SER_hh_fech!I13=0,0,SER_hh_fech!I13/SER_summary!I$26)</f>
        <v>34.54720686770905</v>
      </c>
      <c r="J13" s="132">
        <f>IF(SER_hh_fech!J13=0,0,SER_hh_fech!J13/SER_summary!J$26)</f>
        <v>36.848065284263917</v>
      </c>
      <c r="K13" s="132">
        <f>IF(SER_hh_fech!K13=0,0,SER_hh_fech!K13/SER_summary!K$26)</f>
        <v>39.216341648270664</v>
      </c>
      <c r="L13" s="132">
        <f>IF(SER_hh_fech!L13=0,0,SER_hh_fech!L13/SER_summary!L$26)</f>
        <v>40.883402019320805</v>
      </c>
      <c r="M13" s="132">
        <f>IF(SER_hh_fech!M13=0,0,SER_hh_fech!M13/SER_summary!M$26)</f>
        <v>48.336479999940927</v>
      </c>
      <c r="N13" s="132">
        <f>IF(SER_hh_fech!N13=0,0,SER_hh_fech!N13/SER_summary!N$26)</f>
        <v>55.806336070604331</v>
      </c>
      <c r="O13" s="132">
        <f>IF(SER_hh_fech!O13=0,0,SER_hh_fech!O13/SER_summary!O$26)</f>
        <v>55.634523840767677</v>
      </c>
      <c r="P13" s="132">
        <f>IF(SER_hh_fech!P13=0,0,SER_hh_fech!P13/SER_summary!P$26)</f>
        <v>61.461464066850361</v>
      </c>
      <c r="Q13" s="132">
        <f>IF(SER_hh_fech!Q13=0,0,SER_hh_fech!Q13/SER_summary!Q$26)</f>
        <v>65.647657025973388</v>
      </c>
      <c r="R13" s="132">
        <f>IF(SER_hh_fech!R13=0,0,SER_hh_fech!R13/SER_summary!R$26)</f>
        <v>59.695318589010931</v>
      </c>
      <c r="S13" s="132">
        <f>IF(SER_hh_fech!S13=0,0,SER_hh_fech!S13/SER_summary!S$26)</f>
        <v>55.366994791224052</v>
      </c>
      <c r="T13" s="132">
        <f>IF(SER_hh_fech!T13=0,0,SER_hh_fech!T13/SER_summary!T$26)</f>
        <v>46.813953972593289</v>
      </c>
      <c r="U13" s="132">
        <f>IF(SER_hh_fech!U13=0,0,SER_hh_fech!U13/SER_summary!U$26)</f>
        <v>38.164733561705035</v>
      </c>
      <c r="V13" s="132">
        <f>IF(SER_hh_fech!V13=0,0,SER_hh_fech!V13/SER_summary!V$26)</f>
        <v>35.520514835646097</v>
      </c>
      <c r="W13" s="132">
        <f>IF(SER_hh_fech!W13=0,0,SER_hh_fech!W13/SER_summary!W$26)</f>
        <v>37.681457722266224</v>
      </c>
      <c r="X13" s="132">
        <f>IF(SER_hh_fech!X13=0,0,SER_hh_fech!X13/SER_summary!X$26)</f>
        <v>39.63139718076453</v>
      </c>
      <c r="Y13" s="132">
        <f>IF(SER_hh_fech!Y13=0,0,SER_hh_fech!Y13/SER_summary!Y$26)</f>
        <v>41.74520695284324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112.02942560815175</v>
      </c>
      <c r="C14" s="65">
        <f>IF(SER_hh_fech!C14=0,0,SER_hh_fech!C14/SER_summary!C$26)</f>
        <v>126.02599950915943</v>
      </c>
      <c r="D14" s="65">
        <f>IF(SER_hh_fech!D14=0,0,SER_hh_fech!D14/SER_summary!D$26)</f>
        <v>152.05805643833961</v>
      </c>
      <c r="E14" s="65">
        <f>IF(SER_hh_fech!E14=0,0,SER_hh_fech!E14/SER_summary!E$26)</f>
        <v>145.25478270207495</v>
      </c>
      <c r="F14" s="65">
        <f>IF(SER_hh_fech!F14=0,0,SER_hh_fech!F14/SER_summary!F$26)</f>
        <v>150.27834687898246</v>
      </c>
      <c r="G14" s="65">
        <f>IF(SER_hh_fech!G14=0,0,SER_hh_fech!G14/SER_summary!G$26)</f>
        <v>240.28421601737</v>
      </c>
      <c r="H14" s="65">
        <f>IF(SER_hh_fech!H14=0,0,SER_hh_fech!H14/SER_summary!H$26)</f>
        <v>142.9043827180702</v>
      </c>
      <c r="I14" s="65">
        <f>IF(SER_hh_fech!I14=0,0,SER_hh_fech!I14/SER_summary!I$26)</f>
        <v>137.64742434714989</v>
      </c>
      <c r="J14" s="65">
        <f>IF(SER_hh_fech!J14=0,0,SER_hh_fech!J14/SER_summary!J$26)</f>
        <v>119.22369366904181</v>
      </c>
      <c r="K14" s="65">
        <f>IF(SER_hh_fech!K14=0,0,SER_hh_fech!K14/SER_summary!K$26)</f>
        <v>85.710726209212211</v>
      </c>
      <c r="L14" s="65">
        <f>IF(SER_hh_fech!L14=0,0,SER_hh_fech!L14/SER_summary!L$26)</f>
        <v>202.4646345817049</v>
      </c>
      <c r="M14" s="65">
        <f>IF(SER_hh_fech!M14=0,0,SER_hh_fech!M14/SER_summary!M$26)</f>
        <v>214.16696257650815</v>
      </c>
      <c r="N14" s="65">
        <f>IF(SER_hh_fech!N14=0,0,SER_hh_fech!N14/SER_summary!N$26)</f>
        <v>216.33666962637815</v>
      </c>
      <c r="O14" s="65">
        <f>IF(SER_hh_fech!O14=0,0,SER_hh_fech!O14/SER_summary!O$26)</f>
        <v>220.09860163166277</v>
      </c>
      <c r="P14" s="65">
        <f>IF(SER_hh_fech!P14=0,0,SER_hh_fech!P14/SER_summary!P$26)</f>
        <v>240.61811366903805</v>
      </c>
      <c r="Q14" s="65">
        <f>IF(SER_hh_fech!Q14=0,0,SER_hh_fech!Q14/SER_summary!Q$26)</f>
        <v>263.75459914237848</v>
      </c>
      <c r="R14" s="65">
        <f>IF(SER_hh_fech!R14=0,0,SER_hh_fech!R14/SER_summary!R$26)</f>
        <v>237.49562131513048</v>
      </c>
      <c r="S14" s="65">
        <f>IF(SER_hh_fech!S14=0,0,SER_hh_fech!S14/SER_summary!S$26)</f>
        <v>259.02614929846487</v>
      </c>
      <c r="T14" s="65">
        <f>IF(SER_hh_fech!T14=0,0,SER_hh_fech!T14/SER_summary!T$26)</f>
        <v>231.23184043146739</v>
      </c>
      <c r="U14" s="65">
        <f>IF(SER_hh_fech!U14=0,0,SER_hh_fech!U14/SER_summary!U$26)</f>
        <v>220.0761738298354</v>
      </c>
      <c r="V14" s="65">
        <f>IF(SER_hh_fech!V14=0,0,SER_hh_fech!V14/SER_summary!V$26)</f>
        <v>163.73449473593359</v>
      </c>
      <c r="W14" s="65">
        <f>IF(SER_hh_fech!W14=0,0,SER_hh_fech!W14/SER_summary!W$26)</f>
        <v>169.58847054204469</v>
      </c>
      <c r="X14" s="65">
        <f>IF(SER_hh_fech!X14=0,0,SER_hh_fech!X14/SER_summary!X$26)</f>
        <v>218.80946140004403</v>
      </c>
      <c r="Y14" s="65">
        <f>IF(SER_hh_fech!Y14=0,0,SER_hh_fech!Y14/SER_summary!Y$26)</f>
        <v>210.74208627900964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1.3614990941908245</v>
      </c>
      <c r="C15" s="134">
        <f>IF(SER_hh_fech!C15=0,0,SER_hh_fech!C15/SER_summary!C$26)</f>
        <v>1.3250883024999665</v>
      </c>
      <c r="D15" s="134">
        <f>IF(SER_hh_fech!D15=0,0,SER_hh_fech!D15/SER_summary!D$26)</f>
        <v>1.4880072601895922</v>
      </c>
      <c r="E15" s="134">
        <f>IF(SER_hh_fech!E15=0,0,SER_hh_fech!E15/SER_summary!E$26)</f>
        <v>1.8060994253885281</v>
      </c>
      <c r="F15" s="134">
        <f>IF(SER_hh_fech!F15=0,0,SER_hh_fech!F15/SER_summary!F$26)</f>
        <v>2.013289924704897</v>
      </c>
      <c r="G15" s="134">
        <f>IF(SER_hh_fech!G15=0,0,SER_hh_fech!G15/SER_summary!G$26)</f>
        <v>1.7319115594080985</v>
      </c>
      <c r="H15" s="134">
        <f>IF(SER_hh_fech!H15=0,0,SER_hh_fech!H15/SER_summary!H$26)</f>
        <v>1.4224591534548356</v>
      </c>
      <c r="I15" s="134">
        <f>IF(SER_hh_fech!I15=0,0,SER_hh_fech!I15/SER_summary!I$26)</f>
        <v>1.56470961266916</v>
      </c>
      <c r="J15" s="134">
        <f>IF(SER_hh_fech!J15=0,0,SER_hh_fech!J15/SER_summary!J$26)</f>
        <v>1.3724482174176005</v>
      </c>
      <c r="K15" s="134">
        <f>IF(SER_hh_fech!K15=0,0,SER_hh_fech!K15/SER_summary!K$26)</f>
        <v>1.0013699531910352</v>
      </c>
      <c r="L15" s="134">
        <f>IF(SER_hh_fech!L15=0,0,SER_hh_fech!L15/SER_summary!L$26)</f>
        <v>2.0024242095578551</v>
      </c>
      <c r="M15" s="134">
        <f>IF(SER_hh_fech!M15=0,0,SER_hh_fech!M15/SER_summary!M$26)</f>
        <v>1.2904436024219539</v>
      </c>
      <c r="N15" s="134">
        <f>IF(SER_hh_fech!N15=0,0,SER_hh_fech!N15/SER_summary!N$26)</f>
        <v>1.9856488583182113</v>
      </c>
      <c r="O15" s="134">
        <f>IF(SER_hh_fech!O15=0,0,SER_hh_fech!O15/SER_summary!O$26)</f>
        <v>2.3579418674120789</v>
      </c>
      <c r="P15" s="134">
        <f>IF(SER_hh_fech!P15=0,0,SER_hh_fech!P15/SER_summary!P$26)</f>
        <v>2.4080211303136347</v>
      </c>
      <c r="Q15" s="134">
        <f>IF(SER_hh_fech!Q15=0,0,SER_hh_fech!Q15/SER_summary!Q$26)</f>
        <v>2.8437655299884188</v>
      </c>
      <c r="R15" s="134">
        <f>IF(SER_hh_fech!R15=0,0,SER_hh_fech!R15/SER_summary!R$26)</f>
        <v>2.7717074896855203</v>
      </c>
      <c r="S15" s="134">
        <f>IF(SER_hh_fech!S15=0,0,SER_hh_fech!S15/SER_summary!S$26)</f>
        <v>2.7080264413660218</v>
      </c>
      <c r="T15" s="134">
        <f>IF(SER_hh_fech!T15=0,0,SER_hh_fech!T15/SER_summary!T$26)</f>
        <v>1.9647298682549192</v>
      </c>
      <c r="U15" s="134">
        <f>IF(SER_hh_fech!U15=0,0,SER_hh_fech!U15/SER_summary!U$26)</f>
        <v>2.1243761270595614</v>
      </c>
      <c r="V15" s="134">
        <f>IF(SER_hh_fech!V15=0,0,SER_hh_fech!V15/SER_summary!V$26)</f>
        <v>1.7975895629594645</v>
      </c>
      <c r="W15" s="134">
        <f>IF(SER_hh_fech!W15=0,0,SER_hh_fech!W15/SER_summary!W$26)</f>
        <v>1.9478156915560789</v>
      </c>
      <c r="X15" s="134">
        <f>IF(SER_hh_fech!X15=0,0,SER_hh_fech!X15/SER_summary!X$26)</f>
        <v>2.4874326315619886</v>
      </c>
      <c r="Y15" s="134">
        <f>IF(SER_hh_fech!Y15=0,0,SER_hh_fech!Y15/SER_summary!Y$26)</f>
        <v>2.1834848512708156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44.354405926641064</v>
      </c>
      <c r="C16" s="130">
        <f>IF(SER_hh_fech!C16=0,0,SER_hh_fech!C16/SER_summary!C$26)</f>
        <v>47.081802392138115</v>
      </c>
      <c r="D16" s="130">
        <f>IF(SER_hh_fech!D16=0,0,SER_hh_fech!D16/SER_summary!D$26)</f>
        <v>34.944102325535894</v>
      </c>
      <c r="E16" s="130">
        <f>IF(SER_hh_fech!E16=0,0,SER_hh_fech!E16/SER_summary!E$26)</f>
        <v>51.023565672802619</v>
      </c>
      <c r="F16" s="130">
        <f>IF(SER_hh_fech!F16=0,0,SER_hh_fech!F16/SER_summary!F$26)</f>
        <v>25.551612998512855</v>
      </c>
      <c r="G16" s="130">
        <f>IF(SER_hh_fech!G16=0,0,SER_hh_fech!G16/SER_summary!G$26)</f>
        <v>23.883663499481877</v>
      </c>
      <c r="H16" s="130">
        <f>IF(SER_hh_fech!H16=0,0,SER_hh_fech!H16/SER_summary!H$26)</f>
        <v>30.73678313335984</v>
      </c>
      <c r="I16" s="130">
        <f>IF(SER_hh_fech!I16=0,0,SER_hh_fech!I16/SER_summary!I$26)</f>
        <v>30.070680659078075</v>
      </c>
      <c r="J16" s="130">
        <f>IF(SER_hh_fech!J16=0,0,SER_hh_fech!J16/SER_summary!J$26)</f>
        <v>24.187326848358232</v>
      </c>
      <c r="K16" s="130">
        <f>IF(SER_hh_fech!K16=0,0,SER_hh_fech!K16/SER_summary!K$26)</f>
        <v>24.656378094881518</v>
      </c>
      <c r="L16" s="130">
        <f>IF(SER_hh_fech!L16=0,0,SER_hh_fech!L16/SER_summary!L$26)</f>
        <v>19.816163190136081</v>
      </c>
      <c r="M16" s="130">
        <f>IF(SER_hh_fech!M16=0,0,SER_hh_fech!M16/SER_summary!M$26)</f>
        <v>20.888443254524621</v>
      </c>
      <c r="N16" s="130">
        <f>IF(SER_hh_fech!N16=0,0,SER_hh_fech!N16/SER_summary!N$26)</f>
        <v>35.526612615730727</v>
      </c>
      <c r="O16" s="130">
        <f>IF(SER_hh_fech!O16=0,0,SER_hh_fech!O16/SER_summary!O$26)</f>
        <v>24.500115145426612</v>
      </c>
      <c r="P16" s="130">
        <f>IF(SER_hh_fech!P16=0,0,SER_hh_fech!P16/SER_summary!P$26)</f>
        <v>24.630865706145986</v>
      </c>
      <c r="Q16" s="130">
        <f>IF(SER_hh_fech!Q16=0,0,SER_hh_fech!Q16/SER_summary!Q$26)</f>
        <v>25.727085168688202</v>
      </c>
      <c r="R16" s="130">
        <f>IF(SER_hh_fech!R16=0,0,SER_hh_fech!R16/SER_summary!R$26)</f>
        <v>20.835079950514455</v>
      </c>
      <c r="S16" s="130">
        <f>IF(SER_hh_fech!S16=0,0,SER_hh_fech!S16/SER_summary!S$26)</f>
        <v>24.057951343425408</v>
      </c>
      <c r="T16" s="130">
        <f>IF(SER_hh_fech!T16=0,0,SER_hh_fech!T16/SER_summary!T$26)</f>
        <v>20.944875799920251</v>
      </c>
      <c r="U16" s="130">
        <f>IF(SER_hh_fech!U16=0,0,SER_hh_fech!U16/SER_summary!U$26)</f>
        <v>28.264834085228639</v>
      </c>
      <c r="V16" s="130">
        <f>IF(SER_hh_fech!V16=0,0,SER_hh_fech!V16/SER_summary!V$26)</f>
        <v>21.810009385086726</v>
      </c>
      <c r="W16" s="130">
        <f>IF(SER_hh_fech!W16=0,0,SER_hh_fech!W16/SER_summary!W$26)</f>
        <v>27.502587415911663</v>
      </c>
      <c r="X16" s="130">
        <f>IF(SER_hh_fech!X16=0,0,SER_hh_fech!X16/SER_summary!X$26)</f>
        <v>29.130362646117625</v>
      </c>
      <c r="Y16" s="130">
        <f>IF(SER_hh_fech!Y16=0,0,SER_hh_fech!Y16/SER_summary!Y$26)</f>
        <v>25.640462567467591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0</v>
      </c>
      <c r="C17" s="132">
        <f>IF(SER_hh_fech!C17=0,0,SER_hh_fech!C17/SER_summary!C$26)</f>
        <v>0</v>
      </c>
      <c r="D17" s="132">
        <f>IF(SER_hh_fech!D17=0,0,SER_hh_fech!D17/SER_summary!D$26)</f>
        <v>0</v>
      </c>
      <c r="E17" s="132">
        <f>IF(SER_hh_fech!E17=0,0,SER_hh_fech!E17/SER_summary!E$26)</f>
        <v>0</v>
      </c>
      <c r="F17" s="132">
        <f>IF(SER_hh_fech!F17=0,0,SER_hh_fech!F17/SER_summary!F$26)</f>
        <v>0</v>
      </c>
      <c r="G17" s="132">
        <f>IF(SER_hh_fech!G17=0,0,SER_hh_fech!G17/SER_summary!G$26)</f>
        <v>0</v>
      </c>
      <c r="H17" s="132">
        <f>IF(SER_hh_fech!H17=0,0,SER_hh_fech!H17/SER_summary!H$26)</f>
        <v>0</v>
      </c>
      <c r="I17" s="132">
        <f>IF(SER_hh_fech!I17=0,0,SER_hh_fech!I17/SER_summary!I$26)</f>
        <v>0</v>
      </c>
      <c r="J17" s="132">
        <f>IF(SER_hh_fech!J17=0,0,SER_hh_fech!J17/SER_summary!J$26)</f>
        <v>0</v>
      </c>
      <c r="K17" s="132">
        <f>IF(SER_hh_fech!K17=0,0,SER_hh_fech!K17/SER_summary!K$26)</f>
        <v>0</v>
      </c>
      <c r="L17" s="132">
        <f>IF(SER_hh_fech!L17=0,0,SER_hh_fech!L17/SER_summary!L$26)</f>
        <v>0</v>
      </c>
      <c r="M17" s="132">
        <f>IF(SER_hh_fech!M17=0,0,SER_hh_fech!M17/SER_summary!M$26)</f>
        <v>0</v>
      </c>
      <c r="N17" s="132">
        <f>IF(SER_hh_fech!N17=0,0,SER_hh_fech!N17/SER_summary!N$26)</f>
        <v>0</v>
      </c>
      <c r="O17" s="132">
        <f>IF(SER_hh_fech!O17=0,0,SER_hh_fech!O17/SER_summary!O$26)</f>
        <v>0</v>
      </c>
      <c r="P17" s="132">
        <f>IF(SER_hh_fech!P17=0,0,SER_hh_fech!P17/SER_summary!P$26)</f>
        <v>0</v>
      </c>
      <c r="Q17" s="132">
        <f>IF(SER_hh_fech!Q17=0,0,SER_hh_fech!Q17/SER_summary!Q$26)</f>
        <v>0</v>
      </c>
      <c r="R17" s="132">
        <f>IF(SER_hh_fech!R17=0,0,SER_hh_fech!R17/SER_summary!R$26)</f>
        <v>0</v>
      </c>
      <c r="S17" s="132">
        <f>IF(SER_hh_fech!S17=0,0,SER_hh_fech!S17/SER_summary!S$26)</f>
        <v>0</v>
      </c>
      <c r="T17" s="132">
        <f>IF(SER_hh_fech!T17=0,0,SER_hh_fech!T17/SER_summary!T$26)</f>
        <v>0</v>
      </c>
      <c r="U17" s="132">
        <f>IF(SER_hh_fech!U17=0,0,SER_hh_fech!U17/SER_summary!U$26)</f>
        <v>0</v>
      </c>
      <c r="V17" s="132">
        <f>IF(SER_hh_fech!V17=0,0,SER_hh_fech!V17/SER_summary!V$26)</f>
        <v>0</v>
      </c>
      <c r="W17" s="132">
        <f>IF(SER_hh_fech!W17=0,0,SER_hh_fech!W17/SER_summary!W$26)</f>
        <v>0</v>
      </c>
      <c r="X17" s="132">
        <f>IF(SER_hh_fech!X17=0,0,SER_hh_fech!X17/SER_summary!X$26)</f>
        <v>0</v>
      </c>
      <c r="Y17" s="132">
        <f>IF(SER_hh_fech!Y17=0,0,SER_hh_fech!Y17/SER_summary!Y$26)</f>
        <v>0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44.354405926641064</v>
      </c>
      <c r="C18" s="132">
        <f>IF(SER_hh_fech!C18=0,0,SER_hh_fech!C18/SER_summary!C$26)</f>
        <v>47.081802392138115</v>
      </c>
      <c r="D18" s="132">
        <f>IF(SER_hh_fech!D18=0,0,SER_hh_fech!D18/SER_summary!D$26)</f>
        <v>34.944102325535894</v>
      </c>
      <c r="E18" s="132">
        <f>IF(SER_hh_fech!E18=0,0,SER_hh_fech!E18/SER_summary!E$26)</f>
        <v>51.023565672802619</v>
      </c>
      <c r="F18" s="132">
        <f>IF(SER_hh_fech!F18=0,0,SER_hh_fech!F18/SER_summary!F$26)</f>
        <v>25.551612998512855</v>
      </c>
      <c r="G18" s="132">
        <f>IF(SER_hh_fech!G18=0,0,SER_hh_fech!G18/SER_summary!G$26)</f>
        <v>23.883663499481877</v>
      </c>
      <c r="H18" s="132">
        <f>IF(SER_hh_fech!H18=0,0,SER_hh_fech!H18/SER_summary!H$26)</f>
        <v>30.73678313335984</v>
      </c>
      <c r="I18" s="132">
        <f>IF(SER_hh_fech!I18=0,0,SER_hh_fech!I18/SER_summary!I$26)</f>
        <v>30.070680659078075</v>
      </c>
      <c r="J18" s="132">
        <f>IF(SER_hh_fech!J18=0,0,SER_hh_fech!J18/SER_summary!J$26)</f>
        <v>24.187326848358232</v>
      </c>
      <c r="K18" s="132">
        <f>IF(SER_hh_fech!K18=0,0,SER_hh_fech!K18/SER_summary!K$26)</f>
        <v>24.656378094881518</v>
      </c>
      <c r="L18" s="132">
        <f>IF(SER_hh_fech!L18=0,0,SER_hh_fech!L18/SER_summary!L$26)</f>
        <v>19.816163190136081</v>
      </c>
      <c r="M18" s="132">
        <f>IF(SER_hh_fech!M18=0,0,SER_hh_fech!M18/SER_summary!M$26)</f>
        <v>20.888443254524621</v>
      </c>
      <c r="N18" s="132">
        <f>IF(SER_hh_fech!N18=0,0,SER_hh_fech!N18/SER_summary!N$26)</f>
        <v>35.526612615730727</v>
      </c>
      <c r="O18" s="132">
        <f>IF(SER_hh_fech!O18=0,0,SER_hh_fech!O18/SER_summary!O$26)</f>
        <v>24.500115145426612</v>
      </c>
      <c r="P18" s="132">
        <f>IF(SER_hh_fech!P18=0,0,SER_hh_fech!P18/SER_summary!P$26)</f>
        <v>24.630865706145986</v>
      </c>
      <c r="Q18" s="132">
        <f>IF(SER_hh_fech!Q18=0,0,SER_hh_fech!Q18/SER_summary!Q$26)</f>
        <v>25.727085168688202</v>
      </c>
      <c r="R18" s="132">
        <f>IF(SER_hh_fech!R18=0,0,SER_hh_fech!R18/SER_summary!R$26)</f>
        <v>20.835079950514455</v>
      </c>
      <c r="S18" s="132">
        <f>IF(SER_hh_fech!S18=0,0,SER_hh_fech!S18/SER_summary!S$26)</f>
        <v>24.057951343425408</v>
      </c>
      <c r="T18" s="132">
        <f>IF(SER_hh_fech!T18=0,0,SER_hh_fech!T18/SER_summary!T$26)</f>
        <v>20.944875799920251</v>
      </c>
      <c r="U18" s="132">
        <f>IF(SER_hh_fech!U18=0,0,SER_hh_fech!U18/SER_summary!U$26)</f>
        <v>28.264834085228639</v>
      </c>
      <c r="V18" s="132">
        <f>IF(SER_hh_fech!V18=0,0,SER_hh_fech!V18/SER_summary!V$26)</f>
        <v>21.810009385086726</v>
      </c>
      <c r="W18" s="132">
        <f>IF(SER_hh_fech!W18=0,0,SER_hh_fech!W18/SER_summary!W$26)</f>
        <v>27.502587415911663</v>
      </c>
      <c r="X18" s="132">
        <f>IF(SER_hh_fech!X18=0,0,SER_hh_fech!X18/SER_summary!X$26)</f>
        <v>29.130362646117625</v>
      </c>
      <c r="Y18" s="132">
        <f>IF(SER_hh_fech!Y18=0,0,SER_hh_fech!Y18/SER_summary!Y$26)</f>
        <v>25.640462567467591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58.549790658158017</v>
      </c>
      <c r="C19" s="130">
        <f>IF(SER_hh_fech!C19=0,0,SER_hh_fech!C19/SER_summary!C$26)</f>
        <v>55.946540188277837</v>
      </c>
      <c r="D19" s="130">
        <f>IF(SER_hh_fech!D19=0,0,SER_hh_fech!D19/SER_summary!D$26)</f>
        <v>57.185466198177153</v>
      </c>
      <c r="E19" s="130">
        <f>IF(SER_hh_fech!E19=0,0,SER_hh_fech!E19/SER_summary!E$26)</f>
        <v>57.271819515804388</v>
      </c>
      <c r="F19" s="130">
        <f>IF(SER_hh_fech!F19=0,0,SER_hh_fech!F19/SER_summary!F$26)</f>
        <v>58.444707961981578</v>
      </c>
      <c r="G19" s="130">
        <f>IF(SER_hh_fech!G19=0,0,SER_hh_fech!G19/SER_summary!G$26)</f>
        <v>57.182010112794771</v>
      </c>
      <c r="H19" s="130">
        <f>IF(SER_hh_fech!H19=0,0,SER_hh_fech!H19/SER_summary!H$26)</f>
        <v>57.750555800142308</v>
      </c>
      <c r="I19" s="130">
        <f>IF(SER_hh_fech!I19=0,0,SER_hh_fech!I19/SER_summary!I$26)</f>
        <v>57.063548260985137</v>
      </c>
      <c r="J19" s="130">
        <f>IF(SER_hh_fech!J19=0,0,SER_hh_fech!J19/SER_summary!J$26)</f>
        <v>55.018035299129252</v>
      </c>
      <c r="K19" s="130">
        <f>IF(SER_hh_fech!K19=0,0,SER_hh_fech!K19/SER_summary!K$26)</f>
        <v>55.187956362701826</v>
      </c>
      <c r="L19" s="130">
        <f>IF(SER_hh_fech!L19=0,0,SER_hh_fech!L19/SER_summary!L$26)</f>
        <v>55.960591930696872</v>
      </c>
      <c r="M19" s="130">
        <f>IF(SER_hh_fech!M19=0,0,SER_hh_fech!M19/SER_summary!M$26)</f>
        <v>56.093508374412153</v>
      </c>
      <c r="N19" s="130">
        <f>IF(SER_hh_fech!N19=0,0,SER_hh_fech!N19/SER_summary!N$26)</f>
        <v>54.035759026001998</v>
      </c>
      <c r="O19" s="130">
        <f>IF(SER_hh_fech!O19=0,0,SER_hh_fech!O19/SER_summary!O$26)</f>
        <v>54.08045619938725</v>
      </c>
      <c r="P19" s="130">
        <f>IF(SER_hh_fech!P19=0,0,SER_hh_fech!P19/SER_summary!P$26)</f>
        <v>53.250462121206581</v>
      </c>
      <c r="Q19" s="130">
        <f>IF(SER_hh_fech!Q19=0,0,SER_hh_fech!Q19/SER_summary!Q$26)</f>
        <v>52.363486778810888</v>
      </c>
      <c r="R19" s="130">
        <f>IF(SER_hh_fech!R19=0,0,SER_hh_fech!R19/SER_summary!R$26)</f>
        <v>51.58050423516741</v>
      </c>
      <c r="S19" s="130">
        <f>IF(SER_hh_fech!S19=0,0,SER_hh_fech!S19/SER_summary!S$26)</f>
        <v>50.325866383696223</v>
      </c>
      <c r="T19" s="130">
        <f>IF(SER_hh_fech!T19=0,0,SER_hh_fech!T19/SER_summary!T$26)</f>
        <v>49.423120582089354</v>
      </c>
      <c r="U19" s="130">
        <f>IF(SER_hh_fech!U19=0,0,SER_hh_fech!U19/SER_summary!U$26)</f>
        <v>48.639861816211514</v>
      </c>
      <c r="V19" s="130">
        <f>IF(SER_hh_fech!V19=0,0,SER_hh_fech!V19/SER_summary!V$26)</f>
        <v>45.611480886653119</v>
      </c>
      <c r="W19" s="130">
        <f>IF(SER_hh_fech!W19=0,0,SER_hh_fech!W19/SER_summary!W$26)</f>
        <v>45.779458561573271</v>
      </c>
      <c r="X19" s="130">
        <f>IF(SER_hh_fech!X19=0,0,SER_hh_fech!X19/SER_summary!X$26)</f>
        <v>45.09363510150385</v>
      </c>
      <c r="Y19" s="130">
        <f>IF(SER_hh_fech!Y19=0,0,SER_hh_fech!Y19/SER_summary!Y$26)</f>
        <v>45.670997506999448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70.197608246628789</v>
      </c>
      <c r="C21" s="132">
        <f>IF(SER_hh_fech!C21=0,0,SER_hh_fech!C21/SER_summary!C$26)</f>
        <v>69.653623928687622</v>
      </c>
      <c r="D21" s="132">
        <f>IF(SER_hh_fech!D21=0,0,SER_hh_fech!D21/SER_summary!D$26)</f>
        <v>70.844632885389061</v>
      </c>
      <c r="E21" s="132">
        <f>IF(SER_hh_fech!E21=0,0,SER_hh_fech!E21/SER_summary!E$26)</f>
        <v>60.818005644448036</v>
      </c>
      <c r="F21" s="132">
        <f>IF(SER_hh_fech!F21=0,0,SER_hh_fech!F21/SER_summary!F$26)</f>
        <v>52.964115595547902</v>
      </c>
      <c r="G21" s="132">
        <f>IF(SER_hh_fech!G21=0,0,SER_hh_fech!G21/SER_summary!G$26)</f>
        <v>44.62331287644821</v>
      </c>
      <c r="H21" s="132">
        <f>IF(SER_hh_fech!H21=0,0,SER_hh_fech!H21/SER_summary!H$26)</f>
        <v>100.39349429070219</v>
      </c>
      <c r="I21" s="132">
        <f>IF(SER_hh_fech!I21=0,0,SER_hh_fech!I21/SER_summary!I$26)</f>
        <v>122.37705145390564</v>
      </c>
      <c r="J21" s="132">
        <f>IF(SER_hh_fech!J21=0,0,SER_hh_fech!J21/SER_summary!J$26)</f>
        <v>111.4969424256456</v>
      </c>
      <c r="K21" s="132">
        <f>IF(SER_hh_fech!K21=0,0,SER_hh_fech!K21/SER_summary!K$26)</f>
        <v>103.34242308040282</v>
      </c>
      <c r="L21" s="132">
        <f>IF(SER_hh_fech!L21=0,0,SER_hh_fech!L21/SER_summary!L$26)</f>
        <v>54.749277931892259</v>
      </c>
      <c r="M21" s="132">
        <f>IF(SER_hh_fech!M21=0,0,SER_hh_fech!M21/SER_summary!M$26)</f>
        <v>63.794792018113547</v>
      </c>
      <c r="N21" s="132">
        <f>IF(SER_hh_fech!N21=0,0,SER_hh_fech!N21/SER_summary!N$26)</f>
        <v>66.70534114037963</v>
      </c>
      <c r="O21" s="132">
        <f>IF(SER_hh_fech!O21=0,0,SER_hh_fech!O21/SER_summary!O$26)</f>
        <v>52.924120912105614</v>
      </c>
      <c r="P21" s="132">
        <f>IF(SER_hh_fech!P21=0,0,SER_hh_fech!P21/SER_summary!P$26)</f>
        <v>57.76791378205904</v>
      </c>
      <c r="Q21" s="132">
        <f>IF(SER_hh_fech!Q21=0,0,SER_hh_fech!Q21/SER_summary!Q$26)</f>
        <v>61.425049806740766</v>
      </c>
      <c r="R21" s="132">
        <f>IF(SER_hh_fech!R21=0,0,SER_hh_fech!R21/SER_summary!R$26)</f>
        <v>53.631559508761129</v>
      </c>
      <c r="S21" s="132">
        <f>IF(SER_hh_fech!S21=0,0,SER_hh_fech!S21/SER_summary!S$26)</f>
        <v>57.575183150056965</v>
      </c>
      <c r="T21" s="132">
        <f>IF(SER_hh_fech!T21=0,0,SER_hh_fech!T21/SER_summary!T$26)</f>
        <v>66.304637157784143</v>
      </c>
      <c r="U21" s="132">
        <f>IF(SER_hh_fech!U21=0,0,SER_hh_fech!U21/SER_summary!U$26)</f>
        <v>62.322101352112838</v>
      </c>
      <c r="V21" s="132">
        <f>IF(SER_hh_fech!V21=0,0,SER_hh_fech!V21/SER_summary!V$26)</f>
        <v>46.923736943816962</v>
      </c>
      <c r="W21" s="132">
        <f>IF(SER_hh_fech!W21=0,0,SER_hh_fech!W21/SER_summary!W$26)</f>
        <v>49.516144883344857</v>
      </c>
      <c r="X21" s="132">
        <f>IF(SER_hh_fech!X21=0,0,SER_hh_fech!X21/SER_summary!X$26)</f>
        <v>64.568516159365387</v>
      </c>
      <c r="Y21" s="132">
        <f>IF(SER_hh_fech!Y21=0,0,SER_hh_fech!Y21/SER_summary!Y$26)</f>
        <v>43.220390054789029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0</v>
      </c>
      <c r="C22" s="132">
        <f>IF(SER_hh_fech!C22=0,0,SER_hh_fech!C22/SER_summary!C$26)</f>
        <v>0</v>
      </c>
      <c r="D22" s="132">
        <f>IF(SER_hh_fech!D22=0,0,SER_hh_fech!D22/SER_summary!D$26)</f>
        <v>0</v>
      </c>
      <c r="E22" s="132">
        <f>IF(SER_hh_fech!E22=0,0,SER_hh_fech!E22/SER_summary!E$26)</f>
        <v>0</v>
      </c>
      <c r="F22" s="132">
        <f>IF(SER_hh_fech!F22=0,0,SER_hh_fech!F22/SER_summary!F$26)</f>
        <v>0</v>
      </c>
      <c r="G22" s="132">
        <f>IF(SER_hh_fech!G22=0,0,SER_hh_fech!G22/SER_summary!G$26)</f>
        <v>0</v>
      </c>
      <c r="H22" s="132">
        <f>IF(SER_hh_fech!H22=0,0,SER_hh_fech!H22/SER_summary!H$26)</f>
        <v>0</v>
      </c>
      <c r="I22" s="132">
        <f>IF(SER_hh_fech!I22=0,0,SER_hh_fech!I22/SER_summary!I$26)</f>
        <v>0</v>
      </c>
      <c r="J22" s="132">
        <f>IF(SER_hh_fech!J22=0,0,SER_hh_fech!J22/SER_summary!J$26)</f>
        <v>0</v>
      </c>
      <c r="K22" s="132">
        <f>IF(SER_hh_fech!K22=0,0,SER_hh_fech!K22/SER_summary!K$26)</f>
        <v>0</v>
      </c>
      <c r="L22" s="132">
        <f>IF(SER_hh_fech!L22=0,0,SER_hh_fech!L22/SER_summary!L$26)</f>
        <v>0</v>
      </c>
      <c r="M22" s="132">
        <f>IF(SER_hh_fech!M22=0,0,SER_hh_fech!M22/SER_summary!M$26)</f>
        <v>0</v>
      </c>
      <c r="N22" s="132">
        <f>IF(SER_hh_fech!N22=0,0,SER_hh_fech!N22/SER_summary!N$26)</f>
        <v>0</v>
      </c>
      <c r="O22" s="132">
        <f>IF(SER_hh_fech!O22=0,0,SER_hh_fech!O22/SER_summary!O$26)</f>
        <v>0</v>
      </c>
      <c r="P22" s="132">
        <f>IF(SER_hh_fech!P22=0,0,SER_hh_fech!P22/SER_summary!P$26)</f>
        <v>0</v>
      </c>
      <c r="Q22" s="132">
        <f>IF(SER_hh_fech!Q22=0,0,SER_hh_fech!Q22/SER_summary!Q$26)</f>
        <v>0</v>
      </c>
      <c r="R22" s="132">
        <f>IF(SER_hh_fech!R22=0,0,SER_hh_fech!R22/SER_summary!R$26)</f>
        <v>0</v>
      </c>
      <c r="S22" s="132">
        <f>IF(SER_hh_fech!S22=0,0,SER_hh_fech!S22/SER_summary!S$26)</f>
        <v>0</v>
      </c>
      <c r="T22" s="132">
        <f>IF(SER_hh_fech!T22=0,0,SER_hh_fech!T22/SER_summary!T$26)</f>
        <v>0</v>
      </c>
      <c r="U22" s="132">
        <f>IF(SER_hh_fech!U22=0,0,SER_hh_fech!U22/SER_summary!U$26)</f>
        <v>0</v>
      </c>
      <c r="V22" s="132">
        <f>IF(SER_hh_fech!V22=0,0,SER_hh_fech!V22/SER_summary!V$26)</f>
        <v>0</v>
      </c>
      <c r="W22" s="132">
        <f>IF(SER_hh_fech!W22=0,0,SER_hh_fech!W22/SER_summary!W$26)</f>
        <v>0</v>
      </c>
      <c r="X22" s="132">
        <f>IF(SER_hh_fech!X22=0,0,SER_hh_fech!X22/SER_summary!X$26)</f>
        <v>0</v>
      </c>
      <c r="Y22" s="132">
        <f>IF(SER_hh_fech!Y22=0,0,SER_hh_fech!Y22/SER_summary!Y$26)</f>
        <v>0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0</v>
      </c>
      <c r="C23" s="132">
        <f>IF(SER_hh_fech!C23=0,0,SER_hh_fech!C23/SER_summary!C$26)</f>
        <v>0</v>
      </c>
      <c r="D23" s="132">
        <f>IF(SER_hh_fech!D23=0,0,SER_hh_fech!D23/SER_summary!D$26)</f>
        <v>0</v>
      </c>
      <c r="E23" s="132">
        <f>IF(SER_hh_fech!E23=0,0,SER_hh_fech!E23/SER_summary!E$26)</f>
        <v>0</v>
      </c>
      <c r="F23" s="132">
        <f>IF(SER_hh_fech!F23=0,0,SER_hh_fech!F23/SER_summary!F$26)</f>
        <v>0</v>
      </c>
      <c r="G23" s="132">
        <f>IF(SER_hh_fech!G23=0,0,SER_hh_fech!G23/SER_summary!G$26)</f>
        <v>0</v>
      </c>
      <c r="H23" s="132">
        <f>IF(SER_hh_fech!H23=0,0,SER_hh_fech!H23/SER_summary!H$26)</f>
        <v>0</v>
      </c>
      <c r="I23" s="132">
        <f>IF(SER_hh_fech!I23=0,0,SER_hh_fech!I23/SER_summary!I$26)</f>
        <v>0</v>
      </c>
      <c r="J23" s="132">
        <f>IF(SER_hh_fech!J23=0,0,SER_hh_fech!J23/SER_summary!J$26)</f>
        <v>0</v>
      </c>
      <c r="K23" s="132">
        <f>IF(SER_hh_fech!K23=0,0,SER_hh_fech!K23/SER_summary!K$26)</f>
        <v>0</v>
      </c>
      <c r="L23" s="132">
        <f>IF(SER_hh_fech!L23=0,0,SER_hh_fech!L23/SER_summary!L$26)</f>
        <v>0</v>
      </c>
      <c r="M23" s="132">
        <f>IF(SER_hh_fech!M23=0,0,SER_hh_fech!M23/SER_summary!M$26)</f>
        <v>0</v>
      </c>
      <c r="N23" s="132">
        <f>IF(SER_hh_fech!N23=0,0,SER_hh_fech!N23/SER_summary!N$26)</f>
        <v>0</v>
      </c>
      <c r="O23" s="132">
        <f>IF(SER_hh_fech!O23=0,0,SER_hh_fech!O23/SER_summary!O$26)</f>
        <v>0</v>
      </c>
      <c r="P23" s="132">
        <f>IF(SER_hh_fech!P23=0,0,SER_hh_fech!P23/SER_summary!P$26)</f>
        <v>0</v>
      </c>
      <c r="Q23" s="132">
        <f>IF(SER_hh_fech!Q23=0,0,SER_hh_fech!Q23/SER_summary!Q$26)</f>
        <v>0</v>
      </c>
      <c r="R23" s="132">
        <f>IF(SER_hh_fech!R23=0,0,SER_hh_fech!R23/SER_summary!R$26)</f>
        <v>0</v>
      </c>
      <c r="S23" s="132">
        <f>IF(SER_hh_fech!S23=0,0,SER_hh_fech!S23/SER_summary!S$26)</f>
        <v>0</v>
      </c>
      <c r="T23" s="132">
        <f>IF(SER_hh_fech!T23=0,0,SER_hh_fech!T23/SER_summary!T$26)</f>
        <v>0</v>
      </c>
      <c r="U23" s="132">
        <f>IF(SER_hh_fech!U23=0,0,SER_hh_fech!U23/SER_summary!U$26)</f>
        <v>0</v>
      </c>
      <c r="V23" s="132">
        <f>IF(SER_hh_fech!V23=0,0,SER_hh_fech!V23/SER_summary!V$26)</f>
        <v>0</v>
      </c>
      <c r="W23" s="132">
        <f>IF(SER_hh_fech!W23=0,0,SER_hh_fech!W23/SER_summary!W$26)</f>
        <v>0</v>
      </c>
      <c r="X23" s="132">
        <f>IF(SER_hh_fech!X23=0,0,SER_hh_fech!X23/SER_summary!X$26)</f>
        <v>0</v>
      </c>
      <c r="Y23" s="132">
        <f>IF(SER_hh_fech!Y23=0,0,SER_hh_fech!Y23/SER_summary!Y$26)</f>
        <v>0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0</v>
      </c>
      <c r="C25" s="132">
        <f>IF(SER_hh_fech!C25=0,0,SER_hh_fech!C25/SER_summary!C$26)</f>
        <v>0</v>
      </c>
      <c r="D25" s="132">
        <f>IF(SER_hh_fech!D25=0,0,SER_hh_fech!D25/SER_summary!D$26)</f>
        <v>0</v>
      </c>
      <c r="E25" s="132">
        <f>IF(SER_hh_fech!E25=0,0,SER_hh_fech!E25/SER_summary!E$26)</f>
        <v>0</v>
      </c>
      <c r="F25" s="132">
        <f>IF(SER_hh_fech!F25=0,0,SER_hh_fech!F25/SER_summary!F$26)</f>
        <v>0</v>
      </c>
      <c r="G25" s="132">
        <f>IF(SER_hh_fech!G25=0,0,SER_hh_fech!G25/SER_summary!G$26)</f>
        <v>0</v>
      </c>
      <c r="H25" s="132">
        <f>IF(SER_hh_fech!H25=0,0,SER_hh_fech!H25/SER_summary!H$26)</f>
        <v>0</v>
      </c>
      <c r="I25" s="132">
        <f>IF(SER_hh_fech!I25=0,0,SER_hh_fech!I25/SER_summary!I$26)</f>
        <v>0</v>
      </c>
      <c r="J25" s="132">
        <f>IF(SER_hh_fech!J25=0,0,SER_hh_fech!J25/SER_summary!J$26)</f>
        <v>0</v>
      </c>
      <c r="K25" s="132">
        <f>IF(SER_hh_fech!K25=0,0,SER_hh_fech!K25/SER_summary!K$26)</f>
        <v>0</v>
      </c>
      <c r="L25" s="132">
        <f>IF(SER_hh_fech!L25=0,0,SER_hh_fech!L25/SER_summary!L$26)</f>
        <v>0</v>
      </c>
      <c r="M25" s="132">
        <f>IF(SER_hh_fech!M25=0,0,SER_hh_fech!M25/SER_summary!M$26)</f>
        <v>69.801921830977832</v>
      </c>
      <c r="N25" s="132">
        <f>IF(SER_hh_fech!N25=0,0,SER_hh_fech!N25/SER_summary!N$26)</f>
        <v>50.340850072269546</v>
      </c>
      <c r="O25" s="132">
        <f>IF(SER_hh_fech!O25=0,0,SER_hh_fech!O25/SER_summary!O$26)</f>
        <v>50.547084225151572</v>
      </c>
      <c r="P25" s="132">
        <f>IF(SER_hh_fech!P25=0,0,SER_hh_fech!P25/SER_summary!P$26)</f>
        <v>46.372676115026508</v>
      </c>
      <c r="Q25" s="132">
        <f>IF(SER_hh_fech!Q25=0,0,SER_hh_fech!Q25/SER_summary!Q$26)</f>
        <v>51.788910556915553</v>
      </c>
      <c r="R25" s="132">
        <f>IF(SER_hh_fech!R25=0,0,SER_hh_fech!R25/SER_summary!R$26)</f>
        <v>52.653668085420342</v>
      </c>
      <c r="S25" s="132">
        <f>IF(SER_hh_fech!S25=0,0,SER_hh_fech!S25/SER_summary!S$26)</f>
        <v>35.61813694384221</v>
      </c>
      <c r="T25" s="132">
        <f>IF(SER_hh_fech!T25=0,0,SER_hh_fech!T25/SER_summary!T$26)</f>
        <v>45.406261982893852</v>
      </c>
      <c r="U25" s="132">
        <f>IF(SER_hh_fech!U25=0,0,SER_hh_fech!U25/SER_summary!U$26)</f>
        <v>67.687578656145575</v>
      </c>
      <c r="V25" s="132">
        <f>IF(SER_hh_fech!V25=0,0,SER_hh_fech!V25/SER_summary!V$26)</f>
        <v>0</v>
      </c>
      <c r="W25" s="132">
        <f>IF(SER_hh_fech!W25=0,0,SER_hh_fech!W25/SER_summary!W$26)</f>
        <v>0</v>
      </c>
      <c r="X25" s="132">
        <f>IF(SER_hh_fech!X25=0,0,SER_hh_fech!X25/SER_summary!X$26)</f>
        <v>0</v>
      </c>
      <c r="Y25" s="132">
        <f>IF(SER_hh_fech!Y25=0,0,SER_hh_fech!Y25/SER_summary!Y$26)</f>
        <v>0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57.73283445303322</v>
      </c>
      <c r="C26" s="65">
        <f>IF(SER_hh_fech!C26=0,0,SER_hh_fech!C26/SER_summary!C$26)</f>
        <v>55.015551402654921</v>
      </c>
      <c r="D26" s="65">
        <f>IF(SER_hh_fech!D26=0,0,SER_hh_fech!D26/SER_summary!D$26)</f>
        <v>56.299307758237823</v>
      </c>
      <c r="E26" s="65">
        <f>IF(SER_hh_fech!E26=0,0,SER_hh_fech!E26/SER_summary!E$26)</f>
        <v>57.043025259838494</v>
      </c>
      <c r="F26" s="65">
        <f>IF(SER_hh_fech!F26=0,0,SER_hh_fech!F26/SER_summary!F$26)</f>
        <v>58.822844666221094</v>
      </c>
      <c r="G26" s="65">
        <f>IF(SER_hh_fech!G26=0,0,SER_hh_fech!G26/SER_summary!G$26)</f>
        <v>58.289211681749116</v>
      </c>
      <c r="H26" s="65">
        <f>IF(SER_hh_fech!H26=0,0,SER_hh_fech!H26/SER_summary!H$26)</f>
        <v>53.597963882009751</v>
      </c>
      <c r="I26" s="65">
        <f>IF(SER_hh_fech!I26=0,0,SER_hh_fech!I26/SER_summary!I$26)</f>
        <v>50.733925958714089</v>
      </c>
      <c r="J26" s="65">
        <f>IF(SER_hh_fech!J26=0,0,SER_hh_fech!J26/SER_summary!J$26)</f>
        <v>49.71347696956537</v>
      </c>
      <c r="K26" s="65">
        <f>IF(SER_hh_fech!K26=0,0,SER_hh_fech!K26/SER_summary!K$26)</f>
        <v>50.698702895983999</v>
      </c>
      <c r="L26" s="65">
        <f>IF(SER_hh_fech!L26=0,0,SER_hh_fech!L26/SER_summary!L$26)</f>
        <v>56.062348243136064</v>
      </c>
      <c r="M26" s="65">
        <f>IF(SER_hh_fech!M26=0,0,SER_hh_fech!M26/SER_summary!M$26)</f>
        <v>55.595806171772509</v>
      </c>
      <c r="N26" s="65">
        <f>IF(SER_hh_fech!N26=0,0,SER_hh_fech!N26/SER_summary!N$26)</f>
        <v>53.504896370259019</v>
      </c>
      <c r="O26" s="65">
        <f>IF(SER_hh_fech!O26=0,0,SER_hh_fech!O26/SER_summary!O$26)</f>
        <v>54.114465322466209</v>
      </c>
      <c r="P26" s="65">
        <f>IF(SER_hh_fech!P26=0,0,SER_hh_fech!P26/SER_summary!P$26)</f>
        <v>53.163004390833045</v>
      </c>
      <c r="Q26" s="65">
        <f>IF(SER_hh_fech!Q26=0,0,SER_hh_fech!Q26/SER_summary!Q$26)</f>
        <v>52.223236347237382</v>
      </c>
      <c r="R26" s="65">
        <f>IF(SER_hh_fech!R26=0,0,SER_hh_fech!R26/SER_summary!R$26)</f>
        <v>51.550439613810298</v>
      </c>
      <c r="S26" s="65">
        <f>IF(SER_hh_fech!S26=0,0,SER_hh_fech!S26/SER_summary!S$26)</f>
        <v>50.211902802696862</v>
      </c>
      <c r="T26" s="65">
        <f>IF(SER_hh_fech!T26=0,0,SER_hh_fech!T26/SER_summary!T$26)</f>
        <v>49.118276787736441</v>
      </c>
      <c r="U26" s="65">
        <f>IF(SER_hh_fech!U26=0,0,SER_hh_fech!U26/SER_summary!U$26)</f>
        <v>48.380671625776159</v>
      </c>
      <c r="V26" s="65">
        <f>IF(SER_hh_fech!V26=0,0,SER_hh_fech!V26/SER_summary!V$26)</f>
        <v>45.586972367683465</v>
      </c>
      <c r="W26" s="65">
        <f>IF(SER_hh_fech!W26=0,0,SER_hh_fech!W26/SER_summary!W$26)</f>
        <v>45.709076915685898</v>
      </c>
      <c r="X26" s="65">
        <f>IF(SER_hh_fech!X26=0,0,SER_hh_fech!X26/SER_summary!X$26)</f>
        <v>44.753776697559523</v>
      </c>
      <c r="Y26" s="65">
        <f>IF(SER_hh_fech!Y26=0,0,SER_hh_fech!Y26/SER_summary!Y$26)</f>
        <v>45.714622939468491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0</v>
      </c>
      <c r="H27" s="145">
        <f>IF(SER_hh_fech!H27=0,0,SER_hh_fech!H27/SER_summary!H$26)</f>
        <v>0</v>
      </c>
      <c r="I27" s="145">
        <f>IF(SER_hh_fech!I27=0,0,SER_hh_fech!I27/SER_summary!I$26)</f>
        <v>0</v>
      </c>
      <c r="J27" s="145">
        <f>IF(SER_hh_fech!J27=0,0,SER_hh_fech!J27/SER_summary!J$26)</f>
        <v>0</v>
      </c>
      <c r="K27" s="145">
        <f>IF(SER_hh_fech!K27=0,0,SER_hh_fech!K27/SER_summary!K$26)</f>
        <v>0</v>
      </c>
      <c r="L27" s="145">
        <f>IF(SER_hh_fech!L27=0,0,SER_hh_fech!L27/SER_summary!L$26)</f>
        <v>0</v>
      </c>
      <c r="M27" s="145">
        <f>IF(SER_hh_fech!M27=0,0,SER_hh_fech!M27/SER_summary!M$26)</f>
        <v>0</v>
      </c>
      <c r="N27" s="145">
        <f>IF(SER_hh_fech!N27=0,0,SER_hh_fech!N27/SER_summary!N$26)</f>
        <v>0</v>
      </c>
      <c r="O27" s="145">
        <f>IF(SER_hh_fech!O27=0,0,SER_hh_fech!O27/SER_summary!O$26)</f>
        <v>0</v>
      </c>
      <c r="P27" s="145">
        <f>IF(SER_hh_fech!P27=0,0,SER_hh_fech!P27/SER_summary!P$26)</f>
        <v>0</v>
      </c>
      <c r="Q27" s="145">
        <f>IF(SER_hh_fech!Q27=0,0,SER_hh_fech!Q27/SER_summary!Q$26)</f>
        <v>0</v>
      </c>
      <c r="R27" s="145">
        <f>IF(SER_hh_fech!R27=0,0,SER_hh_fech!R27/SER_summary!R$26)</f>
        <v>0</v>
      </c>
      <c r="S27" s="145">
        <f>IF(SER_hh_fech!S27=0,0,SER_hh_fech!S27/SER_summary!S$26)</f>
        <v>0</v>
      </c>
      <c r="T27" s="145">
        <f>IF(SER_hh_fech!T27=0,0,SER_hh_fech!T27/SER_summary!T$26)</f>
        <v>0</v>
      </c>
      <c r="U27" s="145">
        <f>IF(SER_hh_fech!U27=0,0,SER_hh_fech!U27/SER_summary!U$26)</f>
        <v>0</v>
      </c>
      <c r="V27" s="145">
        <f>IF(SER_hh_fech!V27=0,0,SER_hh_fech!V27/SER_summary!V$26)</f>
        <v>0</v>
      </c>
      <c r="W27" s="145">
        <f>IF(SER_hh_fech!W27=0,0,SER_hh_fech!W27/SER_summary!W$26)</f>
        <v>0</v>
      </c>
      <c r="X27" s="145">
        <f>IF(SER_hh_fech!X27=0,0,SER_hh_fech!X27/SER_summary!X$26)</f>
        <v>0</v>
      </c>
      <c r="Y27" s="145">
        <f>IF(SER_hh_fech!Y27=0,0,SER_hh_fech!Y27/SER_summary!Y$26)</f>
        <v>0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0</v>
      </c>
      <c r="H28" s="146">
        <f>IF(SER_hh_fech!H28=0,0,SER_hh_fech!H28/SER_summary!H$26)</f>
        <v>0</v>
      </c>
      <c r="I28" s="146">
        <f>IF(SER_hh_fech!I28=0,0,SER_hh_fech!I28/SER_summary!I$26)</f>
        <v>0</v>
      </c>
      <c r="J28" s="146">
        <f>IF(SER_hh_fech!J28=0,0,SER_hh_fech!J28/SER_summary!J$26)</f>
        <v>0</v>
      </c>
      <c r="K28" s="146">
        <f>IF(SER_hh_fech!K28=0,0,SER_hh_fech!K28/SER_summary!K$26)</f>
        <v>0</v>
      </c>
      <c r="L28" s="146">
        <f>IF(SER_hh_fech!L28=0,0,SER_hh_fech!L28/SER_summary!L$26)</f>
        <v>0</v>
      </c>
      <c r="M28" s="146">
        <f>IF(SER_hh_fech!M28=0,0,SER_hh_fech!M28/SER_summary!M$26)</f>
        <v>0</v>
      </c>
      <c r="N28" s="146">
        <f>IF(SER_hh_fech!N28=0,0,SER_hh_fech!N28/SER_summary!N$26)</f>
        <v>0</v>
      </c>
      <c r="O28" s="146">
        <f>IF(SER_hh_fech!O28=0,0,SER_hh_fech!O28/SER_summary!O$26)</f>
        <v>0</v>
      </c>
      <c r="P28" s="146">
        <f>IF(SER_hh_fech!P28=0,0,SER_hh_fech!P28/SER_summary!P$26)</f>
        <v>0</v>
      </c>
      <c r="Q28" s="146">
        <f>IF(SER_hh_fech!Q28=0,0,SER_hh_fech!Q28/SER_summary!Q$26)</f>
        <v>0</v>
      </c>
      <c r="R28" s="146">
        <f>IF(SER_hh_fech!R28=0,0,SER_hh_fech!R28/SER_summary!R$26)</f>
        <v>0</v>
      </c>
      <c r="S28" s="146">
        <f>IF(SER_hh_fech!S28=0,0,SER_hh_fech!S28/SER_summary!S$26)</f>
        <v>0</v>
      </c>
      <c r="T28" s="146">
        <f>IF(SER_hh_fech!T28=0,0,SER_hh_fech!T28/SER_summary!T$26)</f>
        <v>0</v>
      </c>
      <c r="U28" s="146">
        <f>IF(SER_hh_fech!U28=0,0,SER_hh_fech!U28/SER_summary!U$26)</f>
        <v>0</v>
      </c>
      <c r="V28" s="146">
        <f>IF(SER_hh_fech!V28=0,0,SER_hh_fech!V28/SER_summary!V$26)</f>
        <v>0</v>
      </c>
      <c r="W28" s="146">
        <f>IF(SER_hh_fech!W28=0,0,SER_hh_fech!W28/SER_summary!W$26)</f>
        <v>0</v>
      </c>
      <c r="X28" s="146">
        <f>IF(SER_hh_fech!X28=0,0,SER_hh_fech!X28/SER_summary!X$26)</f>
        <v>0</v>
      </c>
      <c r="Y28" s="146">
        <f>IF(SER_hh_fech!Y28=0,0,SER_hh_fech!Y28/SER_summary!Y$26)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64.955858904148329</v>
      </c>
      <c r="C29" s="130">
        <f>IF(SER_hh_fech!C29=0,0,SER_hh_fech!C29/SER_summary!C$26)</f>
        <v>64.728531178181541</v>
      </c>
      <c r="D29" s="130">
        <f>IF(SER_hh_fech!D29=0,0,SER_hh_fech!D29/SER_summary!D$26)</f>
        <v>66.552665413178445</v>
      </c>
      <c r="E29" s="130">
        <f>IF(SER_hh_fech!E29=0,0,SER_hh_fech!E29/SER_summary!E$26)</f>
        <v>68.09573808435664</v>
      </c>
      <c r="F29" s="130">
        <f>IF(SER_hh_fech!F29=0,0,SER_hh_fech!F29/SER_summary!F$26)</f>
        <v>69.39656106596037</v>
      </c>
      <c r="G29" s="130">
        <f>IF(SER_hh_fech!G29=0,0,SER_hh_fech!G29/SER_summary!G$26)</f>
        <v>67.30800306469294</v>
      </c>
      <c r="H29" s="130">
        <f>IF(SER_hh_fech!H29=0,0,SER_hh_fech!H29/SER_summary!H$26)</f>
        <v>67.829559508882184</v>
      </c>
      <c r="I29" s="130">
        <f>IF(SER_hh_fech!I29=0,0,SER_hh_fech!I29/SER_summary!I$26)</f>
        <v>67.305736159462256</v>
      </c>
      <c r="J29" s="130">
        <f>IF(SER_hh_fech!J29=0,0,SER_hh_fech!J29/SER_summary!J$26)</f>
        <v>66.149406644796883</v>
      </c>
      <c r="K29" s="130">
        <f>IF(SER_hh_fech!K29=0,0,SER_hh_fech!K29/SER_summary!K$26)</f>
        <v>68.492388070709481</v>
      </c>
      <c r="L29" s="130">
        <f>IF(SER_hh_fech!L29=0,0,SER_hh_fech!L29/SER_summary!L$26)</f>
        <v>68.098036029634002</v>
      </c>
      <c r="M29" s="130">
        <f>IF(SER_hh_fech!M29=0,0,SER_hh_fech!M29/SER_summary!M$26)</f>
        <v>68.654467189578952</v>
      </c>
      <c r="N29" s="130">
        <f>IF(SER_hh_fech!N29=0,0,SER_hh_fech!N29/SER_summary!N$26)</f>
        <v>66.978322004889861</v>
      </c>
      <c r="O29" s="130">
        <f>IF(SER_hh_fech!O29=0,0,SER_hh_fech!O29/SER_summary!O$26)</f>
        <v>66.265409231574964</v>
      </c>
      <c r="P29" s="130">
        <f>IF(SER_hh_fech!P29=0,0,SER_hh_fech!P29/SER_summary!P$26)</f>
        <v>66.415853830214246</v>
      </c>
      <c r="Q29" s="130">
        <f>IF(SER_hh_fech!Q29=0,0,SER_hh_fech!Q29/SER_summary!Q$26)</f>
        <v>66.741353161847172</v>
      </c>
      <c r="R29" s="130">
        <f>IF(SER_hh_fech!R29=0,0,SER_hh_fech!R29/SER_summary!R$26)</f>
        <v>65.771483810827064</v>
      </c>
      <c r="S29" s="130">
        <f>IF(SER_hh_fech!S29=0,0,SER_hh_fech!S29/SER_summary!S$26)</f>
        <v>65.372631148673094</v>
      </c>
      <c r="T29" s="130">
        <f>IF(SER_hh_fech!T29=0,0,SER_hh_fech!T29/SER_summary!T$26)</f>
        <v>66.612774474930333</v>
      </c>
      <c r="U29" s="130">
        <f>IF(SER_hh_fech!U29=0,0,SER_hh_fech!U29/SER_summary!U$26)</f>
        <v>66.542984886028208</v>
      </c>
      <c r="V29" s="130">
        <f>IF(SER_hh_fech!V29=0,0,SER_hh_fech!V29/SER_summary!V$26)</f>
        <v>59.103877379606047</v>
      </c>
      <c r="W29" s="130">
        <f>IF(SER_hh_fech!W29=0,0,SER_hh_fech!W29/SER_summary!W$26)</f>
        <v>60.684996141791473</v>
      </c>
      <c r="X29" s="130">
        <f>IF(SER_hh_fech!X29=0,0,SER_hh_fech!X29/SER_summary!X$26)</f>
        <v>62.090375199216474</v>
      </c>
      <c r="Y29" s="130">
        <f>IF(SER_hh_fech!Y29=0,0,SER_hh_fech!Y29/SER_summary!Y$26)</f>
        <v>63.935206509246242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85.085999201484142</v>
      </c>
      <c r="C30" s="132">
        <f>IF(SER_hh_fech!C30=0,0,SER_hh_fech!C30/SER_summary!C$26)</f>
        <v>79.290906231924552</v>
      </c>
      <c r="D30" s="132">
        <f>IF(SER_hh_fech!D30=0,0,SER_hh_fech!D30/SER_summary!D$26)</f>
        <v>93.526402185129598</v>
      </c>
      <c r="E30" s="132">
        <f>IF(SER_hh_fech!E30=0,0,SER_hh_fech!E30/SER_summary!E$26)</f>
        <v>89.674484471486352</v>
      </c>
      <c r="F30" s="132">
        <f>IF(SER_hh_fech!F30=0,0,SER_hh_fech!F30/SER_summary!F$26)</f>
        <v>78.041453370183618</v>
      </c>
      <c r="G30" s="132">
        <f>IF(SER_hh_fech!G30=0,0,SER_hh_fech!G30/SER_summary!G$26)</f>
        <v>68.198676214907536</v>
      </c>
      <c r="H30" s="132">
        <f>IF(SER_hh_fech!H30=0,0,SER_hh_fech!H30/SER_summary!H$26)</f>
        <v>86.95781162535107</v>
      </c>
      <c r="I30" s="132">
        <f>IF(SER_hh_fech!I30=0,0,SER_hh_fech!I30/SER_summary!I$26)</f>
        <v>75.062488522628527</v>
      </c>
      <c r="J30" s="132">
        <f>IF(SER_hh_fech!J30=0,0,SER_hh_fech!J30/SER_summary!J$26)</f>
        <v>82.761209816728908</v>
      </c>
      <c r="K30" s="132">
        <f>IF(SER_hh_fech!K30=0,0,SER_hh_fech!K30/SER_summary!K$26)</f>
        <v>102.20365251705438</v>
      </c>
      <c r="L30" s="132">
        <f>IF(SER_hh_fech!L30=0,0,SER_hh_fech!L30/SER_summary!L$26)</f>
        <v>77.448842694167112</v>
      </c>
      <c r="M30" s="132">
        <f>IF(SER_hh_fech!M30=0,0,SER_hh_fech!M30/SER_summary!M$26)</f>
        <v>86.890087780752552</v>
      </c>
      <c r="N30" s="132">
        <f>IF(SER_hh_fech!N30=0,0,SER_hh_fech!N30/SER_summary!N$26)</f>
        <v>84.019592542164702</v>
      </c>
      <c r="O30" s="132">
        <f>IF(SER_hh_fech!O30=0,0,SER_hh_fech!O30/SER_summary!O$26)</f>
        <v>81.447001966015009</v>
      </c>
      <c r="P30" s="132">
        <f>IF(SER_hh_fech!P30=0,0,SER_hh_fech!P30/SER_summary!P$26)</f>
        <v>80.598822375294191</v>
      </c>
      <c r="Q30" s="132">
        <f>IF(SER_hh_fech!Q30=0,0,SER_hh_fech!Q30/SER_summary!Q$26)</f>
        <v>89.017637499261156</v>
      </c>
      <c r="R30" s="132">
        <f>IF(SER_hh_fech!R30=0,0,SER_hh_fech!R30/SER_summary!R$26)</f>
        <v>72.560225415507645</v>
      </c>
      <c r="S30" s="132">
        <f>IF(SER_hh_fech!S30=0,0,SER_hh_fech!S30/SER_summary!S$26)</f>
        <v>77.854867612981351</v>
      </c>
      <c r="T30" s="132">
        <f>IF(SER_hh_fech!T30=0,0,SER_hh_fech!T30/SER_summary!T$26)</f>
        <v>90.527700510770956</v>
      </c>
      <c r="U30" s="132">
        <f>IF(SER_hh_fech!U30=0,0,SER_hh_fech!U30/SER_summary!U$26)</f>
        <v>92.168564478656819</v>
      </c>
      <c r="V30" s="132">
        <f>IF(SER_hh_fech!V30=0,0,SER_hh_fech!V30/SER_summary!V$26)</f>
        <v>58.951849797854884</v>
      </c>
      <c r="W30" s="132">
        <f>IF(SER_hh_fech!W30=0,0,SER_hh_fech!W30/SER_summary!W$26)</f>
        <v>62.871346626404808</v>
      </c>
      <c r="X30" s="132">
        <f>IF(SER_hh_fech!X30=0,0,SER_hh_fech!X30/SER_summary!X$26)</f>
        <v>76.31972430315534</v>
      </c>
      <c r="Y30" s="132">
        <f>IF(SER_hh_fech!Y30=0,0,SER_hh_fech!Y30/SER_summary!Y$26)</f>
        <v>82.769709690306712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0</v>
      </c>
      <c r="C31" s="132">
        <f>IF(SER_hh_fech!C31=0,0,SER_hh_fech!C31/SER_summary!C$26)</f>
        <v>0</v>
      </c>
      <c r="D31" s="132">
        <f>IF(SER_hh_fech!D31=0,0,SER_hh_fech!D31/SER_summary!D$26)</f>
        <v>0</v>
      </c>
      <c r="E31" s="132">
        <f>IF(SER_hh_fech!E31=0,0,SER_hh_fech!E31/SER_summary!E$26)</f>
        <v>0</v>
      </c>
      <c r="F31" s="132">
        <f>IF(SER_hh_fech!F31=0,0,SER_hh_fech!F31/SER_summary!F$26)</f>
        <v>0</v>
      </c>
      <c r="G31" s="132">
        <f>IF(SER_hh_fech!G31=0,0,SER_hh_fech!G31/SER_summary!G$26)</f>
        <v>0</v>
      </c>
      <c r="H31" s="132">
        <f>IF(SER_hh_fech!H31=0,0,SER_hh_fech!H31/SER_summary!H$26)</f>
        <v>0</v>
      </c>
      <c r="I31" s="132">
        <f>IF(SER_hh_fech!I31=0,0,SER_hh_fech!I31/SER_summary!I$26)</f>
        <v>0</v>
      </c>
      <c r="J31" s="132">
        <f>IF(SER_hh_fech!J31=0,0,SER_hh_fech!J31/SER_summary!J$26)</f>
        <v>0</v>
      </c>
      <c r="K31" s="132">
        <f>IF(SER_hh_fech!K31=0,0,SER_hh_fech!K31/SER_summary!K$26)</f>
        <v>0</v>
      </c>
      <c r="L31" s="132">
        <f>IF(SER_hh_fech!L31=0,0,SER_hh_fech!L31/SER_summary!L$26)</f>
        <v>0</v>
      </c>
      <c r="M31" s="132">
        <f>IF(SER_hh_fech!M31=0,0,SER_hh_fech!M31/SER_summary!M$26)</f>
        <v>0</v>
      </c>
      <c r="N31" s="132">
        <f>IF(SER_hh_fech!N31=0,0,SER_hh_fech!N31/SER_summary!N$26)</f>
        <v>0</v>
      </c>
      <c r="O31" s="132">
        <f>IF(SER_hh_fech!O31=0,0,SER_hh_fech!O31/SER_summary!O$26)</f>
        <v>0</v>
      </c>
      <c r="P31" s="132">
        <f>IF(SER_hh_fech!P31=0,0,SER_hh_fech!P31/SER_summary!P$26)</f>
        <v>0</v>
      </c>
      <c r="Q31" s="132">
        <f>IF(SER_hh_fech!Q31=0,0,SER_hh_fech!Q31/SER_summary!Q$26)</f>
        <v>0</v>
      </c>
      <c r="R31" s="132">
        <f>IF(SER_hh_fech!R31=0,0,SER_hh_fech!R31/SER_summary!R$26)</f>
        <v>0</v>
      </c>
      <c r="S31" s="132">
        <f>IF(SER_hh_fech!S31=0,0,SER_hh_fech!S31/SER_summary!S$26)</f>
        <v>0</v>
      </c>
      <c r="T31" s="132">
        <f>IF(SER_hh_fech!T31=0,0,SER_hh_fech!T31/SER_summary!T$26)</f>
        <v>0</v>
      </c>
      <c r="U31" s="132">
        <f>IF(SER_hh_fech!U31=0,0,SER_hh_fech!U31/SER_summary!U$26)</f>
        <v>0</v>
      </c>
      <c r="V31" s="132">
        <f>IF(SER_hh_fech!V31=0,0,SER_hh_fech!V31/SER_summary!V$26)</f>
        <v>0</v>
      </c>
      <c r="W31" s="132">
        <f>IF(SER_hh_fech!W31=0,0,SER_hh_fech!W31/SER_summary!W$26)</f>
        <v>0</v>
      </c>
      <c r="X31" s="132">
        <f>IF(SER_hh_fech!X31=0,0,SER_hh_fech!X31/SER_summary!X$26)</f>
        <v>0</v>
      </c>
      <c r="Y31" s="132">
        <f>IF(SER_hh_fech!Y31=0,0,SER_hh_fech!Y31/SER_summary!Y$26)</f>
        <v>0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63.757721104763462</v>
      </c>
      <c r="C33" s="68">
        <f>IF(SER_hh_fech!C33=0,0,SER_hh_fech!C33/SER_summary!C$26)</f>
        <v>63.863497175327851</v>
      </c>
      <c r="D33" s="68">
        <f>IF(SER_hh_fech!D33=0,0,SER_hh_fech!D33/SER_summary!D$26)</f>
        <v>64.879871149290352</v>
      </c>
      <c r="E33" s="68">
        <f>IF(SER_hh_fech!E33=0,0,SER_hh_fech!E33/SER_summary!E$26)</f>
        <v>66.761372319303533</v>
      </c>
      <c r="F33" s="68">
        <f>IF(SER_hh_fech!F33=0,0,SER_hh_fech!F33/SER_summary!F$26)</f>
        <v>68.813752072118419</v>
      </c>
      <c r="G33" s="68">
        <f>IF(SER_hh_fech!G33=0,0,SER_hh_fech!G33/SER_summary!G$26)</f>
        <v>67.236000885572281</v>
      </c>
      <c r="H33" s="68">
        <f>IF(SER_hh_fech!H33=0,0,SER_hh_fech!H33/SER_summary!H$26)</f>
        <v>65.577532810239433</v>
      </c>
      <c r="I33" s="68">
        <f>IF(SER_hh_fech!I33=0,0,SER_hh_fech!I33/SER_summary!I$26)</f>
        <v>65.980431104412048</v>
      </c>
      <c r="J33" s="68">
        <f>IF(SER_hh_fech!J33=0,0,SER_hh_fech!J33/SER_summary!J$26)</f>
        <v>62.397165256811533</v>
      </c>
      <c r="K33" s="68">
        <f>IF(SER_hh_fech!K33=0,0,SER_hh_fech!K33/SER_summary!K$26)</f>
        <v>58.685259958550262</v>
      </c>
      <c r="L33" s="68">
        <f>IF(SER_hh_fech!L33=0,0,SER_hh_fech!L33/SER_summary!L$26)</f>
        <v>65.352918315568985</v>
      </c>
      <c r="M33" s="68">
        <f>IF(SER_hh_fech!M33=0,0,SER_hh_fech!M33/SER_summary!M$26)</f>
        <v>63.215766344447793</v>
      </c>
      <c r="N33" s="68">
        <f>IF(SER_hh_fech!N33=0,0,SER_hh_fech!N33/SER_summary!N$26)</f>
        <v>62.231665398878761</v>
      </c>
      <c r="O33" s="68">
        <f>IF(SER_hh_fech!O33=0,0,SER_hh_fech!O33/SER_summary!O$26)</f>
        <v>62.042585628673478</v>
      </c>
      <c r="P33" s="68">
        <f>IF(SER_hh_fech!P33=0,0,SER_hh_fech!P33/SER_summary!P$26)</f>
        <v>62.58414709606464</v>
      </c>
      <c r="Q33" s="68">
        <f>IF(SER_hh_fech!Q33=0,0,SER_hh_fech!Q33/SER_summary!Q$26)</f>
        <v>60.538322468724061</v>
      </c>
      <c r="R33" s="68">
        <f>IF(SER_hh_fech!R33=0,0,SER_hh_fech!R33/SER_summary!R$26)</f>
        <v>63.831378984596668</v>
      </c>
      <c r="S33" s="68">
        <f>IF(SER_hh_fech!S33=0,0,SER_hh_fech!S33/SER_summary!S$26)</f>
        <v>61.251295949683211</v>
      </c>
      <c r="T33" s="68">
        <f>IF(SER_hh_fech!T33=0,0,SER_hh_fech!T33/SER_summary!T$26)</f>
        <v>57.745900396647855</v>
      </c>
      <c r="U33" s="68">
        <f>IF(SER_hh_fech!U33=0,0,SER_hh_fech!U33/SER_summary!U$26)</f>
        <v>56.924084772052169</v>
      </c>
      <c r="V33" s="68">
        <f>IF(SER_hh_fech!V33=0,0,SER_hh_fech!V33/SER_summary!V$26)</f>
        <v>59.162422076000048</v>
      </c>
      <c r="W33" s="68">
        <f>IF(SER_hh_fech!W33=0,0,SER_hh_fech!W33/SER_summary!W$26)</f>
        <v>59.836241750651197</v>
      </c>
      <c r="X33" s="68">
        <f>IF(SER_hh_fech!X33=0,0,SER_hh_fech!X33/SER_summary!X$26)</f>
        <v>56.220960643656269</v>
      </c>
      <c r="Y33" s="68">
        <f>IF(SER_hh_fech!Y33=0,0,SER_hh_fech!Y33/SER_summary!Y$26)</f>
        <v>55.689732666724531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184.31305474582257</v>
      </c>
      <c r="C3" s="125">
        <f>IF(SER_hh_tesh!C3=0,0,SER_hh_tesh!C3/SER_summary!C$26)</f>
        <v>193.45451823941991</v>
      </c>
      <c r="D3" s="125">
        <f>IF(SER_hh_tesh!D3=0,0,SER_hh_tesh!D3/SER_summary!D$26)</f>
        <v>198.4703448116197</v>
      </c>
      <c r="E3" s="125">
        <f>IF(SER_hh_tesh!E3=0,0,SER_hh_tesh!E3/SER_summary!E$26)</f>
        <v>234.11067347454576</v>
      </c>
      <c r="F3" s="125">
        <f>IF(SER_hh_tesh!F3=0,0,SER_hh_tesh!F3/SER_summary!F$26)</f>
        <v>215.91921824345832</v>
      </c>
      <c r="G3" s="125">
        <f>IF(SER_hh_tesh!G3=0,0,SER_hh_tesh!G3/SER_summary!G$26)</f>
        <v>230.77004027119801</v>
      </c>
      <c r="H3" s="125">
        <f>IF(SER_hh_tesh!H3=0,0,SER_hh_tesh!H3/SER_summary!H$26)</f>
        <v>211.32970890792436</v>
      </c>
      <c r="I3" s="125">
        <f>IF(SER_hh_tesh!I3=0,0,SER_hh_tesh!I3/SER_summary!I$26)</f>
        <v>217.9097099629127</v>
      </c>
      <c r="J3" s="125">
        <f>IF(SER_hh_tesh!J3=0,0,SER_hh_tesh!J3/SER_summary!J$26)</f>
        <v>200.14535789982691</v>
      </c>
      <c r="K3" s="125">
        <f>IF(SER_hh_tesh!K3=0,0,SER_hh_tesh!K3/SER_summary!K$26)</f>
        <v>187.74935407207286</v>
      </c>
      <c r="L3" s="125">
        <f>IF(SER_hh_tesh!L3=0,0,SER_hh_tesh!L3/SER_summary!L$26)</f>
        <v>242.53427266154489</v>
      </c>
      <c r="M3" s="125">
        <f>IF(SER_hh_tesh!M3=0,0,SER_hh_tesh!M3/SER_summary!M$26)</f>
        <v>236.02875233150041</v>
      </c>
      <c r="N3" s="125">
        <f>IF(SER_hh_tesh!N3=0,0,SER_hh_tesh!N3/SER_summary!N$26)</f>
        <v>294.57418637133094</v>
      </c>
      <c r="O3" s="125">
        <f>IF(SER_hh_tesh!O3=0,0,SER_hh_tesh!O3/SER_summary!O$26)</f>
        <v>282.02579297854635</v>
      </c>
      <c r="P3" s="125">
        <f>IF(SER_hh_tesh!P3=0,0,SER_hh_tesh!P3/SER_summary!P$26)</f>
        <v>295.74496592067106</v>
      </c>
      <c r="Q3" s="125">
        <f>IF(SER_hh_tesh!Q3=0,0,SER_hh_tesh!Q3/SER_summary!Q$26)</f>
        <v>324.03930164709379</v>
      </c>
      <c r="R3" s="125">
        <f>IF(SER_hh_tesh!R3=0,0,SER_hh_tesh!R3/SER_summary!R$26)</f>
        <v>302.95596160527776</v>
      </c>
      <c r="S3" s="125">
        <f>IF(SER_hh_tesh!S3=0,0,SER_hh_tesh!S3/SER_summary!S$26)</f>
        <v>321.22137350695584</v>
      </c>
      <c r="T3" s="125">
        <f>IF(SER_hh_tesh!T3=0,0,SER_hh_tesh!T3/SER_summary!T$26)</f>
        <v>290.0733297623724</v>
      </c>
      <c r="U3" s="125">
        <f>IF(SER_hh_tesh!U3=0,0,SER_hh_tesh!U3/SER_summary!U$26)</f>
        <v>316.98390297762779</v>
      </c>
      <c r="V3" s="125">
        <f>IF(SER_hh_tesh!V3=0,0,SER_hh_tesh!V3/SER_summary!V$26)</f>
        <v>264.51153610259956</v>
      </c>
      <c r="W3" s="125">
        <f>IF(SER_hh_tesh!W3=0,0,SER_hh_tesh!W3/SER_summary!W$26)</f>
        <v>297.83458689434099</v>
      </c>
      <c r="X3" s="125">
        <f>IF(SER_hh_tesh!X3=0,0,SER_hh_tesh!X3/SER_summary!X$26)</f>
        <v>337.10889066924136</v>
      </c>
      <c r="Y3" s="125">
        <f>IF(SER_hh_tesh!Y3=0,0,SER_hh_tesh!Y3/SER_summary!Y$26)</f>
        <v>326.99109256316166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67.314615555952059</v>
      </c>
      <c r="C4" s="130">
        <f>IF(SER_hh_tesh!C4=0,0,SER_hh_tesh!C4/SER_summary!C$26)</f>
        <v>69.720388755162404</v>
      </c>
      <c r="D4" s="130">
        <f>IF(SER_hh_tesh!D4=0,0,SER_hh_tesh!D4/SER_summary!D$26)</f>
        <v>81.526259519902425</v>
      </c>
      <c r="E4" s="130">
        <f>IF(SER_hh_tesh!E4=0,0,SER_hh_tesh!E4/SER_summary!E$26)</f>
        <v>92.625130565049446</v>
      </c>
      <c r="F4" s="130">
        <f>IF(SER_hh_tesh!F4=0,0,SER_hh_tesh!F4/SER_summary!F$26)</f>
        <v>101.12358697379656</v>
      </c>
      <c r="G4" s="130">
        <f>IF(SER_hh_tesh!G4=0,0,SER_hh_tesh!G4/SER_summary!G$26)</f>
        <v>116.83057672792239</v>
      </c>
      <c r="H4" s="130">
        <f>IF(SER_hh_tesh!H4=0,0,SER_hh_tesh!H4/SER_summary!H$26)</f>
        <v>82.216762311625288</v>
      </c>
      <c r="I4" s="130">
        <f>IF(SER_hh_tesh!I4=0,0,SER_hh_tesh!I4/SER_summary!I$26)</f>
        <v>85.701376322854784</v>
      </c>
      <c r="J4" s="130">
        <f>IF(SER_hh_tesh!J4=0,0,SER_hh_tesh!J4/SER_summary!J$26)</f>
        <v>76.629684731651949</v>
      </c>
      <c r="K4" s="130">
        <f>IF(SER_hh_tesh!K4=0,0,SER_hh_tesh!K4/SER_summary!K$26)</f>
        <v>58.12364141405579</v>
      </c>
      <c r="L4" s="130">
        <f>IF(SER_hh_tesh!L4=0,0,SER_hh_tesh!L4/SER_summary!L$26)</f>
        <v>119.60066236307313</v>
      </c>
      <c r="M4" s="130">
        <f>IF(SER_hh_tesh!M4=0,0,SER_hh_tesh!M4/SER_summary!M$26)</f>
        <v>107.61772136762046</v>
      </c>
      <c r="N4" s="130">
        <f>IF(SER_hh_tesh!N4=0,0,SER_hh_tesh!N4/SER_summary!N$26)</f>
        <v>128.43247109602072</v>
      </c>
      <c r="O4" s="130">
        <f>IF(SER_hh_tesh!O4=0,0,SER_hh_tesh!O4/SER_summary!O$26)</f>
        <v>140.40174902187542</v>
      </c>
      <c r="P4" s="130">
        <f>IF(SER_hh_tesh!P4=0,0,SER_hh_tesh!P4/SER_summary!P$26)</f>
        <v>150.24875638333816</v>
      </c>
      <c r="Q4" s="130">
        <f>IF(SER_hh_tesh!Q4=0,0,SER_hh_tesh!Q4/SER_summary!Q$26)</f>
        <v>171.92008339058387</v>
      </c>
      <c r="R4" s="130">
        <f>IF(SER_hh_tesh!R4=0,0,SER_hh_tesh!R4/SER_summary!R$26)</f>
        <v>162.2661987227354</v>
      </c>
      <c r="S4" s="130">
        <f>IF(SER_hh_tesh!S4=0,0,SER_hh_tesh!S4/SER_summary!S$26)</f>
        <v>167.96668027539792</v>
      </c>
      <c r="T4" s="130">
        <f>IF(SER_hh_tesh!T4=0,0,SER_hh_tesh!T4/SER_summary!T$26)</f>
        <v>142.8967982822393</v>
      </c>
      <c r="U4" s="130">
        <f>IF(SER_hh_tesh!U4=0,0,SER_hh_tesh!U4/SER_summary!U$26)</f>
        <v>140.21039104104852</v>
      </c>
      <c r="V4" s="130">
        <f>IF(SER_hh_tesh!V4=0,0,SER_hh_tesh!V4/SER_summary!V$26)</f>
        <v>114.22247214156671</v>
      </c>
      <c r="W4" s="130">
        <f>IF(SER_hh_tesh!W4=0,0,SER_hh_tesh!W4/SER_summary!W$26)</f>
        <v>122.58799813774583</v>
      </c>
      <c r="X4" s="130">
        <f>IF(SER_hh_tesh!X4=0,0,SER_hh_tesh!X4/SER_summary!X$26)</f>
        <v>152.4161476400441</v>
      </c>
      <c r="Y4" s="130">
        <f>IF(SER_hh_tesh!Y4=0,0,SER_hh_tesh!Y4/SER_summary!Y$26)</f>
        <v>149.38363227627303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0</v>
      </c>
      <c r="C5" s="132">
        <f>IF(SER_hh_tesh!C5=0,0,SER_hh_tesh!C5/SER_summary!C$26)</f>
        <v>0</v>
      </c>
      <c r="D5" s="132">
        <f>IF(SER_hh_tesh!D5=0,0,SER_hh_tesh!D5/SER_summary!D$26)</f>
        <v>0</v>
      </c>
      <c r="E5" s="132">
        <f>IF(SER_hh_tesh!E5=0,0,SER_hh_tesh!E5/SER_summary!E$26)</f>
        <v>0</v>
      </c>
      <c r="F5" s="132">
        <f>IF(SER_hh_tesh!F5=0,0,SER_hh_tesh!F5/SER_summary!F$26)</f>
        <v>0</v>
      </c>
      <c r="G5" s="132">
        <f>IF(SER_hh_tesh!G5=0,0,SER_hh_tesh!G5/SER_summary!G$26)</f>
        <v>0</v>
      </c>
      <c r="H5" s="132">
        <f>IF(SER_hh_tesh!H5=0,0,SER_hh_tesh!H5/SER_summary!H$26)</f>
        <v>0</v>
      </c>
      <c r="I5" s="132">
        <f>IF(SER_hh_tesh!I5=0,0,SER_hh_tesh!I5/SER_summary!I$26)</f>
        <v>0</v>
      </c>
      <c r="J5" s="132">
        <f>IF(SER_hh_tesh!J5=0,0,SER_hh_tesh!J5/SER_summary!J$26)</f>
        <v>0</v>
      </c>
      <c r="K5" s="132">
        <f>IF(SER_hh_tesh!K5=0,0,SER_hh_tesh!K5/SER_summary!K$26)</f>
        <v>0</v>
      </c>
      <c r="L5" s="132">
        <f>IF(SER_hh_tesh!L5=0,0,SER_hh_tesh!L5/SER_summary!L$26)</f>
        <v>0</v>
      </c>
      <c r="M5" s="132">
        <f>IF(SER_hh_tesh!M5=0,0,SER_hh_tesh!M5/SER_summary!M$26)</f>
        <v>0</v>
      </c>
      <c r="N5" s="132">
        <f>IF(SER_hh_tesh!N5=0,0,SER_hh_tesh!N5/SER_summary!N$26)</f>
        <v>0</v>
      </c>
      <c r="O5" s="132">
        <f>IF(SER_hh_tesh!O5=0,0,SER_hh_tesh!O5/SER_summary!O$26)</f>
        <v>0</v>
      </c>
      <c r="P5" s="132">
        <f>IF(SER_hh_tesh!P5=0,0,SER_hh_tesh!P5/SER_summary!P$26)</f>
        <v>0</v>
      </c>
      <c r="Q5" s="132">
        <f>IF(SER_hh_tesh!Q5=0,0,SER_hh_tesh!Q5/SER_summary!Q$26)</f>
        <v>0</v>
      </c>
      <c r="R5" s="132">
        <f>IF(SER_hh_tesh!R5=0,0,SER_hh_tesh!R5/SER_summary!R$26)</f>
        <v>0</v>
      </c>
      <c r="S5" s="132">
        <f>IF(SER_hh_tesh!S5=0,0,SER_hh_tesh!S5/SER_summary!S$26)</f>
        <v>0</v>
      </c>
      <c r="T5" s="132">
        <f>IF(SER_hh_tesh!T5=0,0,SER_hh_tesh!T5/SER_summary!T$26)</f>
        <v>0</v>
      </c>
      <c r="U5" s="132">
        <f>IF(SER_hh_tesh!U5=0,0,SER_hh_tesh!U5/SER_summary!U$26)</f>
        <v>0</v>
      </c>
      <c r="V5" s="132">
        <f>IF(SER_hh_tesh!V5=0,0,SER_hh_tesh!V5/SER_summary!V$26)</f>
        <v>0</v>
      </c>
      <c r="W5" s="132">
        <f>IF(SER_hh_tesh!W5=0,0,SER_hh_tesh!W5/SER_summary!W$26)</f>
        <v>0</v>
      </c>
      <c r="X5" s="132">
        <f>IF(SER_hh_tesh!X5=0,0,SER_hh_tesh!X5/SER_summary!X$26)</f>
        <v>0</v>
      </c>
      <c r="Y5" s="132">
        <f>IF(SER_hh_tesh!Y5=0,0,SER_hh_tesh!Y5/SER_summary!Y$26)</f>
        <v>0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70.611667612165689</v>
      </c>
      <c r="C6" s="132">
        <f>IF(SER_hh_tesh!C6=0,0,SER_hh_tesh!C6/SER_summary!C$26)</f>
        <v>75.016832171851746</v>
      </c>
      <c r="D6" s="132">
        <f>IF(SER_hh_tesh!D6=0,0,SER_hh_tesh!D6/SER_summary!D$26)</f>
        <v>77.052382919727933</v>
      </c>
      <c r="E6" s="132">
        <f>IF(SER_hh_tesh!E6=0,0,SER_hh_tesh!E6/SER_summary!E$26)</f>
        <v>87.832410186810435</v>
      </c>
      <c r="F6" s="132">
        <f>IF(SER_hh_tesh!F6=0,0,SER_hh_tesh!F6/SER_summary!F$26)</f>
        <v>93.077392097176727</v>
      </c>
      <c r="G6" s="132">
        <f>IF(SER_hh_tesh!G6=0,0,SER_hh_tesh!G6/SER_summary!G$26)</f>
        <v>81.534988757883013</v>
      </c>
      <c r="H6" s="132">
        <f>IF(SER_hh_tesh!H6=0,0,SER_hh_tesh!H6/SER_summary!H$26)</f>
        <v>95.120513805000883</v>
      </c>
      <c r="I6" s="132">
        <f>IF(SER_hh_tesh!I6=0,0,SER_hh_tesh!I6/SER_summary!I$26)</f>
        <v>108.22074328972879</v>
      </c>
      <c r="J6" s="132">
        <f>IF(SER_hh_tesh!J6=0,0,SER_hh_tesh!J6/SER_summary!J$26)</f>
        <v>58.810859785641746</v>
      </c>
      <c r="K6" s="132">
        <f>IF(SER_hh_tesh!K6=0,0,SER_hh_tesh!K6/SER_summary!K$26)</f>
        <v>31.221966462249785</v>
      </c>
      <c r="L6" s="132">
        <f>IF(SER_hh_tesh!L6=0,0,SER_hh_tesh!L6/SER_summary!L$26)</f>
        <v>143.9600975155335</v>
      </c>
      <c r="M6" s="132">
        <f>IF(SER_hh_tesh!M6=0,0,SER_hh_tesh!M6/SER_summary!M$26)</f>
        <v>112.08690612813061</v>
      </c>
      <c r="N6" s="132">
        <f>IF(SER_hh_tesh!N6=0,0,SER_hh_tesh!N6/SER_summary!N$26)</f>
        <v>140.80819086369482</v>
      </c>
      <c r="O6" s="132">
        <f>IF(SER_hh_tesh!O6=0,0,SER_hh_tesh!O6/SER_summary!O$26)</f>
        <v>110.90104630639901</v>
      </c>
      <c r="P6" s="132">
        <f>IF(SER_hh_tesh!P6=0,0,SER_hh_tesh!P6/SER_summary!P$26)</f>
        <v>117.62069056830114</v>
      </c>
      <c r="Q6" s="132">
        <f>IF(SER_hh_tesh!Q6=0,0,SER_hh_tesh!Q6/SER_summary!Q$26)</f>
        <v>142.6504673520476</v>
      </c>
      <c r="R6" s="132">
        <f>IF(SER_hh_tesh!R6=0,0,SER_hh_tesh!R6/SER_summary!R$26)</f>
        <v>120.90607886223779</v>
      </c>
      <c r="S6" s="132">
        <f>IF(SER_hh_tesh!S6=0,0,SER_hh_tesh!S6/SER_summary!S$26)</f>
        <v>133.88345394709532</v>
      </c>
      <c r="T6" s="132">
        <f>IF(SER_hh_tesh!T6=0,0,SER_hh_tesh!T6/SER_summary!T$26)</f>
        <v>157.94725520262895</v>
      </c>
      <c r="U6" s="132">
        <f>IF(SER_hh_tesh!U6=0,0,SER_hh_tesh!U6/SER_summary!U$26)</f>
        <v>145.80397167470261</v>
      </c>
      <c r="V6" s="132">
        <f>IF(SER_hh_tesh!V6=0,0,SER_hh_tesh!V6/SER_summary!V$26)</f>
        <v>110.17860354013077</v>
      </c>
      <c r="W6" s="132">
        <f>IF(SER_hh_tesh!W6=0,0,SER_hh_tesh!W6/SER_summary!W$26)</f>
        <v>130.93467009816143</v>
      </c>
      <c r="X6" s="132">
        <f>IF(SER_hh_tesh!X6=0,0,SER_hh_tesh!X6/SER_summary!X$26)</f>
        <v>152.65696274481738</v>
      </c>
      <c r="Y6" s="132">
        <f>IF(SER_hh_tesh!Y6=0,0,SER_hh_tesh!Y6/SER_summary!Y$26)</f>
        <v>134.70899993103549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67.774829822561884</v>
      </c>
      <c r="C7" s="132">
        <f>IF(SER_hh_tesh!C7=0,0,SER_hh_tesh!C7/SER_summary!C$26)</f>
        <v>66.851566632944596</v>
      </c>
      <c r="D7" s="132">
        <f>IF(SER_hh_tesh!D7=0,0,SER_hh_tesh!D7/SER_summary!D$26)</f>
        <v>77.565222377758488</v>
      </c>
      <c r="E7" s="132">
        <f>IF(SER_hh_tesh!E7=0,0,SER_hh_tesh!E7/SER_summary!E$26)</f>
        <v>96.738430916724226</v>
      </c>
      <c r="F7" s="132">
        <f>IF(SER_hh_tesh!F7=0,0,SER_hh_tesh!F7/SER_summary!F$26)</f>
        <v>110.63030976339705</v>
      </c>
      <c r="G7" s="132">
        <f>IF(SER_hh_tesh!G7=0,0,SER_hh_tesh!G7/SER_summary!G$26)</f>
        <v>96.930827391299488</v>
      </c>
      <c r="H7" s="132">
        <f>IF(SER_hh_tesh!H7=0,0,SER_hh_tesh!H7/SER_summary!H$26)</f>
        <v>77.55463538410298</v>
      </c>
      <c r="I7" s="132">
        <f>IF(SER_hh_tesh!I7=0,0,SER_hh_tesh!I7/SER_summary!I$26)</f>
        <v>86.491476311006949</v>
      </c>
      <c r="J7" s="132">
        <f>IF(SER_hh_tesh!J7=0,0,SER_hh_tesh!J7/SER_summary!J$26)</f>
        <v>81.07114986240542</v>
      </c>
      <c r="K7" s="132">
        <f>IF(SER_hh_tesh!K7=0,0,SER_hh_tesh!K7/SER_summary!K$26)</f>
        <v>61.622596768992636</v>
      </c>
      <c r="L7" s="132">
        <f>IF(SER_hh_tesh!L7=0,0,SER_hh_tesh!L7/SER_summary!L$26)</f>
        <v>114.35146727058124</v>
      </c>
      <c r="M7" s="132">
        <f>IF(SER_hh_tesh!M7=0,0,SER_hh_tesh!M7/SER_summary!M$26)</f>
        <v>68.083472739314473</v>
      </c>
      <c r="N7" s="132">
        <f>IF(SER_hh_tesh!N7=0,0,SER_hh_tesh!N7/SER_summary!N$26)</f>
        <v>114.15226617348272</v>
      </c>
      <c r="O7" s="132">
        <f>IF(SER_hh_tesh!O7=0,0,SER_hh_tesh!O7/SER_summary!O$26)</f>
        <v>148.86293745828806</v>
      </c>
      <c r="P7" s="132">
        <f>IF(SER_hh_tesh!P7=0,0,SER_hh_tesh!P7/SER_summary!P$26)</f>
        <v>151.18704940593443</v>
      </c>
      <c r="Q7" s="132">
        <f>IF(SER_hh_tesh!Q7=0,0,SER_hh_tesh!Q7/SER_summary!Q$26)</f>
        <v>180.27822936032061</v>
      </c>
      <c r="R7" s="132">
        <f>IF(SER_hh_tesh!R7=0,0,SER_hh_tesh!R7/SER_summary!R$26)</f>
        <v>177.76406185987946</v>
      </c>
      <c r="S7" s="132">
        <f>IF(SER_hh_tesh!S7=0,0,SER_hh_tesh!S7/SER_summary!S$26)</f>
        <v>175.40963301591731</v>
      </c>
      <c r="T7" s="132">
        <f>IF(SER_hh_tesh!T7=0,0,SER_hh_tesh!T7/SER_summary!T$26)</f>
        <v>117.02652318982059</v>
      </c>
      <c r="U7" s="132">
        <f>IF(SER_hh_tesh!U7=0,0,SER_hh_tesh!U7/SER_summary!U$26)</f>
        <v>127.99251016116594</v>
      </c>
      <c r="V7" s="132">
        <f>IF(SER_hh_tesh!V7=0,0,SER_hh_tesh!V7/SER_summary!V$26)</f>
        <v>113.0194566662245</v>
      </c>
      <c r="W7" s="132">
        <f>IF(SER_hh_tesh!W7=0,0,SER_hh_tesh!W7/SER_summary!W$26)</f>
        <v>123.06720019880593</v>
      </c>
      <c r="X7" s="132">
        <f>IF(SER_hh_tesh!X7=0,0,SER_hh_tesh!X7/SER_summary!X$26)</f>
        <v>158.02466975729888</v>
      </c>
      <c r="Y7" s="132">
        <f>IF(SER_hh_tesh!Y7=0,0,SER_hh_tesh!Y7/SER_summary!Y$26)</f>
        <v>136.37527413677353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0</v>
      </c>
      <c r="S8" s="132">
        <f>IF(SER_hh_tesh!S8=0,0,SER_hh_tesh!S8/SER_summary!S$26)</f>
        <v>0</v>
      </c>
      <c r="T8" s="132">
        <f>IF(SER_hh_tesh!T8=0,0,SER_hh_tesh!T8/SER_summary!T$26)</f>
        <v>0</v>
      </c>
      <c r="U8" s="132">
        <f>IF(SER_hh_tesh!U8=0,0,SER_hh_tesh!U8/SER_summary!U$26)</f>
        <v>0</v>
      </c>
      <c r="V8" s="132">
        <f>IF(SER_hh_tesh!V8=0,0,SER_hh_tesh!V8/SER_summary!V$26)</f>
        <v>0</v>
      </c>
      <c r="W8" s="132">
        <f>IF(SER_hh_tesh!W8=0,0,SER_hh_tesh!W8/SER_summary!W$26)</f>
        <v>0</v>
      </c>
      <c r="X8" s="132">
        <f>IF(SER_hh_tesh!X8=0,0,SER_hh_tesh!X8/SER_summary!X$26)</f>
        <v>0</v>
      </c>
      <c r="Y8" s="132">
        <f>IF(SER_hh_tesh!Y8=0,0,SER_hh_tesh!Y8/SER_summary!Y$26)</f>
        <v>0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0</v>
      </c>
      <c r="C9" s="132">
        <f>IF(SER_hh_tesh!C9=0,0,SER_hh_tesh!C9/SER_summary!C$26)</f>
        <v>0</v>
      </c>
      <c r="D9" s="132">
        <f>IF(SER_hh_tesh!D9=0,0,SER_hh_tesh!D9/SER_summary!D$26)</f>
        <v>0</v>
      </c>
      <c r="E9" s="132">
        <f>IF(SER_hh_tesh!E9=0,0,SER_hh_tesh!E9/SER_summary!E$26)</f>
        <v>0</v>
      </c>
      <c r="F9" s="132">
        <f>IF(SER_hh_tesh!F9=0,0,SER_hh_tesh!F9/SER_summary!F$26)</f>
        <v>0</v>
      </c>
      <c r="G9" s="132">
        <f>IF(SER_hh_tesh!G9=0,0,SER_hh_tesh!G9/SER_summary!G$26)</f>
        <v>0</v>
      </c>
      <c r="H9" s="132">
        <f>IF(SER_hh_tesh!H9=0,0,SER_hh_tesh!H9/SER_summary!H$26)</f>
        <v>0</v>
      </c>
      <c r="I9" s="132">
        <f>IF(SER_hh_tesh!I9=0,0,SER_hh_tesh!I9/SER_summary!I$26)</f>
        <v>0</v>
      </c>
      <c r="J9" s="132">
        <f>IF(SER_hh_tesh!J9=0,0,SER_hh_tesh!J9/SER_summary!J$26)</f>
        <v>0</v>
      </c>
      <c r="K9" s="132">
        <f>IF(SER_hh_tesh!K9=0,0,SER_hh_tesh!K9/SER_summary!K$26)</f>
        <v>0</v>
      </c>
      <c r="L9" s="132">
        <f>IF(SER_hh_tesh!L9=0,0,SER_hh_tesh!L9/SER_summary!L$26)</f>
        <v>0</v>
      </c>
      <c r="M9" s="132">
        <f>IF(SER_hh_tesh!M9=0,0,SER_hh_tesh!M9/SER_summary!M$26)</f>
        <v>149.544482571093</v>
      </c>
      <c r="N9" s="132">
        <f>IF(SER_hh_tesh!N9=0,0,SER_hh_tesh!N9/SER_summary!N$26)</f>
        <v>170.68205382641588</v>
      </c>
      <c r="O9" s="132">
        <f>IF(SER_hh_tesh!O9=0,0,SER_hh_tesh!O9/SER_summary!O$26)</f>
        <v>123.9618866316829</v>
      </c>
      <c r="P9" s="132">
        <f>IF(SER_hh_tesh!P9=0,0,SER_hh_tesh!P9/SER_summary!P$26)</f>
        <v>148.10345399012365</v>
      </c>
      <c r="Q9" s="132">
        <f>IF(SER_hh_tesh!Q9=0,0,SER_hh_tesh!Q9/SER_summary!Q$26)</f>
        <v>147.47550527255586</v>
      </c>
      <c r="R9" s="132">
        <f>IF(SER_hh_tesh!R9=0,0,SER_hh_tesh!R9/SER_summary!R$26)</f>
        <v>179.18571712147877</v>
      </c>
      <c r="S9" s="132">
        <f>IF(SER_hh_tesh!S9=0,0,SER_hh_tesh!S9/SER_summary!S$26)</f>
        <v>147.10580602428547</v>
      </c>
      <c r="T9" s="132">
        <f>IF(SER_hh_tesh!T9=0,0,SER_hh_tesh!T9/SER_summary!T$26)</f>
        <v>116.53397010185276</v>
      </c>
      <c r="U9" s="132">
        <f>IF(SER_hh_tesh!U9=0,0,SER_hh_tesh!U9/SER_summary!U$26)</f>
        <v>165.28990784688077</v>
      </c>
      <c r="V9" s="132">
        <f>IF(SER_hh_tesh!V9=0,0,SER_hh_tesh!V9/SER_summary!V$26)</f>
        <v>126.49789039026817</v>
      </c>
      <c r="W9" s="132">
        <f>IF(SER_hh_tesh!W9=0,0,SER_hh_tesh!W9/SER_summary!W$26)</f>
        <v>96.2301808315991</v>
      </c>
      <c r="X9" s="132">
        <f>IF(SER_hh_tesh!X9=0,0,SER_hh_tesh!X9/SER_summary!X$26)</f>
        <v>155.31293545948805</v>
      </c>
      <c r="Y9" s="132">
        <f>IF(SER_hh_tesh!Y9=0,0,SER_hh_tesh!Y9/SER_summary!Y$26)</f>
        <v>152.69079745908135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0</v>
      </c>
      <c r="C10" s="132">
        <f>IF(SER_hh_tesh!C10=0,0,SER_hh_tesh!C10/SER_summary!C$26)</f>
        <v>0</v>
      </c>
      <c r="D10" s="132">
        <f>IF(SER_hh_tesh!D10=0,0,SER_hh_tesh!D10/SER_summary!D$26)</f>
        <v>0</v>
      </c>
      <c r="E10" s="132">
        <f>IF(SER_hh_tesh!E10=0,0,SER_hh_tesh!E10/SER_summary!E$26)</f>
        <v>0</v>
      </c>
      <c r="F10" s="132">
        <f>IF(SER_hh_tesh!F10=0,0,SER_hh_tesh!F10/SER_summary!F$26)</f>
        <v>0</v>
      </c>
      <c r="G10" s="132">
        <f>IF(SER_hh_tesh!G10=0,0,SER_hh_tesh!G10/SER_summary!G$26)</f>
        <v>0</v>
      </c>
      <c r="H10" s="132">
        <f>IF(SER_hh_tesh!H10=0,0,SER_hh_tesh!H10/SER_summary!H$26)</f>
        <v>0</v>
      </c>
      <c r="I10" s="132">
        <f>IF(SER_hh_tesh!I10=0,0,SER_hh_tesh!I10/SER_summary!I$26)</f>
        <v>0</v>
      </c>
      <c r="J10" s="132">
        <f>IF(SER_hh_tesh!J10=0,0,SER_hh_tesh!J10/SER_summary!J$26)</f>
        <v>0</v>
      </c>
      <c r="K10" s="132">
        <f>IF(SER_hh_tesh!K10=0,0,SER_hh_tesh!K10/SER_summary!K$26)</f>
        <v>0</v>
      </c>
      <c r="L10" s="132">
        <f>IF(SER_hh_tesh!L10=0,0,SER_hh_tesh!L10/SER_summary!L$26)</f>
        <v>0</v>
      </c>
      <c r="M10" s="132">
        <f>IF(SER_hh_tesh!M10=0,0,SER_hh_tesh!M10/SER_summary!M$26)</f>
        <v>0</v>
      </c>
      <c r="N10" s="132">
        <f>IF(SER_hh_tesh!N10=0,0,SER_hh_tesh!N10/SER_summary!N$26)</f>
        <v>0</v>
      </c>
      <c r="O10" s="132">
        <f>IF(SER_hh_tesh!O10=0,0,SER_hh_tesh!O10/SER_summary!O$26)</f>
        <v>0</v>
      </c>
      <c r="P10" s="132">
        <f>IF(SER_hh_tesh!P10=0,0,SER_hh_tesh!P10/SER_summary!P$26)</f>
        <v>0</v>
      </c>
      <c r="Q10" s="132">
        <f>IF(SER_hh_tesh!Q10=0,0,SER_hh_tesh!Q10/SER_summary!Q$26)</f>
        <v>0</v>
      </c>
      <c r="R10" s="132">
        <f>IF(SER_hh_tesh!R10=0,0,SER_hh_tesh!R10/SER_summary!R$26)</f>
        <v>0</v>
      </c>
      <c r="S10" s="132">
        <f>IF(SER_hh_tesh!S10=0,0,SER_hh_tesh!S10/SER_summary!S$26)</f>
        <v>0</v>
      </c>
      <c r="T10" s="132">
        <f>IF(SER_hh_tesh!T10=0,0,SER_hh_tesh!T10/SER_summary!T$26)</f>
        <v>0</v>
      </c>
      <c r="U10" s="132">
        <f>IF(SER_hh_tesh!U10=0,0,SER_hh_tesh!U10/SER_summary!U$26)</f>
        <v>0</v>
      </c>
      <c r="V10" s="132">
        <f>IF(SER_hh_tesh!V10=0,0,SER_hh_tesh!V10/SER_summary!V$26)</f>
        <v>0</v>
      </c>
      <c r="W10" s="132">
        <f>IF(SER_hh_tesh!W10=0,0,SER_hh_tesh!W10/SER_summary!W$26)</f>
        <v>0</v>
      </c>
      <c r="X10" s="132">
        <f>IF(SER_hh_tesh!X10=0,0,SER_hh_tesh!X10/SER_summary!X$26)</f>
        <v>0</v>
      </c>
      <c r="Y10" s="132">
        <f>IF(SER_hh_tesh!Y10=0,0,SER_hh_tesh!Y10/SER_summary!Y$26)</f>
        <v>0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0</v>
      </c>
      <c r="M11" s="132">
        <f>IF(SER_hh_tesh!M11=0,0,SER_hh_tesh!M11/SER_summary!M$26)</f>
        <v>0</v>
      </c>
      <c r="N11" s="132">
        <f>IF(SER_hh_tesh!N11=0,0,SER_hh_tesh!N11/SER_summary!N$26)</f>
        <v>0</v>
      </c>
      <c r="O11" s="132">
        <f>IF(SER_hh_tesh!O11=0,0,SER_hh_tesh!O11/SER_summary!O$26)</f>
        <v>0</v>
      </c>
      <c r="P11" s="132">
        <f>IF(SER_hh_tesh!P11=0,0,SER_hh_tesh!P11/SER_summary!P$26)</f>
        <v>0</v>
      </c>
      <c r="Q11" s="132">
        <f>IF(SER_hh_tesh!Q11=0,0,SER_hh_tesh!Q11/SER_summary!Q$26)</f>
        <v>0</v>
      </c>
      <c r="R11" s="132">
        <f>IF(SER_hh_tesh!R11=0,0,SER_hh_tesh!R11/SER_summary!R$26)</f>
        <v>0</v>
      </c>
      <c r="S11" s="132">
        <f>IF(SER_hh_tesh!S11=0,0,SER_hh_tesh!S11/SER_summary!S$26)</f>
        <v>0</v>
      </c>
      <c r="T11" s="132">
        <f>IF(SER_hh_tesh!T11=0,0,SER_hh_tesh!T11/SER_summary!T$26)</f>
        <v>0</v>
      </c>
      <c r="U11" s="132">
        <f>IF(SER_hh_tesh!U11=0,0,SER_hh_tesh!U11/SER_summary!U$26)</f>
        <v>0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0</v>
      </c>
      <c r="C12" s="132">
        <f>IF(SER_hh_tesh!C12=0,0,SER_hh_tesh!C12/SER_summary!C$26)</f>
        <v>0</v>
      </c>
      <c r="D12" s="132">
        <f>IF(SER_hh_tesh!D12=0,0,SER_hh_tesh!D12/SER_summary!D$26)</f>
        <v>0</v>
      </c>
      <c r="E12" s="132">
        <f>IF(SER_hh_tesh!E12=0,0,SER_hh_tesh!E12/SER_summary!E$26)</f>
        <v>0</v>
      </c>
      <c r="F12" s="132">
        <f>IF(SER_hh_tesh!F12=0,0,SER_hh_tesh!F12/SER_summary!F$26)</f>
        <v>0</v>
      </c>
      <c r="G12" s="132">
        <f>IF(SER_hh_tesh!G12=0,0,SER_hh_tesh!G12/SER_summary!G$26)</f>
        <v>0</v>
      </c>
      <c r="H12" s="132">
        <f>IF(SER_hh_tesh!H12=0,0,SER_hh_tesh!H12/SER_summary!H$26)</f>
        <v>0</v>
      </c>
      <c r="I12" s="132">
        <f>IF(SER_hh_tesh!I12=0,0,SER_hh_tesh!I12/SER_summary!I$26)</f>
        <v>0</v>
      </c>
      <c r="J12" s="132">
        <f>IF(SER_hh_tesh!J12=0,0,SER_hh_tesh!J12/SER_summary!J$26)</f>
        <v>0</v>
      </c>
      <c r="K12" s="132">
        <f>IF(SER_hh_tesh!K12=0,0,SER_hh_tesh!K12/SER_summary!K$26)</f>
        <v>0</v>
      </c>
      <c r="L12" s="132">
        <f>IF(SER_hh_tesh!L12=0,0,SER_hh_tesh!L12/SER_summary!L$26)</f>
        <v>0</v>
      </c>
      <c r="M12" s="132">
        <f>IF(SER_hh_tesh!M12=0,0,SER_hh_tesh!M12/SER_summary!M$26)</f>
        <v>156.41630762433527</v>
      </c>
      <c r="N12" s="132">
        <f>IF(SER_hh_tesh!N12=0,0,SER_hh_tesh!N12/SER_summary!N$26)</f>
        <v>251.77770890457904</v>
      </c>
      <c r="O12" s="132">
        <f>IF(SER_hh_tesh!O12=0,0,SER_hh_tesh!O12/SER_summary!O$26)</f>
        <v>35.234535960126827</v>
      </c>
      <c r="P12" s="132">
        <f>IF(SER_hh_tesh!P12=0,0,SER_hh_tesh!P12/SER_summary!P$26)</f>
        <v>42.165048541741015</v>
      </c>
      <c r="Q12" s="132">
        <f>IF(SER_hh_tesh!Q12=0,0,SER_hh_tesh!Q12/SER_summary!Q$26)</f>
        <v>304.80005870671283</v>
      </c>
      <c r="R12" s="132">
        <f>IF(SER_hh_tesh!R12=0,0,SER_hh_tesh!R12/SER_summary!R$26)</f>
        <v>188.66058154197381</v>
      </c>
      <c r="S12" s="132">
        <f>IF(SER_hh_tesh!S12=0,0,SER_hh_tesh!S12/SER_summary!S$26)</f>
        <v>42.626323542803576</v>
      </c>
      <c r="T12" s="132">
        <f>IF(SER_hh_tesh!T12=0,0,SER_hh_tesh!T12/SER_summary!T$26)</f>
        <v>81.282990137570096</v>
      </c>
      <c r="U12" s="132">
        <f>IF(SER_hh_tesh!U12=0,0,SER_hh_tesh!U12/SER_summary!U$26)</f>
        <v>266.12286503836242</v>
      </c>
      <c r="V12" s="132">
        <f>IF(SER_hh_tesh!V12=0,0,SER_hh_tesh!V12/SER_summary!V$26)</f>
        <v>0</v>
      </c>
      <c r="W12" s="132">
        <f>IF(SER_hh_tesh!W12=0,0,SER_hh_tesh!W12/SER_summary!W$26)</f>
        <v>0</v>
      </c>
      <c r="X12" s="132">
        <f>IF(SER_hh_tesh!X12=0,0,SER_hh_tesh!X12/SER_summary!X$26)</f>
        <v>0</v>
      </c>
      <c r="Y12" s="132">
        <f>IF(SER_hh_tesh!Y12=0,0,SER_hh_tesh!Y12/SER_summary!Y$26)</f>
        <v>0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49.400299968927833</v>
      </c>
      <c r="C13" s="132">
        <f>IF(SER_hh_tesh!C13=0,0,SER_hh_tesh!C13/SER_summary!C$26)</f>
        <v>70.849488093057019</v>
      </c>
      <c r="D13" s="132">
        <f>IF(SER_hh_tesh!D13=0,0,SER_hh_tesh!D13/SER_summary!D$26)</f>
        <v>80.416473532608478</v>
      </c>
      <c r="E13" s="132">
        <f>IF(SER_hh_tesh!E13=0,0,SER_hh_tesh!E13/SER_summary!E$26)</f>
        <v>96.35600704515231</v>
      </c>
      <c r="F13" s="132">
        <f>IF(SER_hh_tesh!F13=0,0,SER_hh_tesh!F13/SER_summary!F$26)</f>
        <v>87.215427028111861</v>
      </c>
      <c r="G13" s="132">
        <f>IF(SER_hh_tesh!G13=0,0,SER_hh_tesh!G13/SER_summary!G$26)</f>
        <v>91.590343159675385</v>
      </c>
      <c r="H13" s="132">
        <f>IF(SER_hh_tesh!H13=0,0,SER_hh_tesh!H13/SER_summary!H$26)</f>
        <v>73.402870249500168</v>
      </c>
      <c r="I13" s="132">
        <f>IF(SER_hh_tesh!I13=0,0,SER_hh_tesh!I13/SER_summary!I$26)</f>
        <v>71.848410610163157</v>
      </c>
      <c r="J13" s="132">
        <f>IF(SER_hh_tesh!J13=0,0,SER_hh_tesh!J13/SER_summary!J$26)</f>
        <v>79.596888225024671</v>
      </c>
      <c r="K13" s="132">
        <f>IF(SER_hh_tesh!K13=0,0,SER_hh_tesh!K13/SER_summary!K$26)</f>
        <v>86.388497235879925</v>
      </c>
      <c r="L13" s="132">
        <f>IF(SER_hh_tesh!L13=0,0,SER_hh_tesh!L13/SER_summary!L$26)</f>
        <v>90.634082532106916</v>
      </c>
      <c r="M13" s="132">
        <f>IF(SER_hh_tesh!M13=0,0,SER_hh_tesh!M13/SER_summary!M$26)</f>
        <v>108.44080085044956</v>
      </c>
      <c r="N13" s="132">
        <f>IF(SER_hh_tesh!N13=0,0,SER_hh_tesh!N13/SER_summary!N$26)</f>
        <v>126.81738114464143</v>
      </c>
      <c r="O13" s="132">
        <f>IF(SER_hh_tesh!O13=0,0,SER_hh_tesh!O13/SER_summary!O$26)</f>
        <v>131.0502469408014</v>
      </c>
      <c r="P13" s="132">
        <f>IF(SER_hh_tesh!P13=0,0,SER_hh_tesh!P13/SER_summary!P$26)</f>
        <v>151.26422866371703</v>
      </c>
      <c r="Q13" s="132">
        <f>IF(SER_hh_tesh!Q13=0,0,SER_hh_tesh!Q13/SER_summary!Q$26)</f>
        <v>169.27183903227632</v>
      </c>
      <c r="R13" s="132">
        <f>IF(SER_hh_tesh!R13=0,0,SER_hh_tesh!R13/SER_summary!R$26)</f>
        <v>162.89860326786683</v>
      </c>
      <c r="S13" s="132">
        <f>IF(SER_hh_tesh!S13=0,0,SER_hh_tesh!S13/SER_summary!S$26)</f>
        <v>159.41467929449331</v>
      </c>
      <c r="T13" s="132">
        <f>IF(SER_hh_tesh!T13=0,0,SER_hh_tesh!T13/SER_summary!T$26)</f>
        <v>143.62045022086474</v>
      </c>
      <c r="U13" s="132">
        <f>IF(SER_hh_tesh!U13=0,0,SER_hh_tesh!U13/SER_summary!U$26)</f>
        <v>123.67082096042903</v>
      </c>
      <c r="V13" s="132">
        <f>IF(SER_hh_tesh!V13=0,0,SER_hh_tesh!V13/SER_summary!V$26)</f>
        <v>121.15022251035425</v>
      </c>
      <c r="W13" s="132">
        <f>IF(SER_hh_tesh!W13=0,0,SER_hh_tesh!W13/SER_summary!W$26)</f>
        <v>133.49262116718975</v>
      </c>
      <c r="X13" s="132">
        <f>IF(SER_hh_tesh!X13=0,0,SER_hh_tesh!X13/SER_summary!X$26)</f>
        <v>144.43290952352746</v>
      </c>
      <c r="Y13" s="132">
        <f>IF(SER_hh_tesh!Y13=0,0,SER_hh_tesh!Y13/SER_summary!Y$26)</f>
        <v>155.73236142127786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62.687247746303399</v>
      </c>
      <c r="C14" s="65">
        <f>IF(SER_hh_tesh!C14=0,0,SER_hh_tesh!C14/SER_summary!C$26)</f>
        <v>71.236558932797394</v>
      </c>
      <c r="D14" s="65">
        <f>IF(SER_hh_tesh!D14=0,0,SER_hh_tesh!D14/SER_summary!D$26)</f>
        <v>86.585677275464661</v>
      </c>
      <c r="E14" s="65">
        <f>IF(SER_hh_tesh!E14=0,0,SER_hh_tesh!E14/SER_summary!E$26)</f>
        <v>83.473414589538365</v>
      </c>
      <c r="F14" s="65">
        <f>IF(SER_hh_tesh!F14=0,0,SER_hh_tesh!F14/SER_summary!F$26)</f>
        <v>87.290429298310357</v>
      </c>
      <c r="G14" s="65">
        <f>IF(SER_hh_tesh!G14=0,0,SER_hh_tesh!G14/SER_summary!G$26)</f>
        <v>141.2623827508624</v>
      </c>
      <c r="H14" s="65">
        <f>IF(SER_hh_tesh!H14=0,0,SER_hh_tesh!H14/SER_summary!H$26)</f>
        <v>84.443579679229714</v>
      </c>
      <c r="I14" s="65">
        <f>IF(SER_hh_tesh!I14=0,0,SER_hh_tesh!I14/SER_summary!I$26)</f>
        <v>81.667191098442814</v>
      </c>
      <c r="J14" s="65">
        <f>IF(SER_hh_tesh!J14=0,0,SER_hh_tesh!J14/SER_summary!J$26)</f>
        <v>71.143624491161944</v>
      </c>
      <c r="K14" s="65">
        <f>IF(SER_hh_tesh!K14=0,0,SER_hh_tesh!K14/SER_summary!K$26)</f>
        <v>51.737629059313264</v>
      </c>
      <c r="L14" s="65">
        <f>IF(SER_hh_tesh!L14=0,0,SER_hh_tesh!L14/SER_summary!L$26)</f>
        <v>123.70560482678977</v>
      </c>
      <c r="M14" s="65">
        <f>IF(SER_hh_tesh!M14=0,0,SER_hh_tesh!M14/SER_summary!M$26)</f>
        <v>131.71185123321953</v>
      </c>
      <c r="N14" s="65">
        <f>IF(SER_hh_tesh!N14=0,0,SER_hh_tesh!N14/SER_summary!N$26)</f>
        <v>133.96063716221673</v>
      </c>
      <c r="O14" s="65">
        <f>IF(SER_hh_tesh!O14=0,0,SER_hh_tesh!O14/SER_summary!O$26)</f>
        <v>137.19699987660698</v>
      </c>
      <c r="P14" s="65">
        <f>IF(SER_hh_tesh!P14=0,0,SER_hh_tesh!P14/SER_summary!P$26)</f>
        <v>150.2625432882368</v>
      </c>
      <c r="Q14" s="65">
        <f>IF(SER_hh_tesh!Q14=0,0,SER_hh_tesh!Q14/SER_summary!Q$26)</f>
        <v>165.42138607301007</v>
      </c>
      <c r="R14" s="65">
        <f>IF(SER_hh_tesh!R14=0,0,SER_hh_tesh!R14/SER_summary!R$26)</f>
        <v>150.46884355926477</v>
      </c>
      <c r="S14" s="65">
        <f>IF(SER_hh_tesh!S14=0,0,SER_hh_tesh!S14/SER_summary!S$26)</f>
        <v>167.27626985201871</v>
      </c>
      <c r="T14" s="65">
        <f>IF(SER_hh_tesh!T14=0,0,SER_hh_tesh!T14/SER_summary!T$26)</f>
        <v>152.4337506243578</v>
      </c>
      <c r="U14" s="65">
        <f>IF(SER_hh_tesh!U14=0,0,SER_hh_tesh!U14/SER_summary!U$26)</f>
        <v>147.49364855340954</v>
      </c>
      <c r="V14" s="65">
        <f>IF(SER_hh_tesh!V14=0,0,SER_hh_tesh!V14/SER_summary!V$26)</f>
        <v>111.10004731584269</v>
      </c>
      <c r="W14" s="65">
        <f>IF(SER_hh_tesh!W14=0,0,SER_hh_tesh!W14/SER_summary!W$26)</f>
        <v>116.68546061984333</v>
      </c>
      <c r="X14" s="65">
        <f>IF(SER_hh_tesh!X14=0,0,SER_hh_tesh!X14/SER_summary!X$26)</f>
        <v>152.93109191404588</v>
      </c>
      <c r="Y14" s="65">
        <f>IF(SER_hh_tesh!Y14=0,0,SER_hh_tesh!Y14/SER_summary!Y$26)</f>
        <v>150.40658321560312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1.3614990941908245</v>
      </c>
      <c r="C15" s="134">
        <f>IF(SER_hh_tesh!C15=0,0,SER_hh_tesh!C15/SER_summary!C$26)</f>
        <v>1.3250883024999665</v>
      </c>
      <c r="D15" s="134">
        <f>IF(SER_hh_tesh!D15=0,0,SER_hh_tesh!D15/SER_summary!D$26)</f>
        <v>1.4880072601895922</v>
      </c>
      <c r="E15" s="134">
        <f>IF(SER_hh_tesh!E15=0,0,SER_hh_tesh!E15/SER_summary!E$26)</f>
        <v>1.8060994253885281</v>
      </c>
      <c r="F15" s="134">
        <f>IF(SER_hh_tesh!F15=0,0,SER_hh_tesh!F15/SER_summary!F$26)</f>
        <v>2.013289924704897</v>
      </c>
      <c r="G15" s="134">
        <f>IF(SER_hh_tesh!G15=0,0,SER_hh_tesh!G15/SER_summary!G$26)</f>
        <v>1.7319115594080985</v>
      </c>
      <c r="H15" s="134">
        <f>IF(SER_hh_tesh!H15=0,0,SER_hh_tesh!H15/SER_summary!H$26)</f>
        <v>1.4224591534548356</v>
      </c>
      <c r="I15" s="134">
        <f>IF(SER_hh_tesh!I15=0,0,SER_hh_tesh!I15/SER_summary!I$26)</f>
        <v>1.56470961266916</v>
      </c>
      <c r="J15" s="134">
        <f>IF(SER_hh_tesh!J15=0,0,SER_hh_tesh!J15/SER_summary!J$26)</f>
        <v>1.3724482174176005</v>
      </c>
      <c r="K15" s="134">
        <f>IF(SER_hh_tesh!K15=0,0,SER_hh_tesh!K15/SER_summary!K$26)</f>
        <v>1.0013699531910352</v>
      </c>
      <c r="L15" s="134">
        <f>IF(SER_hh_tesh!L15=0,0,SER_hh_tesh!L15/SER_summary!L$26)</f>
        <v>2.0024242095578551</v>
      </c>
      <c r="M15" s="134">
        <f>IF(SER_hh_tesh!M15=0,0,SER_hh_tesh!M15/SER_summary!M$26)</f>
        <v>1.2904436024219539</v>
      </c>
      <c r="N15" s="134">
        <f>IF(SER_hh_tesh!N15=0,0,SER_hh_tesh!N15/SER_summary!N$26)</f>
        <v>1.9856488583182113</v>
      </c>
      <c r="O15" s="134">
        <f>IF(SER_hh_tesh!O15=0,0,SER_hh_tesh!O15/SER_summary!O$26)</f>
        <v>2.3579418674120789</v>
      </c>
      <c r="P15" s="134">
        <f>IF(SER_hh_tesh!P15=0,0,SER_hh_tesh!P15/SER_summary!P$26)</f>
        <v>2.4080211303136347</v>
      </c>
      <c r="Q15" s="134">
        <f>IF(SER_hh_tesh!Q15=0,0,SER_hh_tesh!Q15/SER_summary!Q$26)</f>
        <v>2.8437655299884188</v>
      </c>
      <c r="R15" s="134">
        <f>IF(SER_hh_tesh!R15=0,0,SER_hh_tesh!R15/SER_summary!R$26)</f>
        <v>2.7717074896855203</v>
      </c>
      <c r="S15" s="134">
        <f>IF(SER_hh_tesh!S15=0,0,SER_hh_tesh!S15/SER_summary!S$26)</f>
        <v>2.7080264413660218</v>
      </c>
      <c r="T15" s="134">
        <f>IF(SER_hh_tesh!T15=0,0,SER_hh_tesh!T15/SER_summary!T$26)</f>
        <v>1.9647298682549192</v>
      </c>
      <c r="U15" s="134">
        <f>IF(SER_hh_tesh!U15=0,0,SER_hh_tesh!U15/SER_summary!U$26)</f>
        <v>2.1243761270595614</v>
      </c>
      <c r="V15" s="134">
        <f>IF(SER_hh_tesh!V15=0,0,SER_hh_tesh!V15/SER_summary!V$26)</f>
        <v>1.7975895629594645</v>
      </c>
      <c r="W15" s="134">
        <f>IF(SER_hh_tesh!W15=0,0,SER_hh_tesh!W15/SER_summary!W$26)</f>
        <v>1.9478156915560789</v>
      </c>
      <c r="X15" s="134">
        <f>IF(SER_hh_tesh!X15=0,0,SER_hh_tesh!X15/SER_summary!X$26)</f>
        <v>2.4874326315619886</v>
      </c>
      <c r="Y15" s="134">
        <f>IF(SER_hh_tesh!Y15=0,0,SER_hh_tesh!Y15/SER_summary!Y$26)</f>
        <v>2.1834848512708156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77.48757494576094</v>
      </c>
      <c r="C16" s="130">
        <f>IF(SER_hh_tesh!C16=0,0,SER_hh_tesh!C16/SER_summary!C$26)</f>
        <v>87.619908380951955</v>
      </c>
      <c r="D16" s="130">
        <f>IF(SER_hh_tesh!D16=0,0,SER_hh_tesh!D16/SER_summary!D$26)</f>
        <v>68.75546573791614</v>
      </c>
      <c r="E16" s="130">
        <f>IF(SER_hh_tesh!E16=0,0,SER_hh_tesh!E16/SER_summary!E$26)</f>
        <v>105.7559887408799</v>
      </c>
      <c r="F16" s="130">
        <f>IF(SER_hh_tesh!F16=0,0,SER_hh_tesh!F16/SER_summary!F$26)</f>
        <v>55.988430359100732</v>
      </c>
      <c r="G16" s="130">
        <f>IF(SER_hh_tesh!G16=0,0,SER_hh_tesh!G16/SER_summary!G$26)</f>
        <v>55.926457152643003</v>
      </c>
      <c r="H16" s="130">
        <f>IF(SER_hh_tesh!H16=0,0,SER_hh_tesh!H16/SER_summary!H$26)</f>
        <v>77.084886907138241</v>
      </c>
      <c r="I16" s="130">
        <f>IF(SER_hh_tesh!I16=0,0,SER_hh_tesh!I16/SER_summary!I$26)</f>
        <v>80.966614500735005</v>
      </c>
      <c r="J16" s="130">
        <f>IF(SER_hh_tesh!J16=0,0,SER_hh_tesh!J16/SER_summary!J$26)</f>
        <v>70.450133523243451</v>
      </c>
      <c r="K16" s="130">
        <f>IF(SER_hh_tesh!K16=0,0,SER_hh_tesh!K16/SER_summary!K$26)</f>
        <v>73.64690769648054</v>
      </c>
      <c r="L16" s="130">
        <f>IF(SER_hh_tesh!L16=0,0,SER_hh_tesh!L16/SER_summary!L$26)</f>
        <v>60.886129296302769</v>
      </c>
      <c r="M16" s="130">
        <f>IF(SER_hh_tesh!M16=0,0,SER_hh_tesh!M16/SER_summary!M$26)</f>
        <v>66.833949566117823</v>
      </c>
      <c r="N16" s="130">
        <f>IF(SER_hh_tesh!N16=0,0,SER_hh_tesh!N16/SER_summary!N$26)</f>
        <v>118.16594957239587</v>
      </c>
      <c r="O16" s="130">
        <f>IF(SER_hh_tesh!O16=0,0,SER_hh_tesh!O16/SER_summary!O$26)</f>
        <v>84.630241743859287</v>
      </c>
      <c r="P16" s="130">
        <f>IF(SER_hh_tesh!P16=0,0,SER_hh_tesh!P16/SER_summary!P$26)</f>
        <v>88.63736332193325</v>
      </c>
      <c r="Q16" s="130">
        <f>IF(SER_hh_tesh!Q16=0,0,SER_hh_tesh!Q16/SER_summary!Q$26)</f>
        <v>96.61686984813602</v>
      </c>
      <c r="R16" s="130">
        <f>IF(SER_hh_tesh!R16=0,0,SER_hh_tesh!R16/SER_summary!R$26)</f>
        <v>81.583748683810043</v>
      </c>
      <c r="S16" s="130">
        <f>IF(SER_hh_tesh!S16=0,0,SER_hh_tesh!S16/SER_summary!S$26)</f>
        <v>98.014795617644197</v>
      </c>
      <c r="T16" s="130">
        <f>IF(SER_hh_tesh!T16=0,0,SER_hh_tesh!T16/SER_summary!T$26)</f>
        <v>88.469849645669413</v>
      </c>
      <c r="U16" s="130">
        <f>IF(SER_hh_tesh!U16=0,0,SER_hh_tesh!U16/SER_summary!U$26)</f>
        <v>122.82087155276547</v>
      </c>
      <c r="V16" s="130">
        <f>IF(SER_hh_tesh!V16=0,0,SER_hh_tesh!V16/SER_summary!V$26)</f>
        <v>96.929451781157084</v>
      </c>
      <c r="W16" s="130">
        <f>IF(SER_hh_tesh!W16=0,0,SER_hh_tesh!W16/SER_summary!W$26)</f>
        <v>124.85709697452698</v>
      </c>
      <c r="X16" s="130">
        <f>IF(SER_hh_tesh!X16=0,0,SER_hh_tesh!X16/SER_summary!X$26)</f>
        <v>134.53804330553328</v>
      </c>
      <c r="Y16" s="130">
        <f>IF(SER_hh_tesh!Y16=0,0,SER_hh_tesh!Y16/SER_summary!Y$26)</f>
        <v>120.03969565791694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0</v>
      </c>
      <c r="C17" s="132">
        <f>IF(SER_hh_tesh!C17=0,0,SER_hh_tesh!C17/SER_summary!C$26)</f>
        <v>0</v>
      </c>
      <c r="D17" s="132">
        <f>IF(SER_hh_tesh!D17=0,0,SER_hh_tesh!D17/SER_summary!D$26)</f>
        <v>0</v>
      </c>
      <c r="E17" s="132">
        <f>IF(SER_hh_tesh!E17=0,0,SER_hh_tesh!E17/SER_summary!E$26)</f>
        <v>0</v>
      </c>
      <c r="F17" s="132">
        <f>IF(SER_hh_tesh!F17=0,0,SER_hh_tesh!F17/SER_summary!F$26)</f>
        <v>0</v>
      </c>
      <c r="G17" s="132">
        <f>IF(SER_hh_tesh!G17=0,0,SER_hh_tesh!G17/SER_summary!G$26)</f>
        <v>0</v>
      </c>
      <c r="H17" s="132">
        <f>IF(SER_hh_tesh!H17=0,0,SER_hh_tesh!H17/SER_summary!H$26)</f>
        <v>0</v>
      </c>
      <c r="I17" s="132">
        <f>IF(SER_hh_tesh!I17=0,0,SER_hh_tesh!I17/SER_summary!I$26)</f>
        <v>0</v>
      </c>
      <c r="J17" s="132">
        <f>IF(SER_hh_tesh!J17=0,0,SER_hh_tesh!J17/SER_summary!J$26)</f>
        <v>0</v>
      </c>
      <c r="K17" s="132">
        <f>IF(SER_hh_tesh!K17=0,0,SER_hh_tesh!K17/SER_summary!K$26)</f>
        <v>0</v>
      </c>
      <c r="L17" s="132">
        <f>IF(SER_hh_tesh!L17=0,0,SER_hh_tesh!L17/SER_summary!L$26)</f>
        <v>0</v>
      </c>
      <c r="M17" s="132">
        <f>IF(SER_hh_tesh!M17=0,0,SER_hh_tesh!M17/SER_summary!M$26)</f>
        <v>0</v>
      </c>
      <c r="N17" s="132">
        <f>IF(SER_hh_tesh!N17=0,0,SER_hh_tesh!N17/SER_summary!N$26)</f>
        <v>0</v>
      </c>
      <c r="O17" s="132">
        <f>IF(SER_hh_tesh!O17=0,0,SER_hh_tesh!O17/SER_summary!O$26)</f>
        <v>0</v>
      </c>
      <c r="P17" s="132">
        <f>IF(SER_hh_tesh!P17=0,0,SER_hh_tesh!P17/SER_summary!P$26)</f>
        <v>0</v>
      </c>
      <c r="Q17" s="132">
        <f>IF(SER_hh_tesh!Q17=0,0,SER_hh_tesh!Q17/SER_summary!Q$26)</f>
        <v>0</v>
      </c>
      <c r="R17" s="132">
        <f>IF(SER_hh_tesh!R17=0,0,SER_hh_tesh!R17/SER_summary!R$26)</f>
        <v>0</v>
      </c>
      <c r="S17" s="132">
        <f>IF(SER_hh_tesh!S17=0,0,SER_hh_tesh!S17/SER_summary!S$26)</f>
        <v>0</v>
      </c>
      <c r="T17" s="132">
        <f>IF(SER_hh_tesh!T17=0,0,SER_hh_tesh!T17/SER_summary!T$26)</f>
        <v>0</v>
      </c>
      <c r="U17" s="132">
        <f>IF(SER_hh_tesh!U17=0,0,SER_hh_tesh!U17/SER_summary!U$26)</f>
        <v>0</v>
      </c>
      <c r="V17" s="132">
        <f>IF(SER_hh_tesh!V17=0,0,SER_hh_tesh!V17/SER_summary!V$26)</f>
        <v>0</v>
      </c>
      <c r="W17" s="132">
        <f>IF(SER_hh_tesh!W17=0,0,SER_hh_tesh!W17/SER_summary!W$26)</f>
        <v>0</v>
      </c>
      <c r="X17" s="132">
        <f>IF(SER_hh_tesh!X17=0,0,SER_hh_tesh!X17/SER_summary!X$26)</f>
        <v>0</v>
      </c>
      <c r="Y17" s="132">
        <f>IF(SER_hh_tesh!Y17=0,0,SER_hh_tesh!Y17/SER_summary!Y$26)</f>
        <v>0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77.48757494576094</v>
      </c>
      <c r="C18" s="132">
        <f>IF(SER_hh_tesh!C18=0,0,SER_hh_tesh!C18/SER_summary!C$26)</f>
        <v>87.619908380951955</v>
      </c>
      <c r="D18" s="132">
        <f>IF(SER_hh_tesh!D18=0,0,SER_hh_tesh!D18/SER_summary!D$26)</f>
        <v>68.75546573791614</v>
      </c>
      <c r="E18" s="132">
        <f>IF(SER_hh_tesh!E18=0,0,SER_hh_tesh!E18/SER_summary!E$26)</f>
        <v>105.7559887408799</v>
      </c>
      <c r="F18" s="132">
        <f>IF(SER_hh_tesh!F18=0,0,SER_hh_tesh!F18/SER_summary!F$26)</f>
        <v>55.988430359100732</v>
      </c>
      <c r="G18" s="132">
        <f>IF(SER_hh_tesh!G18=0,0,SER_hh_tesh!G18/SER_summary!G$26)</f>
        <v>55.926457152643003</v>
      </c>
      <c r="H18" s="132">
        <f>IF(SER_hh_tesh!H18=0,0,SER_hh_tesh!H18/SER_summary!H$26)</f>
        <v>77.084886907138241</v>
      </c>
      <c r="I18" s="132">
        <f>IF(SER_hh_tesh!I18=0,0,SER_hh_tesh!I18/SER_summary!I$26)</f>
        <v>80.966614500735005</v>
      </c>
      <c r="J18" s="132">
        <f>IF(SER_hh_tesh!J18=0,0,SER_hh_tesh!J18/SER_summary!J$26)</f>
        <v>70.450133523243451</v>
      </c>
      <c r="K18" s="132">
        <f>IF(SER_hh_tesh!K18=0,0,SER_hh_tesh!K18/SER_summary!K$26)</f>
        <v>73.64690769648054</v>
      </c>
      <c r="L18" s="132">
        <f>IF(SER_hh_tesh!L18=0,0,SER_hh_tesh!L18/SER_summary!L$26)</f>
        <v>60.886129296302769</v>
      </c>
      <c r="M18" s="132">
        <f>IF(SER_hh_tesh!M18=0,0,SER_hh_tesh!M18/SER_summary!M$26)</f>
        <v>66.833949566117823</v>
      </c>
      <c r="N18" s="132">
        <f>IF(SER_hh_tesh!N18=0,0,SER_hh_tesh!N18/SER_summary!N$26)</f>
        <v>118.16594957239587</v>
      </c>
      <c r="O18" s="132">
        <f>IF(SER_hh_tesh!O18=0,0,SER_hh_tesh!O18/SER_summary!O$26)</f>
        <v>84.630241743859287</v>
      </c>
      <c r="P18" s="132">
        <f>IF(SER_hh_tesh!P18=0,0,SER_hh_tesh!P18/SER_summary!P$26)</f>
        <v>88.63736332193325</v>
      </c>
      <c r="Q18" s="132">
        <f>IF(SER_hh_tesh!Q18=0,0,SER_hh_tesh!Q18/SER_summary!Q$26)</f>
        <v>96.61686984813602</v>
      </c>
      <c r="R18" s="132">
        <f>IF(SER_hh_tesh!R18=0,0,SER_hh_tesh!R18/SER_summary!R$26)</f>
        <v>81.583748683810043</v>
      </c>
      <c r="S18" s="132">
        <f>IF(SER_hh_tesh!S18=0,0,SER_hh_tesh!S18/SER_summary!S$26)</f>
        <v>98.014795617644197</v>
      </c>
      <c r="T18" s="132">
        <f>IF(SER_hh_tesh!T18=0,0,SER_hh_tesh!T18/SER_summary!T$26)</f>
        <v>88.469849645669413</v>
      </c>
      <c r="U18" s="132">
        <f>IF(SER_hh_tesh!U18=0,0,SER_hh_tesh!U18/SER_summary!U$26)</f>
        <v>122.82087155276547</v>
      </c>
      <c r="V18" s="132">
        <f>IF(SER_hh_tesh!V18=0,0,SER_hh_tesh!V18/SER_summary!V$26)</f>
        <v>96.929451781157084</v>
      </c>
      <c r="W18" s="132">
        <f>IF(SER_hh_tesh!W18=0,0,SER_hh_tesh!W18/SER_summary!W$26)</f>
        <v>124.85709697452698</v>
      </c>
      <c r="X18" s="132">
        <f>IF(SER_hh_tesh!X18=0,0,SER_hh_tesh!X18/SER_summary!X$26)</f>
        <v>134.53804330553328</v>
      </c>
      <c r="Y18" s="132">
        <f>IF(SER_hh_tesh!Y18=0,0,SER_hh_tesh!Y18/SER_summary!Y$26)</f>
        <v>120.03969565791694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29.908702928592543</v>
      </c>
      <c r="C19" s="130">
        <f>IF(SER_hh_tesh!C19=0,0,SER_hh_tesh!C19/SER_summary!C$26)</f>
        <v>28.686644110587658</v>
      </c>
      <c r="D19" s="130">
        <f>IF(SER_hh_tesh!D19=0,0,SER_hh_tesh!D19/SER_summary!D$26)</f>
        <v>29.438373938577413</v>
      </c>
      <c r="E19" s="130">
        <f>IF(SER_hh_tesh!E19=0,0,SER_hh_tesh!E19/SER_summary!E$26)</f>
        <v>29.63562836096207</v>
      </c>
      <c r="F19" s="130">
        <f>IF(SER_hh_tesh!F19=0,0,SER_hh_tesh!F19/SER_summary!F$26)</f>
        <v>30.374720726420048</v>
      </c>
      <c r="G19" s="130">
        <f>IF(SER_hh_tesh!G19=0,0,SER_hh_tesh!G19/SER_summary!G$26)</f>
        <v>29.831861294544186</v>
      </c>
      <c r="H19" s="130">
        <f>IF(SER_hh_tesh!H19=0,0,SER_hh_tesh!H19/SER_summary!H$26)</f>
        <v>29.842900662123039</v>
      </c>
      <c r="I19" s="130">
        <f>IF(SER_hh_tesh!I19=0,0,SER_hh_tesh!I19/SER_summary!I$26)</f>
        <v>29.472295832187978</v>
      </c>
      <c r="J19" s="130">
        <f>IF(SER_hh_tesh!J19=0,0,SER_hh_tesh!J19/SER_summary!J$26)</f>
        <v>28.659373015207006</v>
      </c>
      <c r="K19" s="130">
        <f>IF(SER_hh_tesh!K19=0,0,SER_hh_tesh!K19/SER_summary!K$26)</f>
        <v>28.9539438546438</v>
      </c>
      <c r="L19" s="130">
        <f>IF(SER_hh_tesh!L19=0,0,SER_hh_tesh!L19/SER_summary!L$26)</f>
        <v>29.922272241926827</v>
      </c>
      <c r="M19" s="130">
        <f>IF(SER_hh_tesh!M19=0,0,SER_hh_tesh!M19/SER_summary!M$26)</f>
        <v>30.264284516085766</v>
      </c>
      <c r="N19" s="130">
        <f>IF(SER_hh_tesh!N19=0,0,SER_hh_tesh!N19/SER_summary!N$26)</f>
        <v>29.569146397561934</v>
      </c>
      <c r="O19" s="130">
        <f>IF(SER_hh_tesh!O19=0,0,SER_hh_tesh!O19/SER_summary!O$26)</f>
        <v>30.063423925111621</v>
      </c>
      <c r="P19" s="130">
        <f>IF(SER_hh_tesh!P19=0,0,SER_hh_tesh!P19/SER_summary!P$26)</f>
        <v>29.908246676533107</v>
      </c>
      <c r="Q19" s="130">
        <f>IF(SER_hh_tesh!Q19=0,0,SER_hh_tesh!Q19/SER_summary!Q$26)</f>
        <v>29.786207946963756</v>
      </c>
      <c r="R19" s="130">
        <f>IF(SER_hh_tesh!R19=0,0,SER_hh_tesh!R19/SER_summary!R$26)</f>
        <v>29.797736470573899</v>
      </c>
      <c r="S19" s="130">
        <f>IF(SER_hh_tesh!S19=0,0,SER_hh_tesh!S19/SER_summary!S$26)</f>
        <v>29.606225116278566</v>
      </c>
      <c r="T19" s="130">
        <f>IF(SER_hh_tesh!T19=0,0,SER_hh_tesh!T19/SER_summary!T$26)</f>
        <v>29.603436819991867</v>
      </c>
      <c r="U19" s="130">
        <f>IF(SER_hh_tesh!U19=0,0,SER_hh_tesh!U19/SER_summary!U$26)</f>
        <v>29.713871360119782</v>
      </c>
      <c r="V19" s="130">
        <f>IF(SER_hh_tesh!V19=0,0,SER_hh_tesh!V19/SER_summary!V$26)</f>
        <v>28.479573280714153</v>
      </c>
      <c r="W19" s="130">
        <f>IF(SER_hh_tesh!W19=0,0,SER_hh_tesh!W19/SER_summary!W$26)</f>
        <v>29.242880765624161</v>
      </c>
      <c r="X19" s="130">
        <f>IF(SER_hh_tesh!X19=0,0,SER_hh_tesh!X19/SER_summary!X$26)</f>
        <v>29.467310760149445</v>
      </c>
      <c r="Y19" s="130">
        <f>IF(SER_hh_tesh!Y19=0,0,SER_hh_tesh!Y19/SER_summary!Y$26)</f>
        <v>30.570420581224127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30.378702494395633</v>
      </c>
      <c r="C21" s="132">
        <f>IF(SER_hh_tesh!C21=0,0,SER_hh_tesh!C21/SER_summary!C$26)</f>
        <v>30.250774910671449</v>
      </c>
      <c r="D21" s="132">
        <f>IF(SER_hh_tesh!D21=0,0,SER_hh_tesh!D21/SER_summary!D$26)</f>
        <v>30.846759298323139</v>
      </c>
      <c r="E21" s="132">
        <f>IF(SER_hh_tesh!E21=0,0,SER_hh_tesh!E21/SER_summary!E$26)</f>
        <v>26.587132660217847</v>
      </c>
      <c r="F21" s="132">
        <f>IF(SER_hh_tesh!F21=0,0,SER_hh_tesh!F21/SER_summary!F$26)</f>
        <v>23.306990338061048</v>
      </c>
      <c r="G21" s="132">
        <f>IF(SER_hh_tesh!G21=0,0,SER_hh_tesh!G21/SER_summary!G$26)</f>
        <v>19.887907528563119</v>
      </c>
      <c r="H21" s="132">
        <f>IF(SER_hh_tesh!H21=0,0,SER_hh_tesh!H21/SER_summary!H$26)</f>
        <v>45.058754579298885</v>
      </c>
      <c r="I21" s="132">
        <f>IF(SER_hh_tesh!I21=0,0,SER_hh_tesh!I21/SER_summary!I$26)</f>
        <v>55.165922366484317</v>
      </c>
      <c r="J21" s="132">
        <f>IF(SER_hh_tesh!J21=0,0,SER_hh_tesh!J21/SER_summary!J$26)</f>
        <v>50.508301399100368</v>
      </c>
      <c r="K21" s="132">
        <f>IF(SER_hh_tesh!K21=0,0,SER_hh_tesh!K21/SER_summary!K$26)</f>
        <v>47.019471458231962</v>
      </c>
      <c r="L21" s="132">
        <f>IF(SER_hh_tesh!L21=0,0,SER_hh_tesh!L21/SER_summary!L$26)</f>
        <v>24.972872424419734</v>
      </c>
      <c r="M21" s="132">
        <f>IF(SER_hh_tesh!M21=0,0,SER_hh_tesh!M21/SER_summary!M$26)</f>
        <v>29.179588794165731</v>
      </c>
      <c r="N21" s="132">
        <f>IF(SER_hh_tesh!N21=0,0,SER_hh_tesh!N21/SER_summary!N$26)</f>
        <v>30.593355176505717</v>
      </c>
      <c r="O21" s="132">
        <f>IF(SER_hh_tesh!O21=0,0,SER_hh_tesh!O21/SER_summary!O$26)</f>
        <v>24.353924647707956</v>
      </c>
      <c r="P21" s="132">
        <f>IF(SER_hh_tesh!P21=0,0,SER_hh_tesh!P21/SER_summary!P$26)</f>
        <v>26.582877430123787</v>
      </c>
      <c r="Q21" s="132">
        <f>IF(SER_hh_tesh!Q21=0,0,SER_hh_tesh!Q21/SER_summary!Q$26)</f>
        <v>28.265770100545939</v>
      </c>
      <c r="R21" s="132">
        <f>IF(SER_hh_tesh!R21=0,0,SER_hh_tesh!R21/SER_summary!R$26)</f>
        <v>24.683561792914176</v>
      </c>
      <c r="S21" s="132">
        <f>IF(SER_hh_tesh!S21=0,0,SER_hh_tesh!S21/SER_summary!S$26)</f>
        <v>27.634601334147849</v>
      </c>
      <c r="T21" s="132">
        <f>IF(SER_hh_tesh!T21=0,0,SER_hh_tesh!T21/SER_summary!T$26)</f>
        <v>33.173009188010724</v>
      </c>
      <c r="U21" s="132">
        <f>IF(SER_hh_tesh!U21=0,0,SER_hh_tesh!U21/SER_summary!U$26)</f>
        <v>32.132011305103759</v>
      </c>
      <c r="V21" s="132">
        <f>IF(SER_hh_tesh!V21=0,0,SER_hh_tesh!V21/SER_summary!V$26)</f>
        <v>25.213067263017681</v>
      </c>
      <c r="W21" s="132">
        <f>IF(SER_hh_tesh!W21=0,0,SER_hh_tesh!W21/SER_summary!W$26)</f>
        <v>28.536151036324078</v>
      </c>
      <c r="X21" s="132">
        <f>IF(SER_hh_tesh!X21=0,0,SER_hh_tesh!X21/SER_summary!X$26)</f>
        <v>38.638762133109054</v>
      </c>
      <c r="Y21" s="132">
        <f>IF(SER_hh_tesh!Y21=0,0,SER_hh_tesh!Y21/SER_summary!Y$26)</f>
        <v>26.651142011170279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0</v>
      </c>
      <c r="C22" s="132">
        <f>IF(SER_hh_tesh!C22=0,0,SER_hh_tesh!C22/SER_summary!C$26)</f>
        <v>0</v>
      </c>
      <c r="D22" s="132">
        <f>IF(SER_hh_tesh!D22=0,0,SER_hh_tesh!D22/SER_summary!D$26)</f>
        <v>0</v>
      </c>
      <c r="E22" s="132">
        <f>IF(SER_hh_tesh!E22=0,0,SER_hh_tesh!E22/SER_summary!E$26)</f>
        <v>0</v>
      </c>
      <c r="F22" s="132">
        <f>IF(SER_hh_tesh!F22=0,0,SER_hh_tesh!F22/SER_summary!F$26)</f>
        <v>0</v>
      </c>
      <c r="G22" s="132">
        <f>IF(SER_hh_tesh!G22=0,0,SER_hh_tesh!G22/SER_summary!G$26)</f>
        <v>0</v>
      </c>
      <c r="H22" s="132">
        <f>IF(SER_hh_tesh!H22=0,0,SER_hh_tesh!H22/SER_summary!H$26)</f>
        <v>0</v>
      </c>
      <c r="I22" s="132">
        <f>IF(SER_hh_tesh!I22=0,0,SER_hh_tesh!I22/SER_summary!I$26)</f>
        <v>0</v>
      </c>
      <c r="J22" s="132">
        <f>IF(SER_hh_tesh!J22=0,0,SER_hh_tesh!J22/SER_summary!J$26)</f>
        <v>0</v>
      </c>
      <c r="K22" s="132">
        <f>IF(SER_hh_tesh!K22=0,0,SER_hh_tesh!K22/SER_summary!K$26)</f>
        <v>0</v>
      </c>
      <c r="L22" s="132">
        <f>IF(SER_hh_tesh!L22=0,0,SER_hh_tesh!L22/SER_summary!L$26)</f>
        <v>0</v>
      </c>
      <c r="M22" s="132">
        <f>IF(SER_hh_tesh!M22=0,0,SER_hh_tesh!M22/SER_summary!M$26)</f>
        <v>0</v>
      </c>
      <c r="N22" s="132">
        <f>IF(SER_hh_tesh!N22=0,0,SER_hh_tesh!N22/SER_summary!N$26)</f>
        <v>0</v>
      </c>
      <c r="O22" s="132">
        <f>IF(SER_hh_tesh!O22=0,0,SER_hh_tesh!O22/SER_summary!O$26)</f>
        <v>0</v>
      </c>
      <c r="P22" s="132">
        <f>IF(SER_hh_tesh!P22=0,0,SER_hh_tesh!P22/SER_summary!P$26)</f>
        <v>0</v>
      </c>
      <c r="Q22" s="132">
        <f>IF(SER_hh_tesh!Q22=0,0,SER_hh_tesh!Q22/SER_summary!Q$26)</f>
        <v>0</v>
      </c>
      <c r="R22" s="132">
        <f>IF(SER_hh_tesh!R22=0,0,SER_hh_tesh!R22/SER_summary!R$26)</f>
        <v>0</v>
      </c>
      <c r="S22" s="132">
        <f>IF(SER_hh_tesh!S22=0,0,SER_hh_tesh!S22/SER_summary!S$26)</f>
        <v>0</v>
      </c>
      <c r="T22" s="132">
        <f>IF(SER_hh_tesh!T22=0,0,SER_hh_tesh!T22/SER_summary!T$26)</f>
        <v>0</v>
      </c>
      <c r="U22" s="132">
        <f>IF(SER_hh_tesh!U22=0,0,SER_hh_tesh!U22/SER_summary!U$26)</f>
        <v>0</v>
      </c>
      <c r="V22" s="132">
        <f>IF(SER_hh_tesh!V22=0,0,SER_hh_tesh!V22/SER_summary!V$26)</f>
        <v>0</v>
      </c>
      <c r="W22" s="132">
        <f>IF(SER_hh_tesh!W22=0,0,SER_hh_tesh!W22/SER_summary!W$26)</f>
        <v>0</v>
      </c>
      <c r="X22" s="132">
        <f>IF(SER_hh_tesh!X22=0,0,SER_hh_tesh!X22/SER_summary!X$26)</f>
        <v>0</v>
      </c>
      <c r="Y22" s="132">
        <f>IF(SER_hh_tesh!Y22=0,0,SER_hh_tesh!Y22/SER_summary!Y$26)</f>
        <v>0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0</v>
      </c>
      <c r="C23" s="132">
        <f>IF(SER_hh_tesh!C23=0,0,SER_hh_tesh!C23/SER_summary!C$26)</f>
        <v>0</v>
      </c>
      <c r="D23" s="132">
        <f>IF(SER_hh_tesh!D23=0,0,SER_hh_tesh!D23/SER_summary!D$26)</f>
        <v>0</v>
      </c>
      <c r="E23" s="132">
        <f>IF(SER_hh_tesh!E23=0,0,SER_hh_tesh!E23/SER_summary!E$26)</f>
        <v>0</v>
      </c>
      <c r="F23" s="132">
        <f>IF(SER_hh_tesh!F23=0,0,SER_hh_tesh!F23/SER_summary!F$26)</f>
        <v>0</v>
      </c>
      <c r="G23" s="132">
        <f>IF(SER_hh_tesh!G23=0,0,SER_hh_tesh!G23/SER_summary!G$26)</f>
        <v>0</v>
      </c>
      <c r="H23" s="132">
        <f>IF(SER_hh_tesh!H23=0,0,SER_hh_tesh!H23/SER_summary!H$26)</f>
        <v>0</v>
      </c>
      <c r="I23" s="132">
        <f>IF(SER_hh_tesh!I23=0,0,SER_hh_tesh!I23/SER_summary!I$26)</f>
        <v>0</v>
      </c>
      <c r="J23" s="132">
        <f>IF(SER_hh_tesh!J23=0,0,SER_hh_tesh!J23/SER_summary!J$26)</f>
        <v>0</v>
      </c>
      <c r="K23" s="132">
        <f>IF(SER_hh_tesh!K23=0,0,SER_hh_tesh!K23/SER_summary!K$26)</f>
        <v>0</v>
      </c>
      <c r="L23" s="132">
        <f>IF(SER_hh_tesh!L23=0,0,SER_hh_tesh!L23/SER_summary!L$26)</f>
        <v>0</v>
      </c>
      <c r="M23" s="132">
        <f>IF(SER_hh_tesh!M23=0,0,SER_hh_tesh!M23/SER_summary!M$26)</f>
        <v>0</v>
      </c>
      <c r="N23" s="132">
        <f>IF(SER_hh_tesh!N23=0,0,SER_hh_tesh!N23/SER_summary!N$26)</f>
        <v>0</v>
      </c>
      <c r="O23" s="132">
        <f>IF(SER_hh_tesh!O23=0,0,SER_hh_tesh!O23/SER_summary!O$26)</f>
        <v>0</v>
      </c>
      <c r="P23" s="132">
        <f>IF(SER_hh_tesh!P23=0,0,SER_hh_tesh!P23/SER_summary!P$26)</f>
        <v>0</v>
      </c>
      <c r="Q23" s="132">
        <f>IF(SER_hh_tesh!Q23=0,0,SER_hh_tesh!Q23/SER_summary!Q$26)</f>
        <v>0</v>
      </c>
      <c r="R23" s="132">
        <f>IF(SER_hh_tesh!R23=0,0,SER_hh_tesh!R23/SER_summary!R$26)</f>
        <v>0</v>
      </c>
      <c r="S23" s="132">
        <f>IF(SER_hh_tesh!S23=0,0,SER_hh_tesh!S23/SER_summary!S$26)</f>
        <v>0</v>
      </c>
      <c r="T23" s="132">
        <f>IF(SER_hh_tesh!T23=0,0,SER_hh_tesh!T23/SER_summary!T$26)</f>
        <v>0</v>
      </c>
      <c r="U23" s="132">
        <f>IF(SER_hh_tesh!U23=0,0,SER_hh_tesh!U23/SER_summary!U$26)</f>
        <v>0</v>
      </c>
      <c r="V23" s="132">
        <f>IF(SER_hh_tesh!V23=0,0,SER_hh_tesh!V23/SER_summary!V$26)</f>
        <v>0</v>
      </c>
      <c r="W23" s="132">
        <f>IF(SER_hh_tesh!W23=0,0,SER_hh_tesh!W23/SER_summary!W$26)</f>
        <v>0</v>
      </c>
      <c r="X23" s="132">
        <f>IF(SER_hh_tesh!X23=0,0,SER_hh_tesh!X23/SER_summary!X$26)</f>
        <v>0</v>
      </c>
      <c r="Y23" s="132">
        <f>IF(SER_hh_tesh!Y23=0,0,SER_hh_tesh!Y23/SER_summary!Y$26)</f>
        <v>0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0</v>
      </c>
      <c r="C25" s="132">
        <f>IF(SER_hh_tesh!C25=0,0,SER_hh_tesh!C25/SER_summary!C$26)</f>
        <v>0</v>
      </c>
      <c r="D25" s="132">
        <f>IF(SER_hh_tesh!D25=0,0,SER_hh_tesh!D25/SER_summary!D$26)</f>
        <v>0</v>
      </c>
      <c r="E25" s="132">
        <f>IF(SER_hh_tesh!E25=0,0,SER_hh_tesh!E25/SER_summary!E$26)</f>
        <v>0</v>
      </c>
      <c r="F25" s="132">
        <f>IF(SER_hh_tesh!F25=0,0,SER_hh_tesh!F25/SER_summary!F$26)</f>
        <v>0</v>
      </c>
      <c r="G25" s="132">
        <f>IF(SER_hh_tesh!G25=0,0,SER_hh_tesh!G25/SER_summary!G$26)</f>
        <v>0</v>
      </c>
      <c r="H25" s="132">
        <f>IF(SER_hh_tesh!H25=0,0,SER_hh_tesh!H25/SER_summary!H$26)</f>
        <v>0</v>
      </c>
      <c r="I25" s="132">
        <f>IF(SER_hh_tesh!I25=0,0,SER_hh_tesh!I25/SER_summary!I$26)</f>
        <v>0</v>
      </c>
      <c r="J25" s="132">
        <f>IF(SER_hh_tesh!J25=0,0,SER_hh_tesh!J25/SER_summary!J$26)</f>
        <v>0</v>
      </c>
      <c r="K25" s="132">
        <f>IF(SER_hh_tesh!K25=0,0,SER_hh_tesh!K25/SER_summary!K$26)</f>
        <v>0</v>
      </c>
      <c r="L25" s="132">
        <f>IF(SER_hh_tesh!L25=0,0,SER_hh_tesh!L25/SER_summary!L$26)</f>
        <v>0</v>
      </c>
      <c r="M25" s="132">
        <f>IF(SER_hh_tesh!M25=0,0,SER_hh_tesh!M25/SER_summary!M$26)</f>
        <v>43.830875008932011</v>
      </c>
      <c r="N25" s="132">
        <f>IF(SER_hh_tesh!N25=0,0,SER_hh_tesh!N25/SER_summary!N$26)</f>
        <v>31.656994859812233</v>
      </c>
      <c r="O25" s="132">
        <f>IF(SER_hh_tesh!O25=0,0,SER_hh_tesh!O25/SER_summary!O$26)</f>
        <v>31.838162486145666</v>
      </c>
      <c r="P25" s="132">
        <f>IF(SER_hh_tesh!P25=0,0,SER_hh_tesh!P25/SER_summary!P$26)</f>
        <v>29.209071614993157</v>
      </c>
      <c r="Q25" s="132">
        <f>IF(SER_hh_tesh!Q25=0,0,SER_hh_tesh!Q25/SER_summary!Q$26)</f>
        <v>32.620631890365452</v>
      </c>
      <c r="R25" s="132">
        <f>IF(SER_hh_tesh!R25=0,0,SER_hh_tesh!R25/SER_summary!R$26)</f>
        <v>33.16532257237499</v>
      </c>
      <c r="S25" s="132">
        <f>IF(SER_hh_tesh!S25=0,0,SER_hh_tesh!S25/SER_summary!S$26)</f>
        <v>22.435037180185525</v>
      </c>
      <c r="T25" s="132">
        <f>IF(SER_hh_tesh!T25=0,0,SER_hh_tesh!T25/SER_summary!T$26)</f>
        <v>28.600349799474373</v>
      </c>
      <c r="U25" s="132">
        <f>IF(SER_hh_tesh!U25=0,0,SER_hh_tesh!U25/SER_summary!U$26)</f>
        <v>42.634833657404258</v>
      </c>
      <c r="V25" s="132">
        <f>IF(SER_hh_tesh!V25=0,0,SER_hh_tesh!V25/SER_summary!V$26)</f>
        <v>0</v>
      </c>
      <c r="W25" s="132">
        <f>IF(SER_hh_tesh!W25=0,0,SER_hh_tesh!W25/SER_summary!W$26)</f>
        <v>0</v>
      </c>
      <c r="X25" s="132">
        <f>IF(SER_hh_tesh!X25=0,0,SER_hh_tesh!X25/SER_summary!X$26)</f>
        <v>0</v>
      </c>
      <c r="Y25" s="132">
        <f>IF(SER_hh_tesh!Y25=0,0,SER_hh_tesh!Y25/SER_summary!Y$26)</f>
        <v>0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29.875738035489402</v>
      </c>
      <c r="C26" s="65">
        <f>IF(SER_hh_tesh!C26=0,0,SER_hh_tesh!C26/SER_summary!C$26)</f>
        <v>28.580407929230393</v>
      </c>
      <c r="D26" s="65">
        <f>IF(SER_hh_tesh!D26=0,0,SER_hh_tesh!D26/SER_summary!D$26)</f>
        <v>29.347002876066394</v>
      </c>
      <c r="E26" s="65">
        <f>IF(SER_hh_tesh!E26=0,0,SER_hh_tesh!E26/SER_summary!E$26)</f>
        <v>29.832312426706185</v>
      </c>
      <c r="F26" s="65">
        <f>IF(SER_hh_tesh!F26=0,0,SER_hh_tesh!F26/SER_summary!F$26)</f>
        <v>30.862362955000268</v>
      </c>
      <c r="G26" s="65">
        <f>IF(SER_hh_tesh!G26=0,0,SER_hh_tesh!G26/SER_summary!G$26)</f>
        <v>30.708541495054106</v>
      </c>
      <c r="H26" s="65">
        <f>IF(SER_hh_tesh!H26=0,0,SER_hh_tesh!H26/SER_summary!H$26)</f>
        <v>28.36117275498226</v>
      </c>
      <c r="I26" s="65">
        <f>IF(SER_hh_tesh!I26=0,0,SER_hh_tesh!I26/SER_summary!I$26)</f>
        <v>26.982290801263023</v>
      </c>
      <c r="J26" s="65">
        <f>IF(SER_hh_tesh!J26=0,0,SER_hh_tesh!J26/SER_summary!J$26)</f>
        <v>26.607298693173728</v>
      </c>
      <c r="K26" s="65">
        <f>IF(SER_hh_tesh!K26=0,0,SER_hh_tesh!K26/SER_summary!K$26)</f>
        <v>27.269765045273179</v>
      </c>
      <c r="L26" s="65">
        <f>IF(SER_hh_tesh!L26=0,0,SER_hh_tesh!L26/SER_summary!L$26)</f>
        <v>30.33804608315522</v>
      </c>
      <c r="M26" s="65">
        <f>IF(SER_hh_tesh!M26=0,0,SER_hh_tesh!M26/SER_summary!M$26)</f>
        <v>30.330501392473565</v>
      </c>
      <c r="N26" s="65">
        <f>IF(SER_hh_tesh!N26=0,0,SER_hh_tesh!N26/SER_summary!N$26)</f>
        <v>29.525522560485122</v>
      </c>
      <c r="O26" s="65">
        <f>IF(SER_hh_tesh!O26=0,0,SER_hh_tesh!O26/SER_summary!O$26)</f>
        <v>30.225176441904946</v>
      </c>
      <c r="P26" s="65">
        <f>IF(SER_hh_tesh!P26=0,0,SER_hh_tesh!P26/SER_summary!P$26)</f>
        <v>29.974321090777188</v>
      </c>
      <c r="Q26" s="65">
        <f>IF(SER_hh_tesh!Q26=0,0,SER_hh_tesh!Q26/SER_summary!Q$26)</f>
        <v>29.809021593227694</v>
      </c>
      <c r="R26" s="65">
        <f>IF(SER_hh_tesh!R26=0,0,SER_hh_tesh!R26/SER_summary!R$26)</f>
        <v>29.87142627892867</v>
      </c>
      <c r="S26" s="65">
        <f>IF(SER_hh_tesh!S26=0,0,SER_hh_tesh!S26/SER_summary!S$26)</f>
        <v>29.638899828764956</v>
      </c>
      <c r="T26" s="65">
        <f>IF(SER_hh_tesh!T26=0,0,SER_hh_tesh!T26/SER_summary!T$26)</f>
        <v>29.538994485483393</v>
      </c>
      <c r="U26" s="65">
        <f>IF(SER_hh_tesh!U26=0,0,SER_hh_tesh!U26/SER_summary!U$26)</f>
        <v>29.667370585862507</v>
      </c>
      <c r="V26" s="65">
        <f>IF(SER_hh_tesh!V26=0,0,SER_hh_tesh!V26/SER_summary!V$26)</f>
        <v>28.540580600331527</v>
      </c>
      <c r="W26" s="65">
        <f>IF(SER_hh_tesh!W26=0,0,SER_hh_tesh!W26/SER_summary!W$26)</f>
        <v>29.256192239283553</v>
      </c>
      <c r="X26" s="65">
        <f>IF(SER_hh_tesh!X26=0,0,SER_hh_tesh!X26/SER_summary!X$26)</f>
        <v>29.307258700462604</v>
      </c>
      <c r="Y26" s="65">
        <f>IF(SER_hh_tesh!Y26=0,0,SER_hh_tesh!Y26/SER_summary!Y$26)</f>
        <v>30.640191128290336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0</v>
      </c>
      <c r="H27" s="145">
        <f>IF(SER_hh_tesh!H27=0,0,SER_hh_tesh!H27/SER_summary!H$26)</f>
        <v>0</v>
      </c>
      <c r="I27" s="145">
        <f>IF(SER_hh_tesh!I27=0,0,SER_hh_tesh!I27/SER_summary!I$26)</f>
        <v>0</v>
      </c>
      <c r="J27" s="145">
        <f>IF(SER_hh_tesh!J27=0,0,SER_hh_tesh!J27/SER_summary!J$26)</f>
        <v>0</v>
      </c>
      <c r="K27" s="145">
        <f>IF(SER_hh_tesh!K27=0,0,SER_hh_tesh!K27/SER_summary!K$26)</f>
        <v>0</v>
      </c>
      <c r="L27" s="145">
        <f>IF(SER_hh_tesh!L27=0,0,SER_hh_tesh!L27/SER_summary!L$26)</f>
        <v>0</v>
      </c>
      <c r="M27" s="145">
        <f>IF(SER_hh_tesh!M27=0,0,SER_hh_tesh!M27/SER_summary!M$26)</f>
        <v>0</v>
      </c>
      <c r="N27" s="145">
        <f>IF(SER_hh_tesh!N27=0,0,SER_hh_tesh!N27/SER_summary!N$26)</f>
        <v>0</v>
      </c>
      <c r="O27" s="145">
        <f>IF(SER_hh_tesh!O27=0,0,SER_hh_tesh!O27/SER_summary!O$26)</f>
        <v>0</v>
      </c>
      <c r="P27" s="145">
        <f>IF(SER_hh_tesh!P27=0,0,SER_hh_tesh!P27/SER_summary!P$26)</f>
        <v>0</v>
      </c>
      <c r="Q27" s="145">
        <f>IF(SER_hh_tesh!Q27=0,0,SER_hh_tesh!Q27/SER_summary!Q$26)</f>
        <v>0</v>
      </c>
      <c r="R27" s="145">
        <f>IF(SER_hh_tesh!R27=0,0,SER_hh_tesh!R27/SER_summary!R$26)</f>
        <v>0</v>
      </c>
      <c r="S27" s="145">
        <f>IF(SER_hh_tesh!S27=0,0,SER_hh_tesh!S27/SER_summary!S$26)</f>
        <v>0</v>
      </c>
      <c r="T27" s="145">
        <f>IF(SER_hh_tesh!T27=0,0,SER_hh_tesh!T27/SER_summary!T$26)</f>
        <v>0</v>
      </c>
      <c r="U27" s="145">
        <f>IF(SER_hh_tesh!U27=0,0,SER_hh_tesh!U27/SER_summary!U$26)</f>
        <v>0</v>
      </c>
      <c r="V27" s="145">
        <f>IF(SER_hh_tesh!V27=0,0,SER_hh_tesh!V27/SER_summary!V$26)</f>
        <v>0</v>
      </c>
      <c r="W27" s="145">
        <f>IF(SER_hh_tesh!W27=0,0,SER_hh_tesh!W27/SER_summary!W$26)</f>
        <v>0</v>
      </c>
      <c r="X27" s="145">
        <f>IF(SER_hh_tesh!X27=0,0,SER_hh_tesh!X27/SER_summary!X$26)</f>
        <v>0</v>
      </c>
      <c r="Y27" s="145">
        <f>IF(SER_hh_tesh!Y27=0,0,SER_hh_tesh!Y27/SER_summary!Y$26)</f>
        <v>0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0</v>
      </c>
      <c r="H28" s="146">
        <f>IF(SER_hh_tesh!H28=0,0,SER_hh_tesh!H28/SER_summary!H$26)</f>
        <v>0</v>
      </c>
      <c r="I28" s="146">
        <f>IF(SER_hh_tesh!I28=0,0,SER_hh_tesh!I28/SER_summary!I$26)</f>
        <v>0</v>
      </c>
      <c r="J28" s="146">
        <f>IF(SER_hh_tesh!J28=0,0,SER_hh_tesh!J28/SER_summary!J$26)</f>
        <v>0</v>
      </c>
      <c r="K28" s="146">
        <f>IF(SER_hh_tesh!K28=0,0,SER_hh_tesh!K28/SER_summary!K$26)</f>
        <v>0</v>
      </c>
      <c r="L28" s="146">
        <f>IF(SER_hh_tesh!L28=0,0,SER_hh_tesh!L28/SER_summary!L$26)</f>
        <v>0</v>
      </c>
      <c r="M28" s="146">
        <f>IF(SER_hh_tesh!M28=0,0,SER_hh_tesh!M28/SER_summary!M$26)</f>
        <v>0</v>
      </c>
      <c r="N28" s="146">
        <f>IF(SER_hh_tesh!N28=0,0,SER_hh_tesh!N28/SER_summary!N$26)</f>
        <v>0</v>
      </c>
      <c r="O28" s="146">
        <f>IF(SER_hh_tesh!O28=0,0,SER_hh_tesh!O28/SER_summary!O$26)</f>
        <v>0</v>
      </c>
      <c r="P28" s="146">
        <f>IF(SER_hh_tesh!P28=0,0,SER_hh_tesh!P28/SER_summary!P$26)</f>
        <v>0</v>
      </c>
      <c r="Q28" s="146">
        <f>IF(SER_hh_tesh!Q28=0,0,SER_hh_tesh!Q28/SER_summary!Q$26)</f>
        <v>0</v>
      </c>
      <c r="R28" s="146">
        <f>IF(SER_hh_tesh!R28=0,0,SER_hh_tesh!R28/SER_summary!R$26)</f>
        <v>0</v>
      </c>
      <c r="S28" s="146">
        <f>IF(SER_hh_tesh!S28=0,0,SER_hh_tesh!S28/SER_summary!S$26)</f>
        <v>0</v>
      </c>
      <c r="T28" s="146">
        <f>IF(SER_hh_tesh!T28=0,0,SER_hh_tesh!T28/SER_summary!T$26)</f>
        <v>0</v>
      </c>
      <c r="U28" s="146">
        <f>IF(SER_hh_tesh!U28=0,0,SER_hh_tesh!U28/SER_summary!U$26)</f>
        <v>0</v>
      </c>
      <c r="V28" s="146">
        <f>IF(SER_hh_tesh!V28=0,0,SER_hh_tesh!V28/SER_summary!V$26)</f>
        <v>0</v>
      </c>
      <c r="W28" s="146">
        <f>IF(SER_hh_tesh!W28=0,0,SER_hh_tesh!W28/SER_summary!W$26)</f>
        <v>0</v>
      </c>
      <c r="X28" s="146">
        <f>IF(SER_hh_tesh!X28=0,0,SER_hh_tesh!X28/SER_summary!X$26)</f>
        <v>0</v>
      </c>
      <c r="Y28" s="146">
        <f>IF(SER_hh_tesh!Y28=0,0,SER_hh_tesh!Y28/SER_summary!Y$26)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46.408810761996499</v>
      </c>
      <c r="C29" s="130">
        <f>IF(SER_hh_tesh!C29=0,0,SER_hh_tesh!C29/SER_summary!C$26)</f>
        <v>46.415748332540815</v>
      </c>
      <c r="D29" s="130">
        <f>IF(SER_hh_tesh!D29=0,0,SER_hh_tesh!D29/SER_summary!D$26)</f>
        <v>47.668524575357516</v>
      </c>
      <c r="E29" s="130">
        <f>IF(SER_hh_tesh!E29=0,0,SER_hh_tesh!E29/SER_summary!E$26)</f>
        <v>48.946631149084631</v>
      </c>
      <c r="F29" s="130">
        <f>IF(SER_hh_tesh!F29=0,0,SER_hh_tesh!F29/SER_summary!F$26)</f>
        <v>50.064915106948568</v>
      </c>
      <c r="G29" s="130">
        <f>IF(SER_hh_tesh!G29=0,0,SER_hh_tesh!G29/SER_summary!G$26)</f>
        <v>48.637551983711255</v>
      </c>
      <c r="H29" s="130">
        <f>IF(SER_hh_tesh!H29=0,0,SER_hh_tesh!H29/SER_summary!H$26)</f>
        <v>48.417902036890162</v>
      </c>
      <c r="I29" s="130">
        <f>IF(SER_hh_tesh!I29=0,0,SER_hh_tesh!I29/SER_summary!I$26)</f>
        <v>47.838576405423524</v>
      </c>
      <c r="J29" s="130">
        <f>IF(SER_hh_tesh!J29=0,0,SER_hh_tesh!J29/SER_summary!J$26)</f>
        <v>46.353273184742811</v>
      </c>
      <c r="K29" s="130">
        <f>IF(SER_hh_tesh!K29=0,0,SER_hh_tesh!K29/SER_summary!K$26)</f>
        <v>46.802923824513009</v>
      </c>
      <c r="L29" s="130">
        <f>IF(SER_hh_tesh!L29=0,0,SER_hh_tesh!L29/SER_summary!L$26)</f>
        <v>47.639560665962918</v>
      </c>
      <c r="M29" s="130">
        <f>IF(SER_hh_tesh!M29=0,0,SER_hh_tesh!M29/SER_summary!M$26)</f>
        <v>47.676854322448634</v>
      </c>
      <c r="N29" s="130">
        <f>IF(SER_hh_tesh!N29=0,0,SER_hh_tesh!N29/SER_summary!N$26)</f>
        <v>46.849404607847362</v>
      </c>
      <c r="O29" s="130">
        <f>IF(SER_hh_tesh!O29=0,0,SER_hh_tesh!O29/SER_summary!O$26)</f>
        <v>46.575449504827837</v>
      </c>
      <c r="P29" s="130">
        <f>IF(SER_hh_tesh!P29=0,0,SER_hh_tesh!P29/SER_summary!P$26)</f>
        <v>46.990355123216311</v>
      </c>
      <c r="Q29" s="130">
        <f>IF(SER_hh_tesh!Q29=0,0,SER_hh_tesh!Q29/SER_summary!Q$26)</f>
        <v>47.013136774776456</v>
      </c>
      <c r="R29" s="130">
        <f>IF(SER_hh_tesh!R29=0,0,SER_hh_tesh!R29/SER_summary!R$26)</f>
        <v>47.217023561279923</v>
      </c>
      <c r="S29" s="130">
        <f>IF(SER_hh_tesh!S29=0,0,SER_hh_tesh!S29/SER_summary!S$26)</f>
        <v>46.620594853957201</v>
      </c>
      <c r="T29" s="130">
        <f>IF(SER_hh_tesh!T29=0,0,SER_hh_tesh!T29/SER_summary!T$26)</f>
        <v>46.964025934843107</v>
      </c>
      <c r="U29" s="130">
        <f>IF(SER_hh_tesh!U29=0,0,SER_hh_tesh!U29/SER_summary!U$26)</f>
        <v>47.304423622433568</v>
      </c>
      <c r="V29" s="130">
        <f>IF(SER_hh_tesh!V29=0,0,SER_hh_tesh!V29/SER_summary!V$26)</f>
        <v>43.822732734472062</v>
      </c>
      <c r="W29" s="130">
        <f>IF(SER_hh_tesh!W29=0,0,SER_hh_tesh!W29/SER_summary!W$26)</f>
        <v>45.390913285122402</v>
      </c>
      <c r="X29" s="130">
        <f>IF(SER_hh_tesh!X29=0,0,SER_hh_tesh!X29/SER_summary!X$26)</f>
        <v>46.010161223789467</v>
      </c>
      <c r="Y29" s="130">
        <f>IF(SER_hh_tesh!Y29=0,0,SER_hh_tesh!Y29/SER_summary!Y$26)</f>
        <v>47.387608527413228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46.783536683015555</v>
      </c>
      <c r="C30" s="132">
        <f>IF(SER_hh_tesh!C30=0,0,SER_hh_tesh!C30/SER_summary!C$26)</f>
        <v>43.669050637067755</v>
      </c>
      <c r="D30" s="132">
        <f>IF(SER_hh_tesh!D30=0,0,SER_hh_tesh!D30/SER_summary!D$26)</f>
        <v>51.608111215893651</v>
      </c>
      <c r="E30" s="132">
        <f>IF(SER_hh_tesh!E30=0,0,SER_hh_tesh!E30/SER_summary!E$26)</f>
        <v>49.554895165937921</v>
      </c>
      <c r="F30" s="132">
        <f>IF(SER_hh_tesh!F30=0,0,SER_hh_tesh!F30/SER_summary!F$26)</f>
        <v>43.225205115163774</v>
      </c>
      <c r="G30" s="132">
        <f>IF(SER_hh_tesh!G30=0,0,SER_hh_tesh!G30/SER_summary!G$26)</f>
        <v>37.892410058917626</v>
      </c>
      <c r="H30" s="132">
        <f>IF(SER_hh_tesh!H30=0,0,SER_hh_tesh!H30/SER_summary!H$26)</f>
        <v>48.488927913383684</v>
      </c>
      <c r="I30" s="132">
        <f>IF(SER_hh_tesh!I30=0,0,SER_hh_tesh!I30/SER_summary!I$26)</f>
        <v>41.967854572313435</v>
      </c>
      <c r="J30" s="132">
        <f>IF(SER_hh_tesh!J30=0,0,SER_hh_tesh!J30/SER_summary!J$26)</f>
        <v>46.362778448751286</v>
      </c>
      <c r="K30" s="132">
        <f>IF(SER_hh_tesh!K30=0,0,SER_hh_tesh!K30/SER_summary!K$26)</f>
        <v>57.339042923655441</v>
      </c>
      <c r="L30" s="132">
        <f>IF(SER_hh_tesh!L30=0,0,SER_hh_tesh!L30/SER_summary!L$26)</f>
        <v>43.475526919876273</v>
      </c>
      <c r="M30" s="132">
        <f>IF(SER_hh_tesh!M30=0,0,SER_hh_tesh!M30/SER_summary!M$26)</f>
        <v>48.797748499434995</v>
      </c>
      <c r="N30" s="132">
        <f>IF(SER_hh_tesh!N30=0,0,SER_hh_tesh!N30/SER_summary!N$26)</f>
        <v>47.201820837339888</v>
      </c>
      <c r="O30" s="132">
        <f>IF(SER_hh_tesh!O30=0,0,SER_hh_tesh!O30/SER_summary!O$26)</f>
        <v>45.787407769580618</v>
      </c>
      <c r="P30" s="132">
        <f>IF(SER_hh_tesh!P30=0,0,SER_hh_tesh!P30/SER_summary!P$26)</f>
        <v>45.343425740087206</v>
      </c>
      <c r="Q30" s="132">
        <f>IF(SER_hh_tesh!Q30=0,0,SER_hh_tesh!Q30/SER_summary!Q$26)</f>
        <v>50.157240143846764</v>
      </c>
      <c r="R30" s="132">
        <f>IF(SER_hh_tesh!R30=0,0,SER_hh_tesh!R30/SER_summary!R$26)</f>
        <v>41.015903382522843</v>
      </c>
      <c r="S30" s="132">
        <f>IF(SER_hh_tesh!S30=0,0,SER_hh_tesh!S30/SER_summary!S$26)</f>
        <v>44.358598771501576</v>
      </c>
      <c r="T30" s="132">
        <f>IF(SER_hh_tesh!T30=0,0,SER_hh_tesh!T30/SER_summary!T$26)</f>
        <v>52.082142661156936</v>
      </c>
      <c r="U30" s="132">
        <f>IF(SER_hh_tesh!U30=0,0,SER_hh_tesh!U30/SER_summary!U$26)</f>
        <v>53.455844409925973</v>
      </c>
      <c r="V30" s="132">
        <f>IF(SER_hh_tesh!V30=0,0,SER_hh_tesh!V30/SER_summary!V$26)</f>
        <v>34.476478468612925</v>
      </c>
      <c r="W30" s="132">
        <f>IF(SER_hh_tesh!W30=0,0,SER_hh_tesh!W30/SER_summary!W$26)</f>
        <v>37.004619298649502</v>
      </c>
      <c r="X30" s="132">
        <f>IF(SER_hh_tesh!X30=0,0,SER_hh_tesh!X30/SER_summary!X$26)</f>
        <v>45.184257244685313</v>
      </c>
      <c r="Y30" s="132">
        <f>IF(SER_hh_tesh!Y30=0,0,SER_hh_tesh!Y30/SER_summary!Y$26)</f>
        <v>49.277267592604211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0</v>
      </c>
      <c r="C31" s="132">
        <f>IF(SER_hh_tesh!C31=0,0,SER_hh_tesh!C31/SER_summary!C$26)</f>
        <v>0</v>
      </c>
      <c r="D31" s="132">
        <f>IF(SER_hh_tesh!D31=0,0,SER_hh_tesh!D31/SER_summary!D$26)</f>
        <v>0</v>
      </c>
      <c r="E31" s="132">
        <f>IF(SER_hh_tesh!E31=0,0,SER_hh_tesh!E31/SER_summary!E$26)</f>
        <v>0</v>
      </c>
      <c r="F31" s="132">
        <f>IF(SER_hh_tesh!F31=0,0,SER_hh_tesh!F31/SER_summary!F$26)</f>
        <v>0</v>
      </c>
      <c r="G31" s="132">
        <f>IF(SER_hh_tesh!G31=0,0,SER_hh_tesh!G31/SER_summary!G$26)</f>
        <v>0</v>
      </c>
      <c r="H31" s="132">
        <f>IF(SER_hh_tesh!H31=0,0,SER_hh_tesh!H31/SER_summary!H$26)</f>
        <v>0</v>
      </c>
      <c r="I31" s="132">
        <f>IF(SER_hh_tesh!I31=0,0,SER_hh_tesh!I31/SER_summary!I$26)</f>
        <v>0</v>
      </c>
      <c r="J31" s="132">
        <f>IF(SER_hh_tesh!J31=0,0,SER_hh_tesh!J31/SER_summary!J$26)</f>
        <v>0</v>
      </c>
      <c r="K31" s="132">
        <f>IF(SER_hh_tesh!K31=0,0,SER_hh_tesh!K31/SER_summary!K$26)</f>
        <v>0</v>
      </c>
      <c r="L31" s="132">
        <f>IF(SER_hh_tesh!L31=0,0,SER_hh_tesh!L31/SER_summary!L$26)</f>
        <v>0</v>
      </c>
      <c r="M31" s="132">
        <f>IF(SER_hh_tesh!M31=0,0,SER_hh_tesh!M31/SER_summary!M$26)</f>
        <v>0</v>
      </c>
      <c r="N31" s="132">
        <f>IF(SER_hh_tesh!N31=0,0,SER_hh_tesh!N31/SER_summary!N$26)</f>
        <v>0</v>
      </c>
      <c r="O31" s="132">
        <f>IF(SER_hh_tesh!O31=0,0,SER_hh_tesh!O31/SER_summary!O$26)</f>
        <v>0</v>
      </c>
      <c r="P31" s="132">
        <f>IF(SER_hh_tesh!P31=0,0,SER_hh_tesh!P31/SER_summary!P$26)</f>
        <v>0</v>
      </c>
      <c r="Q31" s="132">
        <f>IF(SER_hh_tesh!Q31=0,0,SER_hh_tesh!Q31/SER_summary!Q$26)</f>
        <v>0</v>
      </c>
      <c r="R31" s="132">
        <f>IF(SER_hh_tesh!R31=0,0,SER_hh_tesh!R31/SER_summary!R$26)</f>
        <v>0</v>
      </c>
      <c r="S31" s="132">
        <f>IF(SER_hh_tesh!S31=0,0,SER_hh_tesh!S31/SER_summary!S$26)</f>
        <v>0</v>
      </c>
      <c r="T31" s="132">
        <f>IF(SER_hh_tesh!T31=0,0,SER_hh_tesh!T31/SER_summary!T$26)</f>
        <v>0</v>
      </c>
      <c r="U31" s="132">
        <f>IF(SER_hh_tesh!U31=0,0,SER_hh_tesh!U31/SER_summary!U$26)</f>
        <v>0</v>
      </c>
      <c r="V31" s="132">
        <f>IF(SER_hh_tesh!V31=0,0,SER_hh_tesh!V31/SER_summary!V$26)</f>
        <v>0</v>
      </c>
      <c r="W31" s="132">
        <f>IF(SER_hh_tesh!W31=0,0,SER_hh_tesh!W31/SER_summary!W$26)</f>
        <v>0</v>
      </c>
      <c r="X31" s="132">
        <f>IF(SER_hh_tesh!X31=0,0,SER_hh_tesh!X31/SER_summary!X$26)</f>
        <v>0</v>
      </c>
      <c r="Y31" s="132">
        <f>IF(SER_hh_tesh!Y31=0,0,SER_hh_tesh!Y31/SER_summary!Y$26)</f>
        <v>0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46.386507226911768</v>
      </c>
      <c r="C33" s="68">
        <f>IF(SER_hh_tesh!C33=0,0,SER_hh_tesh!C33/SER_summary!C$26)</f>
        <v>46.578907631307366</v>
      </c>
      <c r="D33" s="68">
        <f>IF(SER_hh_tesh!D33=0,0,SER_hh_tesh!D33/SER_summary!D$26)</f>
        <v>47.424208484113088</v>
      </c>
      <c r="E33" s="68">
        <f>IF(SER_hh_tesh!E33=0,0,SER_hh_tesh!E33/SER_summary!E$26)</f>
        <v>48.909017903827412</v>
      </c>
      <c r="F33" s="68">
        <f>IF(SER_hh_tesh!F33=0,0,SER_hh_tesh!F33/SER_summary!F$26)</f>
        <v>50.526024899668087</v>
      </c>
      <c r="G33" s="68">
        <f>IF(SER_hh_tesh!G33=0,0,SER_hh_tesh!G33/SER_summary!G$26)</f>
        <v>49.506191207156341</v>
      </c>
      <c r="H33" s="68">
        <f>IF(SER_hh_tesh!H33=0,0,SER_hh_tesh!H33/SER_summary!H$26)</f>
        <v>48.409539946659237</v>
      </c>
      <c r="I33" s="68">
        <f>IF(SER_hh_tesh!I33=0,0,SER_hh_tesh!I33/SER_summary!I$26)</f>
        <v>48.841637603968529</v>
      </c>
      <c r="J33" s="68">
        <f>IF(SER_hh_tesh!J33=0,0,SER_hh_tesh!J33/SER_summary!J$26)</f>
        <v>46.351126154426652</v>
      </c>
      <c r="K33" s="68">
        <f>IF(SER_hh_tesh!K33=0,0,SER_hh_tesh!K33/SER_summary!K$26)</f>
        <v>43.737803856238983</v>
      </c>
      <c r="L33" s="68">
        <f>IF(SER_hh_tesh!L33=0,0,SER_hh_tesh!L33/SER_summary!L$26)</f>
        <v>48.861996676933281</v>
      </c>
      <c r="M33" s="68">
        <f>IF(SER_hh_tesh!M33=0,0,SER_hh_tesh!M33/SER_summary!M$26)</f>
        <v>47.342552121040207</v>
      </c>
      <c r="N33" s="68">
        <f>IF(SER_hh_tesh!N33=0,0,SER_hh_tesh!N33/SER_summary!N$26)</f>
        <v>46.751242981921216</v>
      </c>
      <c r="O33" s="68">
        <f>IF(SER_hh_tesh!O33=0,0,SER_hh_tesh!O33/SER_summary!O$26)</f>
        <v>46.794646613977285</v>
      </c>
      <c r="P33" s="68">
        <f>IF(SER_hh_tesh!P33=0,0,SER_hh_tesh!P33/SER_summary!P$26)</f>
        <v>47.43529374011775</v>
      </c>
      <c r="Q33" s="68">
        <f>IF(SER_hh_tesh!Q33=0,0,SER_hh_tesh!Q33/SER_summary!Q$26)</f>
        <v>46.137633059467042</v>
      </c>
      <c r="R33" s="68">
        <f>IF(SER_hh_tesh!R33=0,0,SER_hh_tesh!R33/SER_summary!R$26)</f>
        <v>48.989196356683784</v>
      </c>
      <c r="S33" s="68">
        <f>IF(SER_hh_tesh!S33=0,0,SER_hh_tesh!S33/SER_summary!S$26)</f>
        <v>47.36745172542075</v>
      </c>
      <c r="T33" s="68">
        <f>IF(SER_hh_tesh!T33=0,0,SER_hh_tesh!T33/SER_summary!T$26)</f>
        <v>45.066395289355675</v>
      </c>
      <c r="U33" s="68">
        <f>IF(SER_hh_tesh!U33=0,0,SER_hh_tesh!U33/SER_summary!U$26)</f>
        <v>44.995406497570329</v>
      </c>
      <c r="V33" s="68">
        <f>IF(SER_hh_tesh!V33=0,0,SER_hh_tesh!V33/SER_summary!V$26)</f>
        <v>47.421906069422612</v>
      </c>
      <c r="W33" s="68">
        <f>IF(SER_hh_tesh!W33=0,0,SER_hh_tesh!W33/SER_summary!W$26)</f>
        <v>48.646522985627975</v>
      </c>
      <c r="X33" s="68">
        <f>IF(SER_hh_tesh!X33=0,0,SER_hh_tesh!X33/SER_summary!X$26)</f>
        <v>46.350835473963514</v>
      </c>
      <c r="Y33" s="68">
        <f>IF(SER_hh_tesh!Y33=0,0,SER_hh_tesh!Y33/SER_summary!Y$26)</f>
        <v>46.560343043236067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24.164817267806047</v>
      </c>
      <c r="C3" s="125">
        <f>IF(SER_hh_emih!C3=0,0,SER_hh_emih!C3/SER_summary!C$26)</f>
        <v>23.064909164651894</v>
      </c>
      <c r="D3" s="125">
        <f>IF(SER_hh_emih!D3=0,0,SER_hh_emih!D3/SER_summary!D$26)</f>
        <v>25.72230070901001</v>
      </c>
      <c r="E3" s="125">
        <f>IF(SER_hh_emih!E3=0,0,SER_hh_emih!E3/SER_summary!E$26)</f>
        <v>29.741727881586055</v>
      </c>
      <c r="F3" s="125">
        <f>IF(SER_hh_emih!F3=0,0,SER_hh_emih!F3/SER_summary!F$26)</f>
        <v>30.970851248766397</v>
      </c>
      <c r="G3" s="125">
        <f>IF(SER_hh_emih!G3=0,0,SER_hh_emih!G3/SER_summary!G$26)</f>
        <v>25.600418577053141</v>
      </c>
      <c r="H3" s="125">
        <f>IF(SER_hh_emih!H3=0,0,SER_hh_emih!H3/SER_summary!H$26)</f>
        <v>23.292283084467872</v>
      </c>
      <c r="I3" s="125">
        <f>IF(SER_hh_emih!I3=0,0,SER_hh_emih!I3/SER_summary!I$26)</f>
        <v>26.309180090639877</v>
      </c>
      <c r="J3" s="125">
        <f>IF(SER_hh_emih!J3=0,0,SER_hh_emih!J3/SER_summary!J$26)</f>
        <v>24.723485914128791</v>
      </c>
      <c r="K3" s="125">
        <f>IF(SER_hh_emih!K3=0,0,SER_hh_emih!K3/SER_summary!K$26)</f>
        <v>19.699701019887385</v>
      </c>
      <c r="L3" s="125">
        <f>IF(SER_hh_emih!L3=0,0,SER_hh_emih!L3/SER_summary!L$26)</f>
        <v>26.555437873104449</v>
      </c>
      <c r="M3" s="125">
        <f>IF(SER_hh_emih!M3=0,0,SER_hh_emih!M3/SER_summary!M$26)</f>
        <v>17.848499104855254</v>
      </c>
      <c r="N3" s="125">
        <f>IF(SER_hh_emih!N3=0,0,SER_hh_emih!N3/SER_summary!N$26)</f>
        <v>24.93435453345192</v>
      </c>
      <c r="O3" s="125">
        <f>IF(SER_hh_emih!O3=0,0,SER_hh_emih!O3/SER_summary!O$26)</f>
        <v>28.820107869182891</v>
      </c>
      <c r="P3" s="125">
        <f>IF(SER_hh_emih!P3=0,0,SER_hh_emih!P3/SER_summary!P$26)</f>
        <v>30.044904447731053</v>
      </c>
      <c r="Q3" s="125">
        <f>IF(SER_hh_emih!Q3=0,0,SER_hh_emih!Q3/SER_summary!Q$26)</f>
        <v>35.132381279056503</v>
      </c>
      <c r="R3" s="125">
        <f>IF(SER_hh_emih!R3=0,0,SER_hh_emih!R3/SER_summary!R$26)</f>
        <v>31.213892474822124</v>
      </c>
      <c r="S3" s="125">
        <f>IF(SER_hh_emih!S3=0,0,SER_hh_emih!S3/SER_summary!S$26)</f>
        <v>27.737363317611795</v>
      </c>
      <c r="T3" s="125">
        <f>IF(SER_hh_emih!T3=0,0,SER_hh_emih!T3/SER_summary!T$26)</f>
        <v>19.298229360976435</v>
      </c>
      <c r="U3" s="125">
        <f>IF(SER_hh_emih!U3=0,0,SER_hh_emih!U3/SER_summary!U$26)</f>
        <v>18.63622449256486</v>
      </c>
      <c r="V3" s="125">
        <f>IF(SER_hh_emih!V3=0,0,SER_hh_emih!V3/SER_summary!V$26)</f>
        <v>14.193148325498159</v>
      </c>
      <c r="W3" s="125">
        <f>IF(SER_hh_emih!W3=0,0,SER_hh_emih!W3/SER_summary!W$26)</f>
        <v>14.980374244134227</v>
      </c>
      <c r="X3" s="125">
        <f>IF(SER_hh_emih!X3=0,0,SER_hh_emih!X3/SER_summary!X$26)</f>
        <v>17.967530980404444</v>
      </c>
      <c r="Y3" s="125">
        <f>IF(SER_hh_emih!Y3=0,0,SER_hh_emih!Y3/SER_summary!Y$26)</f>
        <v>15.553373204306412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22.033913763211078</v>
      </c>
      <c r="C4" s="130">
        <f>IF(SER_hh_emih!C4=0,0,SER_hh_emih!C4/SER_summary!C$26)</f>
        <v>21.048649443857453</v>
      </c>
      <c r="D4" s="130">
        <f>IF(SER_hh_emih!D4=0,0,SER_hh_emih!D4/SER_summary!D$26)</f>
        <v>23.501234034493439</v>
      </c>
      <c r="E4" s="130">
        <f>IF(SER_hh_emih!E4=0,0,SER_hh_emih!E4/SER_summary!E$26)</f>
        <v>27.718110238603369</v>
      </c>
      <c r="F4" s="130">
        <f>IF(SER_hh_emih!F4=0,0,SER_hh_emih!F4/SER_summary!F$26)</f>
        <v>29.074650179100157</v>
      </c>
      <c r="G4" s="130">
        <f>IF(SER_hh_emih!G4=0,0,SER_hh_emih!G4/SER_summary!G$26)</f>
        <v>23.620448831587229</v>
      </c>
      <c r="H4" s="130">
        <f>IF(SER_hh_emih!H4=0,0,SER_hh_emih!H4/SER_summary!H$26)</f>
        <v>19.18789661884005</v>
      </c>
      <c r="I4" s="130">
        <f>IF(SER_hh_emih!I4=0,0,SER_hh_emih!I4/SER_summary!I$26)</f>
        <v>21.36493533985367</v>
      </c>
      <c r="J4" s="130">
        <f>IF(SER_hh_emih!J4=0,0,SER_hh_emih!J4/SER_summary!J$26)</f>
        <v>19.084863846926158</v>
      </c>
      <c r="K4" s="130">
        <f>IF(SER_hh_emih!K4=0,0,SER_hh_emih!K4/SER_summary!K$26)</f>
        <v>12.46582644068492</v>
      </c>
      <c r="L4" s="130">
        <f>IF(SER_hh_emih!L4=0,0,SER_hh_emih!L4/SER_summary!L$26)</f>
        <v>21.598926580395378</v>
      </c>
      <c r="M4" s="130">
        <f>IF(SER_hh_emih!M4=0,0,SER_hh_emih!M4/SER_summary!M$26)</f>
        <v>12.440326324949226</v>
      </c>
      <c r="N4" s="130">
        <f>IF(SER_hh_emih!N4=0,0,SER_hh_emih!N4/SER_summary!N$26)</f>
        <v>20.165943879213653</v>
      </c>
      <c r="O4" s="130">
        <f>IF(SER_hh_emih!O4=0,0,SER_hh_emih!O4/SER_summary!O$26)</f>
        <v>24.461535843785036</v>
      </c>
      <c r="P4" s="130">
        <f>IF(SER_hh_emih!P4=0,0,SER_hh_emih!P4/SER_summary!P$26)</f>
        <v>25.895822977492909</v>
      </c>
      <c r="Q4" s="130">
        <f>IF(SER_hh_emih!Q4=0,0,SER_hh_emih!Q4/SER_summary!Q$26)</f>
        <v>30.515185106691519</v>
      </c>
      <c r="R4" s="130">
        <f>IF(SER_hh_emih!R4=0,0,SER_hh_emih!R4/SER_summary!R$26)</f>
        <v>27.37571306780448</v>
      </c>
      <c r="S4" s="130">
        <f>IF(SER_hh_emih!S4=0,0,SER_hh_emih!S4/SER_summary!S$26)</f>
        <v>23.141209905366399</v>
      </c>
      <c r="T4" s="130">
        <f>IF(SER_hh_emih!T4=0,0,SER_hh_emih!T4/SER_summary!T$26)</f>
        <v>13.468471385588568</v>
      </c>
      <c r="U4" s="130">
        <f>IF(SER_hh_emih!U4=0,0,SER_hh_emih!U4/SER_summary!U$26)</f>
        <v>12.660304516703087</v>
      </c>
      <c r="V4" s="130">
        <f>IF(SER_hh_emih!V4=0,0,SER_hh_emih!V4/SER_summary!V$26)</f>
        <v>10.274526470841716</v>
      </c>
      <c r="W4" s="130">
        <f>IF(SER_hh_emih!W4=0,0,SER_hh_emih!W4/SER_summary!W$26)</f>
        <v>10.778568649714341</v>
      </c>
      <c r="X4" s="130">
        <f>IF(SER_hh_emih!X4=0,0,SER_hh_emih!X4/SER_summary!X$26)</f>
        <v>12.653120238388899</v>
      </c>
      <c r="Y4" s="130">
        <f>IF(SER_hh_emih!Y4=0,0,SER_hh_emih!Y4/SER_summary!Y$26)</f>
        <v>9.6567164804443362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0</v>
      </c>
      <c r="C5" s="132">
        <f>IF(SER_hh_emih!C5=0,0,SER_hh_emih!C5/SER_summary!C$26)</f>
        <v>0</v>
      </c>
      <c r="D5" s="132">
        <f>IF(SER_hh_emih!D5=0,0,SER_hh_emih!D5/SER_summary!D$26)</f>
        <v>0</v>
      </c>
      <c r="E5" s="132">
        <f>IF(SER_hh_emih!E5=0,0,SER_hh_emih!E5/SER_summary!E$26)</f>
        <v>0</v>
      </c>
      <c r="F5" s="132">
        <f>IF(SER_hh_emih!F5=0,0,SER_hh_emih!F5/SER_summary!F$26)</f>
        <v>0</v>
      </c>
      <c r="G5" s="132">
        <f>IF(SER_hh_emih!G5=0,0,SER_hh_emih!G5/SER_summary!G$26)</f>
        <v>0</v>
      </c>
      <c r="H5" s="132">
        <f>IF(SER_hh_emih!H5=0,0,SER_hh_emih!H5/SER_summary!H$26)</f>
        <v>0</v>
      </c>
      <c r="I5" s="132">
        <f>IF(SER_hh_emih!I5=0,0,SER_hh_emih!I5/SER_summary!I$26)</f>
        <v>0</v>
      </c>
      <c r="J5" s="132">
        <f>IF(SER_hh_emih!J5=0,0,SER_hh_emih!J5/SER_summary!J$26)</f>
        <v>0</v>
      </c>
      <c r="K5" s="132">
        <f>IF(SER_hh_emih!K5=0,0,SER_hh_emih!K5/SER_summary!K$26)</f>
        <v>0</v>
      </c>
      <c r="L5" s="132">
        <f>IF(SER_hh_emih!L5=0,0,SER_hh_emih!L5/SER_summary!L$26)</f>
        <v>0</v>
      </c>
      <c r="M5" s="132">
        <f>IF(SER_hh_emih!M5=0,0,SER_hh_emih!M5/SER_summary!M$26)</f>
        <v>0</v>
      </c>
      <c r="N5" s="132">
        <f>IF(SER_hh_emih!N5=0,0,SER_hh_emih!N5/SER_summary!N$26)</f>
        <v>0</v>
      </c>
      <c r="O5" s="132">
        <f>IF(SER_hh_emih!O5=0,0,SER_hh_emih!O5/SER_summary!O$26)</f>
        <v>0</v>
      </c>
      <c r="P5" s="132">
        <f>IF(SER_hh_emih!P5=0,0,SER_hh_emih!P5/SER_summary!P$26)</f>
        <v>0</v>
      </c>
      <c r="Q5" s="132">
        <f>IF(SER_hh_emih!Q5=0,0,SER_hh_emih!Q5/SER_summary!Q$26)</f>
        <v>0</v>
      </c>
      <c r="R5" s="132">
        <f>IF(SER_hh_emih!R5=0,0,SER_hh_emih!R5/SER_summary!R$26)</f>
        <v>0</v>
      </c>
      <c r="S5" s="132">
        <f>IF(SER_hh_emih!S5=0,0,SER_hh_emih!S5/SER_summary!S$26)</f>
        <v>0</v>
      </c>
      <c r="T5" s="132">
        <f>IF(SER_hh_emih!T5=0,0,SER_hh_emih!T5/SER_summary!T$26)</f>
        <v>0</v>
      </c>
      <c r="U5" s="132">
        <f>IF(SER_hh_emih!U5=0,0,SER_hh_emih!U5/SER_summary!U$26)</f>
        <v>0</v>
      </c>
      <c r="V5" s="132">
        <f>IF(SER_hh_emih!V5=0,0,SER_hh_emih!V5/SER_summary!V$26)</f>
        <v>0</v>
      </c>
      <c r="W5" s="132">
        <f>IF(SER_hh_emih!W5=0,0,SER_hh_emih!W5/SER_summary!W$26)</f>
        <v>0</v>
      </c>
      <c r="X5" s="132">
        <f>IF(SER_hh_emih!X5=0,0,SER_hh_emih!X5/SER_summary!X$26)</f>
        <v>0</v>
      </c>
      <c r="Y5" s="132">
        <f>IF(SER_hh_emih!Y5=0,0,SER_hh_emih!Y5/SER_summary!Y$26)</f>
        <v>0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28.687623477332817</v>
      </c>
      <c r="C6" s="132">
        <f>IF(SER_hh_emih!C6=0,0,SER_hh_emih!C6/SER_summary!C$26)</f>
        <v>30.3792995324735</v>
      </c>
      <c r="D6" s="132">
        <f>IF(SER_hh_emih!D6=0,0,SER_hh_emih!D6/SER_summary!D$26)</f>
        <v>30.999768178602043</v>
      </c>
      <c r="E6" s="132">
        <f>IF(SER_hh_emih!E6=0,0,SER_hh_emih!E6/SER_summary!E$26)</f>
        <v>35.147403485589535</v>
      </c>
      <c r="F6" s="132">
        <f>IF(SER_hh_emih!F6=0,0,SER_hh_emih!F6/SER_summary!F$26)</f>
        <v>36.835038573298149</v>
      </c>
      <c r="G6" s="132">
        <f>IF(SER_hh_emih!G6=0,0,SER_hh_emih!G6/SER_summary!G$26)</f>
        <v>31.881724967286161</v>
      </c>
      <c r="H6" s="132">
        <f>IF(SER_hh_emih!H6=0,0,SER_hh_emih!H6/SER_summary!H$26)</f>
        <v>36.720013218894792</v>
      </c>
      <c r="I6" s="132">
        <f>IF(SER_hh_emih!I6=0,0,SER_hh_emih!I6/SER_summary!I$26)</f>
        <v>41.302233724649774</v>
      </c>
      <c r="J6" s="132">
        <f>IF(SER_hh_emih!J6=0,0,SER_hh_emih!J6/SER_summary!J$26)</f>
        <v>22.157804557916428</v>
      </c>
      <c r="K6" s="132">
        <f>IF(SER_hh_emih!K6=0,0,SER_hh_emih!K6/SER_summary!K$26)</f>
        <v>11.573254811706274</v>
      </c>
      <c r="L6" s="132">
        <f>IF(SER_hh_emih!L6=0,0,SER_hh_emih!L6/SER_summary!L$26)</f>
        <v>52.398248654232304</v>
      </c>
      <c r="M6" s="132">
        <f>IF(SER_hh_emih!M6=0,0,SER_hh_emih!M6/SER_summary!M$26)</f>
        <v>40.01258906805613</v>
      </c>
      <c r="N6" s="132">
        <f>IF(SER_hh_emih!N6=0,0,SER_hh_emih!N6/SER_summary!N$26)</f>
        <v>49.348430473153257</v>
      </c>
      <c r="O6" s="132">
        <f>IF(SER_hh_emih!O6=0,0,SER_hh_emih!O6/SER_summary!O$26)</f>
        <v>38.382253354847435</v>
      </c>
      <c r="P6" s="132">
        <f>IF(SER_hh_emih!P6=0,0,SER_hh_emih!P6/SER_summary!P$26)</f>
        <v>40.579674516537487</v>
      </c>
      <c r="Q6" s="132">
        <f>IF(SER_hh_emih!Q6=0,0,SER_hh_emih!Q6/SER_summary!Q$26)</f>
        <v>48.741976322709277</v>
      </c>
      <c r="R6" s="132">
        <f>IF(SER_hh_emih!R6=0,0,SER_hh_emih!R6/SER_summary!R$26)</f>
        <v>40.722954934621931</v>
      </c>
      <c r="S6" s="132">
        <f>IF(SER_hh_emih!S6=0,0,SER_hh_emih!S6/SER_summary!S$26)</f>
        <v>44.021664703898217</v>
      </c>
      <c r="T6" s="132">
        <f>IF(SER_hh_emih!T6=0,0,SER_hh_emih!T6/SER_summary!T$26)</f>
        <v>50.395120304618771</v>
      </c>
      <c r="U6" s="132">
        <f>IF(SER_hh_emih!U6=0,0,SER_hh_emih!U6/SER_summary!U$26)</f>
        <v>45.458576803928331</v>
      </c>
      <c r="V6" s="132">
        <f>IF(SER_hh_emih!V6=0,0,SER_hh_emih!V6/SER_summary!V$26)</f>
        <v>33.796783196580904</v>
      </c>
      <c r="W6" s="132">
        <f>IF(SER_hh_emih!W6=0,0,SER_hh_emih!W6/SER_summary!W$26)</f>
        <v>39.662037869291673</v>
      </c>
      <c r="X6" s="132">
        <f>IF(SER_hh_emih!X6=0,0,SER_hh_emih!X6/SER_summary!X$26)</f>
        <v>45.7978173349629</v>
      </c>
      <c r="Y6" s="132">
        <f>IF(SER_hh_emih!Y6=0,0,SER_hh_emih!Y6/SER_summary!Y$26)</f>
        <v>40.025153147814493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32.138466845907615</v>
      </c>
      <c r="C7" s="132">
        <f>IF(SER_hh_emih!C7=0,0,SER_hh_emih!C7/SER_summary!C$26)</f>
        <v>31.385942756635323</v>
      </c>
      <c r="D7" s="132">
        <f>IF(SER_hh_emih!D7=0,0,SER_hh_emih!D7/SER_summary!D$26)</f>
        <v>36.072878168585866</v>
      </c>
      <c r="E7" s="132">
        <f>IF(SER_hh_emih!E7=0,0,SER_hh_emih!E7/SER_summary!E$26)</f>
        <v>44.679740969331732</v>
      </c>
      <c r="F7" s="132">
        <f>IF(SER_hh_emih!F7=0,0,SER_hh_emih!F7/SER_summary!F$26)</f>
        <v>50.954074553375129</v>
      </c>
      <c r="G7" s="132">
        <f>IF(SER_hh_emih!G7=0,0,SER_hh_emih!G7/SER_summary!G$26)</f>
        <v>46.357694813879363</v>
      </c>
      <c r="H7" s="132">
        <f>IF(SER_hh_emih!H7=0,0,SER_hh_emih!H7/SER_summary!H$26)</f>
        <v>36.655874944565831</v>
      </c>
      <c r="I7" s="132">
        <f>IF(SER_hh_emih!I7=0,0,SER_hh_emih!I7/SER_summary!I$26)</f>
        <v>40.435171232254717</v>
      </c>
      <c r="J7" s="132">
        <f>IF(SER_hh_emih!J7=0,0,SER_hh_emih!J7/SER_summary!J$26)</f>
        <v>37.18614280251925</v>
      </c>
      <c r="K7" s="132">
        <f>IF(SER_hh_emih!K7=0,0,SER_hh_emih!K7/SER_summary!K$26)</f>
        <v>27.71841231612143</v>
      </c>
      <c r="L7" s="132">
        <f>IF(SER_hh_emih!L7=0,0,SER_hh_emih!L7/SER_summary!L$26)</f>
        <v>51.617765677284211</v>
      </c>
      <c r="M7" s="132">
        <f>IF(SER_hh_emih!M7=0,0,SER_hh_emih!M7/SER_summary!M$26)</f>
        <v>29.64336288897173</v>
      </c>
      <c r="N7" s="132">
        <f>IF(SER_hh_emih!N7=0,0,SER_hh_emih!N7/SER_summary!N$26)</f>
        <v>48.504780267627929</v>
      </c>
      <c r="O7" s="132">
        <f>IF(SER_hh_emih!O7=0,0,SER_hh_emih!O7/SER_summary!O$26)</f>
        <v>61.826137530290971</v>
      </c>
      <c r="P7" s="132">
        <f>IF(SER_hh_emih!P7=0,0,SER_hh_emih!P7/SER_summary!P$26)</f>
        <v>61.853713604100705</v>
      </c>
      <c r="Q7" s="132">
        <f>IF(SER_hh_emih!Q7=0,0,SER_hh_emih!Q7/SER_summary!Q$26)</f>
        <v>72.574452208864699</v>
      </c>
      <c r="R7" s="132">
        <f>IF(SER_hh_emih!R7=0,0,SER_hh_emih!R7/SER_summary!R$26)</f>
        <v>70.842595899020267</v>
      </c>
      <c r="S7" s="132">
        <f>IF(SER_hh_emih!S7=0,0,SER_hh_emih!S7/SER_summary!S$26)</f>
        <v>69.507341882189465</v>
      </c>
      <c r="T7" s="132">
        <f>IF(SER_hh_emih!T7=0,0,SER_hh_emih!T7/SER_summary!T$26)</f>
        <v>46.124216659021023</v>
      </c>
      <c r="U7" s="132">
        <f>IF(SER_hh_emih!U7=0,0,SER_hh_emih!U7/SER_summary!U$26)</f>
        <v>50.446533274328033</v>
      </c>
      <c r="V7" s="132">
        <f>IF(SER_hh_emih!V7=0,0,SER_hh_emih!V7/SER_summary!V$26)</f>
        <v>44.599961302115261</v>
      </c>
      <c r="W7" s="132">
        <f>IF(SER_hh_emih!W7=0,0,SER_hh_emih!W7/SER_summary!W$26)</f>
        <v>47.927803845126867</v>
      </c>
      <c r="X7" s="132">
        <f>IF(SER_hh_emih!X7=0,0,SER_hh_emih!X7/SER_summary!X$26)</f>
        <v>60.223912763170965</v>
      </c>
      <c r="Y7" s="132">
        <f>IF(SER_hh_emih!Y7=0,0,SER_hh_emih!Y7/SER_summary!Y$26)</f>
        <v>51.397978896520598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0</v>
      </c>
      <c r="S8" s="132">
        <f>IF(SER_hh_emih!S8=0,0,SER_hh_emih!S8/SER_summary!S$26)</f>
        <v>0</v>
      </c>
      <c r="T8" s="132">
        <f>IF(SER_hh_emih!T8=0,0,SER_hh_emih!T8/SER_summary!T$26)</f>
        <v>0</v>
      </c>
      <c r="U8" s="132">
        <f>IF(SER_hh_emih!U8=0,0,SER_hh_emih!U8/SER_summary!U$26)</f>
        <v>0</v>
      </c>
      <c r="V8" s="132">
        <f>IF(SER_hh_emih!V8=0,0,SER_hh_emih!V8/SER_summary!V$26)</f>
        <v>0</v>
      </c>
      <c r="W8" s="132">
        <f>IF(SER_hh_emih!W8=0,0,SER_hh_emih!W8/SER_summary!W$26)</f>
        <v>0</v>
      </c>
      <c r="X8" s="132">
        <f>IF(SER_hh_emih!X8=0,0,SER_hh_emih!X8/SER_summary!X$26)</f>
        <v>0</v>
      </c>
      <c r="Y8" s="132">
        <f>IF(SER_hh_emih!Y8=0,0,SER_hh_emih!Y8/SER_summary!Y$26)</f>
        <v>0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0</v>
      </c>
      <c r="C9" s="132">
        <f>IF(SER_hh_emih!C9=0,0,SER_hh_emih!C9/SER_summary!C$26)</f>
        <v>0</v>
      </c>
      <c r="D9" s="132">
        <f>IF(SER_hh_emih!D9=0,0,SER_hh_emih!D9/SER_summary!D$26)</f>
        <v>0</v>
      </c>
      <c r="E9" s="132">
        <f>IF(SER_hh_emih!E9=0,0,SER_hh_emih!E9/SER_summary!E$26)</f>
        <v>0</v>
      </c>
      <c r="F9" s="132">
        <f>IF(SER_hh_emih!F9=0,0,SER_hh_emih!F9/SER_summary!F$26)</f>
        <v>0</v>
      </c>
      <c r="G9" s="132">
        <f>IF(SER_hh_emih!G9=0,0,SER_hh_emih!G9/SER_summary!G$26)</f>
        <v>0</v>
      </c>
      <c r="H9" s="132">
        <f>IF(SER_hh_emih!H9=0,0,SER_hh_emih!H9/SER_summary!H$26)</f>
        <v>0</v>
      </c>
      <c r="I9" s="132">
        <f>IF(SER_hh_emih!I9=0,0,SER_hh_emih!I9/SER_summary!I$26)</f>
        <v>0</v>
      </c>
      <c r="J9" s="132">
        <f>IF(SER_hh_emih!J9=0,0,SER_hh_emih!J9/SER_summary!J$26)</f>
        <v>0</v>
      </c>
      <c r="K9" s="132">
        <f>IF(SER_hh_emih!K9=0,0,SER_hh_emih!K9/SER_summary!K$26)</f>
        <v>0</v>
      </c>
      <c r="L9" s="132">
        <f>IF(SER_hh_emih!L9=0,0,SER_hh_emih!L9/SER_summary!L$26)</f>
        <v>0</v>
      </c>
      <c r="M9" s="132">
        <f>IF(SER_hh_emih!M9=0,0,SER_hh_emih!M9/SER_summary!M$26)</f>
        <v>0</v>
      </c>
      <c r="N9" s="132">
        <f>IF(SER_hh_emih!N9=0,0,SER_hh_emih!N9/SER_summary!N$26)</f>
        <v>0</v>
      </c>
      <c r="O9" s="132">
        <f>IF(SER_hh_emih!O9=0,0,SER_hh_emih!O9/SER_summary!O$26)</f>
        <v>0</v>
      </c>
      <c r="P9" s="132">
        <f>IF(SER_hh_emih!P9=0,0,SER_hh_emih!P9/SER_summary!P$26)</f>
        <v>0</v>
      </c>
      <c r="Q9" s="132">
        <f>IF(SER_hh_emih!Q9=0,0,SER_hh_emih!Q9/SER_summary!Q$26)</f>
        <v>0</v>
      </c>
      <c r="R9" s="132">
        <f>IF(SER_hh_emih!R9=0,0,SER_hh_emih!R9/SER_summary!R$26)</f>
        <v>0</v>
      </c>
      <c r="S9" s="132">
        <f>IF(SER_hh_emih!S9=0,0,SER_hh_emih!S9/SER_summary!S$26)</f>
        <v>0</v>
      </c>
      <c r="T9" s="132">
        <f>IF(SER_hh_emih!T9=0,0,SER_hh_emih!T9/SER_summary!T$26)</f>
        <v>0</v>
      </c>
      <c r="U9" s="132">
        <f>IF(SER_hh_emih!U9=0,0,SER_hh_emih!U9/SER_summary!U$26)</f>
        <v>0</v>
      </c>
      <c r="V9" s="132">
        <f>IF(SER_hh_emih!V9=0,0,SER_hh_emih!V9/SER_summary!V$26)</f>
        <v>0</v>
      </c>
      <c r="W9" s="132">
        <f>IF(SER_hh_emih!W9=0,0,SER_hh_emih!W9/SER_summary!W$26)</f>
        <v>0</v>
      </c>
      <c r="X9" s="132">
        <f>IF(SER_hh_emih!X9=0,0,SER_hh_emih!X9/SER_summary!X$26)</f>
        <v>0</v>
      </c>
      <c r="Y9" s="132">
        <f>IF(SER_hh_emih!Y9=0,0,SER_hh_emih!Y9/SER_summary!Y$26)</f>
        <v>0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0</v>
      </c>
      <c r="C16" s="130">
        <f>IF(SER_hh_emih!C16=0,0,SER_hh_emih!C16/SER_summary!C$26)</f>
        <v>0</v>
      </c>
      <c r="D16" s="130">
        <f>IF(SER_hh_emih!D16=0,0,SER_hh_emih!D16/SER_summary!D$26)</f>
        <v>0</v>
      </c>
      <c r="E16" s="130">
        <f>IF(SER_hh_emih!E16=0,0,SER_hh_emih!E16/SER_summary!E$26)</f>
        <v>0</v>
      </c>
      <c r="F16" s="130">
        <f>IF(SER_hh_emih!F16=0,0,SER_hh_emih!F16/SER_summary!F$26)</f>
        <v>0</v>
      </c>
      <c r="G16" s="130">
        <f>IF(SER_hh_emih!G16=0,0,SER_hh_emih!G16/SER_summary!G$26)</f>
        <v>0</v>
      </c>
      <c r="H16" s="130">
        <f>IF(SER_hh_emih!H16=0,0,SER_hh_emih!H16/SER_summary!H$26)</f>
        <v>0</v>
      </c>
      <c r="I16" s="130">
        <f>IF(SER_hh_emih!I16=0,0,SER_hh_emih!I16/SER_summary!I$26)</f>
        <v>0</v>
      </c>
      <c r="J16" s="130">
        <f>IF(SER_hh_emih!J16=0,0,SER_hh_emih!J16/SER_summary!J$26)</f>
        <v>0</v>
      </c>
      <c r="K16" s="130">
        <f>IF(SER_hh_emih!K16=0,0,SER_hh_emih!K16/SER_summary!K$26)</f>
        <v>0</v>
      </c>
      <c r="L16" s="130">
        <f>IF(SER_hh_emih!L16=0,0,SER_hh_emih!L16/SER_summary!L$26)</f>
        <v>0</v>
      </c>
      <c r="M16" s="130">
        <f>IF(SER_hh_emih!M16=0,0,SER_hh_emih!M16/SER_summary!M$26)</f>
        <v>0</v>
      </c>
      <c r="N16" s="130">
        <f>IF(SER_hh_emih!N16=0,0,SER_hh_emih!N16/SER_summary!N$26)</f>
        <v>0</v>
      </c>
      <c r="O16" s="130">
        <f>IF(SER_hh_emih!O16=0,0,SER_hh_emih!O16/SER_summary!O$26)</f>
        <v>0</v>
      </c>
      <c r="P16" s="130">
        <f>IF(SER_hh_emih!P16=0,0,SER_hh_emih!P16/SER_summary!P$26)</f>
        <v>0</v>
      </c>
      <c r="Q16" s="130">
        <f>IF(SER_hh_emih!Q16=0,0,SER_hh_emih!Q16/SER_summary!Q$26)</f>
        <v>0</v>
      </c>
      <c r="R16" s="130">
        <f>IF(SER_hh_emih!R16=0,0,SER_hh_emih!R16/SER_summary!R$26)</f>
        <v>0</v>
      </c>
      <c r="S16" s="130">
        <f>IF(SER_hh_emih!S16=0,0,SER_hh_emih!S16/SER_summary!S$26)</f>
        <v>0</v>
      </c>
      <c r="T16" s="130">
        <f>IF(SER_hh_emih!T16=0,0,SER_hh_emih!T16/SER_summary!T$26)</f>
        <v>0</v>
      </c>
      <c r="U16" s="130">
        <f>IF(SER_hh_emih!U16=0,0,SER_hh_emih!U16/SER_summary!U$26)</f>
        <v>0</v>
      </c>
      <c r="V16" s="130">
        <f>IF(SER_hh_emih!V16=0,0,SER_hh_emih!V16/SER_summary!V$26)</f>
        <v>0</v>
      </c>
      <c r="W16" s="130">
        <f>IF(SER_hh_emih!W16=0,0,SER_hh_emih!W16/SER_summary!W$26)</f>
        <v>0</v>
      </c>
      <c r="X16" s="130">
        <f>IF(SER_hh_emih!X16=0,0,SER_hh_emih!X16/SER_summary!X$26)</f>
        <v>0</v>
      </c>
      <c r="Y16" s="130">
        <f>IF(SER_hh_emih!Y16=0,0,SER_hh_emih!Y16/SER_summary!Y$26)</f>
        <v>0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0</v>
      </c>
      <c r="C17" s="132">
        <f>IF(SER_hh_emih!C17=0,0,SER_hh_emih!C17/SER_summary!C$26)</f>
        <v>0</v>
      </c>
      <c r="D17" s="132">
        <f>IF(SER_hh_emih!D17=0,0,SER_hh_emih!D17/SER_summary!D$26)</f>
        <v>0</v>
      </c>
      <c r="E17" s="132">
        <f>IF(SER_hh_emih!E17=0,0,SER_hh_emih!E17/SER_summary!E$26)</f>
        <v>0</v>
      </c>
      <c r="F17" s="132">
        <f>IF(SER_hh_emih!F17=0,0,SER_hh_emih!F17/SER_summary!F$26)</f>
        <v>0</v>
      </c>
      <c r="G17" s="132">
        <f>IF(SER_hh_emih!G17=0,0,SER_hh_emih!G17/SER_summary!G$26)</f>
        <v>0</v>
      </c>
      <c r="H17" s="132">
        <f>IF(SER_hh_emih!H17=0,0,SER_hh_emih!H17/SER_summary!H$26)</f>
        <v>0</v>
      </c>
      <c r="I17" s="132">
        <f>IF(SER_hh_emih!I17=0,0,SER_hh_emih!I17/SER_summary!I$26)</f>
        <v>0</v>
      </c>
      <c r="J17" s="132">
        <f>IF(SER_hh_emih!J17=0,0,SER_hh_emih!J17/SER_summary!J$26)</f>
        <v>0</v>
      </c>
      <c r="K17" s="132">
        <f>IF(SER_hh_emih!K17=0,0,SER_hh_emih!K17/SER_summary!K$26)</f>
        <v>0</v>
      </c>
      <c r="L17" s="132">
        <f>IF(SER_hh_emih!L17=0,0,SER_hh_emih!L17/SER_summary!L$26)</f>
        <v>0</v>
      </c>
      <c r="M17" s="132">
        <f>IF(SER_hh_emih!M17=0,0,SER_hh_emih!M17/SER_summary!M$26)</f>
        <v>0</v>
      </c>
      <c r="N17" s="132">
        <f>IF(SER_hh_emih!N17=0,0,SER_hh_emih!N17/SER_summary!N$26)</f>
        <v>0</v>
      </c>
      <c r="O17" s="132">
        <f>IF(SER_hh_emih!O17=0,0,SER_hh_emih!O17/SER_summary!O$26)</f>
        <v>0</v>
      </c>
      <c r="P17" s="132">
        <f>IF(SER_hh_emih!P17=0,0,SER_hh_emih!P17/SER_summary!P$26)</f>
        <v>0</v>
      </c>
      <c r="Q17" s="132">
        <f>IF(SER_hh_emih!Q17=0,0,SER_hh_emih!Q17/SER_summary!Q$26)</f>
        <v>0</v>
      </c>
      <c r="R17" s="132">
        <f>IF(SER_hh_emih!R17=0,0,SER_hh_emih!R17/SER_summary!R$26)</f>
        <v>0</v>
      </c>
      <c r="S17" s="132">
        <f>IF(SER_hh_emih!S17=0,0,SER_hh_emih!S17/SER_summary!S$26)</f>
        <v>0</v>
      </c>
      <c r="T17" s="132">
        <f>IF(SER_hh_emih!T17=0,0,SER_hh_emih!T17/SER_summary!T$26)</f>
        <v>0</v>
      </c>
      <c r="U17" s="132">
        <f>IF(SER_hh_emih!U17=0,0,SER_hh_emih!U17/SER_summary!U$26)</f>
        <v>0</v>
      </c>
      <c r="V17" s="132">
        <f>IF(SER_hh_emih!V17=0,0,SER_hh_emih!V17/SER_summary!V$26)</f>
        <v>0</v>
      </c>
      <c r="W17" s="132">
        <f>IF(SER_hh_emih!W17=0,0,SER_hh_emih!W17/SER_summary!W$26)</f>
        <v>0</v>
      </c>
      <c r="X17" s="132">
        <f>IF(SER_hh_emih!X17=0,0,SER_hh_emih!X17/SER_summary!X$26)</f>
        <v>0</v>
      </c>
      <c r="Y17" s="132">
        <f>IF(SER_hh_emih!Y17=0,0,SER_hh_emih!Y17/SER_summary!Y$26)</f>
        <v>0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1.0451257534164669</v>
      </c>
      <c r="C19" s="130">
        <f>IF(SER_hh_emih!C19=0,0,SER_hh_emih!C19/SER_summary!C$26)</f>
        <v>1.0063200642137655</v>
      </c>
      <c r="D19" s="130">
        <f>IF(SER_hh_emih!D19=0,0,SER_hh_emih!D19/SER_summary!D$26)</f>
        <v>0.98045295311006597</v>
      </c>
      <c r="E19" s="130">
        <f>IF(SER_hh_emih!E19=0,0,SER_hh_emih!E19/SER_summary!E$26)</f>
        <v>0.83732575993334535</v>
      </c>
      <c r="F19" s="130">
        <f>IF(SER_hh_emih!F19=0,0,SER_hh_emih!F19/SER_summary!F$26)</f>
        <v>0.77653136904532261</v>
      </c>
      <c r="G19" s="130">
        <f>IF(SER_hh_emih!G19=0,0,SER_hh_emih!G19/SER_summary!G$26)</f>
        <v>0.82126281928094058</v>
      </c>
      <c r="H19" s="130">
        <f>IF(SER_hh_emih!H19=0,0,SER_hh_emih!H19/SER_summary!H$26)</f>
        <v>2.0237287929765637</v>
      </c>
      <c r="I19" s="130">
        <f>IF(SER_hh_emih!I19=0,0,SER_hh_emih!I19/SER_summary!I$26)</f>
        <v>2.4560381974177972</v>
      </c>
      <c r="J19" s="130">
        <f>IF(SER_hh_emih!J19=0,0,SER_hh_emih!J19/SER_summary!J$26)</f>
        <v>2.1745619414951189</v>
      </c>
      <c r="K19" s="130">
        <f>IF(SER_hh_emih!K19=0,0,SER_hh_emih!K19/SER_summary!K$26)</f>
        <v>2.0018800654151061</v>
      </c>
      <c r="L19" s="130">
        <f>IF(SER_hh_emih!L19=0,0,SER_hh_emih!L19/SER_summary!L$26)</f>
        <v>0.96379270321958721</v>
      </c>
      <c r="M19" s="130">
        <f>IF(SER_hh_emih!M19=0,0,SER_hh_emih!M19/SER_summary!M$26)</f>
        <v>0.87377383786935259</v>
      </c>
      <c r="N19" s="130">
        <f>IF(SER_hh_emih!N19=0,0,SER_hh_emih!N19/SER_summary!N$26)</f>
        <v>0.61041213051025056</v>
      </c>
      <c r="O19" s="130">
        <f>IF(SER_hh_emih!O19=0,0,SER_hh_emih!O19/SER_summary!O$26)</f>
        <v>0.33224247172229315</v>
      </c>
      <c r="P19" s="130">
        <f>IF(SER_hh_emih!P19=0,0,SER_hh_emih!P19/SER_summary!P$26)</f>
        <v>0.25480858798606676</v>
      </c>
      <c r="Q19" s="130">
        <f>IF(SER_hh_emih!Q19=0,0,SER_hh_emih!Q19/SER_summary!Q$26)</f>
        <v>0.21284119503580917</v>
      </c>
      <c r="R19" s="130">
        <f>IF(SER_hh_emih!R19=0,0,SER_hh_emih!R19/SER_summary!R$26)</f>
        <v>0.17465721730590275</v>
      </c>
      <c r="S19" s="130">
        <f>IF(SER_hh_emih!S19=0,0,SER_hh_emih!S19/SER_summary!S$26)</f>
        <v>0.20625926955284488</v>
      </c>
      <c r="T19" s="130">
        <f>IF(SER_hh_emih!T19=0,0,SER_hh_emih!T19/SER_summary!T$26)</f>
        <v>0.26750045220838919</v>
      </c>
      <c r="U19" s="130">
        <f>IF(SER_hh_emih!U19=0,0,SER_hh_emih!U19/SER_summary!U$26)</f>
        <v>0.261804738534894</v>
      </c>
      <c r="V19" s="130">
        <f>IF(SER_hh_emih!V19=0,0,SER_hh_emih!V19/SER_summary!V$26)</f>
        <v>0.19542791161144546</v>
      </c>
      <c r="W19" s="130">
        <f>IF(SER_hh_emih!W19=0,0,SER_hh_emih!W19/SER_summary!W$26)</f>
        <v>0.20794451690081375</v>
      </c>
      <c r="X19" s="130">
        <f>IF(SER_hh_emih!X19=0,0,SER_hh_emih!X19/SER_summary!X$26)</f>
        <v>0.25157200630002519</v>
      </c>
      <c r="Y19" s="130">
        <f>IF(SER_hh_emih!Y19=0,0,SER_hh_emih!Y19/SER_summary!Y$26)</f>
        <v>0.17172095158956863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15.946088689304199</v>
      </c>
      <c r="C21" s="132">
        <f>IF(SER_hh_emih!C21=0,0,SER_hh_emih!C21/SER_summary!C$26)</f>
        <v>15.822517211640683</v>
      </c>
      <c r="D21" s="132">
        <f>IF(SER_hh_emih!D21=0,0,SER_hh_emih!D21/SER_summary!D$26)</f>
        <v>16.09306680624498</v>
      </c>
      <c r="E21" s="132">
        <f>IF(SER_hh_emih!E21=0,0,SER_hh_emih!E21/SER_summary!E$26)</f>
        <v>13.815418162192815</v>
      </c>
      <c r="F21" s="132">
        <f>IF(SER_hh_emih!F21=0,0,SER_hh_emih!F21/SER_summary!F$26)</f>
        <v>12.031328498684662</v>
      </c>
      <c r="G21" s="132">
        <f>IF(SER_hh_emih!G21=0,0,SER_hh_emih!G21/SER_summary!G$26)</f>
        <v>10.13663175301398</v>
      </c>
      <c r="H21" s="132">
        <f>IF(SER_hh_emih!H21=0,0,SER_hh_emih!H21/SER_summary!H$26)</f>
        <v>22.805386163075916</v>
      </c>
      <c r="I21" s="132">
        <f>IF(SER_hh_emih!I21=0,0,SER_hh_emih!I21/SER_summary!I$26)</f>
        <v>27.799171008269205</v>
      </c>
      <c r="J21" s="132">
        <f>IF(SER_hh_emih!J21=0,0,SER_hh_emih!J21/SER_summary!J$26)</f>
        <v>25.327645441409665</v>
      </c>
      <c r="K21" s="132">
        <f>IF(SER_hh_emih!K21=0,0,SER_hh_emih!K21/SER_summary!K$26)</f>
        <v>23.475264826944311</v>
      </c>
      <c r="L21" s="132">
        <f>IF(SER_hh_emih!L21=0,0,SER_hh_emih!L21/SER_summary!L$26)</f>
        <v>12.436845975008646</v>
      </c>
      <c r="M21" s="132">
        <f>IF(SER_hh_emih!M21=0,0,SER_hh_emih!M21/SER_summary!M$26)</f>
        <v>14.491624954834675</v>
      </c>
      <c r="N21" s="132">
        <f>IF(SER_hh_emih!N21=0,0,SER_hh_emih!N21/SER_summary!N$26)</f>
        <v>15.152785293448639</v>
      </c>
      <c r="O21" s="132">
        <f>IF(SER_hh_emih!O21=0,0,SER_hh_emih!O21/SER_summary!O$26)</f>
        <v>12.022243306393914</v>
      </c>
      <c r="P21" s="132">
        <f>IF(SER_hh_emih!P21=0,0,SER_hh_emih!P21/SER_summary!P$26)</f>
        <v>13.122559294732532</v>
      </c>
      <c r="Q21" s="132">
        <f>IF(SER_hh_emih!Q21=0,0,SER_hh_emih!Q21/SER_summary!Q$26)</f>
        <v>13.953314314099234</v>
      </c>
      <c r="R21" s="132">
        <f>IF(SER_hh_emih!R21=0,0,SER_hh_emih!R21/SER_summary!R$26)</f>
        <v>12.182945058010183</v>
      </c>
      <c r="S21" s="132">
        <f>IF(SER_hh_emih!S21=0,0,SER_hh_emih!S21/SER_summary!S$26)</f>
        <v>13.078778604366942</v>
      </c>
      <c r="T21" s="132">
        <f>IF(SER_hh_emih!T21=0,0,SER_hh_emih!T21/SER_summary!T$26)</f>
        <v>15.06176137676225</v>
      </c>
      <c r="U21" s="132">
        <f>IF(SER_hh_emih!U21=0,0,SER_hh_emih!U21/SER_summary!U$26)</f>
        <v>14.157088543145955</v>
      </c>
      <c r="V21" s="132">
        <f>IF(SER_hh_emih!V21=0,0,SER_hh_emih!V21/SER_summary!V$26)</f>
        <v>10.659196084157463</v>
      </c>
      <c r="W21" s="132">
        <f>IF(SER_hh_emih!W21=0,0,SER_hh_emih!W21/SER_summary!W$26)</f>
        <v>11.248087471700622</v>
      </c>
      <c r="X21" s="132">
        <f>IF(SER_hh_emih!X21=0,0,SER_hh_emih!X21/SER_summary!X$26)</f>
        <v>14.667384130761443</v>
      </c>
      <c r="Y21" s="132">
        <f>IF(SER_hh_emih!Y21=0,0,SER_hh_emih!Y21/SER_summary!Y$26)</f>
        <v>9.8179438048458767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0</v>
      </c>
      <c r="C22" s="132">
        <f>IF(SER_hh_emih!C22=0,0,SER_hh_emih!C22/SER_summary!C$26)</f>
        <v>0</v>
      </c>
      <c r="D22" s="132">
        <f>IF(SER_hh_emih!D22=0,0,SER_hh_emih!D22/SER_summary!D$26)</f>
        <v>0</v>
      </c>
      <c r="E22" s="132">
        <f>IF(SER_hh_emih!E22=0,0,SER_hh_emih!E22/SER_summary!E$26)</f>
        <v>0</v>
      </c>
      <c r="F22" s="132">
        <f>IF(SER_hh_emih!F22=0,0,SER_hh_emih!F22/SER_summary!F$26)</f>
        <v>0</v>
      </c>
      <c r="G22" s="132">
        <f>IF(SER_hh_emih!G22=0,0,SER_hh_emih!G22/SER_summary!G$26)</f>
        <v>0</v>
      </c>
      <c r="H22" s="132">
        <f>IF(SER_hh_emih!H22=0,0,SER_hh_emih!H22/SER_summary!H$26)</f>
        <v>0</v>
      </c>
      <c r="I22" s="132">
        <f>IF(SER_hh_emih!I22=0,0,SER_hh_emih!I22/SER_summary!I$26)</f>
        <v>0</v>
      </c>
      <c r="J22" s="132">
        <f>IF(SER_hh_emih!J22=0,0,SER_hh_emih!J22/SER_summary!J$26)</f>
        <v>0</v>
      </c>
      <c r="K22" s="132">
        <f>IF(SER_hh_emih!K22=0,0,SER_hh_emih!K22/SER_summary!K$26)</f>
        <v>0</v>
      </c>
      <c r="L22" s="132">
        <f>IF(SER_hh_emih!L22=0,0,SER_hh_emih!L22/SER_summary!L$26)</f>
        <v>0</v>
      </c>
      <c r="M22" s="132">
        <f>IF(SER_hh_emih!M22=0,0,SER_hh_emih!M22/SER_summary!M$26)</f>
        <v>0</v>
      </c>
      <c r="N22" s="132">
        <f>IF(SER_hh_emih!N22=0,0,SER_hh_emih!N22/SER_summary!N$26)</f>
        <v>0</v>
      </c>
      <c r="O22" s="132">
        <f>IF(SER_hh_emih!O22=0,0,SER_hh_emih!O22/SER_summary!O$26)</f>
        <v>0</v>
      </c>
      <c r="P22" s="132">
        <f>IF(SER_hh_emih!P22=0,0,SER_hh_emih!P22/SER_summary!P$26)</f>
        <v>0</v>
      </c>
      <c r="Q22" s="132">
        <f>IF(SER_hh_emih!Q22=0,0,SER_hh_emih!Q22/SER_summary!Q$26)</f>
        <v>0</v>
      </c>
      <c r="R22" s="132">
        <f>IF(SER_hh_emih!R22=0,0,SER_hh_emih!R22/SER_summary!R$26)</f>
        <v>0</v>
      </c>
      <c r="S22" s="132">
        <f>IF(SER_hh_emih!S22=0,0,SER_hh_emih!S22/SER_summary!S$26)</f>
        <v>0</v>
      </c>
      <c r="T22" s="132">
        <f>IF(SER_hh_emih!T22=0,0,SER_hh_emih!T22/SER_summary!T$26)</f>
        <v>0</v>
      </c>
      <c r="U22" s="132">
        <f>IF(SER_hh_emih!U22=0,0,SER_hh_emih!U22/SER_summary!U$26)</f>
        <v>0</v>
      </c>
      <c r="V22" s="132">
        <f>IF(SER_hh_emih!V22=0,0,SER_hh_emih!V22/SER_summary!V$26)</f>
        <v>0</v>
      </c>
      <c r="W22" s="132">
        <f>IF(SER_hh_emih!W22=0,0,SER_hh_emih!W22/SER_summary!W$26)</f>
        <v>0</v>
      </c>
      <c r="X22" s="132">
        <f>IF(SER_hh_emih!X22=0,0,SER_hh_emih!X22/SER_summary!X$26)</f>
        <v>0</v>
      </c>
      <c r="Y22" s="132">
        <f>IF(SER_hh_emih!Y22=0,0,SER_hh_emih!Y22/SER_summary!Y$26)</f>
        <v>0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0</v>
      </c>
      <c r="C23" s="132">
        <f>IF(SER_hh_emih!C23=0,0,SER_hh_emih!C23/SER_summary!C$26)</f>
        <v>0</v>
      </c>
      <c r="D23" s="132">
        <f>IF(SER_hh_emih!D23=0,0,SER_hh_emih!D23/SER_summary!D$26)</f>
        <v>0</v>
      </c>
      <c r="E23" s="132">
        <f>IF(SER_hh_emih!E23=0,0,SER_hh_emih!E23/SER_summary!E$26)</f>
        <v>0</v>
      </c>
      <c r="F23" s="132">
        <f>IF(SER_hh_emih!F23=0,0,SER_hh_emih!F23/SER_summary!F$26)</f>
        <v>0</v>
      </c>
      <c r="G23" s="132">
        <f>IF(SER_hh_emih!G23=0,0,SER_hh_emih!G23/SER_summary!G$26)</f>
        <v>0</v>
      </c>
      <c r="H23" s="132">
        <f>IF(SER_hh_emih!H23=0,0,SER_hh_emih!H23/SER_summary!H$26)</f>
        <v>0</v>
      </c>
      <c r="I23" s="132">
        <f>IF(SER_hh_emih!I23=0,0,SER_hh_emih!I23/SER_summary!I$26)</f>
        <v>0</v>
      </c>
      <c r="J23" s="132">
        <f>IF(SER_hh_emih!J23=0,0,SER_hh_emih!J23/SER_summary!J$26)</f>
        <v>0</v>
      </c>
      <c r="K23" s="132">
        <f>IF(SER_hh_emih!K23=0,0,SER_hh_emih!K23/SER_summary!K$26)</f>
        <v>0</v>
      </c>
      <c r="L23" s="132">
        <f>IF(SER_hh_emih!L23=0,0,SER_hh_emih!L23/SER_summary!L$26)</f>
        <v>0</v>
      </c>
      <c r="M23" s="132">
        <f>IF(SER_hh_emih!M23=0,0,SER_hh_emih!M23/SER_summary!M$26)</f>
        <v>0</v>
      </c>
      <c r="N23" s="132">
        <f>IF(SER_hh_emih!N23=0,0,SER_hh_emih!N23/SER_summary!N$26)</f>
        <v>0</v>
      </c>
      <c r="O23" s="132">
        <f>IF(SER_hh_emih!O23=0,0,SER_hh_emih!O23/SER_summary!O$26)</f>
        <v>0</v>
      </c>
      <c r="P23" s="132">
        <f>IF(SER_hh_emih!P23=0,0,SER_hh_emih!P23/SER_summary!P$26)</f>
        <v>0</v>
      </c>
      <c r="Q23" s="132">
        <f>IF(SER_hh_emih!Q23=0,0,SER_hh_emih!Q23/SER_summary!Q$26)</f>
        <v>0</v>
      </c>
      <c r="R23" s="132">
        <f>IF(SER_hh_emih!R23=0,0,SER_hh_emih!R23/SER_summary!R$26)</f>
        <v>0</v>
      </c>
      <c r="S23" s="132">
        <f>IF(SER_hh_emih!S23=0,0,SER_hh_emih!S23/SER_summary!S$26)</f>
        <v>0</v>
      </c>
      <c r="T23" s="132">
        <f>IF(SER_hh_emih!T23=0,0,SER_hh_emih!T23/SER_summary!T$26)</f>
        <v>0</v>
      </c>
      <c r="U23" s="132">
        <f>IF(SER_hh_emih!U23=0,0,SER_hh_emih!U23/SER_summary!U$26)</f>
        <v>0</v>
      </c>
      <c r="V23" s="132">
        <f>IF(SER_hh_emih!V23=0,0,SER_hh_emih!V23/SER_summary!V$26)</f>
        <v>0</v>
      </c>
      <c r="W23" s="132">
        <f>IF(SER_hh_emih!W23=0,0,SER_hh_emih!W23/SER_summary!W$26)</f>
        <v>0</v>
      </c>
      <c r="X23" s="132">
        <f>IF(SER_hh_emih!X23=0,0,SER_hh_emih!X23/SER_summary!X$26)</f>
        <v>0</v>
      </c>
      <c r="Y23" s="132">
        <f>IF(SER_hh_emih!Y23=0,0,SER_hh_emih!Y23/SER_summary!Y$26)</f>
        <v>0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1.0857777511785032</v>
      </c>
      <c r="C29" s="130">
        <f>IF(SER_hh_emih!C29=0,0,SER_hh_emih!C29/SER_summary!C$26)</f>
        <v>1.0099396565806769</v>
      </c>
      <c r="D29" s="130">
        <f>IF(SER_hh_emih!D29=0,0,SER_hh_emih!D29/SER_summary!D$26)</f>
        <v>1.2406137214065083</v>
      </c>
      <c r="E29" s="130">
        <f>IF(SER_hh_emih!E29=0,0,SER_hh_emih!E29/SER_summary!E$26)</f>
        <v>1.1862918830493359</v>
      </c>
      <c r="F29" s="130">
        <f>IF(SER_hh_emih!F29=0,0,SER_hh_emih!F29/SER_summary!F$26)</f>
        <v>1.119669700620912</v>
      </c>
      <c r="G29" s="130">
        <f>IF(SER_hh_emih!G29=0,0,SER_hh_emih!G29/SER_summary!G$26)</f>
        <v>1.1587069261849747</v>
      </c>
      <c r="H29" s="130">
        <f>IF(SER_hh_emih!H29=0,0,SER_hh_emih!H29/SER_summary!H$26)</f>
        <v>2.0806576726512569</v>
      </c>
      <c r="I29" s="130">
        <f>IF(SER_hh_emih!I29=0,0,SER_hh_emih!I29/SER_summary!I$26)</f>
        <v>2.4882065533684119</v>
      </c>
      <c r="J29" s="130">
        <f>IF(SER_hh_emih!J29=0,0,SER_hh_emih!J29/SER_summary!J$26)</f>
        <v>3.4640601257075132</v>
      </c>
      <c r="K29" s="130">
        <f>IF(SER_hh_emih!K29=0,0,SER_hh_emih!K29/SER_summary!K$26)</f>
        <v>5.2319945137873587</v>
      </c>
      <c r="L29" s="130">
        <f>IF(SER_hh_emih!L29=0,0,SER_hh_emih!L29/SER_summary!L$26)</f>
        <v>3.9927185894894834</v>
      </c>
      <c r="M29" s="130">
        <f>IF(SER_hh_emih!M29=0,0,SER_hh_emih!M29/SER_summary!M$26)</f>
        <v>4.5343989420366748</v>
      </c>
      <c r="N29" s="130">
        <f>IF(SER_hh_emih!N29=0,0,SER_hh_emih!N29/SER_summary!N$26)</f>
        <v>4.1579985237280104</v>
      </c>
      <c r="O29" s="130">
        <f>IF(SER_hh_emih!O29=0,0,SER_hh_emih!O29/SER_summary!O$26)</f>
        <v>4.0263295536755619</v>
      </c>
      <c r="P29" s="130">
        <f>IF(SER_hh_emih!P29=0,0,SER_hh_emih!P29/SER_summary!P$26)</f>
        <v>3.8942728822520811</v>
      </c>
      <c r="Q29" s="130">
        <f>IF(SER_hh_emih!Q29=0,0,SER_hh_emih!Q29/SER_summary!Q$26)</f>
        <v>4.4043549773291737</v>
      </c>
      <c r="R29" s="130">
        <f>IF(SER_hh_emih!R29=0,0,SER_hh_emih!R29/SER_summary!R$26)</f>
        <v>3.6635221897117392</v>
      </c>
      <c r="S29" s="130">
        <f>IF(SER_hh_emih!S29=0,0,SER_hh_emih!S29/SER_summary!S$26)</f>
        <v>4.3898941426925537</v>
      </c>
      <c r="T29" s="130">
        <f>IF(SER_hh_emih!T29=0,0,SER_hh_emih!T29/SER_summary!T$26)</f>
        <v>5.5622575231794738</v>
      </c>
      <c r="U29" s="130">
        <f>IF(SER_hh_emih!U29=0,0,SER_hh_emih!U29/SER_summary!U$26)</f>
        <v>5.7141152373268733</v>
      </c>
      <c r="V29" s="130">
        <f>IF(SER_hh_emih!V29=0,0,SER_hh_emih!V29/SER_summary!V$26)</f>
        <v>3.7231939430449974</v>
      </c>
      <c r="W29" s="130">
        <f>IF(SER_hh_emih!W29=0,0,SER_hh_emih!W29/SER_summary!W$26)</f>
        <v>3.9938610775190697</v>
      </c>
      <c r="X29" s="130">
        <f>IF(SER_hh_emih!X29=0,0,SER_hh_emih!X29/SER_summary!X$26)</f>
        <v>5.0628387357155145</v>
      </c>
      <c r="Y29" s="130">
        <f>IF(SER_hh_emih!Y29=0,0,SER_hh_emih!Y29/SER_summary!Y$26)</f>
        <v>5.7249357722725085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19.328135578609146</v>
      </c>
      <c r="C30" s="132">
        <f>IF(SER_hh_emih!C30=0,0,SER_hh_emih!C30/SER_summary!C$26)</f>
        <v>18.011722259643982</v>
      </c>
      <c r="D30" s="132">
        <f>IF(SER_hh_emih!D30=0,0,SER_hh_emih!D30/SER_summary!D$26)</f>
        <v>21.245457520374046</v>
      </c>
      <c r="E30" s="132">
        <f>IF(SER_hh_emih!E30=0,0,SER_hh_emih!E30/SER_summary!E$26)</f>
        <v>20.370455892542846</v>
      </c>
      <c r="F30" s="132">
        <f>IF(SER_hh_emih!F30=0,0,SER_hh_emih!F30/SER_summary!F$26)</f>
        <v>17.727896547570911</v>
      </c>
      <c r="G30" s="132">
        <f>IF(SER_hh_emih!G30=0,0,SER_hh_emih!G30/SER_summary!G$26)</f>
        <v>15.492011288978398</v>
      </c>
      <c r="H30" s="132">
        <f>IF(SER_hh_emih!H30=0,0,SER_hh_emih!H30/SER_summary!H$26)</f>
        <v>19.75333648881475</v>
      </c>
      <c r="I30" s="132">
        <f>IF(SER_hh_emih!I30=0,0,SER_hh_emih!I30/SER_summary!I$26)</f>
        <v>17.0511948928003</v>
      </c>
      <c r="J30" s="132">
        <f>IF(SER_hh_emih!J30=0,0,SER_hh_emih!J30/SER_summary!J$26)</f>
        <v>18.800036421968144</v>
      </c>
      <c r="K30" s="132">
        <f>IF(SER_hh_emih!K30=0,0,SER_hh_emih!K30/SER_summary!K$26)</f>
        <v>23.216581705774075</v>
      </c>
      <c r="L30" s="132">
        <f>IF(SER_hh_emih!L30=0,0,SER_hh_emih!L30/SER_summary!L$26)</f>
        <v>17.593279106407003</v>
      </c>
      <c r="M30" s="132">
        <f>IF(SER_hh_emih!M30=0,0,SER_hh_emih!M30/SER_summary!M$26)</f>
        <v>19.737952340275751</v>
      </c>
      <c r="N30" s="132">
        <f>IF(SER_hh_emih!N30=0,0,SER_hh_emih!N30/SER_summary!N$26)</f>
        <v>19.085890641878134</v>
      </c>
      <c r="O30" s="132">
        <f>IF(SER_hh_emih!O30=0,0,SER_hh_emih!O30/SER_summary!O$26)</f>
        <v>18.501500966599973</v>
      </c>
      <c r="P30" s="132">
        <f>IF(SER_hh_emih!P30=0,0,SER_hh_emih!P30/SER_summary!P$26)</f>
        <v>18.308828490771827</v>
      </c>
      <c r="Q30" s="132">
        <f>IF(SER_hh_emih!Q30=0,0,SER_hh_emih!Q30/SER_summary!Q$26)</f>
        <v>20.221246534332163</v>
      </c>
      <c r="R30" s="132">
        <f>IF(SER_hh_emih!R30=0,0,SER_hh_emih!R30/SER_summary!R$26)</f>
        <v>16.482780805386717</v>
      </c>
      <c r="S30" s="132">
        <f>IF(SER_hh_emih!S30=0,0,SER_hh_emih!S30/SER_summary!S$26)</f>
        <v>17.685511726964847</v>
      </c>
      <c r="T30" s="132">
        <f>IF(SER_hh_emih!T30=0,0,SER_hh_emih!T30/SER_summary!T$26)</f>
        <v>20.564272448026735</v>
      </c>
      <c r="U30" s="132">
        <f>IF(SER_hh_emih!U30=0,0,SER_hh_emih!U30/SER_summary!U$26)</f>
        <v>20.937011106971692</v>
      </c>
      <c r="V30" s="132">
        <f>IF(SER_hh_emih!V30=0,0,SER_hh_emih!V30/SER_summary!V$26)</f>
        <v>13.391502200080716</v>
      </c>
      <c r="W30" s="132">
        <f>IF(SER_hh_emih!W30=0,0,SER_hh_emih!W30/SER_summary!W$26)</f>
        <v>14.281855099654118</v>
      </c>
      <c r="X30" s="132">
        <f>IF(SER_hh_emih!X30=0,0,SER_hh_emih!X30/SER_summary!X$26)</f>
        <v>17.336788572704769</v>
      </c>
      <c r="Y30" s="132">
        <f>IF(SER_hh_emih!Y30=0,0,SER_hh_emih!Y30/SER_summary!Y$26)</f>
        <v>18.801967253250073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0</v>
      </c>
      <c r="C31" s="132">
        <f>IF(SER_hh_emih!C31=0,0,SER_hh_emih!C31/SER_summary!C$26)</f>
        <v>0</v>
      </c>
      <c r="D31" s="132">
        <f>IF(SER_hh_emih!D31=0,0,SER_hh_emih!D31/SER_summary!D$26)</f>
        <v>0</v>
      </c>
      <c r="E31" s="132">
        <f>IF(SER_hh_emih!E31=0,0,SER_hh_emih!E31/SER_summary!E$26)</f>
        <v>0</v>
      </c>
      <c r="F31" s="132">
        <f>IF(SER_hh_emih!F31=0,0,SER_hh_emih!F31/SER_summary!F$26)</f>
        <v>0</v>
      </c>
      <c r="G31" s="132">
        <f>IF(SER_hh_emih!G31=0,0,SER_hh_emih!G31/SER_summary!G$26)</f>
        <v>0</v>
      </c>
      <c r="H31" s="132">
        <f>IF(SER_hh_emih!H31=0,0,SER_hh_emih!H31/SER_summary!H$26)</f>
        <v>0</v>
      </c>
      <c r="I31" s="132">
        <f>IF(SER_hh_emih!I31=0,0,SER_hh_emih!I31/SER_summary!I$26)</f>
        <v>0</v>
      </c>
      <c r="J31" s="132">
        <f>IF(SER_hh_emih!J31=0,0,SER_hh_emih!J31/SER_summary!J$26)</f>
        <v>0</v>
      </c>
      <c r="K31" s="132">
        <f>IF(SER_hh_emih!K31=0,0,SER_hh_emih!K31/SER_summary!K$26)</f>
        <v>0</v>
      </c>
      <c r="L31" s="132">
        <f>IF(SER_hh_emih!L31=0,0,SER_hh_emih!L31/SER_summary!L$26)</f>
        <v>0</v>
      </c>
      <c r="M31" s="132">
        <f>IF(SER_hh_emih!M31=0,0,SER_hh_emih!M31/SER_summary!M$26)</f>
        <v>0</v>
      </c>
      <c r="N31" s="132">
        <f>IF(SER_hh_emih!N31=0,0,SER_hh_emih!N31/SER_summary!N$26)</f>
        <v>0</v>
      </c>
      <c r="O31" s="132">
        <f>IF(SER_hh_emih!O31=0,0,SER_hh_emih!O31/SER_summary!O$26)</f>
        <v>0</v>
      </c>
      <c r="P31" s="132">
        <f>IF(SER_hh_emih!P31=0,0,SER_hh_emih!P31/SER_summary!P$26)</f>
        <v>0</v>
      </c>
      <c r="Q31" s="132">
        <f>IF(SER_hh_emih!Q31=0,0,SER_hh_emih!Q31/SER_summary!Q$26)</f>
        <v>0</v>
      </c>
      <c r="R31" s="132">
        <f>IF(SER_hh_emih!R31=0,0,SER_hh_emih!R31/SER_summary!R$26)</f>
        <v>0</v>
      </c>
      <c r="S31" s="132">
        <f>IF(SER_hh_emih!S31=0,0,SER_hh_emih!S31/SER_summary!S$26)</f>
        <v>0</v>
      </c>
      <c r="T31" s="132">
        <f>IF(SER_hh_emih!T31=0,0,SER_hh_emih!T31/SER_summary!T$26)</f>
        <v>0</v>
      </c>
      <c r="U31" s="132">
        <f>IF(SER_hh_emih!U31=0,0,SER_hh_emih!U31/SER_summary!U$26)</f>
        <v>0</v>
      </c>
      <c r="V31" s="132">
        <f>IF(SER_hh_emih!V31=0,0,SER_hh_emih!V31/SER_summary!V$26)</f>
        <v>0</v>
      </c>
      <c r="W31" s="132">
        <f>IF(SER_hh_emih!W31=0,0,SER_hh_emih!W31/SER_summary!W$26)</f>
        <v>0</v>
      </c>
      <c r="X31" s="132">
        <f>IF(SER_hh_emih!X31=0,0,SER_hh_emih!X31/SER_summary!X$26)</f>
        <v>0</v>
      </c>
      <c r="Y31" s="132">
        <f>IF(SER_hh_emih!Y31=0,0,SER_hh_emih!Y31/SER_summary!Y$26)</f>
        <v>0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114.23356153047268</v>
      </c>
      <c r="D3" s="124">
        <f t="shared" si="0"/>
        <v>64.322351020494267</v>
      </c>
      <c r="E3" s="124">
        <f t="shared" si="0"/>
        <v>41.955178133661725</v>
      </c>
      <c r="F3" s="124">
        <f t="shared" si="0"/>
        <v>27.053984729741202</v>
      </c>
      <c r="G3" s="124">
        <f t="shared" si="0"/>
        <v>109.00735131581456</v>
      </c>
      <c r="H3" s="124">
        <f t="shared" si="0"/>
        <v>87.381403219216566</v>
      </c>
      <c r="I3" s="124">
        <f t="shared" si="0"/>
        <v>98.67398252437205</v>
      </c>
      <c r="J3" s="124">
        <f t="shared" si="0"/>
        <v>182.56432924090257</v>
      </c>
      <c r="K3" s="124">
        <f t="shared" si="0"/>
        <v>36.242744814363959</v>
      </c>
      <c r="L3" s="124">
        <f t="shared" si="0"/>
        <v>52.642068093864118</v>
      </c>
      <c r="M3" s="124">
        <f t="shared" si="0"/>
        <v>83.734834735831015</v>
      </c>
      <c r="N3" s="124">
        <f t="shared" si="0"/>
        <v>142.04959099020132</v>
      </c>
      <c r="O3" s="124">
        <f t="shared" si="0"/>
        <v>90.779126338228792</v>
      </c>
      <c r="P3" s="124">
        <f t="shared" si="0"/>
        <v>121.67179143805814</v>
      </c>
      <c r="Q3" s="124">
        <f t="shared" si="0"/>
        <v>118.76129209388023</v>
      </c>
      <c r="R3" s="124">
        <f t="shared" si="0"/>
        <v>126.88305951925651</v>
      </c>
      <c r="S3" s="124">
        <f t="shared" si="0"/>
        <v>133.77404123337172</v>
      </c>
      <c r="T3" s="124">
        <f t="shared" si="0"/>
        <v>131.726074658546</v>
      </c>
      <c r="U3" s="124">
        <f t="shared" si="0"/>
        <v>126.4845322113313</v>
      </c>
      <c r="V3" s="124">
        <f t="shared" si="0"/>
        <v>125.03179942443523</v>
      </c>
      <c r="W3" s="124">
        <f t="shared" si="0"/>
        <v>122.21196388773834</v>
      </c>
      <c r="X3" s="124">
        <f t="shared" si="0"/>
        <v>120.72588245851961</v>
      </c>
      <c r="Y3" s="124">
        <f t="shared" si="0"/>
        <v>119.3853636851552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114.23356153047268</v>
      </c>
      <c r="D4" s="139">
        <f t="shared" si="1"/>
        <v>64.322351020494267</v>
      </c>
      <c r="E4" s="139">
        <f t="shared" si="1"/>
        <v>41.955178133661725</v>
      </c>
      <c r="F4" s="139">
        <f t="shared" si="1"/>
        <v>27.053984729741202</v>
      </c>
      <c r="G4" s="139">
        <f t="shared" si="1"/>
        <v>109.00735131581456</v>
      </c>
      <c r="H4" s="139">
        <f t="shared" si="1"/>
        <v>87.381403219216566</v>
      </c>
      <c r="I4" s="139">
        <f t="shared" si="1"/>
        <v>98.67398252437205</v>
      </c>
      <c r="J4" s="139">
        <f t="shared" si="1"/>
        <v>182.56432924090257</v>
      </c>
      <c r="K4" s="139">
        <f t="shared" si="1"/>
        <v>36.242744814363959</v>
      </c>
      <c r="L4" s="139">
        <f t="shared" si="1"/>
        <v>52.642068093864118</v>
      </c>
      <c r="M4" s="139">
        <f t="shared" si="1"/>
        <v>83.734834735831015</v>
      </c>
      <c r="N4" s="139">
        <f t="shared" si="1"/>
        <v>142.04959099020132</v>
      </c>
      <c r="O4" s="139">
        <f t="shared" si="1"/>
        <v>90.779126338228792</v>
      </c>
      <c r="P4" s="139">
        <f t="shared" si="1"/>
        <v>121.67179143805814</v>
      </c>
      <c r="Q4" s="139">
        <f t="shared" si="1"/>
        <v>118.76129209388023</v>
      </c>
      <c r="R4" s="139">
        <f t="shared" ref="R4:W4" si="2">SUM(R5:R14)</f>
        <v>126.88305951925651</v>
      </c>
      <c r="S4" s="139">
        <f t="shared" si="2"/>
        <v>133.77404123337172</v>
      </c>
      <c r="T4" s="139">
        <f t="shared" si="2"/>
        <v>131.726074658546</v>
      </c>
      <c r="U4" s="139">
        <f t="shared" si="2"/>
        <v>126.4845322113313</v>
      </c>
      <c r="V4" s="139">
        <f t="shared" si="2"/>
        <v>125.03179942443523</v>
      </c>
      <c r="W4" s="139">
        <f t="shared" si="2"/>
        <v>122.21196388773834</v>
      </c>
      <c r="X4" s="139">
        <f t="shared" ref="X4:Y4" si="3">SUM(X5:X14)</f>
        <v>120.72588245851961</v>
      </c>
      <c r="Y4" s="139">
        <f t="shared" si="3"/>
        <v>119.3853636851552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2.0475319970399823</v>
      </c>
      <c r="D6" s="140">
        <v>2.5966553392526044</v>
      </c>
      <c r="E6" s="140">
        <v>1.2867015156391595</v>
      </c>
      <c r="F6" s="140">
        <v>1.9009872430580228</v>
      </c>
      <c r="G6" s="140">
        <v>5.6378306394543394</v>
      </c>
      <c r="H6" s="140">
        <v>4.9963140058327102</v>
      </c>
      <c r="I6" s="140">
        <v>4.0581402986997892</v>
      </c>
      <c r="J6" s="140">
        <v>6.2223544716807586</v>
      </c>
      <c r="K6" s="140">
        <v>2.359571246081364</v>
      </c>
      <c r="L6" s="140">
        <v>3.4439446494569492</v>
      </c>
      <c r="M6" s="140">
        <v>6.2136678945521258</v>
      </c>
      <c r="N6" s="140">
        <v>4.5179887074201943</v>
      </c>
      <c r="O6" s="140">
        <v>0</v>
      </c>
      <c r="P6" s="140">
        <v>1.2222308026699678</v>
      </c>
      <c r="Q6" s="140">
        <v>3.4726302276700882</v>
      </c>
      <c r="R6" s="140">
        <v>4.7792410052999426</v>
      </c>
      <c r="S6" s="140">
        <v>6.7650252084066329</v>
      </c>
      <c r="T6" s="140">
        <v>9.5662757299346168</v>
      </c>
      <c r="U6" s="140">
        <v>10.751513006338703</v>
      </c>
      <c r="V6" s="140">
        <v>8.1058821142491606</v>
      </c>
      <c r="W6" s="140">
        <v>3.6547529178318694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57.486634341723139</v>
      </c>
      <c r="D7" s="140">
        <v>33.434757241253202</v>
      </c>
      <c r="E7" s="140">
        <v>14.218668468104967</v>
      </c>
      <c r="F7" s="140">
        <v>0.99011455161150697</v>
      </c>
      <c r="G7" s="140">
        <v>6.2340192576424673</v>
      </c>
      <c r="H7" s="140">
        <v>46.884282459464586</v>
      </c>
      <c r="I7" s="140">
        <v>61.625488099641821</v>
      </c>
      <c r="J7" s="140">
        <v>113.15316925228554</v>
      </c>
      <c r="K7" s="140">
        <v>0</v>
      </c>
      <c r="L7" s="140">
        <v>0</v>
      </c>
      <c r="M7" s="140">
        <v>21.916074795723059</v>
      </c>
      <c r="N7" s="140">
        <v>86.964327606006023</v>
      </c>
      <c r="O7" s="140">
        <v>44.841012787716558</v>
      </c>
      <c r="P7" s="140">
        <v>80.586292066681395</v>
      </c>
      <c r="Q7" s="140">
        <v>46.066504025726196</v>
      </c>
      <c r="R7" s="140">
        <v>6.5733576512189327</v>
      </c>
      <c r="S7" s="140">
        <v>0</v>
      </c>
      <c r="T7" s="140">
        <v>0</v>
      </c>
      <c r="U7" s="140">
        <v>0</v>
      </c>
      <c r="V7" s="140">
        <v>0</v>
      </c>
      <c r="W7" s="140">
        <v>19.620489859868208</v>
      </c>
      <c r="X7" s="140">
        <v>22.359758794844289</v>
      </c>
      <c r="Y7" s="140">
        <v>4.2695096449130769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16.845215371409349</v>
      </c>
      <c r="N9" s="140">
        <v>4.266392198194942</v>
      </c>
      <c r="O9" s="140">
        <v>5.6039417152023124E-2</v>
      </c>
      <c r="P9" s="140">
        <v>0</v>
      </c>
      <c r="Q9" s="140">
        <v>0</v>
      </c>
      <c r="R9" s="140">
        <v>0.20464073965655505</v>
      </c>
      <c r="S9" s="140">
        <v>0</v>
      </c>
      <c r="T9" s="140">
        <v>1.3588713518647466</v>
      </c>
      <c r="U9" s="140">
        <v>2.7094823706723141</v>
      </c>
      <c r="V9" s="140">
        <v>1.1214611653138272E-2</v>
      </c>
      <c r="W9" s="140">
        <v>1.0223070239916074</v>
      </c>
      <c r="X9" s="140">
        <v>2.671510463202607</v>
      </c>
      <c r="Y9" s="140">
        <v>4.7395751741809553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2.3142449290615721</v>
      </c>
      <c r="N12" s="140">
        <v>2.3148178471115829E-2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2.1226047723434274</v>
      </c>
      <c r="D13" s="140">
        <v>2.0760276854560491</v>
      </c>
      <c r="E13" s="140">
        <v>1.5682724113956206</v>
      </c>
      <c r="F13" s="140">
        <v>1.4172767402601925</v>
      </c>
      <c r="G13" s="140">
        <v>7.0883146626524098</v>
      </c>
      <c r="H13" s="140">
        <v>11.858814752995496</v>
      </c>
      <c r="I13" s="140">
        <v>20.418889475909445</v>
      </c>
      <c r="J13" s="140">
        <v>29.063612728936508</v>
      </c>
      <c r="K13" s="140">
        <v>4.2018923615003221</v>
      </c>
      <c r="L13" s="140">
        <v>0.86539895105335496</v>
      </c>
      <c r="M13" s="140">
        <v>3.5028504851988025</v>
      </c>
      <c r="N13" s="140">
        <v>3.9133526815823907</v>
      </c>
      <c r="O13" s="140">
        <v>9.8141916278909918</v>
      </c>
      <c r="P13" s="140">
        <v>24.671718782976143</v>
      </c>
      <c r="Q13" s="140">
        <v>23.488315345510976</v>
      </c>
      <c r="R13" s="140">
        <v>28.377428595253434</v>
      </c>
      <c r="S13" s="140">
        <v>22.284616226585396</v>
      </c>
      <c r="T13" s="140">
        <v>31.240030502184116</v>
      </c>
      <c r="U13" s="140">
        <v>43.35738790192503</v>
      </c>
      <c r="V13" s="140">
        <v>71.003584884912001</v>
      </c>
      <c r="W13" s="140">
        <v>51.885410796927452</v>
      </c>
      <c r="X13" s="140">
        <v>32.637981276379314</v>
      </c>
      <c r="Y13" s="140">
        <v>24.264601209968909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52.576790419366127</v>
      </c>
      <c r="D14" s="141">
        <v>26.214910754532418</v>
      </c>
      <c r="E14" s="141">
        <v>24.881535738521979</v>
      </c>
      <c r="F14" s="141">
        <v>22.745606194811479</v>
      </c>
      <c r="G14" s="141">
        <v>90.047186756065344</v>
      </c>
      <c r="H14" s="141">
        <v>23.641992000923786</v>
      </c>
      <c r="I14" s="141">
        <v>12.571464650120998</v>
      </c>
      <c r="J14" s="141">
        <v>34.125192787999772</v>
      </c>
      <c r="K14" s="141">
        <v>29.68128120678227</v>
      </c>
      <c r="L14" s="141">
        <v>48.332724493353815</v>
      </c>
      <c r="M14" s="141">
        <v>32.942781259886104</v>
      </c>
      <c r="N14" s="141">
        <v>42.364381618526657</v>
      </c>
      <c r="O14" s="141">
        <v>36.067882505469214</v>
      </c>
      <c r="P14" s="141">
        <v>15.191549785730622</v>
      </c>
      <c r="Q14" s="141">
        <v>45.733842494972976</v>
      </c>
      <c r="R14" s="141">
        <v>86.948391527827638</v>
      </c>
      <c r="S14" s="141">
        <v>104.72439979837969</v>
      </c>
      <c r="T14" s="141">
        <v>89.560897074562533</v>
      </c>
      <c r="U14" s="141">
        <v>69.666148932395245</v>
      </c>
      <c r="V14" s="141">
        <v>45.91111781362094</v>
      </c>
      <c r="W14" s="141">
        <v>46.02900328911921</v>
      </c>
      <c r="X14" s="141">
        <v>63.056631924093388</v>
      </c>
      <c r="Y14" s="141">
        <v>86.111677656092255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59.534166338763121</v>
      </c>
      <c r="D15" s="143">
        <f t="shared" si="4"/>
        <v>36.031412580505808</v>
      </c>
      <c r="E15" s="143">
        <f t="shared" si="4"/>
        <v>15.505369983744126</v>
      </c>
      <c r="F15" s="143">
        <f t="shared" si="4"/>
        <v>2.8911017946695297</v>
      </c>
      <c r="G15" s="143">
        <f t="shared" si="4"/>
        <v>11.871849897096807</v>
      </c>
      <c r="H15" s="143">
        <f t="shared" si="4"/>
        <v>51.880596465297295</v>
      </c>
      <c r="I15" s="143">
        <f t="shared" si="4"/>
        <v>65.683628398341611</v>
      </c>
      <c r="J15" s="143">
        <f t="shared" si="4"/>
        <v>119.3755237239663</v>
      </c>
      <c r="K15" s="143">
        <f t="shared" si="4"/>
        <v>2.359571246081364</v>
      </c>
      <c r="L15" s="143">
        <f t="shared" si="4"/>
        <v>3.4439446494569492</v>
      </c>
      <c r="M15" s="143">
        <f t="shared" si="4"/>
        <v>47.289202990746105</v>
      </c>
      <c r="N15" s="143">
        <f t="shared" si="4"/>
        <v>95.771856690092278</v>
      </c>
      <c r="O15" s="143">
        <f t="shared" si="4"/>
        <v>44.897052204868579</v>
      </c>
      <c r="P15" s="143">
        <f t="shared" si="4"/>
        <v>81.808522869351364</v>
      </c>
      <c r="Q15" s="143">
        <f t="shared" si="4"/>
        <v>49.539134253396284</v>
      </c>
      <c r="R15" s="143">
        <f t="shared" ref="R15:W15" si="5">SUM(R5:R12)</f>
        <v>11.557239396175429</v>
      </c>
      <c r="S15" s="143">
        <f t="shared" si="5"/>
        <v>6.7650252084066329</v>
      </c>
      <c r="T15" s="143">
        <f t="shared" si="5"/>
        <v>10.925147081799363</v>
      </c>
      <c r="U15" s="143">
        <f t="shared" si="5"/>
        <v>13.460995377011017</v>
      </c>
      <c r="V15" s="143">
        <f t="shared" si="5"/>
        <v>8.1170967259022984</v>
      </c>
      <c r="W15" s="143">
        <f t="shared" si="5"/>
        <v>24.297549801691687</v>
      </c>
      <c r="X15" s="143">
        <f t="shared" ref="X15:Y15" si="6">SUM(X5:X12)</f>
        <v>25.031269258046898</v>
      </c>
      <c r="Y15" s="143">
        <f t="shared" si="6"/>
        <v>9.0090848190940314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114.23356153047267</v>
      </c>
      <c r="D16" s="139">
        <f t="shared" si="7"/>
        <v>64.322351020494267</v>
      </c>
      <c r="E16" s="139">
        <f t="shared" si="7"/>
        <v>41.955178133661725</v>
      </c>
      <c r="F16" s="139">
        <f t="shared" si="7"/>
        <v>27.053984729741202</v>
      </c>
      <c r="G16" s="139">
        <f t="shared" si="7"/>
        <v>109.00735131581456</v>
      </c>
      <c r="H16" s="139">
        <f t="shared" si="7"/>
        <v>87.381403219216566</v>
      </c>
      <c r="I16" s="139">
        <f t="shared" si="7"/>
        <v>98.67398252437205</v>
      </c>
      <c r="J16" s="139">
        <f t="shared" si="7"/>
        <v>182.56432924090257</v>
      </c>
      <c r="K16" s="139">
        <f t="shared" si="7"/>
        <v>36.242744814363952</v>
      </c>
      <c r="L16" s="139">
        <f t="shared" si="7"/>
        <v>52.642068093864118</v>
      </c>
      <c r="M16" s="139">
        <f t="shared" si="7"/>
        <v>83.734834735830987</v>
      </c>
      <c r="N16" s="139">
        <f t="shared" si="7"/>
        <v>142.04959099020132</v>
      </c>
      <c r="O16" s="139">
        <f t="shared" si="7"/>
        <v>90.779126338228778</v>
      </c>
      <c r="P16" s="139">
        <f t="shared" si="7"/>
        <v>121.67179143805814</v>
      </c>
      <c r="Q16" s="139">
        <f t="shared" si="7"/>
        <v>118.76129209388023</v>
      </c>
      <c r="R16" s="139">
        <f t="shared" ref="R16:W16" si="8">SUM(R17:R18)</f>
        <v>126.88305951925649</v>
      </c>
      <c r="S16" s="139">
        <f t="shared" si="8"/>
        <v>133.77404123337172</v>
      </c>
      <c r="T16" s="139">
        <f t="shared" si="8"/>
        <v>131.72607465854603</v>
      </c>
      <c r="U16" s="139">
        <f t="shared" si="8"/>
        <v>126.4845322113313</v>
      </c>
      <c r="V16" s="139">
        <f t="shared" si="8"/>
        <v>125.03179942443523</v>
      </c>
      <c r="W16" s="139">
        <f t="shared" si="8"/>
        <v>122.21196388773834</v>
      </c>
      <c r="X16" s="139">
        <f t="shared" ref="X16:Y16" si="9">SUM(X17:X18)</f>
        <v>120.72588245851959</v>
      </c>
      <c r="Y16" s="139">
        <f t="shared" si="9"/>
        <v>119.3853636851552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114.23356153047267</v>
      </c>
      <c r="D18" s="140">
        <v>64.322351020494267</v>
      </c>
      <c r="E18" s="140">
        <v>41.955178133661725</v>
      </c>
      <c r="F18" s="140">
        <v>27.053984729741202</v>
      </c>
      <c r="G18" s="140">
        <v>109.00735131581456</v>
      </c>
      <c r="H18" s="140">
        <v>87.381403219216566</v>
      </c>
      <c r="I18" s="140">
        <v>98.67398252437205</v>
      </c>
      <c r="J18" s="140">
        <v>182.56432924090257</v>
      </c>
      <c r="K18" s="140">
        <v>36.242744814363952</v>
      </c>
      <c r="L18" s="140">
        <v>52.642068093864118</v>
      </c>
      <c r="M18" s="140">
        <v>83.734834735830987</v>
      </c>
      <c r="N18" s="140">
        <v>142.04959099020132</v>
      </c>
      <c r="O18" s="140">
        <v>90.779126338228778</v>
      </c>
      <c r="P18" s="140">
        <v>121.67179143805814</v>
      </c>
      <c r="Q18" s="140">
        <v>118.76129209388023</v>
      </c>
      <c r="R18" s="140">
        <v>126.88305951925649</v>
      </c>
      <c r="S18" s="140">
        <v>133.77404123337172</v>
      </c>
      <c r="T18" s="140">
        <v>131.72607465854603</v>
      </c>
      <c r="U18" s="140">
        <v>126.4845322113313</v>
      </c>
      <c r="V18" s="140">
        <v>125.03179942443523</v>
      </c>
      <c r="W18" s="140">
        <v>122.21196388773834</v>
      </c>
      <c r="X18" s="140">
        <v>120.72588245851959</v>
      </c>
      <c r="Y18" s="140">
        <v>119.3853636851552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114.23356153047266</v>
      </c>
      <c r="D19" s="139">
        <f t="shared" si="10"/>
        <v>64.322351020494267</v>
      </c>
      <c r="E19" s="139">
        <f t="shared" si="10"/>
        <v>41.955178133661718</v>
      </c>
      <c r="F19" s="139">
        <f t="shared" si="10"/>
        <v>27.053984729741202</v>
      </c>
      <c r="G19" s="139">
        <f t="shared" si="10"/>
        <v>109.00735131581456</v>
      </c>
      <c r="H19" s="139">
        <f t="shared" si="10"/>
        <v>87.38140321921658</v>
      </c>
      <c r="I19" s="139">
        <f t="shared" si="10"/>
        <v>98.673982524372036</v>
      </c>
      <c r="J19" s="139">
        <f t="shared" si="10"/>
        <v>182.56432924090259</v>
      </c>
      <c r="K19" s="139">
        <f t="shared" si="10"/>
        <v>36.242744814363952</v>
      </c>
      <c r="L19" s="139">
        <f t="shared" si="10"/>
        <v>52.642068093864118</v>
      </c>
      <c r="M19" s="139">
        <f t="shared" si="10"/>
        <v>83.734834735830987</v>
      </c>
      <c r="N19" s="139">
        <f t="shared" si="10"/>
        <v>142.0495909902013</v>
      </c>
      <c r="O19" s="139">
        <f t="shared" si="10"/>
        <v>90.779126338228778</v>
      </c>
      <c r="P19" s="139">
        <f t="shared" si="10"/>
        <v>121.67179143805814</v>
      </c>
      <c r="Q19" s="139">
        <f t="shared" si="10"/>
        <v>118.76129209388023</v>
      </c>
      <c r="R19" s="139">
        <f t="shared" ref="R19:W19" si="11">SUM(R20:R26)</f>
        <v>126.88305951925649</v>
      </c>
      <c r="S19" s="139">
        <f t="shared" si="11"/>
        <v>133.77404123337172</v>
      </c>
      <c r="T19" s="139">
        <f t="shared" si="11"/>
        <v>131.726074658546</v>
      </c>
      <c r="U19" s="139">
        <f t="shared" si="11"/>
        <v>126.4845322113313</v>
      </c>
      <c r="V19" s="139">
        <f t="shared" si="11"/>
        <v>125.03179942443523</v>
      </c>
      <c r="W19" s="139">
        <f t="shared" si="11"/>
        <v>122.21196388773834</v>
      </c>
      <c r="X19" s="139">
        <f t="shared" ref="X19:Y19" si="12">SUM(X20:X26)</f>
        <v>120.72588245851959</v>
      </c>
      <c r="Y19" s="139">
        <f t="shared" si="12"/>
        <v>119.38536368515521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5.6408894561028466</v>
      </c>
      <c r="D21" s="140">
        <v>2.3943674502478802</v>
      </c>
      <c r="E21" s="140">
        <v>2.5624695222761966</v>
      </c>
      <c r="F21" s="140">
        <v>3.0985607696814332</v>
      </c>
      <c r="G21" s="140">
        <v>23.486968521415729</v>
      </c>
      <c r="H21" s="140">
        <v>12.902647980621992</v>
      </c>
      <c r="I21" s="140">
        <v>6.7969973089670006</v>
      </c>
      <c r="J21" s="140">
        <v>10.370464587060239</v>
      </c>
      <c r="K21" s="140">
        <v>2.2219361882701714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3.6288372708112755</v>
      </c>
      <c r="T21" s="140">
        <v>4.3409423839375005</v>
      </c>
      <c r="U21" s="140">
        <v>3.0464901380275911</v>
      </c>
      <c r="V21" s="140">
        <v>3.2972123122825976</v>
      </c>
      <c r="W21" s="140">
        <v>5.1011149289080979</v>
      </c>
      <c r="X21" s="140">
        <v>1.477049873798927</v>
      </c>
      <c r="Y21" s="140">
        <v>2.5790488264987603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0.17672749707756424</v>
      </c>
      <c r="N25" s="140">
        <v>6.2989232903626735E-2</v>
      </c>
      <c r="O25" s="140">
        <v>2.9410699820461832E-2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108.59267207436982</v>
      </c>
      <c r="D26" s="141">
        <v>61.92798357024639</v>
      </c>
      <c r="E26" s="141">
        <v>39.392708611385522</v>
      </c>
      <c r="F26" s="141">
        <v>23.955423960059768</v>
      </c>
      <c r="G26" s="141">
        <v>85.520382794398827</v>
      </c>
      <c r="H26" s="141">
        <v>74.478755238594587</v>
      </c>
      <c r="I26" s="141">
        <v>91.876985215405043</v>
      </c>
      <c r="J26" s="141">
        <v>172.19386465384235</v>
      </c>
      <c r="K26" s="141">
        <v>34.020808626093782</v>
      </c>
      <c r="L26" s="141">
        <v>52.642068093864118</v>
      </c>
      <c r="M26" s="141">
        <v>83.558107238753422</v>
      </c>
      <c r="N26" s="141">
        <v>141.98660175729768</v>
      </c>
      <c r="O26" s="141">
        <v>90.749715638408318</v>
      </c>
      <c r="P26" s="141">
        <v>121.67179143805814</v>
      </c>
      <c r="Q26" s="141">
        <v>118.76129209388023</v>
      </c>
      <c r="R26" s="141">
        <v>126.88305951925649</v>
      </c>
      <c r="S26" s="141">
        <v>130.14520396256043</v>
      </c>
      <c r="T26" s="141">
        <v>127.38513227460851</v>
      </c>
      <c r="U26" s="141">
        <v>123.43804207330371</v>
      </c>
      <c r="V26" s="141">
        <v>121.73458711215264</v>
      </c>
      <c r="W26" s="141">
        <v>117.11084895883023</v>
      </c>
      <c r="X26" s="141">
        <v>119.24883258472066</v>
      </c>
      <c r="Y26" s="141">
        <v>116.80631485865645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114.23356153047266</v>
      </c>
      <c r="D29" s="139">
        <f t="shared" si="13"/>
        <v>64.322351020494267</v>
      </c>
      <c r="E29" s="139">
        <f t="shared" si="13"/>
        <v>41.955178133661718</v>
      </c>
      <c r="F29" s="139">
        <f t="shared" si="13"/>
        <v>27.053984729741199</v>
      </c>
      <c r="G29" s="139">
        <f t="shared" si="13"/>
        <v>109.00735131581455</v>
      </c>
      <c r="H29" s="139">
        <f t="shared" si="13"/>
        <v>87.381403219216566</v>
      </c>
      <c r="I29" s="139">
        <f t="shared" si="13"/>
        <v>98.673982524372065</v>
      </c>
      <c r="J29" s="139">
        <f t="shared" si="13"/>
        <v>182.56432924090257</v>
      </c>
      <c r="K29" s="139">
        <f t="shared" si="13"/>
        <v>36.242744814363952</v>
      </c>
      <c r="L29" s="139">
        <f t="shared" si="13"/>
        <v>52.642068093864125</v>
      </c>
      <c r="M29" s="139">
        <f t="shared" si="13"/>
        <v>83.734834735830972</v>
      </c>
      <c r="N29" s="139">
        <f t="shared" si="13"/>
        <v>142.04959099020132</v>
      </c>
      <c r="O29" s="139">
        <f t="shared" si="13"/>
        <v>90.779126338228778</v>
      </c>
      <c r="P29" s="139">
        <f t="shared" si="13"/>
        <v>121.67179143805812</v>
      </c>
      <c r="Q29" s="139">
        <f t="shared" si="13"/>
        <v>118.76129209388023</v>
      </c>
      <c r="R29" s="139">
        <f t="shared" ref="R29:W29" si="14">SUM(R30:R33)</f>
        <v>126.88305951925648</v>
      </c>
      <c r="S29" s="139">
        <f t="shared" si="14"/>
        <v>133.77404123337172</v>
      </c>
      <c r="T29" s="139">
        <f t="shared" si="14"/>
        <v>131.726074658546</v>
      </c>
      <c r="U29" s="139">
        <f t="shared" si="14"/>
        <v>126.4845322113313</v>
      </c>
      <c r="V29" s="139">
        <f t="shared" si="14"/>
        <v>125.03179942443523</v>
      </c>
      <c r="W29" s="139">
        <f t="shared" si="14"/>
        <v>122.21196388773834</v>
      </c>
      <c r="X29" s="139">
        <f t="shared" ref="X29:Y29" si="15">SUM(X30:X33)</f>
        <v>120.72588245851959</v>
      </c>
      <c r="Y29" s="139">
        <f t="shared" si="15"/>
        <v>119.3853636851552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6.334608102905035</v>
      </c>
      <c r="D30" s="140">
        <v>4.852439337242985</v>
      </c>
      <c r="E30" s="140">
        <v>2.3082213918895071</v>
      </c>
      <c r="F30" s="140">
        <v>2.8010108668333786</v>
      </c>
      <c r="G30" s="140">
        <v>15.738492456780932</v>
      </c>
      <c r="H30" s="140">
        <v>26.365518488566686</v>
      </c>
      <c r="I30" s="140">
        <v>37.074245988078232</v>
      </c>
      <c r="J30" s="140">
        <v>60.147808637896141</v>
      </c>
      <c r="K30" s="140">
        <v>15.138099716804865</v>
      </c>
      <c r="L30" s="140">
        <v>5.9323199426748845</v>
      </c>
      <c r="M30" s="140">
        <v>15.109177985929721</v>
      </c>
      <c r="N30" s="140">
        <v>8.7716424438736933</v>
      </c>
      <c r="O30" s="140">
        <v>13.684504061245908</v>
      </c>
      <c r="P30" s="140">
        <v>17.48599606298367</v>
      </c>
      <c r="Q30" s="140">
        <v>29.239342302058756</v>
      </c>
      <c r="R30" s="140">
        <v>34.036473317368795</v>
      </c>
      <c r="S30" s="140">
        <v>60.838056260703759</v>
      </c>
      <c r="T30" s="140">
        <v>60.328973910477544</v>
      </c>
      <c r="U30" s="140">
        <v>37.736401959406351</v>
      </c>
      <c r="V30" s="140">
        <v>37.335332812319002</v>
      </c>
      <c r="W30" s="140">
        <v>30.464188136036324</v>
      </c>
      <c r="X30" s="140">
        <v>37.582029235338823</v>
      </c>
      <c r="Y30" s="140">
        <v>39.55077312068282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107.89895342756762</v>
      </c>
      <c r="D33" s="152">
        <v>59.469911683251283</v>
      </c>
      <c r="E33" s="152">
        <v>39.646956741772208</v>
      </c>
      <c r="F33" s="152">
        <v>24.252973862907819</v>
      </c>
      <c r="G33" s="152">
        <v>93.268858859033614</v>
      </c>
      <c r="H33" s="152">
        <v>61.015884730649887</v>
      </c>
      <c r="I33" s="152">
        <v>61.599736536293833</v>
      </c>
      <c r="J33" s="152">
        <v>122.41652060300643</v>
      </c>
      <c r="K33" s="152">
        <v>21.104645097559086</v>
      </c>
      <c r="L33" s="152">
        <v>46.709748151189238</v>
      </c>
      <c r="M33" s="152">
        <v>68.625656749901253</v>
      </c>
      <c r="N33" s="152">
        <v>133.27794854632762</v>
      </c>
      <c r="O33" s="152">
        <v>77.094622276982875</v>
      </c>
      <c r="P33" s="152">
        <v>104.18579537507445</v>
      </c>
      <c r="Q33" s="152">
        <v>89.52194979182147</v>
      </c>
      <c r="R33" s="152">
        <v>92.846586201887675</v>
      </c>
      <c r="S33" s="152">
        <v>72.935984972667953</v>
      </c>
      <c r="T33" s="152">
        <v>71.397100748068468</v>
      </c>
      <c r="U33" s="152">
        <v>88.748130251924948</v>
      </c>
      <c r="V33" s="152">
        <v>87.69646661211624</v>
      </c>
      <c r="W33" s="152">
        <v>91.747775751702008</v>
      </c>
      <c r="X33" s="152">
        <v>83.14385322318077</v>
      </c>
      <c r="Y33" s="152">
        <v>79.834590564472379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2.3514836295775479</v>
      </c>
      <c r="D3" s="125">
        <f t="shared" si="0"/>
        <v>1.3764300336099793</v>
      </c>
      <c r="E3" s="125">
        <f t="shared" si="0"/>
        <v>0.96686410995556371</v>
      </c>
      <c r="F3" s="125">
        <f t="shared" si="0"/>
        <v>0.58051952421159458</v>
      </c>
      <c r="G3" s="125">
        <f t="shared" si="0"/>
        <v>2.8200614138726241</v>
      </c>
      <c r="H3" s="125">
        <f t="shared" si="0"/>
        <v>1.7622469678443535</v>
      </c>
      <c r="I3" s="125">
        <f t="shared" si="0"/>
        <v>1.912842751668653</v>
      </c>
      <c r="J3" s="125">
        <f t="shared" si="0"/>
        <v>3.3277836028405776</v>
      </c>
      <c r="K3" s="125">
        <f t="shared" si="0"/>
        <v>0.59091763125077046</v>
      </c>
      <c r="L3" s="125">
        <f t="shared" si="0"/>
        <v>1.2056198109446967</v>
      </c>
      <c r="M3" s="125">
        <f t="shared" si="0"/>
        <v>1.7463376000054585</v>
      </c>
      <c r="N3" s="125">
        <f t="shared" si="0"/>
        <v>3.0707328712067046</v>
      </c>
      <c r="O3" s="125">
        <f t="shared" si="0"/>
        <v>1.9428492430417161</v>
      </c>
      <c r="P3" s="125">
        <f t="shared" si="0"/>
        <v>2.4074655460416419</v>
      </c>
      <c r="Q3" s="125">
        <f t="shared" si="0"/>
        <v>2.4613227021996695</v>
      </c>
      <c r="R3" s="125">
        <f t="shared" ref="R3:W3" si="1">SUM(R4,R16,R19,R29)</f>
        <v>2.3232214639042725</v>
      </c>
      <c r="S3" s="125">
        <f t="shared" si="1"/>
        <v>2.5372483544371294</v>
      </c>
      <c r="T3" s="125">
        <f t="shared" si="1"/>
        <v>2.1977611120311789</v>
      </c>
      <c r="U3" s="125">
        <f t="shared" si="1"/>
        <v>1.8460072021130989</v>
      </c>
      <c r="V3" s="125">
        <f t="shared" si="1"/>
        <v>1.3399078568739566</v>
      </c>
      <c r="W3" s="125">
        <f t="shared" si="1"/>
        <v>1.2751170485827004</v>
      </c>
      <c r="X3" s="125">
        <f t="shared" ref="X3:Y3" si="2">SUM(X4,X16,X19,X29)</f>
        <v>1.2311904036184131</v>
      </c>
      <c r="Y3" s="125">
        <f t="shared" si="2"/>
        <v>1.2537254955531179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0.99835427633729945</v>
      </c>
      <c r="D4" s="130">
        <f t="shared" si="3"/>
        <v>0.64316032821426727</v>
      </c>
      <c r="E4" s="130">
        <f t="shared" si="3"/>
        <v>0.44565356602601064</v>
      </c>
      <c r="F4" s="130">
        <f t="shared" si="3"/>
        <v>0.27929176357497554</v>
      </c>
      <c r="G4" s="130">
        <f t="shared" si="3"/>
        <v>1.6575875814493339</v>
      </c>
      <c r="H4" s="130">
        <f t="shared" si="3"/>
        <v>0.72787290577440822</v>
      </c>
      <c r="I4" s="130">
        <f t="shared" si="3"/>
        <v>0.80166530284783499</v>
      </c>
      <c r="J4" s="130">
        <f t="shared" si="3"/>
        <v>1.3676474506120875</v>
      </c>
      <c r="K4" s="130">
        <f t="shared" si="3"/>
        <v>0.17973298777267177</v>
      </c>
      <c r="L4" s="130">
        <f t="shared" si="3"/>
        <v>0.66065603589128585</v>
      </c>
      <c r="M4" s="130">
        <f t="shared" si="3"/>
        <v>0.87832506813706068</v>
      </c>
      <c r="N4" s="130">
        <f t="shared" si="3"/>
        <v>1.5607701044256361</v>
      </c>
      <c r="O4" s="130">
        <f t="shared" si="3"/>
        <v>1.0354271373758308</v>
      </c>
      <c r="P4" s="130">
        <f t="shared" si="3"/>
        <v>1.2211988997571075</v>
      </c>
      <c r="Q4" s="130">
        <f t="shared" si="3"/>
        <v>1.3016583388377898</v>
      </c>
      <c r="R4" s="130">
        <f t="shared" ref="R4:W4" si="4">SUM(R5:R15)</f>
        <v>1.1524319952798883</v>
      </c>
      <c r="S4" s="130">
        <f t="shared" si="4"/>
        <v>1.2778034493956472</v>
      </c>
      <c r="T4" s="130">
        <f t="shared" si="4"/>
        <v>0.95851245975993116</v>
      </c>
      <c r="U4" s="130">
        <f t="shared" si="4"/>
        <v>0.68875300721234922</v>
      </c>
      <c r="V4" s="130">
        <f t="shared" si="4"/>
        <v>0.34560845950170777</v>
      </c>
      <c r="W4" s="130">
        <f t="shared" si="4"/>
        <v>0.28979785730393043</v>
      </c>
      <c r="X4" s="130">
        <f t="shared" ref="X4:Y4" si="5">SUM(X5:X15)</f>
        <v>0.26101899006349788</v>
      </c>
      <c r="Y4" s="130">
        <f t="shared" si="5"/>
        <v>0.2716053442612465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1.8942458117570598E-2</v>
      </c>
      <c r="D6" s="132">
        <v>2.4226676700657097E-2</v>
      </c>
      <c r="E6" s="132">
        <v>1.3406244451502734E-2</v>
      </c>
      <c r="F6" s="132">
        <v>2.0529873585674568E-2</v>
      </c>
      <c r="G6" s="132">
        <v>5.2140761819416674E-2</v>
      </c>
      <c r="H6" s="132">
        <v>5.2578574265687066E-2</v>
      </c>
      <c r="I6" s="132">
        <v>4.7262732265659156E-2</v>
      </c>
      <c r="J6" s="132">
        <v>3.8272280461722465E-2</v>
      </c>
      <c r="K6" s="132">
        <v>7.433813664766557E-3</v>
      </c>
      <c r="L6" s="132">
        <v>4.8127591743707711E-2</v>
      </c>
      <c r="M6" s="132">
        <v>6.4482921379232144E-2</v>
      </c>
      <c r="N6" s="132">
        <v>5.5378432872704074E-2</v>
      </c>
      <c r="O6" s="132">
        <v>0</v>
      </c>
      <c r="P6" s="132">
        <v>1.0514685312954922E-2</v>
      </c>
      <c r="Q6" s="132">
        <v>3.3276259679261067E-2</v>
      </c>
      <c r="R6" s="132">
        <v>3.6189187559559036E-2</v>
      </c>
      <c r="S6" s="132">
        <v>5.2914392758002415E-2</v>
      </c>
      <c r="T6" s="132">
        <v>8.1951461747488991E-2</v>
      </c>
      <c r="U6" s="132">
        <v>7.7604626401484619E-2</v>
      </c>
      <c r="V6" s="132">
        <v>3.9110251511976057E-2</v>
      </c>
      <c r="W6" s="132">
        <v>1.423551894111582E-2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0.4836153015376583</v>
      </c>
      <c r="D7" s="132">
        <v>0.32052183602714512</v>
      </c>
      <c r="E7" s="132">
        <v>0.16658016845212115</v>
      </c>
      <c r="F7" s="132">
        <v>1.2970558069998063E-2</v>
      </c>
      <c r="G7" s="132">
        <v>6.9814775320182057E-2</v>
      </c>
      <c r="H7" s="132">
        <v>0.40999387399319454</v>
      </c>
      <c r="I7" s="132">
        <v>0.58584318155446935</v>
      </c>
      <c r="J7" s="132">
        <v>0.98429195134101055</v>
      </c>
      <c r="K7" s="132">
        <v>0</v>
      </c>
      <c r="L7" s="132">
        <v>0</v>
      </c>
      <c r="M7" s="132">
        <v>0.14111177082729612</v>
      </c>
      <c r="N7" s="132">
        <v>0.89120490723435064</v>
      </c>
      <c r="O7" s="132">
        <v>0.55632765906360848</v>
      </c>
      <c r="P7" s="132">
        <v>0.93896304894640215</v>
      </c>
      <c r="Q7" s="132">
        <v>0.58943508132747535</v>
      </c>
      <c r="R7" s="132">
        <v>7.6746733899718131E-2</v>
      </c>
      <c r="S7" s="132">
        <v>0</v>
      </c>
      <c r="T7" s="132">
        <v>0</v>
      </c>
      <c r="U7" s="132">
        <v>0</v>
      </c>
      <c r="V7" s="132">
        <v>0</v>
      </c>
      <c r="W7" s="132">
        <v>6.9924364461184552E-2</v>
      </c>
      <c r="X7" s="132">
        <v>6.3406421813486186E-2</v>
      </c>
      <c r="Y7" s="132">
        <v>1.0601091635204151E-2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0.20196134832979806</v>
      </c>
      <c r="N9" s="132">
        <v>5.5476762720917651E-2</v>
      </c>
      <c r="O9" s="132">
        <v>4.9480389806451602E-4</v>
      </c>
      <c r="P9" s="132">
        <v>0</v>
      </c>
      <c r="Q9" s="132">
        <v>0</v>
      </c>
      <c r="R9" s="132">
        <v>2.0608765661120415E-3</v>
      </c>
      <c r="S9" s="132">
        <v>0</v>
      </c>
      <c r="T9" s="132">
        <v>7.407517679946185E-3</v>
      </c>
      <c r="U9" s="132">
        <v>1.8888627484144591E-2</v>
      </c>
      <c r="V9" s="132">
        <v>5.1575688038885807E-5</v>
      </c>
      <c r="W9" s="132">
        <v>2.4145328705841955E-3</v>
      </c>
      <c r="X9" s="132">
        <v>6.3077557793607356E-3</v>
      </c>
      <c r="Y9" s="132">
        <v>1.1533802946946864E-2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3.0552153320868424E-2</v>
      </c>
      <c r="N12" s="132">
        <v>4.6872059844414374E-4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6.7961185356805037E-3</v>
      </c>
      <c r="D13" s="132">
        <v>7.0846398676133217E-3</v>
      </c>
      <c r="E13" s="132">
        <v>6.0182791589330166E-3</v>
      </c>
      <c r="F13" s="132">
        <v>4.6190567701797358E-3</v>
      </c>
      <c r="G13" s="132">
        <v>2.2895949562072145E-2</v>
      </c>
      <c r="H13" s="132">
        <v>2.8937139869828672E-2</v>
      </c>
      <c r="I13" s="132">
        <v>4.59602600924865E-2</v>
      </c>
      <c r="J13" s="132">
        <v>6.8406229980493991E-2</v>
      </c>
      <c r="K13" s="132">
        <v>9.9737876022071778E-3</v>
      </c>
      <c r="L13" s="132">
        <v>1.9997842169431805E-3</v>
      </c>
      <c r="M13" s="132">
        <v>8.8994801405531537E-3</v>
      </c>
      <c r="N13" s="132">
        <v>1.0554516479845209E-2</v>
      </c>
      <c r="O13" s="132">
        <v>2.4581932316951379E-2</v>
      </c>
      <c r="P13" s="132">
        <v>6.4627692462229686E-2</v>
      </c>
      <c r="Q13" s="132">
        <v>6.2798255904741099E-2</v>
      </c>
      <c r="R13" s="132">
        <v>6.5106980663416802E-2</v>
      </c>
      <c r="S13" s="132">
        <v>4.539695445283308E-2</v>
      </c>
      <c r="T13" s="132">
        <v>5.2039117293858364E-2</v>
      </c>
      <c r="U13" s="132">
        <v>5.6008981463033188E-2</v>
      </c>
      <c r="V13" s="132">
        <v>7.9768363286028612E-2</v>
      </c>
      <c r="W13" s="132">
        <v>4.376966415831033E-2</v>
      </c>
      <c r="X13" s="132">
        <v>1.8155607554991352E-2</v>
      </c>
      <c r="Y13" s="132">
        <v>1.4688332670450482E-2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0.48300145286860835</v>
      </c>
      <c r="D14" s="65">
        <v>0.28726354145398447</v>
      </c>
      <c r="E14" s="65">
        <v>0.25755236228203032</v>
      </c>
      <c r="F14" s="65">
        <v>0.24078206692935353</v>
      </c>
      <c r="G14" s="65">
        <v>1.5113346233621348</v>
      </c>
      <c r="H14" s="65">
        <v>0.23112698850753544</v>
      </c>
      <c r="I14" s="65">
        <v>0.11549021199233023</v>
      </c>
      <c r="J14" s="65">
        <v>0.2652690738647977</v>
      </c>
      <c r="K14" s="65">
        <v>0.16224106177555991</v>
      </c>
      <c r="L14" s="65">
        <v>0.60998366303879581</v>
      </c>
      <c r="M14" s="65">
        <v>0.42613863539120056</v>
      </c>
      <c r="N14" s="65">
        <v>0.53615568031610228</v>
      </c>
      <c r="O14" s="65">
        <v>0.44751598200548237</v>
      </c>
      <c r="P14" s="65">
        <v>0.19562168267993732</v>
      </c>
      <c r="Q14" s="65">
        <v>0.60842803833323122</v>
      </c>
      <c r="R14" s="65">
        <v>0.97088075342368596</v>
      </c>
      <c r="S14" s="65">
        <v>1.1788173296425315</v>
      </c>
      <c r="T14" s="65">
        <v>0.81596561447168292</v>
      </c>
      <c r="U14" s="65">
        <v>0.53499319044019766</v>
      </c>
      <c r="V14" s="65">
        <v>0.22618123492611386</v>
      </c>
      <c r="W14" s="65">
        <v>0.15837088963554666</v>
      </c>
      <c r="X14" s="65">
        <v>0.17226994232761231</v>
      </c>
      <c r="Y14" s="65">
        <v>0.23448182182496938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5.9989452777818092E-3</v>
      </c>
      <c r="D15" s="134">
        <v>4.0636341648672561E-3</v>
      </c>
      <c r="E15" s="134">
        <v>2.0965116814233688E-3</v>
      </c>
      <c r="F15" s="134">
        <v>3.9020821976962217E-4</v>
      </c>
      <c r="G15" s="134">
        <v>1.4014713855283307E-3</v>
      </c>
      <c r="H15" s="134">
        <v>5.2363291381625227E-3</v>
      </c>
      <c r="I15" s="134">
        <v>7.1089169428896907E-3</v>
      </c>
      <c r="J15" s="134">
        <v>1.1407914964062802E-2</v>
      </c>
      <c r="K15" s="134">
        <v>8.4324730138114317E-5</v>
      </c>
      <c r="L15" s="134">
        <v>5.4499689183915045E-4</v>
      </c>
      <c r="M15" s="134">
        <v>5.1787587481122539E-3</v>
      </c>
      <c r="N15" s="134">
        <v>1.1531084203272179E-2</v>
      </c>
      <c r="O15" s="134">
        <v>6.506760091723799E-3</v>
      </c>
      <c r="P15" s="134">
        <v>1.1471790355583532E-2</v>
      </c>
      <c r="Q15" s="134">
        <v>7.7207035930810571E-3</v>
      </c>
      <c r="R15" s="134">
        <v>1.4474631673961293E-3</v>
      </c>
      <c r="S15" s="134">
        <v>6.7477254228031735E-4</v>
      </c>
      <c r="T15" s="134">
        <v>1.148748566954708E-3</v>
      </c>
      <c r="U15" s="134">
        <v>1.2575814234891823E-3</v>
      </c>
      <c r="V15" s="134">
        <v>4.9703408955034168E-4</v>
      </c>
      <c r="W15" s="134">
        <v>1.0828872371888426E-3</v>
      </c>
      <c r="X15" s="134">
        <v>8.7926258804733274E-4</v>
      </c>
      <c r="Y15" s="134">
        <v>3.0029518367561097E-4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0.31140711998565285</v>
      </c>
      <c r="D16" s="130">
        <f t="shared" si="6"/>
        <v>0.13049632362300786</v>
      </c>
      <c r="E16" s="130">
        <f t="shared" si="6"/>
        <v>0.12414486306132998</v>
      </c>
      <c r="F16" s="130">
        <f t="shared" si="6"/>
        <v>4.0177289943877884E-2</v>
      </c>
      <c r="G16" s="130">
        <f t="shared" si="6"/>
        <v>0.15364517043964798</v>
      </c>
      <c r="H16" s="130">
        <f t="shared" si="6"/>
        <v>0.16112344192489719</v>
      </c>
      <c r="I16" s="130">
        <f t="shared" si="6"/>
        <v>0.18139056842100393</v>
      </c>
      <c r="J16" s="130">
        <f t="shared" si="6"/>
        <v>0.27805612037475552</v>
      </c>
      <c r="K16" s="130">
        <f t="shared" si="6"/>
        <v>5.4407348299234083E-2</v>
      </c>
      <c r="L16" s="130">
        <f t="shared" si="6"/>
        <v>6.1604262520365737E-2</v>
      </c>
      <c r="M16" s="130">
        <f t="shared" si="6"/>
        <v>0.10100871158311149</v>
      </c>
      <c r="N16" s="130">
        <f t="shared" si="6"/>
        <v>0.28372931641865035</v>
      </c>
      <c r="O16" s="130">
        <f t="shared" si="6"/>
        <v>0.12028192930837914</v>
      </c>
      <c r="P16" s="130">
        <f t="shared" si="6"/>
        <v>0.15645649895208846</v>
      </c>
      <c r="Q16" s="130">
        <f t="shared" si="6"/>
        <v>0.15548659032913029</v>
      </c>
      <c r="R16" s="130">
        <f t="shared" ref="R16:W16" si="7">SUM(R17:R18)</f>
        <v>0.13003788706371983</v>
      </c>
      <c r="S16" s="130">
        <f t="shared" si="7"/>
        <v>0.15546067263009905</v>
      </c>
      <c r="T16" s="130">
        <f t="shared" si="7"/>
        <v>0.12999970869959546</v>
      </c>
      <c r="U16" s="130">
        <f t="shared" si="7"/>
        <v>0.1617938935853801</v>
      </c>
      <c r="V16" s="130">
        <f t="shared" si="7"/>
        <v>0.11688344486454652</v>
      </c>
      <c r="W16" s="130">
        <f t="shared" si="7"/>
        <v>0.11943290443444175</v>
      </c>
      <c r="X16" s="130">
        <f t="shared" ref="X16:Y16" si="8">SUM(X17:X18)</f>
        <v>0.10320698003717722</v>
      </c>
      <c r="Y16" s="130">
        <f t="shared" si="8"/>
        <v>9.2345988639931417E-2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0.31140711998565285</v>
      </c>
      <c r="D18" s="132">
        <v>0.13049632362300786</v>
      </c>
      <c r="E18" s="132">
        <v>0.12414486306132998</v>
      </c>
      <c r="F18" s="132">
        <v>4.0177289943877884E-2</v>
      </c>
      <c r="G18" s="132">
        <v>0.15364517043964798</v>
      </c>
      <c r="H18" s="132">
        <v>0.16112344192489719</v>
      </c>
      <c r="I18" s="132">
        <v>0.18139056842100393</v>
      </c>
      <c r="J18" s="132">
        <v>0.27805612037475552</v>
      </c>
      <c r="K18" s="132">
        <v>5.4407348299234083E-2</v>
      </c>
      <c r="L18" s="132">
        <v>6.1604262520365737E-2</v>
      </c>
      <c r="M18" s="132">
        <v>0.10100871158311149</v>
      </c>
      <c r="N18" s="132">
        <v>0.28372931641865035</v>
      </c>
      <c r="O18" s="132">
        <v>0.12028192930837914</v>
      </c>
      <c r="P18" s="132">
        <v>0.15645649895208846</v>
      </c>
      <c r="Q18" s="132">
        <v>0.15548659032913029</v>
      </c>
      <c r="R18" s="132">
        <v>0.13003788706371983</v>
      </c>
      <c r="S18" s="132">
        <v>0.15546067263009905</v>
      </c>
      <c r="T18" s="132">
        <v>0.12999970869959546</v>
      </c>
      <c r="U18" s="132">
        <v>0.1617938935853801</v>
      </c>
      <c r="V18" s="132">
        <v>0.11688344486454652</v>
      </c>
      <c r="W18" s="132">
        <v>0.11943290443444175</v>
      </c>
      <c r="X18" s="132">
        <v>0.10320698003717722</v>
      </c>
      <c r="Y18" s="132">
        <v>9.2345988639931417E-2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0.47779384401928865</v>
      </c>
      <c r="D19" s="130">
        <f t="shared" si="9"/>
        <v>0.27368129807882097</v>
      </c>
      <c r="E19" s="130">
        <f t="shared" si="9"/>
        <v>0.17925175142397021</v>
      </c>
      <c r="F19" s="130">
        <f t="shared" si="9"/>
        <v>0.11691358877890975</v>
      </c>
      <c r="G19" s="130">
        <f t="shared" si="9"/>
        <v>0.4474131695089858</v>
      </c>
      <c r="H19" s="130">
        <f t="shared" si="9"/>
        <v>0.39098139223202333</v>
      </c>
      <c r="I19" s="130">
        <f t="shared" si="9"/>
        <v>0.40452557171858694</v>
      </c>
      <c r="J19" s="130">
        <f t="shared" si="9"/>
        <v>0.71352005679027009</v>
      </c>
      <c r="K19" s="130">
        <f t="shared" si="9"/>
        <v>0.14258456980407005</v>
      </c>
      <c r="L19" s="130">
        <f t="shared" si="9"/>
        <v>0.21406720158296771</v>
      </c>
      <c r="M19" s="130">
        <f t="shared" si="9"/>
        <v>0.33429350451752848</v>
      </c>
      <c r="N19" s="130">
        <f t="shared" si="9"/>
        <v>0.53697587274438152</v>
      </c>
      <c r="O19" s="130">
        <f t="shared" si="9"/>
        <v>0.33783417926461068</v>
      </c>
      <c r="P19" s="130">
        <f t="shared" si="9"/>
        <v>0.42827661984971105</v>
      </c>
      <c r="Q19" s="130">
        <f t="shared" si="9"/>
        <v>0.39745689635373804</v>
      </c>
      <c r="R19" s="130">
        <f t="shared" ref="R19:W19" si="10">SUM(R20:R27)</f>
        <v>0.4120616243729166</v>
      </c>
      <c r="S19" s="130">
        <f t="shared" si="10"/>
        <v>0.41810944663237926</v>
      </c>
      <c r="T19" s="130">
        <f t="shared" si="10"/>
        <v>0.4005188711856234</v>
      </c>
      <c r="U19" s="130">
        <f t="shared" si="10"/>
        <v>0.37297445422991016</v>
      </c>
      <c r="V19" s="130">
        <f t="shared" si="10"/>
        <v>0.34176322644535667</v>
      </c>
      <c r="W19" s="130">
        <f t="shared" si="10"/>
        <v>0.32897068092098541</v>
      </c>
      <c r="X19" s="130">
        <f t="shared" ref="X19:Y19" si="11">SUM(X20:X27)</f>
        <v>0.31469603721593836</v>
      </c>
      <c r="Y19" s="130">
        <f t="shared" si="11"/>
        <v>0.3202363958040661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2.9293857863875283E-2</v>
      </c>
      <c r="D21" s="132">
        <v>1.2597699511294205E-2</v>
      </c>
      <c r="E21" s="132">
        <v>1.1535823262254713E-2</v>
      </c>
      <c r="F21" s="132">
        <v>1.2134972472515982E-2</v>
      </c>
      <c r="G21" s="132">
        <v>7.791946048203055E-2</v>
      </c>
      <c r="H21" s="132">
        <v>9.6131209846366222E-2</v>
      </c>
      <c r="I21" s="132">
        <v>6.1385051279011414E-2</v>
      </c>
      <c r="J21" s="132">
        <v>8.4817123395748359E-2</v>
      </c>
      <c r="K21" s="132">
        <v>1.6691101225108224E-2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1.1696308750495247E-2</v>
      </c>
      <c r="T21" s="132">
        <v>1.6333177901708931E-2</v>
      </c>
      <c r="U21" s="132">
        <v>1.0809976748080961E-2</v>
      </c>
      <c r="V21" s="132">
        <v>8.9791092817977231E-3</v>
      </c>
      <c r="W21" s="132">
        <v>1.5288067178522399E-2</v>
      </c>
      <c r="X21" s="132">
        <v>5.8547405642040244E-3</v>
      </c>
      <c r="Y21" s="132">
        <v>7.0691684916827915E-3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0</v>
      </c>
      <c r="D23" s="132">
        <v>0</v>
      </c>
      <c r="E23" s="132">
        <v>0</v>
      </c>
      <c r="F23" s="132">
        <v>0</v>
      </c>
      <c r="G23" s="132">
        <v>0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32">
        <v>0</v>
      </c>
      <c r="Y23" s="132">
        <v>0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9.2508371038470467E-4</v>
      </c>
      <c r="N25" s="132">
        <v>2.3517767309259407E-4</v>
      </c>
      <c r="O25" s="132">
        <v>1.086684079895156E-4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0.44849998615541337</v>
      </c>
      <c r="D26" s="65">
        <v>0.26108359856752678</v>
      </c>
      <c r="E26" s="65">
        <v>0.16771592816171549</v>
      </c>
      <c r="F26" s="65">
        <v>0.10477861630639378</v>
      </c>
      <c r="G26" s="65">
        <v>0.36949370902695522</v>
      </c>
      <c r="H26" s="65">
        <v>0.29485018238565713</v>
      </c>
      <c r="I26" s="65">
        <v>0.34314052043957555</v>
      </c>
      <c r="J26" s="65">
        <v>0.62870293339452177</v>
      </c>
      <c r="K26" s="65">
        <v>0.12589346857896183</v>
      </c>
      <c r="L26" s="65">
        <v>0.21406720158296771</v>
      </c>
      <c r="M26" s="65">
        <v>0.33336842080714379</v>
      </c>
      <c r="N26" s="65">
        <v>0.53674069507128896</v>
      </c>
      <c r="O26" s="65">
        <v>0.33772551085662117</v>
      </c>
      <c r="P26" s="65">
        <v>0.42827661984971105</v>
      </c>
      <c r="Q26" s="65">
        <v>0.39745689635373804</v>
      </c>
      <c r="R26" s="65">
        <v>0.4120616243729166</v>
      </c>
      <c r="S26" s="65">
        <v>0.40641313788188399</v>
      </c>
      <c r="T26" s="65">
        <v>0.3841856932839145</v>
      </c>
      <c r="U26" s="65">
        <v>0.36216447748182917</v>
      </c>
      <c r="V26" s="65">
        <v>0.33278411716355893</v>
      </c>
      <c r="W26" s="65">
        <v>0.31368261374246303</v>
      </c>
      <c r="X26" s="65">
        <v>0.30884129665173432</v>
      </c>
      <c r="Y26" s="65">
        <v>0.31316722731238333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0.56392838923530708</v>
      </c>
      <c r="D29" s="130">
        <f t="shared" si="12"/>
        <v>0.32909208369388321</v>
      </c>
      <c r="E29" s="130">
        <f t="shared" si="12"/>
        <v>0.21781392944425296</v>
      </c>
      <c r="F29" s="130">
        <f t="shared" si="12"/>
        <v>0.1441368819138315</v>
      </c>
      <c r="G29" s="130">
        <f t="shared" si="12"/>
        <v>0.56141549247465661</v>
      </c>
      <c r="H29" s="130">
        <f t="shared" si="12"/>
        <v>0.48226922791302468</v>
      </c>
      <c r="I29" s="130">
        <f t="shared" si="12"/>
        <v>0.52526130868122711</v>
      </c>
      <c r="J29" s="130">
        <f t="shared" si="12"/>
        <v>0.96855997506346481</v>
      </c>
      <c r="K29" s="130">
        <f t="shared" si="12"/>
        <v>0.21419272537479461</v>
      </c>
      <c r="L29" s="130">
        <f t="shared" si="12"/>
        <v>0.26929231095007722</v>
      </c>
      <c r="M29" s="130">
        <f t="shared" si="12"/>
        <v>0.43271031576775765</v>
      </c>
      <c r="N29" s="130">
        <f t="shared" si="12"/>
        <v>0.68925757761803652</v>
      </c>
      <c r="O29" s="130">
        <f t="shared" si="12"/>
        <v>0.44930599709289537</v>
      </c>
      <c r="P29" s="130">
        <f t="shared" si="12"/>
        <v>0.60153352748273481</v>
      </c>
      <c r="Q29" s="130">
        <f t="shared" si="12"/>
        <v>0.60672087667901131</v>
      </c>
      <c r="R29" s="130">
        <f t="shared" ref="R29:W29" si="13">SUM(R30:R33)</f>
        <v>0.62868995718774801</v>
      </c>
      <c r="S29" s="130">
        <f t="shared" si="13"/>
        <v>0.68587478577900352</v>
      </c>
      <c r="T29" s="130">
        <f t="shared" si="13"/>
        <v>0.70873007238602892</v>
      </c>
      <c r="U29" s="130">
        <f t="shared" si="13"/>
        <v>0.62248584708545929</v>
      </c>
      <c r="V29" s="130">
        <f t="shared" si="13"/>
        <v>0.5356527260623456</v>
      </c>
      <c r="W29" s="130">
        <f t="shared" si="13"/>
        <v>0.53691560592334286</v>
      </c>
      <c r="X29" s="130">
        <f t="shared" ref="X29:Y29" si="14">SUM(X30:X33)</f>
        <v>0.5522683963017998</v>
      </c>
      <c r="Y29" s="130">
        <f t="shared" si="14"/>
        <v>0.56953776684787372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3.8486256951679239E-2</v>
      </c>
      <c r="D30" s="132">
        <v>3.4788872702705656E-2</v>
      </c>
      <c r="E30" s="132">
        <v>1.5866360456687465E-2</v>
      </c>
      <c r="F30" s="132">
        <v>1.6769384655657821E-2</v>
      </c>
      <c r="G30" s="132">
        <v>8.2477125736355475E-2</v>
      </c>
      <c r="H30" s="132">
        <v>0.17654314582836111</v>
      </c>
      <c r="I30" s="132">
        <v>0.21454369834036321</v>
      </c>
      <c r="J30" s="132">
        <v>0.38394718548771423</v>
      </c>
      <c r="K30" s="132">
        <v>0.11933295465817517</v>
      </c>
      <c r="L30" s="132">
        <v>3.5405047293338134E-2</v>
      </c>
      <c r="M30" s="132">
        <v>0.10109945637233678</v>
      </c>
      <c r="N30" s="132">
        <v>5.6738204227168548E-2</v>
      </c>
      <c r="O30" s="132">
        <v>8.5831831021264474E-2</v>
      </c>
      <c r="P30" s="132">
        <v>0.10849867114286431</v>
      </c>
      <c r="Q30" s="132">
        <v>0.19983878980932901</v>
      </c>
      <c r="R30" s="132">
        <v>0.1881377710136635</v>
      </c>
      <c r="S30" s="132">
        <v>0.35813859946194981</v>
      </c>
      <c r="T30" s="132">
        <v>0.4101082946268928</v>
      </c>
      <c r="U30" s="132">
        <v>0.25939636988018072</v>
      </c>
      <c r="V30" s="132">
        <v>0.16380012713001596</v>
      </c>
      <c r="W30" s="132">
        <v>0.14274244665094446</v>
      </c>
      <c r="X30" s="132">
        <v>0.2148773092456884</v>
      </c>
      <c r="Y30" s="132">
        <v>0.24660186053147573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</v>
      </c>
      <c r="D31" s="132">
        <v>0</v>
      </c>
      <c r="E31" s="132">
        <v>0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0.52544213228362779</v>
      </c>
      <c r="D33" s="68">
        <v>0.29430321099117757</v>
      </c>
      <c r="E33" s="68">
        <v>0.2019475689875655</v>
      </c>
      <c r="F33" s="68">
        <v>0.12736749725817367</v>
      </c>
      <c r="G33" s="68">
        <v>0.47893836673830109</v>
      </c>
      <c r="H33" s="68">
        <v>0.30572608208466356</v>
      </c>
      <c r="I33" s="68">
        <v>0.31071761034086387</v>
      </c>
      <c r="J33" s="68">
        <v>0.58461278957575058</v>
      </c>
      <c r="K33" s="68">
        <v>9.4859770716619427E-2</v>
      </c>
      <c r="L33" s="68">
        <v>0.23388726365673906</v>
      </c>
      <c r="M33" s="68">
        <v>0.33161085939542084</v>
      </c>
      <c r="N33" s="68">
        <v>0.63251937339086794</v>
      </c>
      <c r="O33" s="68">
        <v>0.36347416607163091</v>
      </c>
      <c r="P33" s="68">
        <v>0.49303485633987054</v>
      </c>
      <c r="Q33" s="68">
        <v>0.4068820868696823</v>
      </c>
      <c r="R33" s="68">
        <v>0.44055218617408448</v>
      </c>
      <c r="S33" s="68">
        <v>0.3277361863170537</v>
      </c>
      <c r="T33" s="68">
        <v>0.29862177775913612</v>
      </c>
      <c r="U33" s="68">
        <v>0.36308947720527857</v>
      </c>
      <c r="V33" s="68">
        <v>0.37185259893232964</v>
      </c>
      <c r="W33" s="68">
        <v>0.39417315927239843</v>
      </c>
      <c r="X33" s="68">
        <v>0.33739108705611137</v>
      </c>
      <c r="Y33" s="68">
        <v>0.32293590631639796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2.0431535135301475</v>
      </c>
      <c r="D3" s="125">
        <f t="shared" si="0"/>
        <v>1.1207394782989006</v>
      </c>
      <c r="E3" s="125">
        <f t="shared" si="0"/>
        <v>0.86922967821805897</v>
      </c>
      <c r="F3" s="125">
        <f t="shared" si="0"/>
        <v>0.4563368739135325</v>
      </c>
      <c r="G3" s="125">
        <f t="shared" si="0"/>
        <v>2.1414306868835329</v>
      </c>
      <c r="H3" s="125">
        <f t="shared" si="0"/>
        <v>1.5263160543744996</v>
      </c>
      <c r="I3" s="125">
        <f t="shared" si="0"/>
        <v>1.7298864318697156</v>
      </c>
      <c r="J3" s="125">
        <f t="shared" si="0"/>
        <v>2.9501041594554613</v>
      </c>
      <c r="K3" s="125">
        <f t="shared" si="0"/>
        <v>0.53377317291624005</v>
      </c>
      <c r="L3" s="125">
        <f t="shared" si="0"/>
        <v>0.95938552642475905</v>
      </c>
      <c r="M3" s="125">
        <f t="shared" si="0"/>
        <v>1.49791022337149</v>
      </c>
      <c r="N3" s="125">
        <f t="shared" si="0"/>
        <v>2.9979060500903238</v>
      </c>
      <c r="O3" s="125">
        <f t="shared" si="0"/>
        <v>1.7812671708883152</v>
      </c>
      <c r="P3" s="125">
        <f t="shared" si="0"/>
        <v>2.4266416979701235</v>
      </c>
      <c r="Q3" s="125">
        <f t="shared" si="0"/>
        <v>2.4712922454992108</v>
      </c>
      <c r="R3" s="125">
        <f t="shared" ref="R3:W3" si="1">SUM(R4,R16,R19,R29)</f>
        <v>2.3111442591348323</v>
      </c>
      <c r="S3" s="125">
        <f t="shared" si="1"/>
        <v>2.5188200305453319</v>
      </c>
      <c r="T3" s="125">
        <f t="shared" si="1"/>
        <v>2.2457855571270922</v>
      </c>
      <c r="U3" s="125">
        <f t="shared" si="1"/>
        <v>2.1951731501888938</v>
      </c>
      <c r="V3" s="125">
        <f t="shared" si="1"/>
        <v>1.7457987221433791</v>
      </c>
      <c r="W3" s="125">
        <f t="shared" si="1"/>
        <v>1.6157146461766527</v>
      </c>
      <c r="X3" s="125">
        <f t="shared" ref="X3:Y3" si="2">SUM(X4,X16,X19,X29)</f>
        <v>1.4308334547327914</v>
      </c>
      <c r="Y3" s="125">
        <f t="shared" si="2"/>
        <v>1.4000427978458907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0.61100004496751392</v>
      </c>
      <c r="D4" s="130">
        <f t="shared" si="3"/>
        <v>0.40053170796494053</v>
      </c>
      <c r="E4" s="130">
        <f t="shared" si="3"/>
        <v>0.28021898514078064</v>
      </c>
      <c r="F4" s="130">
        <f t="shared" si="3"/>
        <v>0.17707262978591451</v>
      </c>
      <c r="G4" s="130">
        <f t="shared" si="3"/>
        <v>1.0520802029791392</v>
      </c>
      <c r="H4" s="130">
        <f t="shared" si="3"/>
        <v>0.50330907502455102</v>
      </c>
      <c r="I4" s="130">
        <f t="shared" si="3"/>
        <v>0.58644232970933974</v>
      </c>
      <c r="J4" s="130">
        <f t="shared" si="3"/>
        <v>0.9958991151953146</v>
      </c>
      <c r="K4" s="130">
        <f t="shared" si="3"/>
        <v>0.13203678772035393</v>
      </c>
      <c r="L4" s="130">
        <f t="shared" si="3"/>
        <v>0.42539063368905028</v>
      </c>
      <c r="M4" s="130">
        <f t="shared" si="3"/>
        <v>0.628191089645594</v>
      </c>
      <c r="N4" s="130">
        <f t="shared" si="3"/>
        <v>1.0805261849062318</v>
      </c>
      <c r="O4" s="130">
        <f t="shared" si="3"/>
        <v>0.76525222548037763</v>
      </c>
      <c r="P4" s="130">
        <f t="shared" si="3"/>
        <v>1.0526960157503562</v>
      </c>
      <c r="Q4" s="130">
        <f t="shared" si="3"/>
        <v>1.0983213150990074</v>
      </c>
      <c r="R4" s="130">
        <f t="shared" ref="R4:W4" si="4">SUM(R5:R15)</f>
        <v>0.9840211964483101</v>
      </c>
      <c r="S4" s="130">
        <f t="shared" si="4"/>
        <v>1.03889771452699</v>
      </c>
      <c r="T4" s="130">
        <f t="shared" si="4"/>
        <v>0.86792078673729367</v>
      </c>
      <c r="U4" s="130">
        <f t="shared" si="4"/>
        <v>0.70349621788726768</v>
      </c>
      <c r="V4" s="130">
        <f t="shared" si="4"/>
        <v>0.52228443837468164</v>
      </c>
      <c r="W4" s="130">
        <f t="shared" si="4"/>
        <v>0.37032416223835984</v>
      </c>
      <c r="X4" s="130">
        <f t="shared" ref="X4:Y4" si="5">SUM(X5:X15)</f>
        <v>0.26960511602495424</v>
      </c>
      <c r="Y4" s="130">
        <f t="shared" si="5"/>
        <v>0.2727562727964235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1.1769146420251838E-2</v>
      </c>
      <c r="D6" s="132">
        <v>1.5156303979299913E-2</v>
      </c>
      <c r="E6" s="132">
        <v>8.4476232201995786E-3</v>
      </c>
      <c r="F6" s="132">
        <v>1.3028737665984334E-2</v>
      </c>
      <c r="G6" s="132">
        <v>3.3334730402391356E-2</v>
      </c>
      <c r="H6" s="132">
        <v>3.3870640194624602E-2</v>
      </c>
      <c r="I6" s="132">
        <v>3.0686890110409291E-2</v>
      </c>
      <c r="J6" s="132">
        <v>2.5061473022669326E-2</v>
      </c>
      <c r="K6" s="132">
        <v>4.9136618697906247E-3</v>
      </c>
      <c r="L6" s="132">
        <v>3.2140932636075772E-2</v>
      </c>
      <c r="M6" s="132">
        <v>4.3861470703868304E-2</v>
      </c>
      <c r="N6" s="132">
        <v>3.8741071915205108E-2</v>
      </c>
      <c r="O6" s="132">
        <v>0</v>
      </c>
      <c r="P6" s="132">
        <v>7.9690712930177987E-3</v>
      </c>
      <c r="Q6" s="132">
        <v>2.6049888771074246E-2</v>
      </c>
      <c r="R6" s="132">
        <v>2.8671684428029403E-2</v>
      </c>
      <c r="S6" s="132">
        <v>4.2152062488315933E-2</v>
      </c>
      <c r="T6" s="132">
        <v>6.539593664928417E-2</v>
      </c>
      <c r="U6" s="132">
        <v>6.1963082186776298E-2</v>
      </c>
      <c r="V6" s="132">
        <v>3.1287366658164485E-2</v>
      </c>
      <c r="W6" s="132">
        <v>1.142171102856394E-2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0.29454683226707423</v>
      </c>
      <c r="D7" s="132">
        <v>0.19653332911776708</v>
      </c>
      <c r="E7" s="132">
        <v>0.10286335452721279</v>
      </c>
      <c r="F7" s="132">
        <v>8.0652329494180809E-3</v>
      </c>
      <c r="G7" s="132">
        <v>4.3725953403180799E-2</v>
      </c>
      <c r="H7" s="132">
        <v>0.25869798388532694</v>
      </c>
      <c r="I7" s="132">
        <v>0.37251441531509943</v>
      </c>
      <c r="J7" s="132">
        <v>0.6310957737864531</v>
      </c>
      <c r="K7" s="132">
        <v>0</v>
      </c>
      <c r="L7" s="132">
        <v>0</v>
      </c>
      <c r="M7" s="132">
        <v>9.3908929134080263E-2</v>
      </c>
      <c r="N7" s="132">
        <v>0.60963221357007491</v>
      </c>
      <c r="O7" s="132">
        <v>0.3950065964504374</v>
      </c>
      <c r="P7" s="132">
        <v>0.69479103112476237</v>
      </c>
      <c r="Q7" s="132">
        <v>0.45024328238544703</v>
      </c>
      <c r="R7" s="132">
        <v>5.9322224196153427E-2</v>
      </c>
      <c r="S7" s="132">
        <v>0</v>
      </c>
      <c r="T7" s="132">
        <v>0</v>
      </c>
      <c r="U7" s="132">
        <v>0</v>
      </c>
      <c r="V7" s="132">
        <v>0</v>
      </c>
      <c r="W7" s="132">
        <v>5.4676703686772909E-2</v>
      </c>
      <c r="X7" s="132">
        <v>4.9641636074498008E-2</v>
      </c>
      <c r="Y7" s="132">
        <v>8.306317580134304E-3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0.16509343228107937</v>
      </c>
      <c r="N9" s="132">
        <v>4.6014436742028958E-2</v>
      </c>
      <c r="O9" s="132">
        <v>4.1883511924327698E-4</v>
      </c>
      <c r="P9" s="132">
        <v>0</v>
      </c>
      <c r="Q9" s="132">
        <v>0</v>
      </c>
      <c r="R9" s="132">
        <v>1.8382934392116542E-3</v>
      </c>
      <c r="S9" s="132">
        <v>0</v>
      </c>
      <c r="T9" s="132">
        <v>6.6952921796102601E-3</v>
      </c>
      <c r="U9" s="132">
        <v>1.715960181502086E-2</v>
      </c>
      <c r="V9" s="132">
        <v>4.7070203378308858E-5</v>
      </c>
      <c r="W9" s="132">
        <v>2.2111160734962733E-3</v>
      </c>
      <c r="X9" s="132">
        <v>5.7886048098938769E-3</v>
      </c>
      <c r="Y9" s="132">
        <v>1.0599829020163881E-2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2.3723249952794557E-2</v>
      </c>
      <c r="N12" s="132">
        <v>3.6653836851251843E-4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1.1539781339247109E-2</v>
      </c>
      <c r="D13" s="132">
        <v>1.2682095174626123E-2</v>
      </c>
      <c r="E13" s="132">
        <v>1.1336758996586749E-2</v>
      </c>
      <c r="F13" s="132">
        <v>9.136524204004794E-3</v>
      </c>
      <c r="G13" s="132">
        <v>4.74807526532076E-2</v>
      </c>
      <c r="H13" s="132">
        <v>6.281931804214845E-2</v>
      </c>
      <c r="I13" s="132">
        <v>0.10431101805877446</v>
      </c>
      <c r="J13" s="132">
        <v>0.16217088634305307</v>
      </c>
      <c r="K13" s="132">
        <v>2.4684486989286571E-2</v>
      </c>
      <c r="L13" s="132">
        <v>5.1644117044648196E-3</v>
      </c>
      <c r="M13" s="132">
        <v>2.4153134726520677E-2</v>
      </c>
      <c r="N13" s="132">
        <v>3.0360949378550019E-2</v>
      </c>
      <c r="O13" s="132">
        <v>7.5532893079630903E-2</v>
      </c>
      <c r="P13" s="132">
        <v>0.21214473363266204</v>
      </c>
      <c r="Q13" s="132">
        <v>0.21638861420598904</v>
      </c>
      <c r="R13" s="132">
        <v>0.23895052141873582</v>
      </c>
      <c r="S13" s="132">
        <v>0.1714644976866013</v>
      </c>
      <c r="T13" s="132">
        <v>0.20001926488463009</v>
      </c>
      <c r="U13" s="132">
        <v>0.21778840329714283</v>
      </c>
      <c r="V13" s="132">
        <v>0.3134647538487248</v>
      </c>
      <c r="W13" s="132">
        <v>0.17380689562137819</v>
      </c>
      <c r="X13" s="132">
        <v>7.2722631160731091E-2</v>
      </c>
      <c r="Y13" s="132">
        <v>5.9269980540662737E-2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0.28714533966315903</v>
      </c>
      <c r="D14" s="65">
        <v>0.17209634552838016</v>
      </c>
      <c r="E14" s="65">
        <v>0.15547473671535811</v>
      </c>
      <c r="F14" s="65">
        <v>0.14645192674673768</v>
      </c>
      <c r="G14" s="65">
        <v>0.92613729513483112</v>
      </c>
      <c r="H14" s="65">
        <v>0.14268480376428844</v>
      </c>
      <c r="I14" s="65">
        <v>7.1821089282166739E-2</v>
      </c>
      <c r="J14" s="65">
        <v>0.16616306707907624</v>
      </c>
      <c r="K14" s="65">
        <v>0.10235431413113862</v>
      </c>
      <c r="L14" s="65">
        <v>0.38754029245667049</v>
      </c>
      <c r="M14" s="65">
        <v>0.27227211409913865</v>
      </c>
      <c r="N14" s="65">
        <v>0.34387989072858799</v>
      </c>
      <c r="O14" s="65">
        <v>0.28778714073934231</v>
      </c>
      <c r="P14" s="65">
        <v>0.12631938934433043</v>
      </c>
      <c r="Q14" s="65">
        <v>0.39791882614341617</v>
      </c>
      <c r="R14" s="65">
        <v>0.65379100979878368</v>
      </c>
      <c r="S14" s="65">
        <v>0.82460638180979262</v>
      </c>
      <c r="T14" s="65">
        <v>0.59466154445681441</v>
      </c>
      <c r="U14" s="65">
        <v>0.40532754916483849</v>
      </c>
      <c r="V14" s="65">
        <v>0.17698821357486366</v>
      </c>
      <c r="W14" s="65">
        <v>0.12712484859095968</v>
      </c>
      <c r="X14" s="65">
        <v>0.14057298139178395</v>
      </c>
      <c r="Y14" s="65">
        <v>0.19427985047178695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5.9989452777818092E-3</v>
      </c>
      <c r="D15" s="134">
        <v>4.0636341648672561E-3</v>
      </c>
      <c r="E15" s="134">
        <v>2.0965116814233688E-3</v>
      </c>
      <c r="F15" s="134">
        <v>3.9020821976962217E-4</v>
      </c>
      <c r="G15" s="134">
        <v>1.4014713855283307E-3</v>
      </c>
      <c r="H15" s="134">
        <v>5.2363291381625227E-3</v>
      </c>
      <c r="I15" s="134">
        <v>7.1089169428896907E-3</v>
      </c>
      <c r="J15" s="134">
        <v>1.1407914964062802E-2</v>
      </c>
      <c r="K15" s="134">
        <v>8.4324730138114317E-5</v>
      </c>
      <c r="L15" s="134">
        <v>5.4499689183915045E-4</v>
      </c>
      <c r="M15" s="134">
        <v>5.1787587481122539E-3</v>
      </c>
      <c r="N15" s="134">
        <v>1.1531084203272179E-2</v>
      </c>
      <c r="O15" s="134">
        <v>6.506760091723799E-3</v>
      </c>
      <c r="P15" s="134">
        <v>1.1471790355583532E-2</v>
      </c>
      <c r="Q15" s="134">
        <v>7.7207035930810571E-3</v>
      </c>
      <c r="R15" s="134">
        <v>1.4474631673961293E-3</v>
      </c>
      <c r="S15" s="134">
        <v>6.7477254228031735E-4</v>
      </c>
      <c r="T15" s="134">
        <v>1.148748566954708E-3</v>
      </c>
      <c r="U15" s="134">
        <v>1.2575814234891823E-3</v>
      </c>
      <c r="V15" s="134">
        <v>4.9703408955034168E-4</v>
      </c>
      <c r="W15" s="134">
        <v>1.0828872371888426E-3</v>
      </c>
      <c r="X15" s="134">
        <v>8.7926258804733274E-4</v>
      </c>
      <c r="Y15" s="134">
        <v>3.0029518367561097E-4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0.76891765421188873</v>
      </c>
      <c r="D16" s="130">
        <f t="shared" si="6"/>
        <v>0.33681959998277211</v>
      </c>
      <c r="E16" s="130">
        <f t="shared" si="6"/>
        <v>0.33452539334270742</v>
      </c>
      <c r="F16" s="130">
        <f t="shared" si="6"/>
        <v>0.11286287608220121</v>
      </c>
      <c r="G16" s="130">
        <f t="shared" si="6"/>
        <v>0.44943983147952737</v>
      </c>
      <c r="H16" s="130">
        <f t="shared" si="6"/>
        <v>0.49025201404415608</v>
      </c>
      <c r="I16" s="130">
        <f t="shared" si="6"/>
        <v>0.57352998096576202</v>
      </c>
      <c r="J16" s="130">
        <f t="shared" si="6"/>
        <v>0.91292080171028556</v>
      </c>
      <c r="K16" s="130">
        <f t="shared" si="6"/>
        <v>0.18538355406095566</v>
      </c>
      <c r="L16" s="130">
        <f t="shared" si="6"/>
        <v>0.21772293359400066</v>
      </c>
      <c r="M16" s="130">
        <f t="shared" si="6"/>
        <v>0.37167455041526221</v>
      </c>
      <c r="N16" s="130">
        <f t="shared" si="6"/>
        <v>1.0918538638943158</v>
      </c>
      <c r="O16" s="130">
        <f t="shared" si="6"/>
        <v>0.48590325084584185</v>
      </c>
      <c r="P16" s="130">
        <f t="shared" si="6"/>
        <v>0.66266078123329586</v>
      </c>
      <c r="Q16" s="130">
        <f t="shared" si="6"/>
        <v>0.68190979870918755</v>
      </c>
      <c r="R16" s="130">
        <f t="shared" ref="R16:W16" si="7">SUM(R17:R18)</f>
        <v>0.59287109444116481</v>
      </c>
      <c r="S16" s="130">
        <f t="shared" si="7"/>
        <v>0.71960480039257457</v>
      </c>
      <c r="T16" s="130">
        <f t="shared" si="7"/>
        <v>0.60757682881672703</v>
      </c>
      <c r="U16" s="130">
        <f t="shared" si="7"/>
        <v>0.76132369532296595</v>
      </c>
      <c r="V16" s="130">
        <f t="shared" si="7"/>
        <v>0.55368400443993948</v>
      </c>
      <c r="W16" s="130">
        <f t="shared" si="7"/>
        <v>0.56965229379365812</v>
      </c>
      <c r="X16" s="130">
        <f t="shared" ref="X16:Y16" si="8">SUM(X17:X18)</f>
        <v>0.4947039556298819</v>
      </c>
      <c r="Y16" s="130">
        <f t="shared" si="8"/>
        <v>0.44454588958414454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0.76891765421188873</v>
      </c>
      <c r="D18" s="132">
        <v>0.33681959998277211</v>
      </c>
      <c r="E18" s="132">
        <v>0.33452539334270742</v>
      </c>
      <c r="F18" s="132">
        <v>0.11286287608220121</v>
      </c>
      <c r="G18" s="132">
        <v>0.44943983147952737</v>
      </c>
      <c r="H18" s="132">
        <v>0.49025201404415608</v>
      </c>
      <c r="I18" s="132">
        <v>0.57352998096576202</v>
      </c>
      <c r="J18" s="132">
        <v>0.91292080171028556</v>
      </c>
      <c r="K18" s="132">
        <v>0.18538355406095566</v>
      </c>
      <c r="L18" s="132">
        <v>0.21772293359400066</v>
      </c>
      <c r="M18" s="132">
        <v>0.37167455041526221</v>
      </c>
      <c r="N18" s="132">
        <v>1.0918538638943158</v>
      </c>
      <c r="O18" s="132">
        <v>0.48590325084584185</v>
      </c>
      <c r="P18" s="132">
        <v>0.66266078123329586</v>
      </c>
      <c r="Q18" s="132">
        <v>0.68190979870918755</v>
      </c>
      <c r="R18" s="132">
        <v>0.59287109444116481</v>
      </c>
      <c r="S18" s="132">
        <v>0.71960480039257457</v>
      </c>
      <c r="T18" s="132">
        <v>0.60757682881672703</v>
      </c>
      <c r="U18" s="132">
        <v>0.76132369532296595</v>
      </c>
      <c r="V18" s="132">
        <v>0.55368400443993948</v>
      </c>
      <c r="W18" s="132">
        <v>0.56965229379365812</v>
      </c>
      <c r="X18" s="132">
        <v>0.4947039556298819</v>
      </c>
      <c r="Y18" s="132">
        <v>0.44454588958414454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0.25290068653421588</v>
      </c>
      <c r="D19" s="130">
        <f t="shared" si="9"/>
        <v>0.14575576731896075</v>
      </c>
      <c r="E19" s="130">
        <f t="shared" si="9"/>
        <v>9.55747539401237E-2</v>
      </c>
      <c r="F19" s="130">
        <f t="shared" si="9"/>
        <v>6.2202523033958526E-2</v>
      </c>
      <c r="G19" s="130">
        <f t="shared" si="9"/>
        <v>0.23643861173637878</v>
      </c>
      <c r="H19" s="130">
        <f t="shared" si="9"/>
        <v>0.20524267199743298</v>
      </c>
      <c r="I19" s="130">
        <f t="shared" si="9"/>
        <v>0.21668086967524119</v>
      </c>
      <c r="J19" s="130">
        <f t="shared" si="9"/>
        <v>0.38638425937519844</v>
      </c>
      <c r="K19" s="130">
        <f t="shared" si="9"/>
        <v>7.7748576667232783E-2</v>
      </c>
      <c r="L19" s="130">
        <f t="shared" si="9"/>
        <v>0.11969258984867363</v>
      </c>
      <c r="M19" s="130">
        <f t="shared" si="9"/>
        <v>0.18956764100435081</v>
      </c>
      <c r="N19" s="130">
        <f t="shared" si="9"/>
        <v>0.31129964475188604</v>
      </c>
      <c r="O19" s="130">
        <f t="shared" si="9"/>
        <v>0.20244409219067683</v>
      </c>
      <c r="P19" s="130">
        <f t="shared" si="9"/>
        <v>0.26747897716669217</v>
      </c>
      <c r="Q19" s="130">
        <f t="shared" si="9"/>
        <v>0.25793937542446116</v>
      </c>
      <c r="R19" s="130">
        <f t="shared" ref="R19:W19" si="10">SUM(R20:R27)</f>
        <v>0.27422920735084699</v>
      </c>
      <c r="S19" s="130">
        <f t="shared" si="10"/>
        <v>0.28412367147693512</v>
      </c>
      <c r="T19" s="130">
        <f t="shared" si="10"/>
        <v>0.2781379010253669</v>
      </c>
      <c r="U19" s="130">
        <f t="shared" si="10"/>
        <v>0.26522507829547753</v>
      </c>
      <c r="V19" s="130">
        <f t="shared" si="10"/>
        <v>0.24839158972340949</v>
      </c>
      <c r="W19" s="130">
        <f t="shared" si="10"/>
        <v>0.24310935355119667</v>
      </c>
      <c r="X19" s="130">
        <f t="shared" ref="X19:Y19" si="11">SUM(X20:X27)</f>
        <v>0.23688441537810392</v>
      </c>
      <c r="Y19" s="130">
        <f t="shared" si="11"/>
        <v>0.2442649726480951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1.3179856822214809E-2</v>
      </c>
      <c r="D21" s="132">
        <v>5.6917609157454193E-3</v>
      </c>
      <c r="E21" s="132">
        <v>5.2368385374931868E-3</v>
      </c>
      <c r="F21" s="132">
        <v>5.5353988800215994E-3</v>
      </c>
      <c r="G21" s="132">
        <v>3.5732621557890053E-2</v>
      </c>
      <c r="H21" s="132">
        <v>4.4338822288860817E-2</v>
      </c>
      <c r="I21" s="132">
        <v>2.8491763461813507E-2</v>
      </c>
      <c r="J21" s="132">
        <v>3.9655390286471422E-2</v>
      </c>
      <c r="K21" s="132">
        <v>7.8712617639120561E-3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7.1446272173498184E-3</v>
      </c>
      <c r="T21" s="132">
        <v>1.0202125056759149E-2</v>
      </c>
      <c r="U21" s="132">
        <v>6.8790688687622586E-3</v>
      </c>
      <c r="V21" s="132">
        <v>5.7969373731988245E-3</v>
      </c>
      <c r="W21" s="132">
        <v>9.9568423858525327E-3</v>
      </c>
      <c r="X21" s="132">
        <v>3.8296746245094228E-3</v>
      </c>
      <c r="Y21" s="132">
        <v>4.634192263272211E-3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</v>
      </c>
      <c r="D23" s="132">
        <v>0</v>
      </c>
      <c r="E23" s="132">
        <v>0</v>
      </c>
      <c r="F23" s="132">
        <v>0</v>
      </c>
      <c r="G23" s="132">
        <v>0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32">
        <v>0</v>
      </c>
      <c r="Y23" s="132">
        <v>0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5.8088985831728683E-4</v>
      </c>
      <c r="N25" s="132">
        <v>1.4872428603744759E-4</v>
      </c>
      <c r="O25" s="132">
        <v>6.9355476040093306E-5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0.23972082971200107</v>
      </c>
      <c r="D26" s="65">
        <v>0.14006400640321534</v>
      </c>
      <c r="E26" s="65">
        <v>9.0337915402630517E-2</v>
      </c>
      <c r="F26" s="65">
        <v>5.6667124153936925E-2</v>
      </c>
      <c r="G26" s="65">
        <v>0.20070599017848872</v>
      </c>
      <c r="H26" s="65">
        <v>0.16090384970857216</v>
      </c>
      <c r="I26" s="65">
        <v>0.18818910621342769</v>
      </c>
      <c r="J26" s="65">
        <v>0.34672886908872702</v>
      </c>
      <c r="K26" s="65">
        <v>6.9877314903320734E-2</v>
      </c>
      <c r="L26" s="65">
        <v>0.11969258984867363</v>
      </c>
      <c r="M26" s="65">
        <v>0.18898675114603353</v>
      </c>
      <c r="N26" s="65">
        <v>0.31115092046584858</v>
      </c>
      <c r="O26" s="65">
        <v>0.20237473671463674</v>
      </c>
      <c r="P26" s="65">
        <v>0.26747897716669217</v>
      </c>
      <c r="Q26" s="65">
        <v>0.25793937542446116</v>
      </c>
      <c r="R26" s="65">
        <v>0.27422920735084699</v>
      </c>
      <c r="S26" s="65">
        <v>0.27697904425958531</v>
      </c>
      <c r="T26" s="65">
        <v>0.26793577596860774</v>
      </c>
      <c r="U26" s="65">
        <v>0.25834600942671526</v>
      </c>
      <c r="V26" s="65">
        <v>0.24259465235021066</v>
      </c>
      <c r="W26" s="65">
        <v>0.23315251116534413</v>
      </c>
      <c r="X26" s="65">
        <v>0.2330547407535945</v>
      </c>
      <c r="Y26" s="65">
        <v>0.23963078038482288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0.41033512781652898</v>
      </c>
      <c r="D29" s="130">
        <f t="shared" si="12"/>
        <v>0.23763240303222727</v>
      </c>
      <c r="E29" s="130">
        <f t="shared" si="12"/>
        <v>0.15891054579444719</v>
      </c>
      <c r="F29" s="130">
        <f t="shared" si="12"/>
        <v>0.10419884501145824</v>
      </c>
      <c r="G29" s="130">
        <f t="shared" si="12"/>
        <v>0.40347204068848752</v>
      </c>
      <c r="H29" s="130">
        <f t="shared" si="12"/>
        <v>0.32751229330835951</v>
      </c>
      <c r="I29" s="130">
        <f t="shared" si="12"/>
        <v>0.35323325151937257</v>
      </c>
      <c r="J29" s="130">
        <f t="shared" si="12"/>
        <v>0.65489998317466303</v>
      </c>
      <c r="K29" s="130">
        <f t="shared" si="12"/>
        <v>0.13860425446769761</v>
      </c>
      <c r="L29" s="130">
        <f t="shared" si="12"/>
        <v>0.19657936929303457</v>
      </c>
      <c r="M29" s="130">
        <f t="shared" si="12"/>
        <v>0.30847694230628303</v>
      </c>
      <c r="N29" s="130">
        <f t="shared" si="12"/>
        <v>0.51422635653789028</v>
      </c>
      <c r="O29" s="130">
        <f t="shared" si="12"/>
        <v>0.32766760237141901</v>
      </c>
      <c r="P29" s="130">
        <f t="shared" si="12"/>
        <v>0.44380592381977924</v>
      </c>
      <c r="Q29" s="130">
        <f t="shared" si="12"/>
        <v>0.43312175626655453</v>
      </c>
      <c r="R29" s="130">
        <f t="shared" ref="R29:W29" si="13">SUM(R30:R33)</f>
        <v>0.46002276089451044</v>
      </c>
      <c r="S29" s="130">
        <f t="shared" si="13"/>
        <v>0.47619384414883192</v>
      </c>
      <c r="T29" s="130">
        <f t="shared" si="13"/>
        <v>0.49215004054770461</v>
      </c>
      <c r="U29" s="130">
        <f t="shared" si="13"/>
        <v>0.46512815868318297</v>
      </c>
      <c r="V29" s="130">
        <f t="shared" si="13"/>
        <v>0.42143868960534847</v>
      </c>
      <c r="W29" s="130">
        <f t="shared" si="13"/>
        <v>0.43262883659343804</v>
      </c>
      <c r="X29" s="130">
        <f t="shared" ref="X29:Y29" si="14">SUM(X30:X33)</f>
        <v>0.4296399676998513</v>
      </c>
      <c r="Y29" s="130">
        <f t="shared" si="14"/>
        <v>0.4384756628172275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2.1407024059377958E-2</v>
      </c>
      <c r="D30" s="132">
        <v>1.9379424427027676E-2</v>
      </c>
      <c r="E30" s="132">
        <v>8.8517026814594855E-3</v>
      </c>
      <c r="F30" s="132">
        <v>9.369461936698872E-3</v>
      </c>
      <c r="G30" s="132">
        <v>4.6150685201493777E-2</v>
      </c>
      <c r="H30" s="132">
        <v>9.8933117184177605E-2</v>
      </c>
      <c r="I30" s="132">
        <v>0.12040704278635062</v>
      </c>
      <c r="J30" s="132">
        <v>0.21580030726147911</v>
      </c>
      <c r="K30" s="132">
        <v>6.7171430309544769E-2</v>
      </c>
      <c r="L30" s="132">
        <v>1.995869835155397E-2</v>
      </c>
      <c r="M30" s="132">
        <v>5.705627520649513E-2</v>
      </c>
      <c r="N30" s="132">
        <v>3.2040734787312043E-2</v>
      </c>
      <c r="O30" s="132">
        <v>4.8488406777220404E-2</v>
      </c>
      <c r="P30" s="132">
        <v>6.135747786552212E-2</v>
      </c>
      <c r="Q30" s="132">
        <v>0.11349168032186147</v>
      </c>
      <c r="R30" s="132">
        <v>0.10803379457956266</v>
      </c>
      <c r="S30" s="132">
        <v>0.20884108640893695</v>
      </c>
      <c r="T30" s="132">
        <v>0.24315184894462899</v>
      </c>
      <c r="U30" s="132">
        <v>0.15610559832839255</v>
      </c>
      <c r="V30" s="132">
        <v>9.9610637836644256E-2</v>
      </c>
      <c r="W30" s="132">
        <v>8.7238531022769836E-2</v>
      </c>
      <c r="X30" s="132">
        <v>0.13141053044472489</v>
      </c>
      <c r="Y30" s="132">
        <v>0.15082189402459487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</v>
      </c>
      <c r="D31" s="132">
        <v>0</v>
      </c>
      <c r="E31" s="132">
        <v>0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0.38892810375715103</v>
      </c>
      <c r="D33" s="68">
        <v>0.2182529786051996</v>
      </c>
      <c r="E33" s="68">
        <v>0.1500588431129877</v>
      </c>
      <c r="F33" s="68">
        <v>9.4829383074759369E-2</v>
      </c>
      <c r="G33" s="68">
        <v>0.35732135548699373</v>
      </c>
      <c r="H33" s="68">
        <v>0.22857917612418191</v>
      </c>
      <c r="I33" s="68">
        <v>0.23282620873302193</v>
      </c>
      <c r="J33" s="68">
        <v>0.43909967591318394</v>
      </c>
      <c r="K33" s="68">
        <v>7.1432824158152844E-2</v>
      </c>
      <c r="L33" s="68">
        <v>0.1766206709414806</v>
      </c>
      <c r="M33" s="68">
        <v>0.25142066709978789</v>
      </c>
      <c r="N33" s="68">
        <v>0.48218562175057827</v>
      </c>
      <c r="O33" s="68">
        <v>0.27917919559419863</v>
      </c>
      <c r="P33" s="68">
        <v>0.38244844595425709</v>
      </c>
      <c r="Q33" s="68">
        <v>0.31963007594469306</v>
      </c>
      <c r="R33" s="68">
        <v>0.35198896631494775</v>
      </c>
      <c r="S33" s="68">
        <v>0.26735275773989498</v>
      </c>
      <c r="T33" s="68">
        <v>0.2489981916030756</v>
      </c>
      <c r="U33" s="68">
        <v>0.30902256035479042</v>
      </c>
      <c r="V33" s="68">
        <v>0.32182805176870422</v>
      </c>
      <c r="W33" s="68">
        <v>0.34539030557066819</v>
      </c>
      <c r="X33" s="68">
        <v>0.29822943725512641</v>
      </c>
      <c r="Y33" s="68">
        <v>0.28765376879263266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0.86887847647793626</v>
      </c>
      <c r="D3" s="126">
        <f>IF(SER_hh_tes_in!D3=0,"",SER_hh_tes_in!D3/SER_hh_fec_in!D3)</f>
        <v>0.81423643115336852</v>
      </c>
      <c r="E3" s="126">
        <f>IF(SER_hh_tes_in!E3=0,"",SER_hh_tes_in!E3/SER_hh_fec_in!E3)</f>
        <v>0.8990194891586244</v>
      </c>
      <c r="F3" s="126">
        <f>IF(SER_hh_tes_in!F3=0,"",SER_hh_tes_in!F3/SER_hh_fec_in!F3)</f>
        <v>0.78608359388650206</v>
      </c>
      <c r="G3" s="126">
        <f>IF(SER_hh_tes_in!G3=0,"",SER_hh_tes_in!G3/SER_hh_fec_in!G3)</f>
        <v>0.75935604676879442</v>
      </c>
      <c r="H3" s="126">
        <f>IF(SER_hh_tes_in!H3=0,"",SER_hh_tes_in!H3/SER_hh_fec_in!H3)</f>
        <v>0.86611926831206099</v>
      </c>
      <c r="I3" s="126">
        <f>IF(SER_hh_tes_in!I3=0,"",SER_hh_tes_in!I3/SER_hh_fec_in!I3)</f>
        <v>0.90435370621064537</v>
      </c>
      <c r="J3" s="126">
        <f>IF(SER_hh_tes_in!J3=0,"",SER_hh_tes_in!J3/SER_hh_fec_in!J3)</f>
        <v>0.88650721066636329</v>
      </c>
      <c r="K3" s="126">
        <f>IF(SER_hh_tes_in!K3=0,"",SER_hh_tes_in!K3/SER_hh_fec_in!K3)</f>
        <v>0.90329539124839586</v>
      </c>
      <c r="L3" s="126">
        <f>IF(SER_hh_tes_in!L3=0,"",SER_hh_tes_in!L3/SER_hh_fec_in!L3)</f>
        <v>0.79576124887414212</v>
      </c>
      <c r="M3" s="126">
        <f>IF(SER_hh_tes_in!M3=0,"",SER_hh_tes_in!M3/SER_hh_fec_in!M3)</f>
        <v>0.85774378526054074</v>
      </c>
      <c r="N3" s="126">
        <f>IF(SER_hh_tes_in!N3=0,"",SER_hh_tes_in!N3/SER_hh_fec_in!N3)</f>
        <v>0.97628357002354227</v>
      </c>
      <c r="O3" s="126">
        <f>IF(SER_hh_tes_in!O3=0,"",SER_hh_tes_in!O3/SER_hh_fec_in!O3)</f>
        <v>0.91683241881370647</v>
      </c>
      <c r="P3" s="126">
        <f>IF(SER_hh_tes_in!P3=0,"",SER_hh_tes_in!P3/SER_hh_fec_in!P3)</f>
        <v>1.0079652861325519</v>
      </c>
      <c r="Q3" s="126">
        <f>IF(SER_hh_tes_in!Q3=0,"",SER_hh_tes_in!Q3/SER_hh_fec_in!Q3)</f>
        <v>1.004050481999224</v>
      </c>
      <c r="R3" s="126">
        <f>IF(SER_hh_tes_in!R3=0,"",SER_hh_tes_in!R3/SER_hh_fec_in!R3)</f>
        <v>0.99480152669167232</v>
      </c>
      <c r="S3" s="126">
        <f>IF(SER_hh_tes_in!S3=0,"",SER_hh_tes_in!S3/SER_hh_fec_in!S3)</f>
        <v>0.99273688606021948</v>
      </c>
      <c r="T3" s="126">
        <f>IF(SER_hh_tes_in!T3=0,"",SER_hh_tes_in!T3/SER_hh_fec_in!T3)</f>
        <v>1.0218515310117253</v>
      </c>
      <c r="U3" s="126">
        <f>IF(SER_hh_tes_in!U3=0,"",SER_hh_tes_in!U3/SER_hh_fec_in!U3)</f>
        <v>1.1891465795345271</v>
      </c>
      <c r="V3" s="126">
        <f>IF(SER_hh_tes_in!V3=0,"",SER_hh_tes_in!V3/SER_hh_fec_in!V3)</f>
        <v>1.3029244609523951</v>
      </c>
      <c r="W3" s="126">
        <f>IF(SER_hh_tes_in!W3=0,"",SER_hh_tes_in!W3/SER_hh_fec_in!W3)</f>
        <v>1.2671108491354017</v>
      </c>
      <c r="X3" s="126">
        <f>IF(SER_hh_tes_in!X3=0,"",SER_hh_tes_in!X3/SER_hh_fec_in!X3)</f>
        <v>1.1621544892874704</v>
      </c>
      <c r="Y3" s="126">
        <f>IF(SER_hh_tes_in!Y3=0,"",SER_hh_tes_in!Y3/SER_hh_fec_in!Y3)</f>
        <v>1.1167060116522722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0.61200723976373717</v>
      </c>
      <c r="D4" s="135">
        <f>IF(SER_hh_tes_in!D4=0,"",SER_hh_tes_in!D4/SER_hh_fec_in!D4)</f>
        <v>0.62275561845833316</v>
      </c>
      <c r="E4" s="135">
        <f>IF(SER_hh_tes_in!E4=0,"",SER_hh_tes_in!E4/SER_hh_fec_in!E4)</f>
        <v>0.62878210005039115</v>
      </c>
      <c r="F4" s="135">
        <f>IF(SER_hh_tes_in!F4=0,"",SER_hh_tes_in!F4/SER_hh_fec_in!F4)</f>
        <v>0.63400591381342175</v>
      </c>
      <c r="G4" s="135">
        <f>IF(SER_hh_tes_in!G4=0,"",SER_hh_tes_in!G4/SER_hh_fec_in!G4)</f>
        <v>0.63470564979694089</v>
      </c>
      <c r="H4" s="135">
        <f>IF(SER_hh_tes_in!H4=0,"",SER_hh_tes_in!H4/SER_hh_fec_in!H4)</f>
        <v>0.69147933798835903</v>
      </c>
      <c r="I4" s="135">
        <f>IF(SER_hh_tes_in!I4=0,"",SER_hh_tes_in!I4/SER_hh_fec_in!I4)</f>
        <v>0.73153013810883749</v>
      </c>
      <c r="J4" s="135">
        <f>IF(SER_hh_tes_in!J4=0,"",SER_hh_tes_in!J4/SER_hh_fec_in!J4)</f>
        <v>0.72818409068038858</v>
      </c>
      <c r="K4" s="135">
        <f>IF(SER_hh_tes_in!K4=0,"",SER_hh_tes_in!K4/SER_hh_fec_in!K4)</f>
        <v>0.73462745685480668</v>
      </c>
      <c r="L4" s="135">
        <f>IF(SER_hh_tes_in!L4=0,"",SER_hh_tes_in!L4/SER_hh_fec_in!L4)</f>
        <v>0.64389123928181347</v>
      </c>
      <c r="M4" s="135">
        <f>IF(SER_hh_tes_in!M4=0,"",SER_hh_tes_in!M4/SER_hh_fec_in!M4)</f>
        <v>0.71521480193887188</v>
      </c>
      <c r="N4" s="135">
        <f>IF(SER_hh_tes_in!N4=0,"",SER_hh_tes_in!N4/SER_hh_fec_in!N4)</f>
        <v>0.69230323020818352</v>
      </c>
      <c r="O4" s="135">
        <f>IF(SER_hh_tes_in!O4=0,"",SER_hh_tes_in!O4/SER_hh_fec_in!O4)</f>
        <v>0.73906912215940179</v>
      </c>
      <c r="P4" s="135">
        <f>IF(SER_hh_tes_in!P4=0,"",SER_hh_tes_in!P4/SER_hh_fec_in!P4)</f>
        <v>0.86201847705540358</v>
      </c>
      <c r="Q4" s="135">
        <f>IF(SER_hh_tes_in!Q4=0,"",SER_hh_tes_in!Q4/SER_hh_fec_in!Q4)</f>
        <v>0.84378617823757374</v>
      </c>
      <c r="R4" s="135">
        <f>IF(SER_hh_tes_in!R4=0,"",SER_hh_tes_in!R4/SER_hh_fec_in!R4)</f>
        <v>0.85386487053348714</v>
      </c>
      <c r="S4" s="135">
        <f>IF(SER_hh_tes_in!S4=0,"",SER_hh_tes_in!S4/SER_hh_fec_in!S4)</f>
        <v>0.81303405075197555</v>
      </c>
      <c r="T4" s="135">
        <f>IF(SER_hh_tes_in!T4=0,"",SER_hh_tes_in!T4/SER_hh_fec_in!T4)</f>
        <v>0.90548722439630358</v>
      </c>
      <c r="U4" s="135">
        <f>IF(SER_hh_tes_in!U4=0,"",SER_hh_tes_in!U4/SER_hh_fec_in!U4)</f>
        <v>1.0214056570650631</v>
      </c>
      <c r="V4" s="135">
        <f>IF(SER_hh_tes_in!V4=0,"",SER_hh_tes_in!V4/SER_hh_fec_in!V4)</f>
        <v>1.5112027035672164</v>
      </c>
      <c r="W4" s="135">
        <f>IF(SER_hh_tes_in!W4=0,"",SER_hh_tes_in!W4/SER_hh_fec_in!W4)</f>
        <v>1.2778706015413221</v>
      </c>
      <c r="X4" s="135">
        <f>IF(SER_hh_tes_in!X4=0,"",SER_hh_tes_in!X4/SER_hh_fec_in!X4)</f>
        <v>1.0328946409583748</v>
      </c>
      <c r="Y4" s="135">
        <f>IF(SER_hh_tes_in!Y4=0,"",SER_hh_tes_in!Y4/SER_hh_fec_in!Y4)</f>
        <v>1.0042375032726527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>
        <f>IF(SER_hh_tes_in!C6=0,"",SER_hh_tes_in!C6/SER_hh_fec_in!C6)</f>
        <v>0.62131041004308951</v>
      </c>
      <c r="D6" s="136">
        <f>IF(SER_hh_tes_in!D6=0,"",SER_hh_tes_in!D6/SER_hh_fec_in!D6)</f>
        <v>0.62560392275713284</v>
      </c>
      <c r="E6" s="136">
        <f>IF(SER_hh_tes_in!E6=0,"",SER_hh_tes_in!E6/SER_hh_fec_in!E6)</f>
        <v>0.63012600215958814</v>
      </c>
      <c r="F6" s="136">
        <f>IF(SER_hh_tes_in!F6=0,"",SER_hh_tes_in!F6/SER_hh_fec_in!F6)</f>
        <v>0.634623375132499</v>
      </c>
      <c r="G6" s="136">
        <f>IF(SER_hh_tes_in!G6=0,"",SER_hh_tes_in!G6/SER_hh_fec_in!G6)</f>
        <v>0.63932189019106067</v>
      </c>
      <c r="H6" s="136">
        <f>IF(SER_hh_tes_in!H6=0,"",SER_hh_tes_in!H6/SER_hh_fec_in!H6)</f>
        <v>0.64419092125760968</v>
      </c>
      <c r="I6" s="136">
        <f>IF(SER_hh_tes_in!I6=0,"",SER_hh_tes_in!I6/SER_hh_fec_in!I6)</f>
        <v>0.6492830320922055</v>
      </c>
      <c r="J6" s="136">
        <f>IF(SER_hh_tes_in!J6=0,"",SER_hh_tes_in!J6/SER_hh_fec_in!J6)</f>
        <v>0.65482047895563056</v>
      </c>
      <c r="K6" s="136">
        <f>IF(SER_hh_tes_in!K6=0,"",SER_hh_tes_in!K6/SER_hh_fec_in!K6)</f>
        <v>0.66098803270782924</v>
      </c>
      <c r="L6" s="136">
        <f>IF(SER_hh_tes_in!L6=0,"",SER_hh_tes_in!L6/SER_hh_fec_in!L6)</f>
        <v>0.66782756983218339</v>
      </c>
      <c r="M6" s="136">
        <f>IF(SER_hh_tes_in!M6=0,"",SER_hh_tes_in!M6/SER_hh_fec_in!M6)</f>
        <v>0.6802029090138999</v>
      </c>
      <c r="N6" s="136">
        <f>IF(SER_hh_tes_in!N6=0,"",SER_hh_tes_in!N6/SER_hh_fec_in!N6)</f>
        <v>0.69956966829049638</v>
      </c>
      <c r="O6" s="136" t="str">
        <f>IF(SER_hh_tes_in!O6=0,"",SER_hh_tes_in!O6/SER_hh_fec_in!O6)</f>
        <v/>
      </c>
      <c r="P6" s="136">
        <f>IF(SER_hh_tes_in!P6=0,"",SER_hh_tes_in!P6/SER_hh_fec_in!P6)</f>
        <v>0.75789917204647805</v>
      </c>
      <c r="Q6" s="136">
        <f>IF(SER_hh_tes_in!Q6=0,"",SER_hh_tes_in!Q6/SER_hh_fec_in!Q6)</f>
        <v>0.78283704425198519</v>
      </c>
      <c r="R6" s="136">
        <f>IF(SER_hh_tes_in!R6=0,"",SER_hh_tes_in!R6/SER_hh_fec_in!R6)</f>
        <v>0.7922721221868394</v>
      </c>
      <c r="S6" s="136">
        <f>IF(SER_hh_tes_in!S6=0,"",SER_hh_tes_in!S6/SER_hh_fec_in!S6)</f>
        <v>0.79660864069806681</v>
      </c>
      <c r="T6" s="136">
        <f>IF(SER_hh_tes_in!T6=0,"",SER_hh_tes_in!T6/SER_hh_fec_in!T6)</f>
        <v>0.79798377301412704</v>
      </c>
      <c r="U6" s="136">
        <f>IF(SER_hh_tes_in!U6=0,"",SER_hh_tes_in!U6/SER_hh_fec_in!U6)</f>
        <v>0.79844572495217769</v>
      </c>
      <c r="V6" s="136">
        <f>IF(SER_hh_tes_in!V6=0,"",SER_hh_tes_in!V6/SER_hh_fec_in!V6)</f>
        <v>0.79997866156866559</v>
      </c>
      <c r="W6" s="136">
        <f>IF(SER_hh_tes_in!W6=0,"",SER_hh_tes_in!W6/SER_hh_fec_in!W6)</f>
        <v>0.80233892953316355</v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0.60905192894137239</v>
      </c>
      <c r="D7" s="136">
        <f>IF(SER_hh_tes_in!D7=0,"",SER_hh_tes_in!D7/SER_hh_fec_in!D7)</f>
        <v>0.61316673944524203</v>
      </c>
      <c r="E7" s="136">
        <f>IF(SER_hh_tes_in!E7=0,"",SER_hh_tes_in!E7/SER_hh_fec_in!E7)</f>
        <v>0.61750060336130597</v>
      </c>
      <c r="F7" s="136">
        <f>IF(SER_hh_tes_in!F7=0,"",SER_hh_tes_in!F7/SER_hh_fec_in!F7)</f>
        <v>0.62181078916516397</v>
      </c>
      <c r="G7" s="136">
        <f>IF(SER_hh_tes_in!G7=0,"",SER_hh_tes_in!G7/SER_hh_fec_in!G7)</f>
        <v>0.62631374523009453</v>
      </c>
      <c r="H7" s="136">
        <f>IF(SER_hh_tes_in!H7=0,"",SER_hh_tes_in!H7/SER_hh_fec_in!H7)</f>
        <v>0.63098012018009098</v>
      </c>
      <c r="I7" s="136">
        <f>IF(SER_hh_tes_in!I7=0,"",SER_hh_tes_in!I7/SER_hh_fec_in!I7)</f>
        <v>0.63586028999547983</v>
      </c>
      <c r="J7" s="136">
        <f>IF(SER_hh_tes_in!J7=0,"",SER_hh_tes_in!J7/SER_hh_fec_in!J7)</f>
        <v>0.64116726030995275</v>
      </c>
      <c r="K7" s="136" t="str">
        <f>IF(SER_hh_tes_in!K7=0,"",SER_hh_tes_in!K7/SER_hh_fec_in!K7)</f>
        <v/>
      </c>
      <c r="L7" s="136" t="str">
        <f>IF(SER_hh_tes_in!L7=0,"",SER_hh_tes_in!L7/SER_hh_fec_in!L7)</f>
        <v/>
      </c>
      <c r="M7" s="136">
        <f>IF(SER_hh_tes_in!M7=0,"",SER_hh_tes_in!M7/SER_hh_fec_in!M7)</f>
        <v>0.66549323691085649</v>
      </c>
      <c r="N7" s="136">
        <f>IF(SER_hh_tes_in!N7=0,"",SER_hh_tes_in!N7/SER_hh_fec_in!N7)</f>
        <v>0.6840539236503177</v>
      </c>
      <c r="O7" s="136">
        <f>IF(SER_hh_tes_in!O7=0,"",SER_hh_tes_in!O7/SER_hh_fec_in!O7)</f>
        <v>0.7100250904571217</v>
      </c>
      <c r="P7" s="136">
        <f>IF(SER_hh_tes_in!P7=0,"",SER_hh_tes_in!P7/SER_hh_fec_in!P7)</f>
        <v>0.73995566908024557</v>
      </c>
      <c r="Q7" s="136">
        <f>IF(SER_hh_tes_in!Q7=0,"",SER_hh_tes_in!Q7/SER_hh_fec_in!Q7)</f>
        <v>0.76385559096931854</v>
      </c>
      <c r="R7" s="136">
        <f>IF(SER_hh_tes_in!R7=0,"",SER_hh_tes_in!R7/SER_hh_fec_in!R7)</f>
        <v>0.77296089594727757</v>
      </c>
      <c r="S7" s="136" t="str">
        <f>IF(SER_hh_tes_in!S7=0,"",SER_hh_tes_in!S7/SER_hh_fec_in!S7)</f>
        <v/>
      </c>
      <c r="T7" s="136" t="str">
        <f>IF(SER_hh_tes_in!T7=0,"",SER_hh_tes_in!T7/SER_hh_fec_in!T7)</f>
        <v/>
      </c>
      <c r="U7" s="136" t="str">
        <f>IF(SER_hh_tes_in!U7=0,"",SER_hh_tes_in!U7/SER_hh_fec_in!U7)</f>
        <v/>
      </c>
      <c r="V7" s="136" t="str">
        <f>IF(SER_hh_tes_in!V7=0,"",SER_hh_tes_in!V7/SER_hh_fec_in!V7)</f>
        <v/>
      </c>
      <c r="W7" s="136">
        <f>IF(SER_hh_tes_in!W7=0,"",SER_hh_tes_in!W7/SER_hh_fec_in!W7)</f>
        <v>0.78194065985575434</v>
      </c>
      <c r="X7" s="136">
        <f>IF(SER_hh_tes_in!X7=0,"",SER_hh_tes_in!X7/SER_hh_fec_in!X7)</f>
        <v>0.78291180379996639</v>
      </c>
      <c r="Y7" s="136">
        <f>IF(SER_hh_tes_in!Y7=0,"",SER_hh_tes_in!Y7/SER_hh_fec_in!Y7)</f>
        <v>0.7835341742118942</v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 t="str">
        <f>IF(SER_hh_tes_in!R8=0,"",SER_hh_tes_in!R8/SER_hh_fec_in!R8)</f>
        <v/>
      </c>
      <c r="S8" s="136" t="str">
        <f>IF(SER_hh_tes_in!S8=0,"",SER_hh_tes_in!S8/SER_hh_fec_in!S8)</f>
        <v/>
      </c>
      <c r="T8" s="136" t="str">
        <f>IF(SER_hh_tes_in!T8=0,"",SER_hh_tes_in!T8/SER_hh_fec_in!T8)</f>
        <v/>
      </c>
      <c r="U8" s="136" t="str">
        <f>IF(SER_hh_tes_in!U8=0,"",SER_hh_tes_in!U8/SER_hh_fec_in!U8)</f>
        <v/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 t="str">
        <f>IF(SER_hh_tes_in!C9=0,"",SER_hh_tes_in!C9/SER_hh_fec_in!C9)</f>
        <v/>
      </c>
      <c r="D9" s="136" t="str">
        <f>IF(SER_hh_tes_in!D9=0,"",SER_hh_tes_in!D9/SER_hh_fec_in!D9)</f>
        <v/>
      </c>
      <c r="E9" s="136" t="str">
        <f>IF(SER_hh_tes_in!E9=0,"",SER_hh_tes_in!E9/SER_hh_fec_in!E9)</f>
        <v/>
      </c>
      <c r="F9" s="136" t="str">
        <f>IF(SER_hh_tes_in!F9=0,"",SER_hh_tes_in!F9/SER_hh_fec_in!F9)</f>
        <v/>
      </c>
      <c r="G9" s="136" t="str">
        <f>IF(SER_hh_tes_in!G9=0,"",SER_hh_tes_in!G9/SER_hh_fec_in!G9)</f>
        <v/>
      </c>
      <c r="H9" s="136" t="str">
        <f>IF(SER_hh_tes_in!H9=0,"",SER_hh_tes_in!H9/SER_hh_fec_in!H9)</f>
        <v/>
      </c>
      <c r="I9" s="136" t="str">
        <f>IF(SER_hh_tes_in!I9=0,"",SER_hh_tes_in!I9/SER_hh_fec_in!I9)</f>
        <v/>
      </c>
      <c r="J9" s="136" t="str">
        <f>IF(SER_hh_tes_in!J9=0,"",SER_hh_tes_in!J9/SER_hh_fec_in!J9)</f>
        <v/>
      </c>
      <c r="K9" s="136" t="str">
        <f>IF(SER_hh_tes_in!K9=0,"",SER_hh_tes_in!K9/SER_hh_fec_in!K9)</f>
        <v/>
      </c>
      <c r="L9" s="136" t="str">
        <f>IF(SER_hh_tes_in!L9=0,"",SER_hh_tes_in!L9/SER_hh_fec_in!L9)</f>
        <v/>
      </c>
      <c r="M9" s="136">
        <f>IF(SER_hh_tes_in!M9=0,"",SER_hh_tes_in!M9/SER_hh_fec_in!M9)</f>
        <v>0.81745063422475139</v>
      </c>
      <c r="N9" s="136">
        <f>IF(SER_hh_tes_in!N9=0,"",SER_hh_tes_in!N9/SER_hh_fec_in!N9)</f>
        <v>0.82943622672270856</v>
      </c>
      <c r="O9" s="136">
        <f>IF(SER_hh_tes_in!O9=0,"",SER_hh_tes_in!O9/SER_hh_fec_in!O9)</f>
        <v>0.84646689502972816</v>
      </c>
      <c r="P9" s="136" t="str">
        <f>IF(SER_hh_tes_in!P9=0,"",SER_hh_tes_in!P9/SER_hh_fec_in!P9)</f>
        <v/>
      </c>
      <c r="Q9" s="136" t="str">
        <f>IF(SER_hh_tes_in!Q9=0,"",SER_hh_tes_in!Q9/SER_hh_fec_in!Q9)</f>
        <v/>
      </c>
      <c r="R9" s="136">
        <f>IF(SER_hh_tes_in!R9=0,"",SER_hh_tes_in!R9/SER_hh_fec_in!R9)</f>
        <v>0.8919958960374309</v>
      </c>
      <c r="S9" s="136" t="str">
        <f>IF(SER_hh_tes_in!S9=0,"",SER_hh_tes_in!S9/SER_hh_fec_in!S9)</f>
        <v/>
      </c>
      <c r="T9" s="136">
        <f>IF(SER_hh_tes_in!T9=0,"",SER_hh_tes_in!T9/SER_hh_fec_in!T9)</f>
        <v>0.90385098880505144</v>
      </c>
      <c r="U9" s="136">
        <f>IF(SER_hh_tes_in!U9=0,"",SER_hh_tes_in!U9/SER_hh_fec_in!U9)</f>
        <v>0.90846208012863283</v>
      </c>
      <c r="V9" s="136">
        <f>IF(SER_hh_tes_in!V9=0,"",SER_hh_tes_in!V9/SER_hh_fec_in!V9)</f>
        <v>0.91264324661689411</v>
      </c>
      <c r="W9" s="136">
        <f>IF(SER_hh_tes_in!W9=0,"",SER_hh_tes_in!W9/SER_hh_fec_in!W9)</f>
        <v>0.91575314647147232</v>
      </c>
      <c r="X9" s="136">
        <f>IF(SER_hh_tes_in!X9=0,"",SER_hh_tes_in!X9/SER_hh_fec_in!X9)</f>
        <v>0.91769640619797865</v>
      </c>
      <c r="Y9" s="136">
        <f>IF(SER_hh_tes_in!Y9=0,"",SER_hh_tes_in!Y9/SER_hh_fec_in!Y9)</f>
        <v>0.91902289894503386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 t="str">
        <f>IF(SER_hh_tes_in!C10=0,"",SER_hh_tes_in!C10/SER_hh_fec_in!C10)</f>
        <v/>
      </c>
      <c r="D10" s="136" t="str">
        <f>IF(SER_hh_tes_in!D10=0,"",SER_hh_tes_in!D10/SER_hh_fec_in!D10)</f>
        <v/>
      </c>
      <c r="E10" s="136" t="str">
        <f>IF(SER_hh_tes_in!E10=0,"",SER_hh_tes_in!E10/SER_hh_fec_in!E10)</f>
        <v/>
      </c>
      <c r="F10" s="136" t="str">
        <f>IF(SER_hh_tes_in!F10=0,"",SER_hh_tes_in!F10/SER_hh_fec_in!F10)</f>
        <v/>
      </c>
      <c r="G10" s="136" t="str">
        <f>IF(SER_hh_tes_in!G10=0,"",SER_hh_tes_in!G10/SER_hh_fec_in!G10)</f>
        <v/>
      </c>
      <c r="H10" s="136" t="str">
        <f>IF(SER_hh_tes_in!H10=0,"",SER_hh_tes_in!H10/SER_hh_fec_in!H10)</f>
        <v/>
      </c>
      <c r="I10" s="136" t="str">
        <f>IF(SER_hh_tes_in!I10=0,"",SER_hh_tes_in!I10/SER_hh_fec_in!I10)</f>
        <v/>
      </c>
      <c r="J10" s="136" t="str">
        <f>IF(SER_hh_tes_in!J10=0,"",SER_hh_tes_in!J10/SER_hh_fec_in!J10)</f>
        <v/>
      </c>
      <c r="K10" s="136" t="str">
        <f>IF(SER_hh_tes_in!K10=0,"",SER_hh_tes_in!K10/SER_hh_fec_in!K10)</f>
        <v/>
      </c>
      <c r="L10" s="136" t="str">
        <f>IF(SER_hh_tes_in!L10=0,"",SER_hh_tes_in!L10/SER_hh_fec_in!L10)</f>
        <v/>
      </c>
      <c r="M10" s="136" t="str">
        <f>IF(SER_hh_tes_in!M10=0,"",SER_hh_tes_in!M10/SER_hh_fec_in!M10)</f>
        <v/>
      </c>
      <c r="N10" s="136" t="str">
        <f>IF(SER_hh_tes_in!N10=0,"",SER_hh_tes_in!N10/SER_hh_fec_in!N10)</f>
        <v/>
      </c>
      <c r="O10" s="136" t="str">
        <f>IF(SER_hh_tes_in!O10=0,"",SER_hh_tes_in!O10/SER_hh_fec_in!O10)</f>
        <v/>
      </c>
      <c r="P10" s="136" t="str">
        <f>IF(SER_hh_tes_in!P10=0,"",SER_hh_tes_in!P10/SER_hh_fec_in!P10)</f>
        <v/>
      </c>
      <c r="Q10" s="136" t="str">
        <f>IF(SER_hh_tes_in!Q10=0,"",SER_hh_tes_in!Q10/SER_hh_fec_in!Q10)</f>
        <v/>
      </c>
      <c r="R10" s="136" t="str">
        <f>IF(SER_hh_tes_in!R10=0,"",SER_hh_tes_in!R10/SER_hh_fec_in!R10)</f>
        <v/>
      </c>
      <c r="S10" s="136" t="str">
        <f>IF(SER_hh_tes_in!S10=0,"",SER_hh_tes_in!S10/SER_hh_fec_in!S10)</f>
        <v/>
      </c>
      <c r="T10" s="136" t="str">
        <f>IF(SER_hh_tes_in!T10=0,"",SER_hh_tes_in!T10/SER_hh_fec_in!T10)</f>
        <v/>
      </c>
      <c r="U10" s="136" t="str">
        <f>IF(SER_hh_tes_in!U10=0,"",SER_hh_tes_in!U10/SER_hh_fec_in!U10)</f>
        <v/>
      </c>
      <c r="V10" s="136" t="str">
        <f>IF(SER_hh_tes_in!V10=0,"",SER_hh_tes_in!V10/SER_hh_fec_in!V10)</f>
        <v/>
      </c>
      <c r="W10" s="136" t="str">
        <f>IF(SER_hh_tes_in!W10=0,"",SER_hh_tes_in!W10/SER_hh_fec_in!W10)</f>
        <v/>
      </c>
      <c r="X10" s="136" t="str">
        <f>IF(SER_hh_tes_in!X10=0,"",SER_hh_tes_in!X10/SER_hh_fec_in!X10)</f>
        <v/>
      </c>
      <c r="Y10" s="136" t="str">
        <f>IF(SER_hh_tes_in!Y10=0,"",SER_hh_tes_in!Y10/SER_hh_fec_in!Y10)</f>
        <v/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 t="str">
        <f>IF(SER_hh_tes_in!N11=0,"",SER_hh_tes_in!N11/SER_hh_fec_in!N11)</f>
        <v/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 t="str">
        <f>IF(SER_hh_tes_in!C12=0,"",SER_hh_tes_in!C12/SER_hh_fec_in!C12)</f>
        <v/>
      </c>
      <c r="D12" s="136" t="str">
        <f>IF(SER_hh_tes_in!D12=0,"",SER_hh_tes_in!D12/SER_hh_fec_in!D12)</f>
        <v/>
      </c>
      <c r="E12" s="136" t="str">
        <f>IF(SER_hh_tes_in!E12=0,"",SER_hh_tes_in!E12/SER_hh_fec_in!E12)</f>
        <v/>
      </c>
      <c r="F12" s="136" t="str">
        <f>IF(SER_hh_tes_in!F12=0,"",SER_hh_tes_in!F12/SER_hh_fec_in!F12)</f>
        <v/>
      </c>
      <c r="G12" s="136" t="str">
        <f>IF(SER_hh_tes_in!G12=0,"",SER_hh_tes_in!G12/SER_hh_fec_in!G12)</f>
        <v/>
      </c>
      <c r="H12" s="136" t="str">
        <f>IF(SER_hh_tes_in!H12=0,"",SER_hh_tes_in!H12/SER_hh_fec_in!H12)</f>
        <v/>
      </c>
      <c r="I12" s="136" t="str">
        <f>IF(SER_hh_tes_in!I12=0,"",SER_hh_tes_in!I12/SER_hh_fec_in!I12)</f>
        <v/>
      </c>
      <c r="J12" s="136" t="str">
        <f>IF(SER_hh_tes_in!J12=0,"",SER_hh_tes_in!J12/SER_hh_fec_in!J12)</f>
        <v/>
      </c>
      <c r="K12" s="136" t="str">
        <f>IF(SER_hh_tes_in!K12=0,"",SER_hh_tes_in!K12/SER_hh_fec_in!K12)</f>
        <v/>
      </c>
      <c r="L12" s="136" t="str">
        <f>IF(SER_hh_tes_in!L12=0,"",SER_hh_tes_in!L12/SER_hh_fec_in!L12)</f>
        <v/>
      </c>
      <c r="M12" s="136">
        <f>IF(SER_hh_tes_in!M12=0,"",SER_hh_tes_in!M12/SER_hh_fec_in!M12)</f>
        <v>0.77648372943292887</v>
      </c>
      <c r="N12" s="136">
        <f>IF(SER_hh_tes_in!N12=0,"",SER_hh_tes_in!N12/SER_hh_fec_in!N12)</f>
        <v>0.78199756897647388</v>
      </c>
      <c r="O12" s="136" t="str">
        <f>IF(SER_hh_tes_in!O12=0,"",SER_hh_tes_in!O12/SER_hh_fec_in!O12)</f>
        <v/>
      </c>
      <c r="P12" s="136" t="str">
        <f>IF(SER_hh_tes_in!P12=0,"",SER_hh_tes_in!P12/SER_hh_fec_in!P12)</f>
        <v/>
      </c>
      <c r="Q12" s="136" t="str">
        <f>IF(SER_hh_tes_in!Q12=0,"",SER_hh_tes_in!Q12/SER_hh_fec_in!Q12)</f>
        <v/>
      </c>
      <c r="R12" s="136" t="str">
        <f>IF(SER_hh_tes_in!R12=0,"",SER_hh_tes_in!R12/SER_hh_fec_in!R12)</f>
        <v/>
      </c>
      <c r="S12" s="136" t="str">
        <f>IF(SER_hh_tes_in!S12=0,"",SER_hh_tes_in!S12/SER_hh_fec_in!S12)</f>
        <v/>
      </c>
      <c r="T12" s="136" t="str">
        <f>IF(SER_hh_tes_in!T12=0,"",SER_hh_tes_in!T12/SER_hh_fec_in!T12)</f>
        <v/>
      </c>
      <c r="U12" s="136" t="str">
        <f>IF(SER_hh_tes_in!U12=0,"",SER_hh_tes_in!U12/SER_hh_fec_in!U12)</f>
        <v/>
      </c>
      <c r="V12" s="136" t="str">
        <f>IF(SER_hh_tes_in!V12=0,"",SER_hh_tes_in!V12/SER_hh_fec_in!V12)</f>
        <v/>
      </c>
      <c r="W12" s="136" t="str">
        <f>IF(SER_hh_tes_in!W12=0,"",SER_hh_tes_in!W12/SER_hh_fec_in!W12)</f>
        <v/>
      </c>
      <c r="X12" s="136" t="str">
        <f>IF(SER_hh_tes_in!X12=0,"",SER_hh_tes_in!X12/SER_hh_fec_in!X12)</f>
        <v/>
      </c>
      <c r="Y12" s="136" t="str">
        <f>IF(SER_hh_tes_in!Y12=0,"",SER_hh_tes_in!Y12/SER_hh_fec_in!Y12)</f>
        <v/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1.6979958896628655</v>
      </c>
      <c r="D13" s="136">
        <f>IF(SER_hh_tes_in!D13=0,"",SER_hh_tes_in!D13/SER_hh_fec_in!D13)</f>
        <v>1.7900832521637371</v>
      </c>
      <c r="E13" s="136">
        <f>IF(SER_hh_tes_in!E13=0,"",SER_hh_tes_in!E13/SER_hh_fec_in!E13)</f>
        <v>1.8837210267588598</v>
      </c>
      <c r="F13" s="136">
        <f>IF(SER_hh_tes_in!F13=0,"",SER_hh_tes_in!F13/SER_hh_fec_in!F13)</f>
        <v>1.9780064759085598</v>
      </c>
      <c r="G13" s="136">
        <f>IF(SER_hh_tes_in!G13=0,"",SER_hh_tes_in!G13/SER_hh_fec_in!G13)</f>
        <v>2.0737621090789329</v>
      </c>
      <c r="H13" s="136">
        <f>IF(SER_hh_tes_in!H13=0,"",SER_hh_tes_in!H13/SER_hh_fec_in!H13)</f>
        <v>2.1708889795168407</v>
      </c>
      <c r="I13" s="136">
        <f>IF(SER_hh_tes_in!I13=0,"",SER_hh_tes_in!I13/SER_hh_fec_in!I13)</f>
        <v>2.2695915525470891</v>
      </c>
      <c r="J13" s="136">
        <f>IF(SER_hh_tes_in!J13=0,"",SER_hh_tes_in!J13/SER_hh_fec_in!J13)</f>
        <v>2.3707034635485105</v>
      </c>
      <c r="K13" s="136">
        <f>IF(SER_hh_tes_in!K13=0,"",SER_hh_tes_in!K13/SER_hh_fec_in!K13)</f>
        <v>2.4749360998848569</v>
      </c>
      <c r="L13" s="136">
        <f>IF(SER_hh_tes_in!L13=0,"",SER_hh_tes_in!L13/SER_hh_fec_in!L13)</f>
        <v>2.5824844804300979</v>
      </c>
      <c r="M13" s="136">
        <f>IF(SER_hh_tes_in!M13=0,"",SER_hh_tes_in!M13/SER_hh_fec_in!M13)</f>
        <v>2.713993890099228</v>
      </c>
      <c r="N13" s="136">
        <f>IF(SER_hh_tes_in!N13=0,"",SER_hh_tes_in!N13/SER_hh_fec_in!N13)</f>
        <v>2.8765836347431892</v>
      </c>
      <c r="O13" s="136">
        <f>IF(SER_hh_tes_in!O13=0,"",SER_hh_tes_in!O13/SER_hh_fec_in!O13)</f>
        <v>3.0726995789319789</v>
      </c>
      <c r="P13" s="136">
        <f>IF(SER_hh_tes_in!P13=0,"",SER_hh_tes_in!P13/SER_hh_fec_in!P13)</f>
        <v>3.2825670475028272</v>
      </c>
      <c r="Q13" s="136">
        <f>IF(SER_hh_tes_in!Q13=0,"",SER_hh_tes_in!Q13/SER_hh_fec_in!Q13)</f>
        <v>3.4457742669514535</v>
      </c>
      <c r="R13" s="136">
        <f>IF(SER_hh_tes_in!R13=0,"",SER_hh_tes_in!R13/SER_hh_fec_in!R13)</f>
        <v>3.6701213753719744</v>
      </c>
      <c r="S13" s="136">
        <f>IF(SER_hh_tes_in!S13=0,"",SER_hh_tes_in!S13/SER_hh_fec_in!S13)</f>
        <v>3.7770044214034439</v>
      </c>
      <c r="T13" s="136">
        <f>IF(SER_hh_tes_in!T13=0,"",SER_hh_tes_in!T13/SER_hh_fec_in!T13)</f>
        <v>3.8436329301119083</v>
      </c>
      <c r="U13" s="136">
        <f>IF(SER_hh_tes_in!U13=0,"",SER_hh_tes_in!U13/SER_hh_fec_in!U13)</f>
        <v>3.8884549871860572</v>
      </c>
      <c r="V13" s="136">
        <f>IF(SER_hh_tes_in!V13=0,"",SER_hh_tes_in!V13/SER_hh_fec_in!V13)</f>
        <v>3.9296876723510259</v>
      </c>
      <c r="W13" s="136">
        <f>IF(SER_hh_tes_in!W13=0,"",SER_hh_tes_in!W13/SER_hh_fec_in!W13)</f>
        <v>3.9709442364633345</v>
      </c>
      <c r="X13" s="136">
        <f>IF(SER_hh_tes_in!X13=0,"",SER_hh_tes_in!X13/SER_hh_fec_in!X13)</f>
        <v>4.0055190078581608</v>
      </c>
      <c r="Y13" s="136">
        <f>IF(SER_hh_tes_in!Y13=0,"",SER_hh_tes_in!Y13/SER_hh_fec_in!Y13)</f>
        <v>4.0351741664933956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0.59450202055866619</v>
      </c>
      <c r="D14" s="137">
        <f>IF(SER_hh_tes_in!D14=0,"",SER_hh_tes_in!D14/SER_hh_fec_in!D14)</f>
        <v>0.5990887136505888</v>
      </c>
      <c r="E14" s="137">
        <f>IF(SER_hh_tes_in!E14=0,"",SER_hh_tes_in!E14/SER_hh_fec_in!E14)</f>
        <v>0.60366263131031561</v>
      </c>
      <c r="F14" s="137">
        <f>IF(SER_hh_tes_in!F14=0,"",SER_hh_tes_in!F14/SER_hh_fec_in!F14)</f>
        <v>0.60823436153036803</v>
      </c>
      <c r="G14" s="137">
        <f>IF(SER_hh_tes_in!G14=0,"",SER_hh_tes_in!G14/SER_hh_fec_in!G14)</f>
        <v>0.61279433476785838</v>
      </c>
      <c r="H14" s="137">
        <f>IF(SER_hh_tes_in!H14=0,"",SER_hh_tes_in!H14/SER_hh_fec_in!H14)</f>
        <v>0.6173437584492063</v>
      </c>
      <c r="I14" s="137">
        <f>IF(SER_hh_tes_in!I14=0,"",SER_hh_tes_in!I14/SER_hh_fec_in!I14)</f>
        <v>0.62188031386535525</v>
      </c>
      <c r="J14" s="137">
        <f>IF(SER_hh_tes_in!J14=0,"",SER_hh_tes_in!J14/SER_hh_fec_in!J14)</f>
        <v>0.62639441778187155</v>
      </c>
      <c r="K14" s="137">
        <f>IF(SER_hh_tes_in!K14=0,"",SER_hh_tes_in!K14/SER_hh_fec_in!K14)</f>
        <v>0.63087798496248082</v>
      </c>
      <c r="L14" s="137">
        <f>IF(SER_hh_tes_in!L14=0,"",SER_hh_tes_in!L14/SER_hh_fec_in!L14)</f>
        <v>0.63532897016624257</v>
      </c>
      <c r="M14" s="137">
        <f>IF(SER_hh_tes_in!M14=0,"",SER_hh_tes_in!M14/SER_hh_fec_in!M14)</f>
        <v>0.63892848825873172</v>
      </c>
      <c r="N14" s="137">
        <f>IF(SER_hh_tes_in!N14=0,"",SER_hh_tes_in!N14/SER_hh_fec_in!N14)</f>
        <v>0.64138067235592111</v>
      </c>
      <c r="O14" s="137">
        <f>IF(SER_hh_tes_in!O14=0,"",SER_hh_tes_in!O14/SER_hh_fec_in!O14)</f>
        <v>0.64307678901134024</v>
      </c>
      <c r="P14" s="137">
        <f>IF(SER_hh_tes_in!P14=0,"",SER_hh_tes_in!P14/SER_hh_fec_in!P14)</f>
        <v>0.6457330681027087</v>
      </c>
      <c r="Q14" s="137">
        <f>IF(SER_hh_tes_in!Q14=0,"",SER_hh_tes_in!Q14/SER_hh_fec_in!Q14)</f>
        <v>0.65401132274163731</v>
      </c>
      <c r="R14" s="137">
        <f>IF(SER_hh_tes_in!R14=0,"",SER_hh_tes_in!R14/SER_hh_fec_in!R14)</f>
        <v>0.67339990775723368</v>
      </c>
      <c r="S14" s="137">
        <f>IF(SER_hh_tes_in!S14=0,"",SER_hh_tes_in!S14/SER_hh_fec_in!S14)</f>
        <v>0.69952007073042355</v>
      </c>
      <c r="T14" s="137">
        <f>IF(SER_hh_tes_in!T14=0,"",SER_hh_tes_in!T14/SER_hh_fec_in!T14)</f>
        <v>0.72878260297995856</v>
      </c>
      <c r="U14" s="137">
        <f>IF(SER_hh_tes_in!U14=0,"",SER_hh_tes_in!U14/SER_hh_fec_in!U14)</f>
        <v>0.75763123046730929</v>
      </c>
      <c r="V14" s="137">
        <f>IF(SER_hh_tes_in!V14=0,"",SER_hh_tes_in!V14/SER_hh_fec_in!V14)</f>
        <v>0.78250617754686869</v>
      </c>
      <c r="W14" s="137">
        <f>IF(SER_hh_tes_in!W14=0,"",SER_hh_tes_in!W14/SER_hh_fec_in!W14)</f>
        <v>0.8027033811801374</v>
      </c>
      <c r="X14" s="137">
        <f>IF(SER_hh_tes_in!X14=0,"",SER_hh_tes_in!X14/SER_hh_fec_in!X14)</f>
        <v>0.81600411245538684</v>
      </c>
      <c r="Y14" s="137">
        <f>IF(SER_hh_tes_in!Y14=0,"",SER_hh_tes_in!Y14/SER_hh_fec_in!Y14)</f>
        <v>0.82854973131694842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2.4691717204388723</v>
      </c>
      <c r="D16" s="135">
        <f>IF(SER_hh_tes_in!D16=0,"",SER_hh_tes_in!D16/SER_hh_fec_in!D16)</f>
        <v>2.5810658157375652</v>
      </c>
      <c r="E16" s="135">
        <f>IF(SER_hh_tes_in!E16=0,"",SER_hh_tes_in!E16/SER_hh_fec_in!E16)</f>
        <v>2.6946374186859861</v>
      </c>
      <c r="F16" s="135">
        <f>IF(SER_hh_tes_in!F16=0,"",SER_hh_tes_in!F16/SER_hh_fec_in!F16)</f>
        <v>2.809121178652294</v>
      </c>
      <c r="G16" s="135">
        <f>IF(SER_hh_tes_in!G16=0,"",SER_hh_tes_in!G16/SER_hh_fec_in!G16)</f>
        <v>2.9251803372242535</v>
      </c>
      <c r="H16" s="135">
        <f>IF(SER_hh_tes_in!H16=0,"",SER_hh_tes_in!H16/SER_hh_fec_in!H16)</f>
        <v>3.0427106582831827</v>
      </c>
      <c r="I16" s="135">
        <f>IF(SER_hh_tes_in!I16=0,"",SER_hh_tes_in!I16/SER_hh_fec_in!I16)</f>
        <v>3.1618511698723513</v>
      </c>
      <c r="J16" s="135">
        <f>IF(SER_hh_tes_in!J16=0,"",SER_hh_tes_in!J16/SER_hh_fec_in!J16)</f>
        <v>3.2832249852291646</v>
      </c>
      <c r="K16" s="135">
        <f>IF(SER_hh_tes_in!K16=0,"",SER_hh_tes_in!K16/SER_hh_fec_in!K16)</f>
        <v>3.4073256619927088</v>
      </c>
      <c r="L16" s="135">
        <f>IF(SER_hh_tes_in!L16=0,"",SER_hh_tes_in!L16/SER_hh_fec_in!L16)</f>
        <v>3.5342186512179037</v>
      </c>
      <c r="M16" s="135">
        <f>IF(SER_hh_tes_in!M16=0,"",SER_hh_tes_in!M16/SER_hh_fec_in!M16)</f>
        <v>3.6796286636073243</v>
      </c>
      <c r="N16" s="135">
        <f>IF(SER_hh_tes_in!N16=0,"",SER_hh_tes_in!N16/SER_hh_fec_in!N16)</f>
        <v>3.8482236438453037</v>
      </c>
      <c r="O16" s="135">
        <f>IF(SER_hh_tes_in!O16=0,"",SER_hh_tes_in!O16/SER_hh_fec_in!O16)</f>
        <v>4.0397028351622275</v>
      </c>
      <c r="P16" s="135">
        <f>IF(SER_hh_tes_in!P16=0,"",SER_hh_tes_in!P16/SER_hh_fec_in!P16)</f>
        <v>4.2354314820519017</v>
      </c>
      <c r="Q16" s="135">
        <f>IF(SER_hh_tes_in!Q16=0,"",SER_hh_tes_in!Q16/SER_hh_fec_in!Q16)</f>
        <v>4.3856502175894221</v>
      </c>
      <c r="R16" s="135">
        <f>IF(SER_hh_tes_in!R16=0,"",SER_hh_tes_in!R16/SER_hh_fec_in!R16)</f>
        <v>4.5592181465594885</v>
      </c>
      <c r="S16" s="135">
        <f>IF(SER_hh_tes_in!S16=0,"",SER_hh_tes_in!S16/SER_hh_fec_in!S16)</f>
        <v>4.6288542833259969</v>
      </c>
      <c r="T16" s="135">
        <f>IF(SER_hh_tes_in!T16=0,"",SER_hh_tes_in!T16/SER_hh_fec_in!T16)</f>
        <v>4.6736783866240907</v>
      </c>
      <c r="U16" s="135">
        <f>IF(SER_hh_tes_in!U16=0,"",SER_hh_tes_in!U16/SER_hh_fec_in!U16)</f>
        <v>4.7055156313498854</v>
      </c>
      <c r="V16" s="135">
        <f>IF(SER_hh_tes_in!V16=0,"",SER_hh_tes_in!V16/SER_hh_fec_in!V16)</f>
        <v>4.7370609677152382</v>
      </c>
      <c r="W16" s="135">
        <f>IF(SER_hh_tes_in!W16=0,"",SER_hh_tes_in!W16/SER_hh_fec_in!W16)</f>
        <v>4.7696428089994871</v>
      </c>
      <c r="X16" s="135">
        <f>IF(SER_hh_tes_in!X16=0,"",SER_hh_tes_in!X16/SER_hh_fec_in!X16)</f>
        <v>4.7933187799088746</v>
      </c>
      <c r="Y16" s="135">
        <f>IF(SER_hh_tes_in!Y16=0,"",SER_hh_tes_in!Y16/SER_hh_fec_in!Y16)</f>
        <v>4.8139166208668218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 t="str">
        <f>IF(SER_hh_tes_in!C17=0,"",SER_hh_tes_in!C17/SER_hh_fec_in!C17)</f>
        <v/>
      </c>
      <c r="D17" s="136" t="str">
        <f>IF(SER_hh_tes_in!D17=0,"",SER_hh_tes_in!D17/SER_hh_fec_in!D17)</f>
        <v/>
      </c>
      <c r="E17" s="136" t="str">
        <f>IF(SER_hh_tes_in!E17=0,"",SER_hh_tes_in!E17/SER_hh_fec_in!E17)</f>
        <v/>
      </c>
      <c r="F17" s="136" t="str">
        <f>IF(SER_hh_tes_in!F17=0,"",SER_hh_tes_in!F17/SER_hh_fec_in!F17)</f>
        <v/>
      </c>
      <c r="G17" s="136" t="str">
        <f>IF(SER_hh_tes_in!G17=0,"",SER_hh_tes_in!G17/SER_hh_fec_in!G17)</f>
        <v/>
      </c>
      <c r="H17" s="136" t="str">
        <f>IF(SER_hh_tes_in!H17=0,"",SER_hh_tes_in!H17/SER_hh_fec_in!H17)</f>
        <v/>
      </c>
      <c r="I17" s="136" t="str">
        <f>IF(SER_hh_tes_in!I17=0,"",SER_hh_tes_in!I17/SER_hh_fec_in!I17)</f>
        <v/>
      </c>
      <c r="J17" s="136" t="str">
        <f>IF(SER_hh_tes_in!J17=0,"",SER_hh_tes_in!J17/SER_hh_fec_in!J17)</f>
        <v/>
      </c>
      <c r="K17" s="136" t="str">
        <f>IF(SER_hh_tes_in!K17=0,"",SER_hh_tes_in!K17/SER_hh_fec_in!K17)</f>
        <v/>
      </c>
      <c r="L17" s="136" t="str">
        <f>IF(SER_hh_tes_in!L17=0,"",SER_hh_tes_in!L17/SER_hh_fec_in!L17)</f>
        <v/>
      </c>
      <c r="M17" s="136" t="str">
        <f>IF(SER_hh_tes_in!M17=0,"",SER_hh_tes_in!M17/SER_hh_fec_in!M17)</f>
        <v/>
      </c>
      <c r="N17" s="136" t="str">
        <f>IF(SER_hh_tes_in!N17=0,"",SER_hh_tes_in!N17/SER_hh_fec_in!N17)</f>
        <v/>
      </c>
      <c r="O17" s="136" t="str">
        <f>IF(SER_hh_tes_in!O17=0,"",SER_hh_tes_in!O17/SER_hh_fec_in!O17)</f>
        <v/>
      </c>
      <c r="P17" s="136" t="str">
        <f>IF(SER_hh_tes_in!P17=0,"",SER_hh_tes_in!P17/SER_hh_fec_in!P17)</f>
        <v/>
      </c>
      <c r="Q17" s="136" t="str">
        <f>IF(SER_hh_tes_in!Q17=0,"",SER_hh_tes_in!Q17/SER_hh_fec_in!Q17)</f>
        <v/>
      </c>
      <c r="R17" s="136" t="str">
        <f>IF(SER_hh_tes_in!R17=0,"",SER_hh_tes_in!R17/SER_hh_fec_in!R17)</f>
        <v/>
      </c>
      <c r="S17" s="136" t="str">
        <f>IF(SER_hh_tes_in!S17=0,"",SER_hh_tes_in!S17/SER_hh_fec_in!S17)</f>
        <v/>
      </c>
      <c r="T17" s="136" t="str">
        <f>IF(SER_hh_tes_in!T17=0,"",SER_hh_tes_in!T17/SER_hh_fec_in!T17)</f>
        <v/>
      </c>
      <c r="U17" s="136" t="str">
        <f>IF(SER_hh_tes_in!U17=0,"",SER_hh_tes_in!U17/SER_hh_fec_in!U17)</f>
        <v/>
      </c>
      <c r="V17" s="136" t="str">
        <f>IF(SER_hh_tes_in!V17=0,"",SER_hh_tes_in!V17/SER_hh_fec_in!V17)</f>
        <v/>
      </c>
      <c r="W17" s="136" t="str">
        <f>IF(SER_hh_tes_in!W17=0,"",SER_hh_tes_in!W17/SER_hh_fec_in!W17)</f>
        <v/>
      </c>
      <c r="X17" s="136" t="str">
        <f>IF(SER_hh_tes_in!X17=0,"",SER_hh_tes_in!X17/SER_hh_fec_in!X17)</f>
        <v/>
      </c>
      <c r="Y17" s="136" t="str">
        <f>IF(SER_hh_tes_in!Y17=0,"",SER_hh_tes_in!Y17/SER_hh_fec_in!Y17)</f>
        <v/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2.4691717204388723</v>
      </c>
      <c r="D18" s="136">
        <f>IF(SER_hh_tes_in!D18=0,"",SER_hh_tes_in!D18/SER_hh_fec_in!D18)</f>
        <v>2.5810658157375652</v>
      </c>
      <c r="E18" s="136">
        <f>IF(SER_hh_tes_in!E18=0,"",SER_hh_tes_in!E18/SER_hh_fec_in!E18)</f>
        <v>2.6946374186859861</v>
      </c>
      <c r="F18" s="136">
        <f>IF(SER_hh_tes_in!F18=0,"",SER_hh_tes_in!F18/SER_hh_fec_in!F18)</f>
        <v>2.809121178652294</v>
      </c>
      <c r="G18" s="136">
        <f>IF(SER_hh_tes_in!G18=0,"",SER_hh_tes_in!G18/SER_hh_fec_in!G18)</f>
        <v>2.9251803372242535</v>
      </c>
      <c r="H18" s="136">
        <f>IF(SER_hh_tes_in!H18=0,"",SER_hh_tes_in!H18/SER_hh_fec_in!H18)</f>
        <v>3.0427106582831827</v>
      </c>
      <c r="I18" s="136">
        <f>IF(SER_hh_tes_in!I18=0,"",SER_hh_tes_in!I18/SER_hh_fec_in!I18)</f>
        <v>3.1618511698723513</v>
      </c>
      <c r="J18" s="136">
        <f>IF(SER_hh_tes_in!J18=0,"",SER_hh_tes_in!J18/SER_hh_fec_in!J18)</f>
        <v>3.2832249852291646</v>
      </c>
      <c r="K18" s="136">
        <f>IF(SER_hh_tes_in!K18=0,"",SER_hh_tes_in!K18/SER_hh_fec_in!K18)</f>
        <v>3.4073256619927088</v>
      </c>
      <c r="L18" s="136">
        <f>IF(SER_hh_tes_in!L18=0,"",SER_hh_tes_in!L18/SER_hh_fec_in!L18)</f>
        <v>3.5342186512179037</v>
      </c>
      <c r="M18" s="136">
        <f>IF(SER_hh_tes_in!M18=0,"",SER_hh_tes_in!M18/SER_hh_fec_in!M18)</f>
        <v>3.6796286636073243</v>
      </c>
      <c r="N18" s="136">
        <f>IF(SER_hh_tes_in!N18=0,"",SER_hh_tes_in!N18/SER_hh_fec_in!N18)</f>
        <v>3.8482236438453037</v>
      </c>
      <c r="O18" s="136">
        <f>IF(SER_hh_tes_in!O18=0,"",SER_hh_tes_in!O18/SER_hh_fec_in!O18)</f>
        <v>4.0397028351622275</v>
      </c>
      <c r="P18" s="136">
        <f>IF(SER_hh_tes_in!P18=0,"",SER_hh_tes_in!P18/SER_hh_fec_in!P18)</f>
        <v>4.2354314820519017</v>
      </c>
      <c r="Q18" s="136">
        <f>IF(SER_hh_tes_in!Q18=0,"",SER_hh_tes_in!Q18/SER_hh_fec_in!Q18)</f>
        <v>4.3856502175894221</v>
      </c>
      <c r="R18" s="136">
        <f>IF(SER_hh_tes_in!R18=0,"",SER_hh_tes_in!R18/SER_hh_fec_in!R18)</f>
        <v>4.5592181465594885</v>
      </c>
      <c r="S18" s="136">
        <f>IF(SER_hh_tes_in!S18=0,"",SER_hh_tes_in!S18/SER_hh_fec_in!S18)</f>
        <v>4.6288542833259969</v>
      </c>
      <c r="T18" s="136">
        <f>IF(SER_hh_tes_in!T18=0,"",SER_hh_tes_in!T18/SER_hh_fec_in!T18)</f>
        <v>4.6736783866240907</v>
      </c>
      <c r="U18" s="136">
        <f>IF(SER_hh_tes_in!U18=0,"",SER_hh_tes_in!U18/SER_hh_fec_in!U18)</f>
        <v>4.7055156313498854</v>
      </c>
      <c r="V18" s="136">
        <f>IF(SER_hh_tes_in!V18=0,"",SER_hh_tes_in!V18/SER_hh_fec_in!V18)</f>
        <v>4.7370609677152382</v>
      </c>
      <c r="W18" s="136">
        <f>IF(SER_hh_tes_in!W18=0,"",SER_hh_tes_in!W18/SER_hh_fec_in!W18)</f>
        <v>4.7696428089994871</v>
      </c>
      <c r="X18" s="136">
        <f>IF(SER_hh_tes_in!X18=0,"",SER_hh_tes_in!X18/SER_hh_fec_in!X18)</f>
        <v>4.7933187799088746</v>
      </c>
      <c r="Y18" s="136">
        <f>IF(SER_hh_tes_in!Y18=0,"",SER_hh_tes_in!Y18/SER_hh_fec_in!Y18)</f>
        <v>4.8139166208668218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0.52930921923725371</v>
      </c>
      <c r="D19" s="135">
        <f>IF(SER_hh_tes_in!D19=0,"",SER_hh_tes_in!D19/SER_hh_fec_in!D19)</f>
        <v>0.53257481728613654</v>
      </c>
      <c r="E19" s="135">
        <f>IF(SER_hh_tes_in!E19=0,"",SER_hh_tes_in!E19/SER_hh_fec_in!E19)</f>
        <v>0.53318728091012169</v>
      </c>
      <c r="F19" s="135">
        <f>IF(SER_hh_tes_in!F19=0,"",SER_hh_tes_in!F19/SER_hh_fec_in!F19)</f>
        <v>0.53203843696550135</v>
      </c>
      <c r="G19" s="135">
        <f>IF(SER_hh_tes_in!G19=0,"",SER_hh_tes_in!G19/SER_hh_fec_in!G19)</f>
        <v>0.52845697858169594</v>
      </c>
      <c r="H19" s="135">
        <f>IF(SER_hh_tes_in!H19=0,"",SER_hh_tes_in!H19/SER_hh_fec_in!H19)</f>
        <v>0.52494230179536039</v>
      </c>
      <c r="I19" s="135">
        <f>IF(SER_hh_tes_in!I19=0,"",SER_hh_tes_in!I19/SER_hh_fec_in!I19)</f>
        <v>0.53564195893647448</v>
      </c>
      <c r="J19" s="135">
        <f>IF(SER_hh_tes_in!J19=0,"",SER_hh_tes_in!J19/SER_hh_fec_in!J19)</f>
        <v>0.54151842782573811</v>
      </c>
      <c r="K19" s="135">
        <f>IF(SER_hh_tes_in!K19=0,"",SER_hh_tes_in!K19/SER_hh_fec_in!K19)</f>
        <v>0.54528043794689385</v>
      </c>
      <c r="L19" s="135">
        <f>IF(SER_hh_tes_in!L19=0,"",SER_hh_tes_in!L19/SER_hh_fec_in!L19)</f>
        <v>0.55913558435659483</v>
      </c>
      <c r="M19" s="135">
        <f>IF(SER_hh_tes_in!M19=0,"",SER_hh_tes_in!M19/SER_hh_fec_in!M19)</f>
        <v>0.56706947171452127</v>
      </c>
      <c r="N19" s="135">
        <f>IF(SER_hh_tes_in!N19=0,"",SER_hh_tes_in!N19/SER_hh_fec_in!N19)</f>
        <v>0.5797274338619588</v>
      </c>
      <c r="O19" s="135">
        <f>IF(SER_hh_tes_in!O19=0,"",SER_hh_tes_in!O19/SER_hh_fec_in!O19)</f>
        <v>0.59924100229098265</v>
      </c>
      <c r="P19" s="135">
        <f>IF(SER_hh_tes_in!P19=0,"",SER_hh_tes_in!P19/SER_hh_fec_in!P19)</f>
        <v>0.62454723132109036</v>
      </c>
      <c r="Q19" s="135">
        <f>IF(SER_hh_tes_in!Q19=0,"",SER_hh_tes_in!Q19/SER_hh_fec_in!Q19)</f>
        <v>0.64897446186188246</v>
      </c>
      <c r="R19" s="135">
        <f>IF(SER_hh_tes_in!R19=0,"",SER_hh_tes_in!R19/SER_hh_fec_in!R19)</f>
        <v>0.66550533010244362</v>
      </c>
      <c r="S19" s="135">
        <f>IF(SER_hh_tes_in!S19=0,"",SER_hh_tes_in!S19/SER_hh_fec_in!S19)</f>
        <v>0.67954377440017399</v>
      </c>
      <c r="T19" s="135">
        <f>IF(SER_hh_tes_in!T19=0,"",SER_hh_tes_in!T19/SER_hh_fec_in!T19)</f>
        <v>0.6944439351934103</v>
      </c>
      <c r="U19" s="135">
        <f>IF(SER_hh_tes_in!U19=0,"",SER_hh_tes_in!U19/SER_hh_fec_in!U19)</f>
        <v>0.71110789301399879</v>
      </c>
      <c r="V19" s="135">
        <f>IF(SER_hh_tes_in!V19=0,"",SER_hh_tes_in!V19/SER_hh_fec_in!V19)</f>
        <v>0.72679437254529766</v>
      </c>
      <c r="W19" s="135">
        <f>IF(SER_hh_tes_in!W19=0,"",SER_hh_tes_in!W19/SER_hh_fec_in!W19)</f>
        <v>0.73900006186140477</v>
      </c>
      <c r="X19" s="135">
        <f>IF(SER_hh_tes_in!X19=0,"",SER_hh_tes_in!X19/SER_hh_fec_in!X19)</f>
        <v>0.75274038235047236</v>
      </c>
      <c r="Y19" s="135">
        <f>IF(SER_hh_tes_in!Y19=0,"",SER_hh_tes_in!Y19/SER_hh_fec_in!Y19)</f>
        <v>0.76276455721025083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>
        <f>IF(SER_hh_tes_in!C21=0,"",SER_hh_tes_in!C21/SER_hh_fec_in!C21)</f>
        <v>0.44991878104481409</v>
      </c>
      <c r="D21" s="136">
        <f>IF(SER_hh_tes_in!D21=0,"",SER_hh_tes_in!D21/SER_hh_fec_in!D21)</f>
        <v>0.45180954750052493</v>
      </c>
      <c r="E21" s="136">
        <f>IF(SER_hh_tes_in!E21=0,"",SER_hh_tes_in!E21/SER_hh_fec_in!E21)</f>
        <v>0.45396313886223932</v>
      </c>
      <c r="F21" s="136">
        <f>IF(SER_hh_tes_in!F21=0,"",SER_hh_tes_in!F21/SER_hh_fec_in!F21)</f>
        <v>0.45615256998386317</v>
      </c>
      <c r="G21" s="136">
        <f>IF(SER_hh_tes_in!G21=0,"",SER_hh_tes_in!G21/SER_hh_fec_in!G21)</f>
        <v>0.45858404738480646</v>
      </c>
      <c r="H21" s="136">
        <f>IF(SER_hh_tes_in!H21=0,"",SER_hh_tes_in!H21/SER_hh_fec_in!H21)</f>
        <v>0.46123233401224933</v>
      </c>
      <c r="I21" s="136">
        <f>IF(SER_hh_tes_in!I21=0,"",SER_hh_tes_in!I21/SER_hh_fec_in!I21)</f>
        <v>0.46414823915859987</v>
      </c>
      <c r="J21" s="136">
        <f>IF(SER_hh_tes_in!J21=0,"",SER_hh_tes_in!J21/SER_hh_fec_in!J21)</f>
        <v>0.46753991056078698</v>
      </c>
      <c r="K21" s="136">
        <f>IF(SER_hh_tes_in!K21=0,"",SER_hh_tes_in!K21/SER_hh_fec_in!K21)</f>
        <v>0.47158432854456667</v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>
        <f>IF(SER_hh_tes_in!S21=0,"",SER_hh_tes_in!S21/SER_hh_fec_in!S21)</f>
        <v>0.61084461514811672</v>
      </c>
      <c r="T21" s="136">
        <f>IF(SER_hh_tes_in!T21=0,"",SER_hh_tes_in!T21/SER_hh_fec_in!T21)</f>
        <v>0.62462584551238531</v>
      </c>
      <c r="U21" s="136">
        <f>IF(SER_hh_tes_in!U21=0,"",SER_hh_tes_in!U21/SER_hh_fec_in!U21)</f>
        <v>0.63636296627404532</v>
      </c>
      <c r="V21" s="136">
        <f>IF(SER_hh_tes_in!V21=0,"",SER_hh_tes_in!V21/SER_hh_fec_in!V21)</f>
        <v>0.64560271974306671</v>
      </c>
      <c r="W21" s="136">
        <f>IF(SER_hh_tes_in!W21=0,"",SER_hh_tes_in!W21/SER_hh_fec_in!W21)</f>
        <v>0.65128196191082333</v>
      </c>
      <c r="X21" s="136">
        <f>IF(SER_hh_tes_in!X21=0,"",SER_hh_tes_in!X21/SER_hh_fec_in!X21)</f>
        <v>0.65411517086241422</v>
      </c>
      <c r="Y21" s="136">
        <f>IF(SER_hh_tes_in!Y21=0,"",SER_hh_tes_in!Y21/SER_hh_fec_in!Y21)</f>
        <v>0.655549838531159</v>
      </c>
      <c r="DA21" s="163" t="s">
        <v>680</v>
      </c>
    </row>
    <row r="22" spans="1:105" ht="12" customHeight="1" x14ac:dyDescent="0.25">
      <c r="A22" s="131" t="s">
        <v>161</v>
      </c>
      <c r="B22" s="136"/>
      <c r="C22" s="136" t="str">
        <f>IF(SER_hh_tes_in!C22=0,"",SER_hh_tes_in!C22/SER_hh_fec_in!C22)</f>
        <v/>
      </c>
      <c r="D22" s="136" t="str">
        <f>IF(SER_hh_tes_in!D22=0,"",SER_hh_tes_in!D22/SER_hh_fec_in!D22)</f>
        <v/>
      </c>
      <c r="E22" s="136" t="str">
        <f>IF(SER_hh_tes_in!E22=0,"",SER_hh_tes_in!E22/SER_hh_fec_in!E22)</f>
        <v/>
      </c>
      <c r="F22" s="136" t="str">
        <f>IF(SER_hh_tes_in!F22=0,"",SER_hh_tes_in!F22/SER_hh_fec_in!F22)</f>
        <v/>
      </c>
      <c r="G22" s="136" t="str">
        <f>IF(SER_hh_tes_in!G22=0,"",SER_hh_tes_in!G22/SER_hh_fec_in!G22)</f>
        <v/>
      </c>
      <c r="H22" s="136" t="str">
        <f>IF(SER_hh_tes_in!H22=0,"",SER_hh_tes_in!H22/SER_hh_fec_in!H22)</f>
        <v/>
      </c>
      <c r="I22" s="136" t="str">
        <f>IF(SER_hh_tes_in!I22=0,"",SER_hh_tes_in!I22/SER_hh_fec_in!I22)</f>
        <v/>
      </c>
      <c r="J22" s="136" t="str">
        <f>IF(SER_hh_tes_in!J22=0,"",SER_hh_tes_in!J22/SER_hh_fec_in!J22)</f>
        <v/>
      </c>
      <c r="K22" s="136" t="str">
        <f>IF(SER_hh_tes_in!K22=0,"",SER_hh_tes_in!K22/SER_hh_fec_in!K22)</f>
        <v/>
      </c>
      <c r="L22" s="136" t="str">
        <f>IF(SER_hh_tes_in!L22=0,"",SER_hh_tes_in!L22/SER_hh_fec_in!L22)</f>
        <v/>
      </c>
      <c r="M22" s="136" t="str">
        <f>IF(SER_hh_tes_in!M22=0,"",SER_hh_tes_in!M22/SER_hh_fec_in!M22)</f>
        <v/>
      </c>
      <c r="N22" s="136" t="str">
        <f>IF(SER_hh_tes_in!N22=0,"",SER_hh_tes_in!N22/SER_hh_fec_in!N22)</f>
        <v/>
      </c>
      <c r="O22" s="136" t="str">
        <f>IF(SER_hh_tes_in!O22=0,"",SER_hh_tes_in!O22/SER_hh_fec_in!O22)</f>
        <v/>
      </c>
      <c r="P22" s="136" t="str">
        <f>IF(SER_hh_tes_in!P22=0,"",SER_hh_tes_in!P22/SER_hh_fec_in!P22)</f>
        <v/>
      </c>
      <c r="Q22" s="136" t="str">
        <f>IF(SER_hh_tes_in!Q22=0,"",SER_hh_tes_in!Q22/SER_hh_fec_in!Q22)</f>
        <v/>
      </c>
      <c r="R22" s="136" t="str">
        <f>IF(SER_hh_tes_in!R22=0,"",SER_hh_tes_in!R22/SER_hh_fec_in!R22)</f>
        <v/>
      </c>
      <c r="S22" s="136" t="str">
        <f>IF(SER_hh_tes_in!S22=0,"",SER_hh_tes_in!S22/SER_hh_fec_in!S22)</f>
        <v/>
      </c>
      <c r="T22" s="136" t="str">
        <f>IF(SER_hh_tes_in!T22=0,"",SER_hh_tes_in!T22/SER_hh_fec_in!T22)</f>
        <v/>
      </c>
      <c r="U22" s="136" t="str">
        <f>IF(SER_hh_tes_in!U22=0,"",SER_hh_tes_in!U22/SER_hh_fec_in!U22)</f>
        <v/>
      </c>
      <c r="V22" s="136" t="str">
        <f>IF(SER_hh_tes_in!V22=0,"",SER_hh_tes_in!V22/SER_hh_fec_in!V22)</f>
        <v/>
      </c>
      <c r="W22" s="136" t="str">
        <f>IF(SER_hh_tes_in!W22=0,"",SER_hh_tes_in!W22/SER_hh_fec_in!W22)</f>
        <v/>
      </c>
      <c r="X22" s="136" t="str">
        <f>IF(SER_hh_tes_in!X22=0,"",SER_hh_tes_in!X22/SER_hh_fec_in!X22)</f>
        <v/>
      </c>
      <c r="Y22" s="136" t="str">
        <f>IF(SER_hh_tes_in!Y22=0,"",SER_hh_tes_in!Y22/SER_hh_fec_in!Y22)</f>
        <v/>
      </c>
      <c r="DA22" s="163" t="s">
        <v>681</v>
      </c>
    </row>
    <row r="23" spans="1:105" ht="12" customHeight="1" x14ac:dyDescent="0.25">
      <c r="A23" s="131" t="s">
        <v>149</v>
      </c>
      <c r="B23" s="136"/>
      <c r="C23" s="136" t="str">
        <f>IF(SER_hh_tes_in!C23=0,"",SER_hh_tes_in!C23/SER_hh_fec_in!C23)</f>
        <v/>
      </c>
      <c r="D23" s="136" t="str">
        <f>IF(SER_hh_tes_in!D23=0,"",SER_hh_tes_in!D23/SER_hh_fec_in!D23)</f>
        <v/>
      </c>
      <c r="E23" s="136" t="str">
        <f>IF(SER_hh_tes_in!E23=0,"",SER_hh_tes_in!E23/SER_hh_fec_in!E23)</f>
        <v/>
      </c>
      <c r="F23" s="136" t="str">
        <f>IF(SER_hh_tes_in!F23=0,"",SER_hh_tes_in!F23/SER_hh_fec_in!F23)</f>
        <v/>
      </c>
      <c r="G23" s="136" t="str">
        <f>IF(SER_hh_tes_in!G23=0,"",SER_hh_tes_in!G23/SER_hh_fec_in!G23)</f>
        <v/>
      </c>
      <c r="H23" s="136" t="str">
        <f>IF(SER_hh_tes_in!H23=0,"",SER_hh_tes_in!H23/SER_hh_fec_in!H23)</f>
        <v/>
      </c>
      <c r="I23" s="136" t="str">
        <f>IF(SER_hh_tes_in!I23=0,"",SER_hh_tes_in!I23/SER_hh_fec_in!I23)</f>
        <v/>
      </c>
      <c r="J23" s="136" t="str">
        <f>IF(SER_hh_tes_in!J23=0,"",SER_hh_tes_in!J23/SER_hh_fec_in!J23)</f>
        <v/>
      </c>
      <c r="K23" s="136" t="str">
        <f>IF(SER_hh_tes_in!K23=0,"",SER_hh_tes_in!K23/SER_hh_fec_in!K23)</f>
        <v/>
      </c>
      <c r="L23" s="136" t="str">
        <f>IF(SER_hh_tes_in!L23=0,"",SER_hh_tes_in!L23/SER_hh_fec_in!L23)</f>
        <v/>
      </c>
      <c r="M23" s="136" t="str">
        <f>IF(SER_hh_tes_in!M23=0,"",SER_hh_tes_in!M23/SER_hh_fec_in!M23)</f>
        <v/>
      </c>
      <c r="N23" s="136" t="str">
        <f>IF(SER_hh_tes_in!N23=0,"",SER_hh_tes_in!N23/SER_hh_fec_in!N23)</f>
        <v/>
      </c>
      <c r="O23" s="136" t="str">
        <f>IF(SER_hh_tes_in!O23=0,"",SER_hh_tes_in!O23/SER_hh_fec_in!O23)</f>
        <v/>
      </c>
      <c r="P23" s="136" t="str">
        <f>IF(SER_hh_tes_in!P23=0,"",SER_hh_tes_in!P23/SER_hh_fec_in!P23)</f>
        <v/>
      </c>
      <c r="Q23" s="136" t="str">
        <f>IF(SER_hh_tes_in!Q23=0,"",SER_hh_tes_in!Q23/SER_hh_fec_in!Q23)</f>
        <v/>
      </c>
      <c r="R23" s="136" t="str">
        <f>IF(SER_hh_tes_in!R23=0,"",SER_hh_tes_in!R23/SER_hh_fec_in!R23)</f>
        <v/>
      </c>
      <c r="S23" s="136" t="str">
        <f>IF(SER_hh_tes_in!S23=0,"",SER_hh_tes_in!S23/SER_hh_fec_in!S23)</f>
        <v/>
      </c>
      <c r="T23" s="136" t="str">
        <f>IF(SER_hh_tes_in!T23=0,"",SER_hh_tes_in!T23/SER_hh_fec_in!T23)</f>
        <v/>
      </c>
      <c r="U23" s="136" t="str">
        <f>IF(SER_hh_tes_in!U23=0,"",SER_hh_tes_in!U23/SER_hh_fec_in!U23)</f>
        <v/>
      </c>
      <c r="V23" s="136" t="str">
        <f>IF(SER_hh_tes_in!V23=0,"",SER_hh_tes_in!V23/SER_hh_fec_in!V23)</f>
        <v/>
      </c>
      <c r="W23" s="136" t="str">
        <f>IF(SER_hh_tes_in!W23=0,"",SER_hh_tes_in!W23/SER_hh_fec_in!W23)</f>
        <v/>
      </c>
      <c r="X23" s="136" t="str">
        <f>IF(SER_hh_tes_in!X23=0,"",SER_hh_tes_in!X23/SER_hh_fec_in!X23)</f>
        <v/>
      </c>
      <c r="Y23" s="136" t="str">
        <f>IF(SER_hh_tes_in!Y23=0,"",SER_hh_tes_in!Y23/SER_hh_fec_in!Y23)</f>
        <v/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 t="str">
        <f>IF(SER_hh_tes_in!C25=0,"",SER_hh_tes_in!C25/SER_hh_fec_in!C25)</f>
        <v/>
      </c>
      <c r="D25" s="136" t="str">
        <f>IF(SER_hh_tes_in!D25=0,"",SER_hh_tes_in!D25/SER_hh_fec_in!D25)</f>
        <v/>
      </c>
      <c r="E25" s="136" t="str">
        <f>IF(SER_hh_tes_in!E25=0,"",SER_hh_tes_in!E25/SER_hh_fec_in!E25)</f>
        <v/>
      </c>
      <c r="F25" s="136" t="str">
        <f>IF(SER_hh_tes_in!F25=0,"",SER_hh_tes_in!F25/SER_hh_fec_in!F25)</f>
        <v/>
      </c>
      <c r="G25" s="136" t="str">
        <f>IF(SER_hh_tes_in!G25=0,"",SER_hh_tes_in!G25/SER_hh_fec_in!G25)</f>
        <v/>
      </c>
      <c r="H25" s="136" t="str">
        <f>IF(SER_hh_tes_in!H25=0,"",SER_hh_tes_in!H25/SER_hh_fec_in!H25)</f>
        <v/>
      </c>
      <c r="I25" s="136" t="str">
        <f>IF(SER_hh_tes_in!I25=0,"",SER_hh_tes_in!I25/SER_hh_fec_in!I25)</f>
        <v/>
      </c>
      <c r="J25" s="136" t="str">
        <f>IF(SER_hh_tes_in!J25=0,"",SER_hh_tes_in!J25/SER_hh_fec_in!J25)</f>
        <v/>
      </c>
      <c r="K25" s="136" t="str">
        <f>IF(SER_hh_tes_in!K25=0,"",SER_hh_tes_in!K25/SER_hh_fec_in!K25)</f>
        <v/>
      </c>
      <c r="L25" s="136" t="str">
        <f>IF(SER_hh_tes_in!L25=0,"",SER_hh_tes_in!L25/SER_hh_fec_in!L25)</f>
        <v/>
      </c>
      <c r="M25" s="136">
        <f>IF(SER_hh_tes_in!M25=0,"",SER_hh_tes_in!M25/SER_hh_fec_in!M25)</f>
        <v>0.62793220958967955</v>
      </c>
      <c r="N25" s="136">
        <f>IF(SER_hh_tes_in!N25=0,"",SER_hh_tes_in!N25/SER_hh_fec_in!N25)</f>
        <v>0.63239117932292799</v>
      </c>
      <c r="O25" s="136">
        <f>IF(SER_hh_tes_in!O25=0,"",SER_hh_tes_in!O25/SER_hh_fec_in!O25)</f>
        <v>0.63823034976996051</v>
      </c>
      <c r="P25" s="136" t="str">
        <f>IF(SER_hh_tes_in!P25=0,"",SER_hh_tes_in!P25/SER_hh_fec_in!P25)</f>
        <v/>
      </c>
      <c r="Q25" s="136" t="str">
        <f>IF(SER_hh_tes_in!Q25=0,"",SER_hh_tes_in!Q25/SER_hh_fec_in!Q25)</f>
        <v/>
      </c>
      <c r="R25" s="136" t="str">
        <f>IF(SER_hh_tes_in!R25=0,"",SER_hh_tes_in!R25/SER_hh_fec_in!R25)</f>
        <v/>
      </c>
      <c r="S25" s="136" t="str">
        <f>IF(SER_hh_tes_in!S25=0,"",SER_hh_tes_in!S25/SER_hh_fec_in!S25)</f>
        <v/>
      </c>
      <c r="T25" s="136" t="str">
        <f>IF(SER_hh_tes_in!T25=0,"",SER_hh_tes_in!T25/SER_hh_fec_in!T25)</f>
        <v/>
      </c>
      <c r="U25" s="136" t="str">
        <f>IF(SER_hh_tes_in!U25=0,"",SER_hh_tes_in!U25/SER_hh_fec_in!U25)</f>
        <v/>
      </c>
      <c r="V25" s="136" t="str">
        <f>IF(SER_hh_tes_in!V25=0,"",SER_hh_tes_in!V25/SER_hh_fec_in!V25)</f>
        <v/>
      </c>
      <c r="W25" s="136" t="str">
        <f>IF(SER_hh_tes_in!W25=0,"",SER_hh_tes_in!W25/SER_hh_fec_in!W25)</f>
        <v/>
      </c>
      <c r="X25" s="136" t="str">
        <f>IF(SER_hh_tes_in!X25=0,"",SER_hh_tes_in!X25/SER_hh_fec_in!X25)</f>
        <v/>
      </c>
      <c r="Y25" s="136" t="str">
        <f>IF(SER_hh_tes_in!Y25=0,"",SER_hh_tes_in!Y25/SER_hh_fec_in!Y25)</f>
        <v/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0.53449462009332915</v>
      </c>
      <c r="D26" s="137">
        <f>IF(SER_hh_tes_in!D26=0,"",SER_hh_tes_in!D26/SER_hh_fec_in!D26)</f>
        <v>0.5364718702043979</v>
      </c>
      <c r="E26" s="137">
        <f>IF(SER_hh_tes_in!E26=0,"",SER_hh_tes_in!E26/SER_hh_fec_in!E26)</f>
        <v>0.53863646937293075</v>
      </c>
      <c r="F26" s="137">
        <f>IF(SER_hh_tes_in!F26=0,"",SER_hh_tes_in!F26/SER_hh_fec_in!F26)</f>
        <v>0.54082718546531328</v>
      </c>
      <c r="G26" s="137">
        <f>IF(SER_hh_tes_in!G26=0,"",SER_hh_tes_in!G26/SER_hh_fec_in!G26)</f>
        <v>0.54319190090418257</v>
      </c>
      <c r="H26" s="137">
        <f>IF(SER_hh_tes_in!H26=0,"",SER_hh_tes_in!H26/SER_hh_fec_in!H26)</f>
        <v>0.54571392293769616</v>
      </c>
      <c r="I26" s="137">
        <f>IF(SER_hh_tes_in!I26=0,"",SER_hh_tes_in!I26/SER_hh_fec_in!I26)</f>
        <v>0.54843160455766216</v>
      </c>
      <c r="J26" s="137">
        <f>IF(SER_hh_tes_in!J26=0,"",SER_hh_tes_in!J26/SER_hh_fec_in!J26)</f>
        <v>0.55149872964112412</v>
      </c>
      <c r="K26" s="137">
        <f>IF(SER_hh_tes_in!K26=0,"",SER_hh_tes_in!K26/SER_hh_fec_in!K26)</f>
        <v>0.55505115310642883</v>
      </c>
      <c r="L26" s="137">
        <f>IF(SER_hh_tes_in!L26=0,"",SER_hh_tes_in!L26/SER_hh_fec_in!L26)</f>
        <v>0.55913558435659483</v>
      </c>
      <c r="M26" s="137">
        <f>IF(SER_hh_tes_in!M26=0,"",SER_hh_tes_in!M26/SER_hh_fec_in!M26)</f>
        <v>0.56690058011032729</v>
      </c>
      <c r="N26" s="137">
        <f>IF(SER_hh_tes_in!N26=0,"",SER_hh_tes_in!N26/SER_hh_fec_in!N26)</f>
        <v>0.57970435877704796</v>
      </c>
      <c r="O26" s="137">
        <f>IF(SER_hh_tes_in!O26=0,"",SER_hh_tes_in!O26/SER_hh_fec_in!O26)</f>
        <v>0.5992284568652364</v>
      </c>
      <c r="P26" s="137">
        <f>IF(SER_hh_tes_in!P26=0,"",SER_hh_tes_in!P26/SER_hh_fec_in!P26)</f>
        <v>0.62454723132109036</v>
      </c>
      <c r="Q26" s="137">
        <f>IF(SER_hh_tes_in!Q26=0,"",SER_hh_tes_in!Q26/SER_hh_fec_in!Q26)</f>
        <v>0.64897446186188246</v>
      </c>
      <c r="R26" s="137">
        <f>IF(SER_hh_tes_in!R26=0,"",SER_hh_tes_in!R26/SER_hh_fec_in!R26)</f>
        <v>0.66550533010244362</v>
      </c>
      <c r="S26" s="137">
        <f>IF(SER_hh_tes_in!S26=0,"",SER_hh_tes_in!S26/SER_hh_fec_in!S26)</f>
        <v>0.68152089202412502</v>
      </c>
      <c r="T26" s="137">
        <f>IF(SER_hh_tes_in!T26=0,"",SER_hh_tes_in!T26/SER_hh_fec_in!T26)</f>
        <v>0.69741216461853595</v>
      </c>
      <c r="U26" s="137">
        <f>IF(SER_hh_tes_in!U26=0,"",SER_hh_tes_in!U26/SER_hh_fec_in!U26)</f>
        <v>0.71333889845581888</v>
      </c>
      <c r="V26" s="137">
        <f>IF(SER_hh_tes_in!V26=0,"",SER_hh_tes_in!V26/SER_hh_fec_in!V26)</f>
        <v>0.7289850682115897</v>
      </c>
      <c r="W26" s="137">
        <f>IF(SER_hh_tes_in!W26=0,"",SER_hh_tes_in!W26/SER_hh_fec_in!W26)</f>
        <v>0.74327521179342437</v>
      </c>
      <c r="X26" s="137">
        <f>IF(SER_hh_tes_in!X26=0,"",SER_hh_tes_in!X26/SER_hh_fec_in!X26)</f>
        <v>0.75461003201394816</v>
      </c>
      <c r="Y26" s="137">
        <f>IF(SER_hh_tes_in!Y26=0,"",SER_hh_tes_in!Y26/SER_hh_fec_in!Y26)</f>
        <v>0.76518473034789147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 t="str">
        <f>IF(SER_hh_tes_in!G27=0,"",SER_hh_tes_in!G27/SER_hh_fec_in!G27)</f>
        <v/>
      </c>
      <c r="H27" s="148" t="str">
        <f>IF(SER_hh_tes_in!H27=0,"",SER_hh_tes_in!H27/SER_hh_fec_in!H27)</f>
        <v/>
      </c>
      <c r="I27" s="148" t="str">
        <f>IF(SER_hh_tes_in!I27=0,"",SER_hh_tes_in!I27/SER_hh_fec_in!I27)</f>
        <v/>
      </c>
      <c r="J27" s="148" t="str">
        <f>IF(SER_hh_tes_in!J27=0,"",SER_hh_tes_in!J27/SER_hh_fec_in!J27)</f>
        <v/>
      </c>
      <c r="K27" s="148" t="str">
        <f>IF(SER_hh_tes_in!K27=0,"",SER_hh_tes_in!K27/SER_hh_fec_in!K27)</f>
        <v/>
      </c>
      <c r="L27" s="148" t="str">
        <f>IF(SER_hh_tes_in!L27=0,"",SER_hh_tes_in!L27/SER_hh_fec_in!L27)</f>
        <v/>
      </c>
      <c r="M27" s="148" t="str">
        <f>IF(SER_hh_tes_in!M27=0,"",SER_hh_tes_in!M27/SER_hh_fec_in!M27)</f>
        <v/>
      </c>
      <c r="N27" s="148" t="str">
        <f>IF(SER_hh_tes_in!N27=0,"",SER_hh_tes_in!N27/SER_hh_fec_in!N27)</f>
        <v/>
      </c>
      <c r="O27" s="148" t="str">
        <f>IF(SER_hh_tes_in!O27=0,"",SER_hh_tes_in!O27/SER_hh_fec_in!O27)</f>
        <v/>
      </c>
      <c r="P27" s="148" t="str">
        <f>IF(SER_hh_tes_in!P27=0,"",SER_hh_tes_in!P27/SER_hh_fec_in!P27)</f>
        <v/>
      </c>
      <c r="Q27" s="148" t="str">
        <f>IF(SER_hh_tes_in!Q27=0,"",SER_hh_tes_in!Q27/SER_hh_fec_in!Q27)</f>
        <v/>
      </c>
      <c r="R27" s="148" t="str">
        <f>IF(SER_hh_tes_in!R27=0,"",SER_hh_tes_in!R27/SER_hh_fec_in!R27)</f>
        <v/>
      </c>
      <c r="S27" s="148" t="str">
        <f>IF(SER_hh_tes_in!S27=0,"",SER_hh_tes_in!S27/SER_hh_fec_in!S27)</f>
        <v/>
      </c>
      <c r="T27" s="148" t="str">
        <f>IF(SER_hh_tes_in!T27=0,"",SER_hh_tes_in!T27/SER_hh_fec_in!T27)</f>
        <v/>
      </c>
      <c r="U27" s="148" t="str">
        <f>IF(SER_hh_tes_in!U27=0,"",SER_hh_tes_in!U27/SER_hh_fec_in!U27)</f>
        <v/>
      </c>
      <c r="V27" s="148" t="str">
        <f>IF(SER_hh_tes_in!V27=0,"",SER_hh_tes_in!V27/SER_hh_fec_in!V27)</f>
        <v/>
      </c>
      <c r="W27" s="148" t="str">
        <f>IF(SER_hh_tes_in!W27=0,"",SER_hh_tes_in!W27/SER_hh_fec_in!W27)</f>
        <v/>
      </c>
      <c r="X27" s="148" t="str">
        <f>IF(SER_hh_tes_in!X27=0,"",SER_hh_tes_in!X27/SER_hh_fec_in!X27)</f>
        <v/>
      </c>
      <c r="Y27" s="148" t="str">
        <f>IF(SER_hh_tes_in!Y27=0,"",SER_hh_tes_in!Y27/SER_hh_fec_in!Y27)</f>
        <v/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0.727636940521735</v>
      </c>
      <c r="D29" s="135">
        <f>IF(SER_hh_tes_in!D29=0,"",SER_hh_tes_in!D29/SER_hh_fec_in!D29)</f>
        <v>0.72208483523799849</v>
      </c>
      <c r="E29" s="135">
        <f>IF(SER_hh_tes_in!E29=0,"",SER_hh_tes_in!E29/SER_hh_fec_in!E29)</f>
        <v>0.72957017120027012</v>
      </c>
      <c r="F29" s="135">
        <f>IF(SER_hh_tes_in!F29=0,"",SER_hh_tes_in!F29/SER_hh_fec_in!F29)</f>
        <v>0.72291590901592284</v>
      </c>
      <c r="G29" s="135">
        <f>IF(SER_hh_tes_in!G29=0,"",SER_hh_tes_in!G29/SER_hh_fec_in!G29)</f>
        <v>0.71866923178416031</v>
      </c>
      <c r="H29" s="135">
        <f>IF(SER_hh_tes_in!H29=0,"",SER_hh_tes_in!H29/SER_hh_fec_in!H29)</f>
        <v>0.67910676102151191</v>
      </c>
      <c r="I29" s="135">
        <f>IF(SER_hh_tes_in!I29=0,"",SER_hh_tes_in!I29/SER_hh_fec_in!I29)</f>
        <v>0.67249052172952706</v>
      </c>
      <c r="J29" s="135">
        <f>IF(SER_hh_tes_in!J29=0,"",SER_hh_tes_in!J29/SER_hh_fec_in!J29)</f>
        <v>0.67615842078519794</v>
      </c>
      <c r="K29" s="135">
        <f>IF(SER_hh_tes_in!K29=0,"",SER_hh_tes_in!K29/SER_hh_fec_in!K29)</f>
        <v>0.64710066238322417</v>
      </c>
      <c r="L29" s="135">
        <f>IF(SER_hh_tes_in!L29=0,"",SER_hh_tes_in!L29/SER_hh_fec_in!L29)</f>
        <v>0.7299850805226944</v>
      </c>
      <c r="M29" s="135">
        <f>IF(SER_hh_tes_in!M29=0,"",SER_hh_tes_in!M29/SER_hh_fec_in!M29)</f>
        <v>0.71289481915621211</v>
      </c>
      <c r="N29" s="135">
        <f>IF(SER_hh_tes_in!N29=0,"",SER_hh_tes_in!N29/SER_hh_fec_in!N29)</f>
        <v>0.74605832889784685</v>
      </c>
      <c r="O29" s="135">
        <f>IF(SER_hh_tes_in!O29=0,"",SER_hh_tes_in!O29/SER_hh_fec_in!O29)</f>
        <v>0.72927493621606998</v>
      </c>
      <c r="P29" s="135">
        <f>IF(SER_hh_tes_in!P29=0,"",SER_hh_tes_in!P29/SER_hh_fec_in!P29)</f>
        <v>0.73779083549506275</v>
      </c>
      <c r="Q29" s="135">
        <f>IF(SER_hh_tes_in!Q29=0,"",SER_hh_tes_in!Q29/SER_hh_fec_in!Q29)</f>
        <v>0.71387317119746929</v>
      </c>
      <c r="R29" s="135">
        <f>IF(SER_hh_tes_in!R29=0,"",SER_hh_tes_in!R29/SER_hh_fec_in!R29)</f>
        <v>0.73171641384615305</v>
      </c>
      <c r="S29" s="135">
        <f>IF(SER_hh_tes_in!S29=0,"",SER_hh_tes_in!S29/SER_hh_fec_in!S29)</f>
        <v>0.69428684946914909</v>
      </c>
      <c r="T29" s="135">
        <f>IF(SER_hh_tes_in!T29=0,"",SER_hh_tes_in!T29/SER_hh_fec_in!T29)</f>
        <v>0.69441111605553807</v>
      </c>
      <c r="U29" s="135">
        <f>IF(SER_hh_tes_in!U29=0,"",SER_hh_tes_in!U29/SER_hh_fec_in!U29)</f>
        <v>0.74721081750044493</v>
      </c>
      <c r="V29" s="135">
        <f>IF(SER_hh_tes_in!V29=0,"",SER_hh_tes_in!V29/SER_hh_fec_in!V29)</f>
        <v>0.78677596341831457</v>
      </c>
      <c r="W29" s="135">
        <f>IF(SER_hh_tes_in!W29=0,"",SER_hh_tes_in!W29/SER_hh_fec_in!W29)</f>
        <v>0.80576692467234012</v>
      </c>
      <c r="X29" s="135">
        <f>IF(SER_hh_tes_in!X29=0,"",SER_hh_tes_in!X29/SER_hh_fec_in!X29)</f>
        <v>0.77795501349866236</v>
      </c>
      <c r="Y29" s="135">
        <f>IF(SER_hh_tes_in!Y29=0,"",SER_hh_tes_in!Y29/SER_hh_fec_in!Y29)</f>
        <v>0.76987987160884186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0.55622515035055708</v>
      </c>
      <c r="D30" s="136">
        <f>IF(SER_hh_tes_in!D30=0,"",SER_hh_tes_in!D30/SER_hh_fec_in!D30)</f>
        <v>0.55705813156516759</v>
      </c>
      <c r="E30" s="136">
        <f>IF(SER_hh_tes_in!E30=0,"",SER_hh_tes_in!E30/SER_hh_fec_in!E30)</f>
        <v>0.55789118781356106</v>
      </c>
      <c r="F30" s="136">
        <f>IF(SER_hh_tes_in!F30=0,"",SER_hh_tes_in!F30/SER_hh_fec_in!F30)</f>
        <v>0.55872425429383366</v>
      </c>
      <c r="G30" s="136">
        <f>IF(SER_hh_tes_in!G30=0,"",SER_hh_tes_in!G30/SER_hh_fec_in!G30)</f>
        <v>0.5595573898758065</v>
      </c>
      <c r="H30" s="136">
        <f>IF(SER_hh_tes_in!H30=0,"",SER_hh_tes_in!H30/SER_hh_fec_in!H30)</f>
        <v>0.56039058735456326</v>
      </c>
      <c r="I30" s="136">
        <f>IF(SER_hh_tes_in!I30=0,"",SER_hh_tes_in!I30/SER_hh_fec_in!I30)</f>
        <v>0.56122386123562884</v>
      </c>
      <c r="J30" s="136">
        <f>IF(SER_hh_tes_in!J30=0,"",SER_hh_tes_in!J30/SER_hh_fec_in!J30)</f>
        <v>0.56205727094302249</v>
      </c>
      <c r="K30" s="136">
        <f>IF(SER_hh_tes_in!K30=0,"",SER_hh_tes_in!K30/SER_hh_fec_in!K30)</f>
        <v>0.56289086700278934</v>
      </c>
      <c r="L30" s="136">
        <f>IF(SER_hh_tes_in!L30=0,"",SER_hh_tes_in!L30/SER_hh_fec_in!L30)</f>
        <v>0.56372466293271772</v>
      </c>
      <c r="M30" s="136">
        <f>IF(SER_hh_tes_in!M30=0,"",SER_hh_tes_in!M30/SER_hh_fec_in!M30)</f>
        <v>0.56435788335363479</v>
      </c>
      <c r="N30" s="136">
        <f>IF(SER_hh_tes_in!N30=0,"",SER_hh_tes_in!N30/SER_hh_fec_in!N30)</f>
        <v>0.56471182378327089</v>
      </c>
      <c r="O30" s="136">
        <f>IF(SER_hh_tes_in!O30=0,"",SER_hh_tes_in!O30/SER_hh_fec_in!O30)</f>
        <v>0.56492336468049487</v>
      </c>
      <c r="P30" s="136">
        <f>IF(SER_hh_tes_in!P30=0,"",SER_hh_tes_in!P30/SER_hh_fec_in!P30)</f>
        <v>0.56551363458387804</v>
      </c>
      <c r="Q30" s="136">
        <f>IF(SER_hh_tes_in!Q30=0,"",SER_hh_tes_in!Q30/SER_hh_fec_in!Q30)</f>
        <v>0.56791617098035174</v>
      </c>
      <c r="R30" s="136">
        <f>IF(SER_hh_tes_in!R30=0,"",SER_hh_tes_in!R30/SER_hh_fec_in!R30)</f>
        <v>0.57422703584447543</v>
      </c>
      <c r="S30" s="136">
        <f>IF(SER_hh_tes_in!S30=0,"",SER_hh_tes_in!S30/SER_hh_fec_in!S30)</f>
        <v>0.58312923187472598</v>
      </c>
      <c r="T30" s="136">
        <f>IF(SER_hh_tes_in!T30=0,"",SER_hh_tes_in!T30/SER_hh_fec_in!T30)</f>
        <v>0.59289668638826976</v>
      </c>
      <c r="U30" s="136">
        <f>IF(SER_hh_tes_in!U30=0,"",SER_hh_tes_in!U30/SER_hh_fec_in!U30)</f>
        <v>0.60180332670229808</v>
      </c>
      <c r="V30" s="136">
        <f>IF(SER_hh_tes_in!V30=0,"",SER_hh_tes_in!V30/SER_hh_fec_in!V30)</f>
        <v>0.60812308013398886</v>
      </c>
      <c r="W30" s="136">
        <f>IF(SER_hh_tes_in!W30=0,"",SER_hh_tes_in!W30/SER_hh_fec_in!W30)</f>
        <v>0.61116040161549678</v>
      </c>
      <c r="X30" s="136">
        <f>IF(SER_hh_tes_in!X30=0,"",SER_hh_tes_in!X30/SER_hh_fec_in!X30)</f>
        <v>0.61156075951449818</v>
      </c>
      <c r="Y30" s="136">
        <f>IF(SER_hh_tes_in!Y30=0,"",SER_hh_tes_in!Y30/SER_hh_fec_in!Y30)</f>
        <v>0.61160079530439826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 t="str">
        <f>IF(SER_hh_tes_in!C31=0,"",SER_hh_tes_in!C31/SER_hh_fec_in!C31)</f>
        <v/>
      </c>
      <c r="D31" s="136" t="str">
        <f>IF(SER_hh_tes_in!D31=0,"",SER_hh_tes_in!D31/SER_hh_fec_in!D31)</f>
        <v/>
      </c>
      <c r="E31" s="136" t="str">
        <f>IF(SER_hh_tes_in!E31=0,"",SER_hh_tes_in!E31/SER_hh_fec_in!E31)</f>
        <v/>
      </c>
      <c r="F31" s="136" t="str">
        <f>IF(SER_hh_tes_in!F31=0,"",SER_hh_tes_in!F31/SER_hh_fec_in!F31)</f>
        <v/>
      </c>
      <c r="G31" s="136" t="str">
        <f>IF(SER_hh_tes_in!G31=0,"",SER_hh_tes_in!G31/SER_hh_fec_in!G31)</f>
        <v/>
      </c>
      <c r="H31" s="136" t="str">
        <f>IF(SER_hh_tes_in!H31=0,"",SER_hh_tes_in!H31/SER_hh_fec_in!H31)</f>
        <v/>
      </c>
      <c r="I31" s="136" t="str">
        <f>IF(SER_hh_tes_in!I31=0,"",SER_hh_tes_in!I31/SER_hh_fec_in!I31)</f>
        <v/>
      </c>
      <c r="J31" s="136" t="str">
        <f>IF(SER_hh_tes_in!J31=0,"",SER_hh_tes_in!J31/SER_hh_fec_in!J31)</f>
        <v/>
      </c>
      <c r="K31" s="136" t="str">
        <f>IF(SER_hh_tes_in!K31=0,"",SER_hh_tes_in!K31/SER_hh_fec_in!K31)</f>
        <v/>
      </c>
      <c r="L31" s="136" t="str">
        <f>IF(SER_hh_tes_in!L31=0,"",SER_hh_tes_in!L31/SER_hh_fec_in!L31)</f>
        <v/>
      </c>
      <c r="M31" s="136" t="str">
        <f>IF(SER_hh_tes_in!M31=0,"",SER_hh_tes_in!M31/SER_hh_fec_in!M31)</f>
        <v/>
      </c>
      <c r="N31" s="136" t="str">
        <f>IF(SER_hh_tes_in!N31=0,"",SER_hh_tes_in!N31/SER_hh_fec_in!N31)</f>
        <v/>
      </c>
      <c r="O31" s="136" t="str">
        <f>IF(SER_hh_tes_in!O31=0,"",SER_hh_tes_in!O31/SER_hh_fec_in!O31)</f>
        <v/>
      </c>
      <c r="P31" s="136" t="str">
        <f>IF(SER_hh_tes_in!P31=0,"",SER_hh_tes_in!P31/SER_hh_fec_in!P31)</f>
        <v/>
      </c>
      <c r="Q31" s="136" t="str">
        <f>IF(SER_hh_tes_in!Q31=0,"",SER_hh_tes_in!Q31/SER_hh_fec_in!Q31)</f>
        <v/>
      </c>
      <c r="R31" s="136" t="str">
        <f>IF(SER_hh_tes_in!R31=0,"",SER_hh_tes_in!R31/SER_hh_fec_in!R31)</f>
        <v/>
      </c>
      <c r="S31" s="136" t="str">
        <f>IF(SER_hh_tes_in!S31=0,"",SER_hh_tes_in!S31/SER_hh_fec_in!S31)</f>
        <v/>
      </c>
      <c r="T31" s="136" t="str">
        <f>IF(SER_hh_tes_in!T31=0,"",SER_hh_tes_in!T31/SER_hh_fec_in!T31)</f>
        <v/>
      </c>
      <c r="U31" s="136" t="str">
        <f>IF(SER_hh_tes_in!U31=0,"",SER_hh_tes_in!U31/SER_hh_fec_in!U31)</f>
        <v/>
      </c>
      <c r="V31" s="136" t="str">
        <f>IF(SER_hh_tes_in!V31=0,"",SER_hh_tes_in!V31/SER_hh_fec_in!V31)</f>
        <v/>
      </c>
      <c r="W31" s="136" t="str">
        <f>IF(SER_hh_tes_in!W31=0,"",SER_hh_tes_in!W31/SER_hh_fec_in!W31)</f>
        <v/>
      </c>
      <c r="X31" s="136" t="str">
        <f>IF(SER_hh_tes_in!X31=0,"",SER_hh_tes_in!X31/SER_hh_fec_in!X31)</f>
        <v/>
      </c>
      <c r="Y31" s="136" t="str">
        <f>IF(SER_hh_tes_in!Y31=0,"",SER_hh_tes_in!Y31/SER_hh_fec_in!Y31)</f>
        <v/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0.74019207798740427</v>
      </c>
      <c r="D33" s="149">
        <f>IF(SER_hh_tes_in!D33=0,"",SER_hh_tes_in!D33/SER_hh_fec_in!D33)</f>
        <v>0.74159224382958655</v>
      </c>
      <c r="E33" s="149">
        <f>IF(SER_hh_tes_in!E33=0,"",SER_hh_tes_in!E33/SER_hh_fec_in!E33)</f>
        <v>0.74305842781512887</v>
      </c>
      <c r="F33" s="149">
        <f>IF(SER_hh_tes_in!F33=0,"",SER_hh_tes_in!F33/SER_hh_fec_in!F33)</f>
        <v>0.74453361427476583</v>
      </c>
      <c r="G33" s="149">
        <f>IF(SER_hh_tes_in!G33=0,"",SER_hh_tes_in!G33/SER_hh_fec_in!G33)</f>
        <v>0.74606959956131336</v>
      </c>
      <c r="H33" s="149">
        <f>IF(SER_hh_tes_in!H33=0,"",SER_hh_tes_in!H33/SER_hh_fec_in!H33)</f>
        <v>0.7476600444605912</v>
      </c>
      <c r="I33" s="149">
        <f>IF(SER_hh_tes_in!I33=0,"",SER_hh_tes_in!I33/SER_hh_fec_in!I33)</f>
        <v>0.74931771159544702</v>
      </c>
      <c r="J33" s="149">
        <f>IF(SER_hh_tes_in!J33=0,"",SER_hh_tes_in!J33/SER_hh_fec_in!J33)</f>
        <v>0.75109488492688559</v>
      </c>
      <c r="K33" s="149">
        <f>IF(SER_hh_tes_in!K33=0,"",SER_hh_tes_in!K33/SER_hh_fec_in!K33)</f>
        <v>0.75303601957407873</v>
      </c>
      <c r="L33" s="149">
        <f>IF(SER_hh_tes_in!L33=0,"",SER_hh_tes_in!L33/SER_hh_fec_in!L33)</f>
        <v>0.75515300910397209</v>
      </c>
      <c r="M33" s="149">
        <f>IF(SER_hh_tes_in!M33=0,"",SER_hh_tes_in!M33/SER_hh_fec_in!M33)</f>
        <v>0.75817983632432184</v>
      </c>
      <c r="N33" s="149">
        <f>IF(SER_hh_tes_in!N33=0,"",SER_hh_tes_in!N33/SER_hh_fec_in!N33)</f>
        <v>0.76232545916440997</v>
      </c>
      <c r="O33" s="149">
        <f>IF(SER_hh_tes_in!O33=0,"",SER_hh_tes_in!O33/SER_hh_fec_in!O33)</f>
        <v>0.76808538722716257</v>
      </c>
      <c r="P33" s="149">
        <f>IF(SER_hh_tes_in!P33=0,"",SER_hh_tes_in!P33/SER_hh_fec_in!P33)</f>
        <v>0.77570265273621675</v>
      </c>
      <c r="Q33" s="149">
        <f>IF(SER_hh_tes_in!Q33=0,"",SER_hh_tes_in!Q33/SER_hh_fec_in!Q33)</f>
        <v>0.78555946860119541</v>
      </c>
      <c r="R33" s="149">
        <f>IF(SER_hh_tes_in!R33=0,"",SER_hh_tes_in!R33/SER_hh_fec_in!R33)</f>
        <v>0.7989722383896174</v>
      </c>
      <c r="S33" s="149">
        <f>IF(SER_hh_tes_in!S33=0,"",SER_hh_tes_in!S33/SER_hh_fec_in!S33)</f>
        <v>0.81575599186736281</v>
      </c>
      <c r="T33" s="149">
        <f>IF(SER_hh_tes_in!T33=0,"",SER_hh_tes_in!T33/SER_hh_fec_in!T33)</f>
        <v>0.83382462415019787</v>
      </c>
      <c r="U33" s="149">
        <f>IF(SER_hh_tes_in!U33=0,"",SER_hh_tes_in!U33/SER_hh_fec_in!U33)</f>
        <v>0.85109203035393799</v>
      </c>
      <c r="V33" s="149">
        <f>IF(SER_hh_tes_in!V33=0,"",SER_hh_tes_in!V33/SER_hh_fec_in!V33)</f>
        <v>0.86547210559437571</v>
      </c>
      <c r="W33" s="149">
        <f>IF(SER_hh_tes_in!W33=0,"",SER_hh_tes_in!W33/SER_hh_fec_in!W33)</f>
        <v>0.87624004183395388</v>
      </c>
      <c r="X33" s="149">
        <f>IF(SER_hh_tes_in!X33=0,"",SER_hh_tes_in!X33/SER_hh_fec_in!X33)</f>
        <v>0.88392802506228618</v>
      </c>
      <c r="Y33" s="149">
        <f>IF(SER_hh_tes_in!Y33=0,"",SER_hh_tes_in!Y33/SER_hh_fec_in!Y33)</f>
        <v>0.89074569648753321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1.6911670914115977</v>
      </c>
      <c r="D3" s="125">
        <f t="shared" si="0"/>
        <v>1.1576219020229437</v>
      </c>
      <c r="E3" s="125">
        <f t="shared" si="0"/>
        <v>0.6108016642699825</v>
      </c>
      <c r="F3" s="125">
        <f t="shared" si="0"/>
        <v>0.16975718457592842</v>
      </c>
      <c r="G3" s="125">
        <f t="shared" si="0"/>
        <v>0.78117607473546413</v>
      </c>
      <c r="H3" s="125">
        <f t="shared" si="0"/>
        <v>2.1525315818051194</v>
      </c>
      <c r="I3" s="125">
        <f t="shared" si="0"/>
        <v>2.712300202297925</v>
      </c>
      <c r="J3" s="125">
        <f t="shared" si="0"/>
        <v>4.4620331270741369</v>
      </c>
      <c r="K3" s="125">
        <f t="shared" si="0"/>
        <v>0.37899715658920241</v>
      </c>
      <c r="L3" s="125">
        <f t="shared" si="0"/>
        <v>0.22068243991891157</v>
      </c>
      <c r="M3" s="125">
        <f t="shared" si="0"/>
        <v>0.87552171997679773</v>
      </c>
      <c r="N3" s="125">
        <f t="shared" si="0"/>
        <v>3.0837974087213587</v>
      </c>
      <c r="O3" s="125">
        <f t="shared" si="0"/>
        <v>1.9738575514259908</v>
      </c>
      <c r="P3" s="125">
        <f t="shared" si="0"/>
        <v>3.2637029714379819</v>
      </c>
      <c r="Q3" s="125">
        <f t="shared" si="0"/>
        <v>2.4612374352388233</v>
      </c>
      <c r="R3" s="125">
        <f t="shared" ref="R3:W3" si="1">SUM(R4,R16,R19,R29)</f>
        <v>0.83201328743410352</v>
      </c>
      <c r="S3" s="125">
        <f t="shared" si="1"/>
        <v>1.116849033954237</v>
      </c>
      <c r="T3" s="125">
        <f t="shared" si="1"/>
        <v>1.3431084479903235</v>
      </c>
      <c r="U3" s="125">
        <f t="shared" si="1"/>
        <v>0.91887165356687439</v>
      </c>
      <c r="V3" s="125">
        <f t="shared" si="1"/>
        <v>0.55978465097281283</v>
      </c>
      <c r="W3" s="125">
        <f t="shared" si="1"/>
        <v>0.67482569310998775</v>
      </c>
      <c r="X3" s="125">
        <f t="shared" ref="X3:Y3" si="2">SUM(X4,X16,X19,X29)</f>
        <v>0.78191870458694035</v>
      </c>
      <c r="Y3" s="125">
        <f t="shared" si="2"/>
        <v>0.70349182808854938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1.5121007852597368</v>
      </c>
      <c r="D4" s="130">
        <f t="shared" si="3"/>
        <v>1.032432700578686</v>
      </c>
      <c r="E4" s="130">
        <f t="shared" si="3"/>
        <v>0.53840863524667382</v>
      </c>
      <c r="F4" s="130">
        <f t="shared" si="3"/>
        <v>9.3395607486234197E-2</v>
      </c>
      <c r="G4" s="130">
        <f t="shared" si="3"/>
        <v>0.35742901718542763</v>
      </c>
      <c r="H4" s="130">
        <f t="shared" si="3"/>
        <v>1.4321611636392428</v>
      </c>
      <c r="I4" s="130">
        <f t="shared" si="3"/>
        <v>1.9833320957979881</v>
      </c>
      <c r="J4" s="130">
        <f t="shared" si="3"/>
        <v>3.2236183873527366</v>
      </c>
      <c r="K4" s="130">
        <f t="shared" si="3"/>
        <v>1.963917525358776E-2</v>
      </c>
      <c r="L4" s="130">
        <f t="shared" si="3"/>
        <v>0.12714687930202251</v>
      </c>
      <c r="M4" s="130">
        <f t="shared" si="3"/>
        <v>0.60843001829084731</v>
      </c>
      <c r="N4" s="130">
        <f t="shared" si="3"/>
        <v>2.9339024037291654</v>
      </c>
      <c r="O4" s="130">
        <f t="shared" si="3"/>
        <v>1.7471009433403781</v>
      </c>
      <c r="P4" s="130">
        <f t="shared" si="3"/>
        <v>2.977063500306846</v>
      </c>
      <c r="Q4" s="130">
        <f t="shared" si="3"/>
        <v>1.9332891717342193</v>
      </c>
      <c r="R4" s="130">
        <f t="shared" ref="R4:W4" si="4">SUM(R5:R15)</f>
        <v>0.33497760381601949</v>
      </c>
      <c r="S4" s="130">
        <f t="shared" si="4"/>
        <v>0.13979298912709806</v>
      </c>
      <c r="T4" s="130">
        <f t="shared" si="4"/>
        <v>0.21650517380800818</v>
      </c>
      <c r="U4" s="130">
        <f t="shared" si="4"/>
        <v>0.20502139643499132</v>
      </c>
      <c r="V4" s="130">
        <f t="shared" si="4"/>
        <v>0.10332423145014541</v>
      </c>
      <c r="W4" s="130">
        <f t="shared" si="4"/>
        <v>0.25732949311492298</v>
      </c>
      <c r="X4" s="130">
        <f t="shared" ref="X4:Y4" si="5">SUM(X5:X15)</f>
        <v>0.19877314757003992</v>
      </c>
      <c r="Y4" s="130">
        <f t="shared" si="5"/>
        <v>3.332574370631429E-2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5.0043526981032739E-2</v>
      </c>
      <c r="D6" s="132">
        <v>6.4003749756506342E-2</v>
      </c>
      <c r="E6" s="132">
        <v>3.5417565754087096E-2</v>
      </c>
      <c r="F6" s="132">
        <v>5.4237273553684948E-2</v>
      </c>
      <c r="G6" s="132">
        <v>0.13774915614047181</v>
      </c>
      <c r="H6" s="132">
        <v>0.13890580005815012</v>
      </c>
      <c r="I6" s="132">
        <v>0.12486203230086279</v>
      </c>
      <c r="J6" s="132">
        <v>0.10111042020123512</v>
      </c>
      <c r="K6" s="132">
        <v>1.963917525358776E-2</v>
      </c>
      <c r="L6" s="132">
        <v>0.12714687930202251</v>
      </c>
      <c r="M6" s="132">
        <v>0.17035554709048917</v>
      </c>
      <c r="N6" s="132">
        <v>0.14630266475615702</v>
      </c>
      <c r="O6" s="132">
        <v>0</v>
      </c>
      <c r="P6" s="132">
        <v>2.7778440099484474E-2</v>
      </c>
      <c r="Q6" s="132">
        <v>8.7911578779857197E-2</v>
      </c>
      <c r="R6" s="132">
        <v>9.5607157889322295E-2</v>
      </c>
      <c r="S6" s="132">
        <v>0.13979298912709806</v>
      </c>
      <c r="T6" s="132">
        <v>0.21650517380800818</v>
      </c>
      <c r="U6" s="132">
        <v>0.20502139643499132</v>
      </c>
      <c r="V6" s="132">
        <v>0.10332423145014541</v>
      </c>
      <c r="W6" s="132">
        <v>3.7608401813380807E-2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1.4620572582787041</v>
      </c>
      <c r="D7" s="132">
        <v>0.96842895082217961</v>
      </c>
      <c r="E7" s="132">
        <v>0.50299106949258676</v>
      </c>
      <c r="F7" s="132">
        <v>3.915833393254925E-2</v>
      </c>
      <c r="G7" s="132">
        <v>0.21967986104495582</v>
      </c>
      <c r="H7" s="132">
        <v>1.2932553635810926</v>
      </c>
      <c r="I7" s="132">
        <v>1.8584700634971252</v>
      </c>
      <c r="J7" s="132">
        <v>3.1225079671515017</v>
      </c>
      <c r="K7" s="132">
        <v>0</v>
      </c>
      <c r="L7" s="132">
        <v>0</v>
      </c>
      <c r="M7" s="132">
        <v>0.43807447120035814</v>
      </c>
      <c r="N7" s="132">
        <v>2.7875997389730083</v>
      </c>
      <c r="O7" s="132">
        <v>1.7471009433403781</v>
      </c>
      <c r="P7" s="132">
        <v>2.9492850602073615</v>
      </c>
      <c r="Q7" s="132">
        <v>1.8453775929543621</v>
      </c>
      <c r="R7" s="132">
        <v>0.23937044592669718</v>
      </c>
      <c r="S7" s="132">
        <v>0</v>
      </c>
      <c r="T7" s="132">
        <v>0</v>
      </c>
      <c r="U7" s="132">
        <v>0</v>
      </c>
      <c r="V7" s="132">
        <v>0</v>
      </c>
      <c r="W7" s="132">
        <v>0.21972109130154216</v>
      </c>
      <c r="X7" s="132">
        <v>0.19877314757003992</v>
      </c>
      <c r="Y7" s="132">
        <v>3.332574370631429E-2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</v>
      </c>
      <c r="N9" s="132">
        <v>0</v>
      </c>
      <c r="O9" s="132">
        <v>0</v>
      </c>
      <c r="P9" s="132">
        <v>0</v>
      </c>
      <c r="Q9" s="132">
        <v>0</v>
      </c>
      <c r="R9" s="132">
        <v>0</v>
      </c>
      <c r="S9" s="132">
        <v>0</v>
      </c>
      <c r="T9" s="132">
        <v>0</v>
      </c>
      <c r="U9" s="132">
        <v>0</v>
      </c>
      <c r="V9" s="132">
        <v>0</v>
      </c>
      <c r="W9" s="132">
        <v>0</v>
      </c>
      <c r="X9" s="132">
        <v>0</v>
      </c>
      <c r="Y9" s="132">
        <v>0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7.7390587709922493E-2</v>
      </c>
      <c r="D19" s="130">
        <f t="shared" si="9"/>
        <v>3.3281494486062435E-2</v>
      </c>
      <c r="E19" s="130">
        <f t="shared" si="9"/>
        <v>3.0476154630511475E-2</v>
      </c>
      <c r="F19" s="130">
        <f t="shared" si="9"/>
        <v>3.205902943394378E-2</v>
      </c>
      <c r="G19" s="130">
        <f t="shared" si="9"/>
        <v>0.20585314739923047</v>
      </c>
      <c r="H19" s="130">
        <f t="shared" si="9"/>
        <v>0.25396623626178744</v>
      </c>
      <c r="I19" s="130">
        <f t="shared" si="9"/>
        <v>0.16217137453052294</v>
      </c>
      <c r="J19" s="130">
        <f t="shared" si="9"/>
        <v>0.22407588163922446</v>
      </c>
      <c r="K19" s="130">
        <f t="shared" si="9"/>
        <v>4.4095732946457647E-2</v>
      </c>
      <c r="L19" s="130">
        <f t="shared" si="9"/>
        <v>0</v>
      </c>
      <c r="M19" s="130">
        <f t="shared" si="9"/>
        <v>0</v>
      </c>
      <c r="N19" s="130">
        <f t="shared" si="9"/>
        <v>0</v>
      </c>
      <c r="O19" s="130">
        <f t="shared" si="9"/>
        <v>0</v>
      </c>
      <c r="P19" s="130">
        <f t="shared" si="9"/>
        <v>0</v>
      </c>
      <c r="Q19" s="130">
        <f t="shared" si="9"/>
        <v>0</v>
      </c>
      <c r="R19" s="130">
        <f t="shared" ref="R19:W19" si="10">SUM(R20:R27)</f>
        <v>0</v>
      </c>
      <c r="S19" s="130">
        <f t="shared" si="10"/>
        <v>3.0900136555717883E-2</v>
      </c>
      <c r="T19" s="130">
        <f t="shared" si="10"/>
        <v>4.31501457697301E-2</v>
      </c>
      <c r="U19" s="130">
        <f t="shared" si="10"/>
        <v>2.8558561919434049E-2</v>
      </c>
      <c r="V19" s="130">
        <f t="shared" si="10"/>
        <v>2.3721646621590379E-2</v>
      </c>
      <c r="W19" s="130">
        <f t="shared" si="10"/>
        <v>4.0389098267376716E-2</v>
      </c>
      <c r="X19" s="130">
        <f t="shared" ref="X19:Y19" si="11">SUM(X20:X27)</f>
        <v>1.546746813814614E-2</v>
      </c>
      <c r="Y19" s="130">
        <f t="shared" si="11"/>
        <v>1.8675829818456814E-2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7.7390587709922493E-2</v>
      </c>
      <c r="D21" s="132">
        <v>3.3281494486062435E-2</v>
      </c>
      <c r="E21" s="132">
        <v>3.0476154630511475E-2</v>
      </c>
      <c r="F21" s="132">
        <v>3.205902943394378E-2</v>
      </c>
      <c r="G21" s="132">
        <v>0.20585314739923047</v>
      </c>
      <c r="H21" s="132">
        <v>0.25396623626178744</v>
      </c>
      <c r="I21" s="132">
        <v>0.16217137453052294</v>
      </c>
      <c r="J21" s="132">
        <v>0.22407588163922446</v>
      </c>
      <c r="K21" s="132">
        <v>4.4095732946457647E-2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3.0900136555717883E-2</v>
      </c>
      <c r="T21" s="132">
        <v>4.31501457697301E-2</v>
      </c>
      <c r="U21" s="132">
        <v>2.8558561919434049E-2</v>
      </c>
      <c r="V21" s="132">
        <v>2.3721646621590379E-2</v>
      </c>
      <c r="W21" s="132">
        <v>4.0389098267376716E-2</v>
      </c>
      <c r="X21" s="132">
        <v>1.546746813814614E-2</v>
      </c>
      <c r="Y21" s="132">
        <v>1.8675829818456814E-2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0</v>
      </c>
      <c r="D23" s="132">
        <v>0</v>
      </c>
      <c r="E23" s="132">
        <v>0</v>
      </c>
      <c r="F23" s="132">
        <v>0</v>
      </c>
      <c r="G23" s="132">
        <v>0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32">
        <v>0</v>
      </c>
      <c r="Y23" s="132">
        <v>0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0.1016757184419384</v>
      </c>
      <c r="D29" s="130">
        <f t="shared" si="12"/>
        <v>9.1907706958195168E-2</v>
      </c>
      <c r="E29" s="130">
        <f t="shared" si="12"/>
        <v>4.1916874392797288E-2</v>
      </c>
      <c r="F29" s="130">
        <f t="shared" si="12"/>
        <v>4.4302547655750459E-2</v>
      </c>
      <c r="G29" s="130">
        <f t="shared" si="12"/>
        <v>0.21789391015080606</v>
      </c>
      <c r="H29" s="130">
        <f t="shared" si="12"/>
        <v>0.46640418190408911</v>
      </c>
      <c r="I29" s="130">
        <f t="shared" si="12"/>
        <v>0.56679673196941416</v>
      </c>
      <c r="J29" s="130">
        <f t="shared" si="12"/>
        <v>1.0143388580821762</v>
      </c>
      <c r="K29" s="130">
        <f t="shared" si="12"/>
        <v>0.31526224838915701</v>
      </c>
      <c r="L29" s="130">
        <f t="shared" si="12"/>
        <v>9.3535560616889057E-2</v>
      </c>
      <c r="M29" s="130">
        <f t="shared" si="12"/>
        <v>0.26709170168595048</v>
      </c>
      <c r="N29" s="130">
        <f t="shared" si="12"/>
        <v>0.14989500499219319</v>
      </c>
      <c r="O29" s="130">
        <f t="shared" si="12"/>
        <v>0.22675660808561282</v>
      </c>
      <c r="P29" s="130">
        <f t="shared" si="12"/>
        <v>0.28663947113113591</v>
      </c>
      <c r="Q29" s="130">
        <f t="shared" si="12"/>
        <v>0.527948263504604</v>
      </c>
      <c r="R29" s="130">
        <f t="shared" ref="R29:W29" si="13">SUM(R30:R33)</f>
        <v>0.49703568361808409</v>
      </c>
      <c r="S29" s="130">
        <f t="shared" si="13"/>
        <v>0.94615590827142104</v>
      </c>
      <c r="T29" s="130">
        <f t="shared" si="13"/>
        <v>1.0834531284125852</v>
      </c>
      <c r="U29" s="130">
        <f t="shared" si="13"/>
        <v>0.68529169521244904</v>
      </c>
      <c r="V29" s="130">
        <f t="shared" si="13"/>
        <v>0.43273877290107704</v>
      </c>
      <c r="W29" s="130">
        <f t="shared" si="13"/>
        <v>0.37710710172768802</v>
      </c>
      <c r="X29" s="130">
        <f t="shared" ref="X29:Y29" si="14">SUM(X30:X33)</f>
        <v>0.56767808887875426</v>
      </c>
      <c r="Y29" s="130">
        <f t="shared" si="14"/>
        <v>0.65149025456377829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0.1016757184419384</v>
      </c>
      <c r="D30" s="132">
        <v>9.1907706958195168E-2</v>
      </c>
      <c r="E30" s="132">
        <v>4.1916874392797288E-2</v>
      </c>
      <c r="F30" s="132">
        <v>4.4302547655750459E-2</v>
      </c>
      <c r="G30" s="132">
        <v>0.21789391015080606</v>
      </c>
      <c r="H30" s="132">
        <v>0.46640418190408911</v>
      </c>
      <c r="I30" s="132">
        <v>0.56679673196941416</v>
      </c>
      <c r="J30" s="132">
        <v>1.0143388580821762</v>
      </c>
      <c r="K30" s="132">
        <v>0.31526224838915701</v>
      </c>
      <c r="L30" s="132">
        <v>9.3535560616889057E-2</v>
      </c>
      <c r="M30" s="132">
        <v>0.26709170168595048</v>
      </c>
      <c r="N30" s="132">
        <v>0.14989500499219319</v>
      </c>
      <c r="O30" s="132">
        <v>0.22675660808561282</v>
      </c>
      <c r="P30" s="132">
        <v>0.28663947113113591</v>
      </c>
      <c r="Q30" s="132">
        <v>0.527948263504604</v>
      </c>
      <c r="R30" s="132">
        <v>0.49703568361808409</v>
      </c>
      <c r="S30" s="132">
        <v>0.94615590827142104</v>
      </c>
      <c r="T30" s="132">
        <v>1.0834531284125852</v>
      </c>
      <c r="U30" s="132">
        <v>0.68529169521244904</v>
      </c>
      <c r="V30" s="132">
        <v>0.43273877290107704</v>
      </c>
      <c r="W30" s="132">
        <v>0.37710710172768802</v>
      </c>
      <c r="X30" s="132">
        <v>0.56767808887875426</v>
      </c>
      <c r="Y30" s="132">
        <v>0.65149025456377829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0</v>
      </c>
      <c r="D31" s="132">
        <v>0</v>
      </c>
      <c r="E31" s="132">
        <v>0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239402.10079759842</v>
      </c>
      <c r="D3" s="125">
        <f>IF(SER_hh_fec_in!D3=0,0,11630*1000*SER_hh_fec_in!D3/SER_hh_num_in!D3)</f>
        <v>248869.65474541901</v>
      </c>
      <c r="E3" s="125">
        <f>IF(SER_hh_fec_in!E3=0,0,11630*1000*SER_hh_fec_in!E3/SER_hh_num_in!E3)</f>
        <v>268015.29868279473</v>
      </c>
      <c r="F3" s="125">
        <f>IF(SER_hh_fec_in!F3=0,0,11630*1000*SER_hh_fec_in!F3/SER_hh_num_in!F3)</f>
        <v>249554.44212840099</v>
      </c>
      <c r="G3" s="125">
        <f>IF(SER_hh_fec_in!G3=0,0,11630*1000*SER_hh_fec_in!G3/SER_hh_num_in!G3)</f>
        <v>300872.49939977628</v>
      </c>
      <c r="H3" s="125">
        <f>IF(SER_hh_fec_in!H3=0,0,11630*1000*SER_hh_fec_in!H3/SER_hh_num_in!H3)</f>
        <v>234545.69829479081</v>
      </c>
      <c r="I3" s="125">
        <f>IF(SER_hh_fec_in!I3=0,0,11630*1000*SER_hh_fec_in!I3/SER_hh_num_in!I3)</f>
        <v>225453.16032432034</v>
      </c>
      <c r="J3" s="125">
        <f>IF(SER_hh_fec_in!J3=0,0,11630*1000*SER_hh_fec_in!J3/SER_hh_num_in!J3)</f>
        <v>211991.70430476905</v>
      </c>
      <c r="K3" s="125">
        <f>IF(SER_hh_fec_in!K3=0,0,11630*1000*SER_hh_fec_in!K3/SER_hh_num_in!K3)</f>
        <v>189620.62853260379</v>
      </c>
      <c r="L3" s="125">
        <f>IF(SER_hh_fec_in!L3=0,0,11630*1000*SER_hh_fec_in!L3/SER_hh_num_in!L3)</f>
        <v>266352.72718172584</v>
      </c>
      <c r="M3" s="125">
        <f>IF(SER_hh_fec_in!M3=0,0,11630*1000*SER_hh_fec_in!M3/SER_hh_num_in!M3)</f>
        <v>242550.26420172368</v>
      </c>
      <c r="N3" s="125">
        <f>IF(SER_hh_fec_in!N3=0,0,11630*1000*SER_hh_fec_in!N3/SER_hh_num_in!N3)</f>
        <v>251409.54678706152</v>
      </c>
      <c r="O3" s="125">
        <f>IF(SER_hh_fec_in!O3=0,0,11630*1000*SER_hh_fec_in!O3/SER_hh_num_in!O3)</f>
        <v>248904.54015153743</v>
      </c>
      <c r="P3" s="125">
        <f>IF(SER_hh_fec_in!P3=0,0,11630*1000*SER_hh_fec_in!P3/SER_hh_num_in!P3)</f>
        <v>230117.6301387673</v>
      </c>
      <c r="Q3" s="125">
        <f>IF(SER_hh_fec_in!Q3=0,0,11630*1000*SER_hh_fec_in!Q3/SER_hh_num_in!Q3)</f>
        <v>241031.25287618197</v>
      </c>
      <c r="R3" s="125">
        <f>IF(SER_hh_fec_in!R3=0,0,11630*1000*SER_hh_fec_in!R3/SER_hh_num_in!R3)</f>
        <v>212944.62576468784</v>
      </c>
      <c r="S3" s="125">
        <f>IF(SER_hh_fec_in!S3=0,0,11630*1000*SER_hh_fec_in!S3/SER_hh_num_in!S3)</f>
        <v>220582.39468617176</v>
      </c>
      <c r="T3" s="125">
        <f>IF(SER_hh_fec_in!T3=0,0,11630*1000*SER_hh_fec_in!T3/SER_hh_num_in!T3)</f>
        <v>194038.74137430964</v>
      </c>
      <c r="U3" s="125">
        <f>IF(SER_hh_fec_in!U3=0,0,11630*1000*SER_hh_fec_in!U3/SER_hh_num_in!U3)</f>
        <v>169736.67360926527</v>
      </c>
      <c r="V3" s="125">
        <f>IF(SER_hh_fec_in!V3=0,0,11630*1000*SER_hh_fec_in!V3/SER_hh_num_in!V3)</f>
        <v>124633.32086060237</v>
      </c>
      <c r="W3" s="125">
        <f>IF(SER_hh_fec_in!W3=0,0,11630*1000*SER_hh_fec_in!W3/SER_hh_num_in!W3)</f>
        <v>121343.36772984856</v>
      </c>
      <c r="X3" s="125">
        <f>IF(SER_hh_fec_in!X3=0,0,11630*1000*SER_hh_fec_in!X3/SER_hh_num_in!X3)</f>
        <v>118605.4233151035</v>
      </c>
      <c r="Y3" s="125">
        <f>IF(SER_hh_fec_in!Y3=0,0,11630*1000*SER_hh_fec_in!Y3/SER_hh_num_in!Y3)</f>
        <v>122132.45462597517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101641.40974196541</v>
      </c>
      <c r="D4" s="130">
        <f>IF(SER_hh_fec_in!D4=0,0,11630*1000*SER_hh_fec_in!D4/SER_hh_num_in!D4)</f>
        <v>116288.5761863505</v>
      </c>
      <c r="E4" s="130">
        <f>IF(SER_hh_fec_in!E4=0,0,11630*1000*SER_hh_fec_in!E4/SER_hh_num_in!E4)</f>
        <v>123535.43003370275</v>
      </c>
      <c r="F4" s="130">
        <f>IF(SER_hh_fec_in!F4=0,0,11630*1000*SER_hh_fec_in!F4/SER_hh_num_in!F4)</f>
        <v>120062.2844591972</v>
      </c>
      <c r="G4" s="130">
        <f>IF(SER_hh_fec_in!G4=0,0,11630*1000*SER_hh_fec_in!G4/SER_hh_num_in!G4)</f>
        <v>176848.10555945485</v>
      </c>
      <c r="H4" s="130">
        <f>IF(SER_hh_fec_in!H4=0,0,11630*1000*SER_hh_fec_in!H4/SER_hh_num_in!H4)</f>
        <v>96876.012312591745</v>
      </c>
      <c r="I4" s="130">
        <f>IF(SER_hh_fec_in!I4=0,0,11630*1000*SER_hh_fec_in!I4/SER_hh_num_in!I4)</f>
        <v>94486.583328259687</v>
      </c>
      <c r="J4" s="130">
        <f>IF(SER_hh_fec_in!J4=0,0,11630*1000*SER_hh_fec_in!J4/SER_hh_num_in!J4)</f>
        <v>87124.028646528066</v>
      </c>
      <c r="K4" s="130">
        <f>IF(SER_hh_fec_in!K4=0,0,11630*1000*SER_hh_fec_in!K4/SER_hh_num_in!K4)</f>
        <v>57674.843848132979</v>
      </c>
      <c r="L4" s="130">
        <f>IF(SER_hh_fec_in!L4=0,0,11630*1000*SER_hh_fec_in!L4/SER_hh_num_in!L4)</f>
        <v>145956.07611227615</v>
      </c>
      <c r="M4" s="130">
        <f>IF(SER_hh_fec_in!M4=0,0,11630*1000*SER_hh_fec_in!M4/SER_hh_num_in!M4)</f>
        <v>121991.29041886011</v>
      </c>
      <c r="N4" s="130">
        <f>IF(SER_hh_fec_in!N4=0,0,11630*1000*SER_hh_fec_in!N4/SER_hh_num_in!N4)</f>
        <v>127784.64329208994</v>
      </c>
      <c r="O4" s="130">
        <f>IF(SER_hh_fec_in!O4=0,0,11630*1000*SER_hh_fec_in!O4/SER_hh_num_in!O4)</f>
        <v>132651.83411012619</v>
      </c>
      <c r="P4" s="130">
        <f>IF(SER_hh_fec_in!P4=0,0,11630*1000*SER_hh_fec_in!P4/SER_hh_num_in!P4)</f>
        <v>116728.31505407339</v>
      </c>
      <c r="Q4" s="130">
        <f>IF(SER_hh_fec_in!Q4=0,0,11630*1000*SER_hh_fec_in!Q4/SER_hh_num_in!Q4)</f>
        <v>127468.18608807956</v>
      </c>
      <c r="R4" s="130">
        <f>IF(SER_hh_fec_in!R4=0,0,11630*1000*SER_hh_fec_in!R4/SER_hh_num_in!R4)</f>
        <v>105630.99720235716</v>
      </c>
      <c r="S4" s="130">
        <f>IF(SER_hh_fec_in!S4=0,0,11630*1000*SER_hh_fec_in!S4/SER_hh_num_in!S4)</f>
        <v>111089.22164163594</v>
      </c>
      <c r="T4" s="130">
        <f>IF(SER_hh_fec_in!T4=0,0,11630*1000*SER_hh_fec_in!T4/SER_hh_num_in!T4)</f>
        <v>84626.37284155027</v>
      </c>
      <c r="U4" s="130">
        <f>IF(SER_hh_fec_in!U4=0,0,11630*1000*SER_hh_fec_in!U4/SER_hh_num_in!U4)</f>
        <v>63329.462771749226</v>
      </c>
      <c r="V4" s="130">
        <f>IF(SER_hh_fec_in!V4=0,0,11630*1000*SER_hh_fec_in!V4/SER_hh_num_in!V4)</f>
        <v>32147.232963995364</v>
      </c>
      <c r="W4" s="130">
        <f>IF(SER_hh_fec_in!W4=0,0,11630*1000*SER_hh_fec_in!W4/SER_hh_num_in!W4)</f>
        <v>27577.898048841205</v>
      </c>
      <c r="X4" s="130">
        <f>IF(SER_hh_fec_in!X4=0,0,11630*1000*SER_hh_fec_in!X4/SER_hh_num_in!X4)</f>
        <v>25144.987906644663</v>
      </c>
      <c r="Y4" s="130">
        <f>IF(SER_hh_fec_in!Y4=0,0,11630*1000*SER_hh_fec_in!Y4/SER_hh_num_in!Y4)</f>
        <v>26458.604775780146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107593.3310081719</v>
      </c>
      <c r="D6" s="132">
        <f>IF(SER_hh_fec_in!D6=0,0,11630*1000*SER_hh_fec_in!D6/SER_hh_num_in!D6)</f>
        <v>108507.37322333275</v>
      </c>
      <c r="E6" s="132">
        <f>IF(SER_hh_fec_in!E6=0,0,11630*1000*SER_hh_fec_in!E6/SER_hh_num_in!E6)</f>
        <v>121173.8861545736</v>
      </c>
      <c r="F6" s="132">
        <f>IF(SER_hh_fec_in!F6=0,0,11630*1000*SER_hh_fec_in!F6/SER_hh_num_in!F6)</f>
        <v>125599.17520399037</v>
      </c>
      <c r="G6" s="132">
        <f>IF(SER_hh_fec_in!G6=0,0,11630*1000*SER_hh_fec_in!G6/SER_hh_num_in!G6)</f>
        <v>107558.58037241544</v>
      </c>
      <c r="H6" s="132">
        <f>IF(SER_hh_fec_in!H6=0,0,11630*1000*SER_hh_fec_in!H6/SER_hh_num_in!H6)</f>
        <v>122387.98802398866</v>
      </c>
      <c r="I6" s="132">
        <f>IF(SER_hh_fec_in!I6=0,0,11630*1000*SER_hh_fec_in!I6/SER_hh_num_in!I6)</f>
        <v>135447.65232136662</v>
      </c>
      <c r="J6" s="132">
        <f>IF(SER_hh_fec_in!J6=0,0,11630*1000*SER_hh_fec_in!J6/SER_hh_num_in!J6)</f>
        <v>71533.472385028203</v>
      </c>
      <c r="K6" s="132">
        <f>IF(SER_hh_fec_in!K6=0,0,11630*1000*SER_hh_fec_in!K6/SER_hh_num_in!K6)</f>
        <v>36640.238375855282</v>
      </c>
      <c r="L6" s="132">
        <f>IF(SER_hh_fec_in!L6=0,0,11630*1000*SER_hh_fec_in!L6/SER_hh_num_in!L6)</f>
        <v>162524.06729811395</v>
      </c>
      <c r="M6" s="132">
        <f>IF(SER_hh_fec_in!M6=0,0,11630*1000*SER_hh_fec_in!M6/SER_hh_num_in!M6)</f>
        <v>120691.4158218822</v>
      </c>
      <c r="N6" s="132">
        <f>IF(SER_hh_fec_in!N6=0,0,11630*1000*SER_hh_fec_in!N6/SER_hh_num_in!N6)</f>
        <v>142552.63038877901</v>
      </c>
      <c r="O6" s="132">
        <f>IF(SER_hh_fec_in!O6=0,0,11630*1000*SER_hh_fec_in!O6/SER_hh_num_in!O6)</f>
        <v>0</v>
      </c>
      <c r="P6" s="132">
        <f>IF(SER_hh_fec_in!P6=0,0,11630*1000*SER_hh_fec_in!P6/SER_hh_num_in!P6)</f>
        <v>100051.30775834808</v>
      </c>
      <c r="Q6" s="132">
        <f>IF(SER_hh_fec_in!Q6=0,0,11630*1000*SER_hh_fec_in!Q6/SER_hh_num_in!Q6)</f>
        <v>111443.73996003032</v>
      </c>
      <c r="R6" s="132">
        <f>IF(SER_hh_fec_in!R6=0,0,11630*1000*SER_hh_fec_in!R6/SER_hh_num_in!R6)</f>
        <v>88064.245107316441</v>
      </c>
      <c r="S6" s="132">
        <f>IF(SER_hh_fec_in!S6=0,0,11630*1000*SER_hh_fec_in!S6/SER_hh_num_in!S6)</f>
        <v>90967.050205643201</v>
      </c>
      <c r="T6" s="132">
        <f>IF(SER_hh_fec_in!T6=0,0,11630*1000*SER_hh_fec_in!T6/SER_hh_num_in!T6)</f>
        <v>99630.778688605831</v>
      </c>
      <c r="U6" s="132">
        <f>IF(SER_hh_fec_in!U6=0,0,11630*1000*SER_hh_fec_in!U6/SER_hh_num_in!U6)</f>
        <v>83945.562314546813</v>
      </c>
      <c r="V6" s="132">
        <f>IF(SER_hh_fec_in!V6=0,0,11630*1000*SER_hh_fec_in!V6/SER_hh_num_in!V6)</f>
        <v>56113.846546658548</v>
      </c>
      <c r="W6" s="132">
        <f>IF(SER_hh_fec_in!W6=0,0,11630*1000*SER_hh_fec_in!W6/SER_hh_num_in!W6)</f>
        <v>45299.665670256196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97839.193775879263</v>
      </c>
      <c r="D7" s="132">
        <f>IF(SER_hh_fec_in!D7=0,0,11630*1000*SER_hh_fec_in!D7/SER_hh_num_in!D7)</f>
        <v>111490.8335089194</v>
      </c>
      <c r="E7" s="132">
        <f>IF(SER_hh_fec_in!E7=0,0,11630*1000*SER_hh_fec_in!E7/SER_hh_num_in!E7)</f>
        <v>136252.37577231252</v>
      </c>
      <c r="F7" s="132">
        <f>IF(SER_hh_fec_in!F7=0,0,11630*1000*SER_hh_fec_in!F7/SER_hh_num_in!F7)</f>
        <v>152353.67474254212</v>
      </c>
      <c r="G7" s="132">
        <f>IF(SER_hh_fec_in!G7=0,0,11630*1000*SER_hh_fec_in!G7/SER_hh_num_in!G7)</f>
        <v>130244.35816080117</v>
      </c>
      <c r="H7" s="132">
        <f>IF(SER_hh_fec_in!H7=0,0,11630*1000*SER_hh_fec_in!H7/SER_hh_num_in!H7)</f>
        <v>101702.07379548547</v>
      </c>
      <c r="I7" s="132">
        <f>IF(SER_hh_fec_in!I7=0,0,11630*1000*SER_hh_fec_in!I7/SER_hh_num_in!I7)</f>
        <v>110560.68538494997</v>
      </c>
      <c r="J7" s="132">
        <f>IF(SER_hh_fec_in!J7=0,0,11630*1000*SER_hh_fec_in!J7/SER_hh_num_in!J7)</f>
        <v>101166.54681207468</v>
      </c>
      <c r="K7" s="132">
        <f>IF(SER_hh_fec_in!K7=0,0,11630*1000*SER_hh_fec_in!K7/SER_hh_num_in!K7)</f>
        <v>0</v>
      </c>
      <c r="L7" s="132">
        <f>IF(SER_hh_fec_in!L7=0,0,11630*1000*SER_hh_fec_in!L7/SER_hh_num_in!L7)</f>
        <v>0</v>
      </c>
      <c r="M7" s="132">
        <f>IF(SER_hh_fec_in!M7=0,0,11630*1000*SER_hh_fec_in!M7/SER_hh_num_in!M7)</f>
        <v>74882.47371019749</v>
      </c>
      <c r="N7" s="132">
        <f>IF(SER_hh_fec_in!N7=0,0,11630*1000*SER_hh_fec_in!N7/SER_hh_num_in!N7)</f>
        <v>119183.50151677226</v>
      </c>
      <c r="O7" s="132">
        <f>IF(SER_hh_fec_in!O7=0,0,11630*1000*SER_hh_fec_in!O7/SER_hh_num_in!O7)</f>
        <v>144289.57493757008</v>
      </c>
      <c r="P7" s="132">
        <f>IF(SER_hh_fec_in!P7=0,0,11630*1000*SER_hh_fec_in!P7/SER_hh_num_in!P7)</f>
        <v>135508.6576040842</v>
      </c>
      <c r="Q7" s="132">
        <f>IF(SER_hh_fec_in!Q7=0,0,11630*1000*SER_hh_fec_in!Q7/SER_hh_num_in!Q7)</f>
        <v>148809.42543437285</v>
      </c>
      <c r="R7" s="132">
        <f>IF(SER_hh_fec_in!R7=0,0,11630*1000*SER_hh_fec_in!R7/SER_hh_num_in!R7)</f>
        <v>135785.17442881095</v>
      </c>
      <c r="S7" s="132">
        <f>IF(SER_hh_fec_in!S7=0,0,11630*1000*SER_hh_fec_in!S7/SER_hh_num_in!S7)</f>
        <v>0</v>
      </c>
      <c r="T7" s="132">
        <f>IF(SER_hh_fec_in!T7=0,0,11630*1000*SER_hh_fec_in!T7/SER_hh_num_in!T7)</f>
        <v>0</v>
      </c>
      <c r="U7" s="132">
        <f>IF(SER_hh_fec_in!U7=0,0,11630*1000*SER_hh_fec_in!U7/SER_hh_num_in!U7)</f>
        <v>0</v>
      </c>
      <c r="V7" s="132">
        <f>IF(SER_hh_fec_in!V7=0,0,11630*1000*SER_hh_fec_in!V7/SER_hh_num_in!V7)</f>
        <v>0</v>
      </c>
      <c r="W7" s="132">
        <f>IF(SER_hh_fec_in!W7=0,0,11630*1000*SER_hh_fec_in!W7/SER_hh_num_in!W7)</f>
        <v>41447.505362592347</v>
      </c>
      <c r="X7" s="132">
        <f>IF(SER_hh_fec_in!X7=0,0,11630*1000*SER_hh_fec_in!X7/SER_hh_num_in!X7)</f>
        <v>32979.635087158356</v>
      </c>
      <c r="Y7" s="132">
        <f>IF(SER_hh_fec_in!Y7=0,0,11630*1000*SER_hh_fec_in!Y7/SER_hh_num_in!Y7)</f>
        <v>28877.015388481308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0</v>
      </c>
      <c r="S8" s="132">
        <f>IF(SER_hh_fec_in!S8=0,0,11630*1000*SER_hh_fec_in!S8/SER_hh_num_in!S8)</f>
        <v>0</v>
      </c>
      <c r="T8" s="132">
        <f>IF(SER_hh_fec_in!T8=0,0,11630*1000*SER_hh_fec_in!T8/SER_hh_num_in!T8)</f>
        <v>0</v>
      </c>
      <c r="U8" s="132">
        <f>IF(SER_hh_fec_in!U8=0,0,11630*1000*SER_hh_fec_in!U8/SER_hh_num_in!U8)</f>
        <v>0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0</v>
      </c>
      <c r="D9" s="132">
        <f>IF(SER_hh_fec_in!D9=0,0,11630*1000*SER_hh_fec_in!D9/SER_hh_num_in!D9)</f>
        <v>0</v>
      </c>
      <c r="E9" s="132">
        <f>IF(SER_hh_fec_in!E9=0,0,11630*1000*SER_hh_fec_in!E9/SER_hh_num_in!E9)</f>
        <v>0</v>
      </c>
      <c r="F9" s="132">
        <f>IF(SER_hh_fec_in!F9=0,0,11630*1000*SER_hh_fec_in!F9/SER_hh_num_in!F9)</f>
        <v>0</v>
      </c>
      <c r="G9" s="132">
        <f>IF(SER_hh_fec_in!G9=0,0,11630*1000*SER_hh_fec_in!G9/SER_hh_num_in!G9)</f>
        <v>0</v>
      </c>
      <c r="H9" s="132">
        <f>IF(SER_hh_fec_in!H9=0,0,11630*1000*SER_hh_fec_in!H9/SER_hh_num_in!H9)</f>
        <v>0</v>
      </c>
      <c r="I9" s="132">
        <f>IF(SER_hh_fec_in!I9=0,0,11630*1000*SER_hh_fec_in!I9/SER_hh_num_in!I9)</f>
        <v>0</v>
      </c>
      <c r="J9" s="132">
        <f>IF(SER_hh_fec_in!J9=0,0,11630*1000*SER_hh_fec_in!J9/SER_hh_num_in!J9)</f>
        <v>0</v>
      </c>
      <c r="K9" s="132">
        <f>IF(SER_hh_fec_in!K9=0,0,11630*1000*SER_hh_fec_in!K9/SER_hh_num_in!K9)</f>
        <v>0</v>
      </c>
      <c r="L9" s="132">
        <f>IF(SER_hh_fec_in!L9=0,0,11630*1000*SER_hh_fec_in!L9/SER_hh_num_in!L9)</f>
        <v>0</v>
      </c>
      <c r="M9" s="132">
        <f>IF(SER_hh_fec_in!M9=0,0,11630*1000*SER_hh_fec_in!M9/SER_hh_num_in!M9)</f>
        <v>139434.87389671998</v>
      </c>
      <c r="N9" s="132">
        <f>IF(SER_hh_fec_in!N9=0,0,11630*1000*SER_hh_fec_in!N9/SER_hh_num_in!N9)</f>
        <v>151227.24786465862</v>
      </c>
      <c r="O9" s="132">
        <f>IF(SER_hh_fec_in!O9=0,0,11630*1000*SER_hh_fec_in!O9/SER_hh_num_in!O9)</f>
        <v>102687.88697211799</v>
      </c>
      <c r="P9" s="132">
        <f>IF(SER_hh_fec_in!P9=0,0,11630*1000*SER_hh_fec_in!P9/SER_hh_num_in!P9)</f>
        <v>0</v>
      </c>
      <c r="Q9" s="132">
        <f>IF(SER_hh_fec_in!Q9=0,0,11630*1000*SER_hh_fec_in!Q9/SER_hh_num_in!Q9)</f>
        <v>0</v>
      </c>
      <c r="R9" s="132">
        <f>IF(SER_hh_fec_in!R9=0,0,11630*1000*SER_hh_fec_in!R9/SER_hh_num_in!R9)</f>
        <v>117122.30176702891</v>
      </c>
      <c r="S9" s="132">
        <f>IF(SER_hh_fec_in!S9=0,0,11630*1000*SER_hh_fec_in!S9/SER_hh_num_in!S9)</f>
        <v>0</v>
      </c>
      <c r="T9" s="132">
        <f>IF(SER_hh_fec_in!T9=0,0,11630*1000*SER_hh_fec_in!T9/SER_hh_num_in!T9)</f>
        <v>63397.782652164489</v>
      </c>
      <c r="U9" s="132">
        <f>IF(SER_hh_fec_in!U9=0,0,11630*1000*SER_hh_fec_in!U9/SER_hh_num_in!U9)</f>
        <v>81076.274944019242</v>
      </c>
      <c r="V9" s="132">
        <f>IF(SER_hh_fec_in!V9=0,0,11630*1000*SER_hh_fec_in!V9/SER_hh_num_in!V9)</f>
        <v>53486.047528394629</v>
      </c>
      <c r="W9" s="132">
        <f>IF(SER_hh_fec_in!W9=0,0,11630*1000*SER_hh_fec_in!W9/SER_hh_num_in!W9)</f>
        <v>27468.281666745865</v>
      </c>
      <c r="X9" s="132">
        <f>IF(SER_hh_fec_in!X9=0,0,11630*1000*SER_hh_fec_in!X9/SER_hh_num_in!X9)</f>
        <v>27459.82122264359</v>
      </c>
      <c r="Y9" s="132">
        <f>IF(SER_hh_fec_in!Y9=0,0,11630*1000*SER_hh_fec_in!Y9/SER_hh_num_in!Y9)</f>
        <v>28301.719741405392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0</v>
      </c>
      <c r="D10" s="132">
        <f>IF(SER_hh_fec_in!D10=0,0,11630*1000*SER_hh_fec_in!D10/SER_hh_num_in!D10)</f>
        <v>0</v>
      </c>
      <c r="E10" s="132">
        <f>IF(SER_hh_fec_in!E10=0,0,11630*1000*SER_hh_fec_in!E10/SER_hh_num_in!E10)</f>
        <v>0</v>
      </c>
      <c r="F10" s="132">
        <f>IF(SER_hh_fec_in!F10=0,0,11630*1000*SER_hh_fec_in!F10/SER_hh_num_in!F10)</f>
        <v>0</v>
      </c>
      <c r="G10" s="132">
        <f>IF(SER_hh_fec_in!G10=0,0,11630*1000*SER_hh_fec_in!G10/SER_hh_num_in!G10)</f>
        <v>0</v>
      </c>
      <c r="H10" s="132">
        <f>IF(SER_hh_fec_in!H10=0,0,11630*1000*SER_hh_fec_in!H10/SER_hh_num_in!H10)</f>
        <v>0</v>
      </c>
      <c r="I10" s="132">
        <f>IF(SER_hh_fec_in!I10=0,0,11630*1000*SER_hh_fec_in!I10/SER_hh_num_in!I10)</f>
        <v>0</v>
      </c>
      <c r="J10" s="132">
        <f>IF(SER_hh_fec_in!J10=0,0,11630*1000*SER_hh_fec_in!J10/SER_hh_num_in!J10)</f>
        <v>0</v>
      </c>
      <c r="K10" s="132">
        <f>IF(SER_hh_fec_in!K10=0,0,11630*1000*SER_hh_fec_in!K10/SER_hh_num_in!K10)</f>
        <v>0</v>
      </c>
      <c r="L10" s="132">
        <f>IF(SER_hh_fec_in!L10=0,0,11630*1000*SER_hh_fec_in!L10/SER_hh_num_in!L10)</f>
        <v>0</v>
      </c>
      <c r="M10" s="132">
        <f>IF(SER_hh_fec_in!M10=0,0,11630*1000*SER_hh_fec_in!M10/SER_hh_num_in!M10)</f>
        <v>0</v>
      </c>
      <c r="N10" s="132">
        <f>IF(SER_hh_fec_in!N10=0,0,11630*1000*SER_hh_fec_in!N10/SER_hh_num_in!N10)</f>
        <v>0</v>
      </c>
      <c r="O10" s="132">
        <f>IF(SER_hh_fec_in!O10=0,0,11630*1000*SER_hh_fec_in!O10/SER_hh_num_in!O10)</f>
        <v>0</v>
      </c>
      <c r="P10" s="132">
        <f>IF(SER_hh_fec_in!P10=0,0,11630*1000*SER_hh_fec_in!P10/SER_hh_num_in!P10)</f>
        <v>0</v>
      </c>
      <c r="Q10" s="132">
        <f>IF(SER_hh_fec_in!Q10=0,0,11630*1000*SER_hh_fec_in!Q10/SER_hh_num_in!Q10)</f>
        <v>0</v>
      </c>
      <c r="R10" s="132">
        <f>IF(SER_hh_fec_in!R10=0,0,11630*1000*SER_hh_fec_in!R10/SER_hh_num_in!R10)</f>
        <v>0</v>
      </c>
      <c r="S10" s="132">
        <f>IF(SER_hh_fec_in!S10=0,0,11630*1000*SER_hh_fec_in!S10/SER_hh_num_in!S10)</f>
        <v>0</v>
      </c>
      <c r="T10" s="132">
        <f>IF(SER_hh_fec_in!T10=0,0,11630*1000*SER_hh_fec_in!T10/SER_hh_num_in!T10)</f>
        <v>0</v>
      </c>
      <c r="U10" s="132">
        <f>IF(SER_hh_fec_in!U10=0,0,11630*1000*SER_hh_fec_in!U10/SER_hh_num_in!U10)</f>
        <v>0</v>
      </c>
      <c r="V10" s="132">
        <f>IF(SER_hh_fec_in!V10=0,0,11630*1000*SER_hh_fec_in!V10/SER_hh_num_in!V10)</f>
        <v>0</v>
      </c>
      <c r="W10" s="132">
        <f>IF(SER_hh_fec_in!W10=0,0,11630*1000*SER_hh_fec_in!W10/SER_hh_num_in!W10)</f>
        <v>0</v>
      </c>
      <c r="X10" s="132">
        <f>IF(SER_hh_fec_in!X10=0,0,11630*1000*SER_hh_fec_in!X10/SER_hh_num_in!X10)</f>
        <v>0</v>
      </c>
      <c r="Y10" s="132">
        <f>IF(SER_hh_fec_in!Y10=0,0,11630*1000*SER_hh_fec_in!Y10/SER_hh_num_in!Y10)</f>
        <v>0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0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0</v>
      </c>
      <c r="D12" s="132">
        <f>IF(SER_hh_fec_in!D12=0,0,11630*1000*SER_hh_fec_in!D12/SER_hh_num_in!D12)</f>
        <v>0</v>
      </c>
      <c r="E12" s="132">
        <f>IF(SER_hh_fec_in!E12=0,0,11630*1000*SER_hh_fec_in!E12/SER_hh_num_in!E12)</f>
        <v>0</v>
      </c>
      <c r="F12" s="132">
        <f>IF(SER_hh_fec_in!F12=0,0,11630*1000*SER_hh_fec_in!F12/SER_hh_num_in!F12)</f>
        <v>0</v>
      </c>
      <c r="G12" s="132">
        <f>IF(SER_hh_fec_in!G12=0,0,11630*1000*SER_hh_fec_in!G12/SER_hh_num_in!G12)</f>
        <v>0</v>
      </c>
      <c r="H12" s="132">
        <f>IF(SER_hh_fec_in!H12=0,0,11630*1000*SER_hh_fec_in!H12/SER_hh_num_in!H12)</f>
        <v>0</v>
      </c>
      <c r="I12" s="132">
        <f>IF(SER_hh_fec_in!I12=0,0,11630*1000*SER_hh_fec_in!I12/SER_hh_num_in!I12)</f>
        <v>0</v>
      </c>
      <c r="J12" s="132">
        <f>IF(SER_hh_fec_in!J12=0,0,11630*1000*SER_hh_fec_in!J12/SER_hh_num_in!J12)</f>
        <v>0</v>
      </c>
      <c r="K12" s="132">
        <f>IF(SER_hh_fec_in!K12=0,0,11630*1000*SER_hh_fec_in!K12/SER_hh_num_in!K12)</f>
        <v>0</v>
      </c>
      <c r="L12" s="132">
        <f>IF(SER_hh_fec_in!L12=0,0,11630*1000*SER_hh_fec_in!L12/SER_hh_num_in!L12)</f>
        <v>0</v>
      </c>
      <c r="M12" s="132">
        <f>IF(SER_hh_fec_in!M12=0,0,11630*1000*SER_hh_fec_in!M12/SER_hh_num_in!M12)</f>
        <v>153536.70592929976</v>
      </c>
      <c r="N12" s="132">
        <f>IF(SER_hh_fec_in!N12=0,0,11630*1000*SER_hh_fec_in!N12/SER_hh_num_in!N12)</f>
        <v>235492.41970409875</v>
      </c>
      <c r="O12" s="132">
        <f>IF(SER_hh_fec_in!O12=0,0,11630*1000*SER_hh_fec_in!O12/SER_hh_num_in!O12)</f>
        <v>0</v>
      </c>
      <c r="P12" s="132">
        <f>IF(SER_hh_fec_in!P12=0,0,11630*1000*SER_hh_fec_in!P12/SER_hh_num_in!P12)</f>
        <v>0</v>
      </c>
      <c r="Q12" s="132">
        <f>IF(SER_hh_fec_in!Q12=0,0,11630*1000*SER_hh_fec_in!Q12/SER_hh_num_in!Q12)</f>
        <v>0</v>
      </c>
      <c r="R12" s="132">
        <f>IF(SER_hh_fec_in!R12=0,0,11630*1000*SER_hh_fec_in!R12/SER_hh_num_in!R12)</f>
        <v>0</v>
      </c>
      <c r="S12" s="132">
        <f>IF(SER_hh_fec_in!S12=0,0,11630*1000*SER_hh_fec_in!S12/SER_hh_num_in!S12)</f>
        <v>0</v>
      </c>
      <c r="T12" s="132">
        <f>IF(SER_hh_fec_in!T12=0,0,11630*1000*SER_hh_fec_in!T12/SER_hh_num_in!T12)</f>
        <v>0</v>
      </c>
      <c r="U12" s="132">
        <f>IF(SER_hh_fec_in!U12=0,0,11630*1000*SER_hh_fec_in!U12/SER_hh_num_in!U12)</f>
        <v>0</v>
      </c>
      <c r="V12" s="132">
        <f>IF(SER_hh_fec_in!V12=0,0,11630*1000*SER_hh_fec_in!V12/SER_hh_num_in!V12)</f>
        <v>0</v>
      </c>
      <c r="W12" s="132">
        <f>IF(SER_hh_fec_in!W12=0,0,11630*1000*SER_hh_fec_in!W12/SER_hh_num_in!W12)</f>
        <v>0</v>
      </c>
      <c r="X12" s="132">
        <f>IF(SER_hh_fec_in!X12=0,0,11630*1000*SER_hh_fec_in!X12/SER_hh_num_in!X12)</f>
        <v>0</v>
      </c>
      <c r="Y12" s="132">
        <f>IF(SER_hh_fec_in!Y12=0,0,11630*1000*SER_hh_fec_in!Y12/SER_hh_num_in!Y12)</f>
        <v>0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37236.728947284275</v>
      </c>
      <c r="D13" s="132">
        <f>IF(SER_hh_fec_in!D13=0,0,11630*1000*SER_hh_fec_in!D13/SER_hh_num_in!D13)</f>
        <v>39688.469589095599</v>
      </c>
      <c r="E13" s="132">
        <f>IF(SER_hh_fec_in!E13=0,0,11630*1000*SER_hh_fec_in!E13/SER_hh_num_in!E13)</f>
        <v>44630.375507341807</v>
      </c>
      <c r="F13" s="132">
        <f>IF(SER_hh_fec_in!F13=0,0,11630*1000*SER_hh_fec_in!F13/SER_hh_num_in!F13)</f>
        <v>37903.416256819502</v>
      </c>
      <c r="G13" s="132">
        <f>IF(SER_hh_fec_in!G13=0,0,11630*1000*SER_hh_fec_in!G13/SER_hh_num_in!G13)</f>
        <v>37566.037355804765</v>
      </c>
      <c r="H13" s="132">
        <f>IF(SER_hh_fec_in!H13=0,0,11630*1000*SER_hh_fec_in!H13/SER_hh_num_in!H13)</f>
        <v>28378.800385687689</v>
      </c>
      <c r="I13" s="132">
        <f>IF(SER_hh_fec_in!I13=0,0,11630*1000*SER_hh_fec_in!I13/SER_hh_num_in!I13)</f>
        <v>26177.614875003426</v>
      </c>
      <c r="J13" s="132">
        <f>IF(SER_hh_fec_in!J13=0,0,11630*1000*SER_hh_fec_in!J13/SER_hh_num_in!J13)</f>
        <v>27373.212755517481</v>
      </c>
      <c r="K13" s="132">
        <f>IF(SER_hh_fec_in!K13=0,0,11630*1000*SER_hh_fec_in!K13/SER_hh_num_in!K13)</f>
        <v>27605.45483660424</v>
      </c>
      <c r="L13" s="132">
        <f>IF(SER_hh_fec_in!L13=0,0,11630*1000*SER_hh_fec_in!L13/SER_hh_num_in!L13)</f>
        <v>26874.877089624857</v>
      </c>
      <c r="M13" s="132">
        <f>IF(SER_hh_fec_in!M13=0,0,11630*1000*SER_hh_fec_in!M13/SER_hh_num_in!M13)</f>
        <v>29547.636838047638</v>
      </c>
      <c r="N13" s="132">
        <f>IF(SER_hh_fec_in!N13=0,0,11630*1000*SER_hh_fec_in!N13/SER_hh_num_in!N13)</f>
        <v>31366.717147243005</v>
      </c>
      <c r="O13" s="132">
        <f>IF(SER_hh_fec_in!O13=0,0,11630*1000*SER_hh_fec_in!O13/SER_hh_num_in!O13)</f>
        <v>29130.047963775094</v>
      </c>
      <c r="P13" s="132">
        <f>IF(SER_hh_fec_in!P13=0,0,11630*1000*SER_hh_fec_in!P13/SER_hh_num_in!P13)</f>
        <v>30464.843975700649</v>
      </c>
      <c r="Q13" s="132">
        <f>IF(SER_hh_fec_in!Q13=0,0,11630*1000*SER_hh_fec_in!Q13/SER_hh_num_in!Q13)</f>
        <v>31093.916503965887</v>
      </c>
      <c r="R13" s="132">
        <f>IF(SER_hh_fec_in!R13=0,0,11630*1000*SER_hh_fec_in!R13/SER_hh_num_in!R13)</f>
        <v>26682.973849229944</v>
      </c>
      <c r="S13" s="132">
        <f>IF(SER_hh_fec_in!S13=0,0,11630*1000*SER_hh_fec_in!S13/SER_hh_num_in!S13)</f>
        <v>23691.975438041791</v>
      </c>
      <c r="T13" s="132">
        <f>IF(SER_hh_fec_in!T13=0,0,11630*1000*SER_hh_fec_in!T13/SER_hh_num_in!T13)</f>
        <v>19373.058361298969</v>
      </c>
      <c r="U13" s="132">
        <f>IF(SER_hh_fec_in!U13=0,0,11630*1000*SER_hh_fec_in!U13/SER_hh_num_in!U13)</f>
        <v>15023.609260975683</v>
      </c>
      <c r="V13" s="132">
        <f>IF(SER_hh_fec_in!V13=0,0,11630*1000*SER_hh_fec_in!V13/SER_hh_num_in!V13)</f>
        <v>13065.622905099921</v>
      </c>
      <c r="W13" s="132">
        <f>IF(SER_hh_fec_in!W13=0,0,11630*1000*SER_hh_fec_in!W13/SER_hh_num_in!W13)</f>
        <v>9810.8733523083811</v>
      </c>
      <c r="X13" s="132">
        <f>IF(SER_hh_fec_in!X13=0,0,11630*1000*SER_hh_fec_in!X13/SER_hh_num_in!X13)</f>
        <v>6469.447790797105</v>
      </c>
      <c r="Y13" s="132">
        <f>IF(SER_hh_fec_in!Y13=0,0,11630*1000*SER_hh_fec_in!Y13/SER_hh_num_in!Y13)</f>
        <v>7040.1037082429748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106840.04961232547</v>
      </c>
      <c r="D14" s="65">
        <f>IF(SER_hh_fec_in!D14=0,0,11630*1000*SER_hh_fec_in!D14/SER_hh_num_in!D14)</f>
        <v>127441.78373875334</v>
      </c>
      <c r="E14" s="65">
        <f>IF(SER_hh_fec_in!E14=0,0,11630*1000*SER_hh_fec_in!E14/SER_hh_num_in!E14)</f>
        <v>120383.80608085176</v>
      </c>
      <c r="F14" s="65">
        <f>IF(SER_hh_fec_in!F14=0,0,11630*1000*SER_hh_fec_in!F14/SER_hh_num_in!F14)</f>
        <v>123113.68685470162</v>
      </c>
      <c r="G14" s="65">
        <f>IF(SER_hh_fec_in!G14=0,0,11630*1000*SER_hh_fec_in!G14/SER_hh_num_in!G14)</f>
        <v>195195.67798732701</v>
      </c>
      <c r="H14" s="65">
        <f>IF(SER_hh_fec_in!H14=0,0,11630*1000*SER_hh_fec_in!H14/SER_hh_num_in!H14)</f>
        <v>113696.29412942895</v>
      </c>
      <c r="I14" s="65">
        <f>IF(SER_hh_fec_in!I14=0,0,11630*1000*SER_hh_fec_in!I14/SER_hh_num_in!I14)</f>
        <v>106841.26335731875</v>
      </c>
      <c r="J14" s="65">
        <f>IF(SER_hh_fec_in!J14=0,0,11630*1000*SER_hh_fec_in!J14/SER_hh_num_in!J14)</f>
        <v>90404.744325209351</v>
      </c>
      <c r="K14" s="65">
        <f>IF(SER_hh_fec_in!K14=0,0,11630*1000*SER_hh_fec_in!K14/SER_hh_num_in!K14)</f>
        <v>63570.825507984046</v>
      </c>
      <c r="L14" s="65">
        <f>IF(SER_hh_fec_in!L14=0,0,11630*1000*SER_hh_fec_in!L14/SER_hh_num_in!L14)</f>
        <v>146776.53857722628</v>
      </c>
      <c r="M14" s="65">
        <f>IF(SER_hh_fec_in!M14=0,0,11630*1000*SER_hh_fec_in!M14/SER_hh_num_in!M14)</f>
        <v>150442.43807169053</v>
      </c>
      <c r="N14" s="65">
        <f>IF(SER_hh_fec_in!N14=0,0,11630*1000*SER_hh_fec_in!N14/SER_hh_num_in!N14)</f>
        <v>147187.10208552613</v>
      </c>
      <c r="O14" s="65">
        <f>IF(SER_hh_fec_in!O14=0,0,11630*1000*SER_hh_fec_in!O14/SER_hh_num_in!O14)</f>
        <v>144300.42767092164</v>
      </c>
      <c r="P14" s="65">
        <f>IF(SER_hh_fec_in!P14=0,0,11630*1000*SER_hh_fec_in!P14/SER_hh_num_in!P14)</f>
        <v>149759.58356168817</v>
      </c>
      <c r="Q14" s="65">
        <f>IF(SER_hh_fec_in!Q14=0,0,11630*1000*SER_hh_fec_in!Q14/SER_hh_num_in!Q14)</f>
        <v>154721.70497358206</v>
      </c>
      <c r="R14" s="65">
        <f>IF(SER_hh_fec_in!R14=0,0,11630*1000*SER_hh_fec_in!R14/SER_hh_num_in!R14)</f>
        <v>129862.588184897</v>
      </c>
      <c r="S14" s="65">
        <f>IF(SER_hh_fec_in!S14=0,0,11630*1000*SER_hh_fec_in!S14/SER_hh_num_in!S14)</f>
        <v>130911.66500010592</v>
      </c>
      <c r="T14" s="65">
        <f>IF(SER_hh_fec_in!T14=0,0,11630*1000*SER_hh_fec_in!T14/SER_hh_num_in!T14)</f>
        <v>105957.84998005533</v>
      </c>
      <c r="U14" s="65">
        <f>IF(SER_hh_fec_in!U14=0,0,11630*1000*SER_hh_fec_in!U14/SER_hh_num_in!U14)</f>
        <v>89311.249439916137</v>
      </c>
      <c r="V14" s="65">
        <f>IF(SER_hh_fec_in!V14=0,0,11630*1000*SER_hh_fec_in!V14/SER_hh_num_in!V14)</f>
        <v>57295.223629041968</v>
      </c>
      <c r="W14" s="65">
        <f>IF(SER_hh_fec_in!W14=0,0,11630*1000*SER_hh_fec_in!W14/SER_hh_num_in!W14)</f>
        <v>40015.062565927932</v>
      </c>
      <c r="X14" s="65">
        <f>IF(SER_hh_fec_in!X14=0,0,11630*1000*SER_hh_fec_in!X14/SER_hh_num_in!X14)</f>
        <v>31773.016860175994</v>
      </c>
      <c r="Y14" s="65">
        <f>IF(SER_hh_fec_in!Y14=0,0,11630*1000*SER_hh_fec_in!Y14/SER_hh_num_in!Y14)</f>
        <v>31668.45266579778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1171.8940210501639</v>
      </c>
      <c r="D15" s="134">
        <f>IF(SER_hh_fec_in!D15=0,0,11630*1000*SER_hh_fec_in!D15/SER_hh_num_in!D15)</f>
        <v>1311.6350970645944</v>
      </c>
      <c r="E15" s="134">
        <f>IF(SER_hh_fec_in!E15=0,0,11630*1000*SER_hh_fec_in!E15/SER_hh_num_in!E15)</f>
        <v>1572.5152563606277</v>
      </c>
      <c r="F15" s="134">
        <f>IF(SER_hh_fec_in!F15=0,0,11630*1000*SER_hh_fec_in!F15/SER_hh_num_in!F15)</f>
        <v>1569.6858561977547</v>
      </c>
      <c r="G15" s="134">
        <f>IF(SER_hh_fec_in!G15=0,0,11630*1000*SER_hh_fec_in!G15/SER_hh_num_in!G15)</f>
        <v>1372.9210152564631</v>
      </c>
      <c r="H15" s="134">
        <f>IF(SER_hh_fec_in!H15=0,0,11630*1000*SER_hh_fec_in!H15/SER_hh_num_in!H15)</f>
        <v>1173.8205037323519</v>
      </c>
      <c r="I15" s="134">
        <f>IF(SER_hh_fec_in!I15=0,0,11630*1000*SER_hh_fec_in!I15/SER_hh_num_in!I15)</f>
        <v>1258.7109765680138</v>
      </c>
      <c r="J15" s="134">
        <f>IF(SER_hh_fec_in!J15=0,0,11630*1000*SER_hh_fec_in!J15/SER_hh_num_in!J15)</f>
        <v>1111.4007871398703</v>
      </c>
      <c r="K15" s="134">
        <f>IF(SER_hh_fec_in!K15=0,0,11630*1000*SER_hh_fec_in!K15/SER_hh_num_in!K15)</f>
        <v>415.62492047440918</v>
      </c>
      <c r="L15" s="134">
        <f>IF(SER_hh_fec_in!L15=0,0,11630*1000*SER_hh_fec_in!L15/SER_hh_num_in!L15)</f>
        <v>1840.4226830674422</v>
      </c>
      <c r="M15" s="134">
        <f>IF(SER_hh_fec_in!M15=0,0,11630*1000*SER_hh_fec_in!M15/SER_hh_num_in!M15)</f>
        <v>1273.630351780967</v>
      </c>
      <c r="N15" s="134">
        <f>IF(SER_hh_fec_in!N15=0,0,11630*1000*SER_hh_fec_in!N15/SER_hh_num_in!N15)</f>
        <v>1400.2705379097963</v>
      </c>
      <c r="O15" s="134">
        <f>IF(SER_hh_fec_in!O15=0,0,11630*1000*SER_hh_fec_in!O15/SER_hh_num_in!O15)</f>
        <v>1685.4919454721314</v>
      </c>
      <c r="P15" s="134">
        <f>IF(SER_hh_fec_in!P15=0,0,11630*1000*SER_hh_fec_in!P15/SER_hh_num_in!P15)</f>
        <v>1630.84379421572</v>
      </c>
      <c r="Q15" s="134">
        <f>IF(SER_hh_fec_in!Q15=0,0,11630*1000*SER_hh_fec_in!Q15/SER_hh_num_in!Q15)</f>
        <v>1812.5424301571597</v>
      </c>
      <c r="R15" s="134">
        <f>IF(SER_hh_fec_in!R15=0,0,11630*1000*SER_hh_fec_in!R15/SER_hh_num_in!R15)</f>
        <v>1456.5759226539653</v>
      </c>
      <c r="S15" s="134">
        <f>IF(SER_hh_fec_in!S15=0,0,11630*1000*SER_hh_fec_in!S15/SER_hh_num_in!S15)</f>
        <v>1160.0259311625593</v>
      </c>
      <c r="T15" s="134">
        <f>IF(SER_hh_fec_in!T15=0,0,11630*1000*SER_hh_fec_in!T15/SER_hh_num_in!T15)</f>
        <v>1222.8618739550079</v>
      </c>
      <c r="U15" s="134">
        <f>IF(SER_hh_fec_in!U15=0,0,11630*1000*SER_hh_fec_in!U15/SER_hh_num_in!U15)</f>
        <v>1086.5223221276217</v>
      </c>
      <c r="V15" s="134">
        <f>IF(SER_hh_fec_in!V15=0,0,11630*1000*SER_hh_fec_in!V15/SER_hh_num_in!V15)</f>
        <v>712.13965493652665</v>
      </c>
      <c r="W15" s="134">
        <f>IF(SER_hh_fec_in!W15=0,0,11630*1000*SER_hh_fec_in!W15/SER_hh_num_in!W15)</f>
        <v>518.32298611563704</v>
      </c>
      <c r="X15" s="134">
        <f>IF(SER_hh_fec_in!X15=0,0,11630*1000*SER_hh_fec_in!X15/SER_hh_num_in!X15)</f>
        <v>408.5219887802192</v>
      </c>
      <c r="Y15" s="134">
        <f>IF(SER_hh_fec_in!Y15=0,0,11630*1000*SER_hh_fec_in!Y15/SER_hh_num_in!Y15)</f>
        <v>387.65679936162047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31704.034759233484</v>
      </c>
      <c r="D16" s="130">
        <f>IF(SER_hh_fec_in!D16=0,0,11630*1000*SER_hh_fec_in!D16/SER_hh_num_in!D16)</f>
        <v>23594.788120415928</v>
      </c>
      <c r="E16" s="130">
        <f>IF(SER_hh_fec_in!E16=0,0,11630*1000*SER_hh_fec_in!E16/SER_hh_num_in!E16)</f>
        <v>34413.02889487354</v>
      </c>
      <c r="F16" s="130">
        <f>IF(SER_hh_fec_in!F16=0,0,11630*1000*SER_hh_fec_in!F16/SER_hh_num_in!F16)</f>
        <v>17271.462474569438</v>
      </c>
      <c r="G16" s="130">
        <f>IF(SER_hh_fec_in!G16=0,0,11630*1000*SER_hh_fec_in!G16/SER_hh_num_in!G16)</f>
        <v>16392.411251569116</v>
      </c>
      <c r="H16" s="130">
        <f>IF(SER_hh_fec_in!H16=0,0,11630*1000*SER_hh_fec_in!H16/SER_hh_num_in!H16)</f>
        <v>21444.67312896689</v>
      </c>
      <c r="I16" s="130">
        <f>IF(SER_hh_fec_in!I16=0,0,11630*1000*SER_hh_fec_in!I16/SER_hh_num_in!I16)</f>
        <v>21379.215237564982</v>
      </c>
      <c r="J16" s="130">
        <f>IF(SER_hh_fec_in!J16=0,0,11630*1000*SER_hh_fec_in!J16/SER_hh_num_in!J16)</f>
        <v>17713.168248169986</v>
      </c>
      <c r="K16" s="130">
        <f>IF(SER_hh_fec_in!K16=0,0,11630*1000*SER_hh_fec_in!K16/SER_hh_num_in!K16)</f>
        <v>17458.87249878806</v>
      </c>
      <c r="L16" s="130">
        <f>IF(SER_hh_fec_in!L16=0,0,11630*1000*SER_hh_fec_in!L16/SER_hh_num_in!L16)</f>
        <v>13609.981504418949</v>
      </c>
      <c r="M16" s="130">
        <f>IF(SER_hh_fec_in!M16=0,0,11630*1000*SER_hh_fec_in!M16/SER_hh_num_in!M16)</f>
        <v>14029.1829489801</v>
      </c>
      <c r="N16" s="130">
        <f>IF(SER_hh_fec_in!N16=0,0,11630*1000*SER_hh_fec_in!N16/SER_hh_num_in!N16)</f>
        <v>23229.718064985656</v>
      </c>
      <c r="O16" s="130">
        <f>IF(SER_hh_fec_in!O16=0,0,11630*1000*SER_hh_fec_in!O16/SER_hh_num_in!O16)</f>
        <v>15409.697077767045</v>
      </c>
      <c r="P16" s="130">
        <f>IF(SER_hh_fec_in!P16=0,0,11630*1000*SER_hh_fec_in!P16/SER_hh_num_in!P16)</f>
        <v>14954.896786730744</v>
      </c>
      <c r="Q16" s="130">
        <f>IF(SER_hh_fec_in!Q16=0,0,11630*1000*SER_hh_fec_in!Q16/SER_hh_num_in!Q16)</f>
        <v>15226.417746434805</v>
      </c>
      <c r="R16" s="130">
        <f>IF(SER_hh_fec_in!R16=0,0,11630*1000*SER_hh_fec_in!R16/SER_hh_num_in!R16)</f>
        <v>11919.168975599459</v>
      </c>
      <c r="S16" s="130">
        <f>IF(SER_hh_fec_in!S16=0,0,11630*1000*SER_hh_fec_in!S16/SER_hh_num_in!S16)</f>
        <v>13515.384644274471</v>
      </c>
      <c r="T16" s="130">
        <f>IF(SER_hh_fec_in!T16=0,0,11630*1000*SER_hh_fec_in!T16/SER_hh_num_in!T16)</f>
        <v>11477.580396253063</v>
      </c>
      <c r="U16" s="130">
        <f>IF(SER_hh_fec_in!U16=0,0,11630*1000*SER_hh_fec_in!U16/SER_hh_num_in!U16)</f>
        <v>14876.625224450954</v>
      </c>
      <c r="V16" s="130">
        <f>IF(SER_hh_fec_in!V16=0,0,11630*1000*SER_hh_fec_in!V16/SER_hh_num_in!V16)</f>
        <v>10872.069905674047</v>
      </c>
      <c r="W16" s="130">
        <f>IF(SER_hh_fec_in!W16=0,0,11630*1000*SER_hh_fec_in!W16/SER_hh_num_in!W16)</f>
        <v>11365.537664123227</v>
      </c>
      <c r="X16" s="130">
        <f>IF(SER_hh_fec_in!X16=0,0,11630*1000*SER_hh_fec_in!X16/SER_hh_num_in!X16)</f>
        <v>9942.3350932620706</v>
      </c>
      <c r="Y16" s="130">
        <f>IF(SER_hh_fec_in!Y16=0,0,11630*1000*SER_hh_fec_in!Y16/SER_hh_num_in!Y16)</f>
        <v>8995.9423394205005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0</v>
      </c>
      <c r="D17" s="132">
        <f>IF(SER_hh_fec_in!D17=0,0,11630*1000*SER_hh_fec_in!D17/SER_hh_num_in!D17)</f>
        <v>0</v>
      </c>
      <c r="E17" s="132">
        <f>IF(SER_hh_fec_in!E17=0,0,11630*1000*SER_hh_fec_in!E17/SER_hh_num_in!E17)</f>
        <v>0</v>
      </c>
      <c r="F17" s="132">
        <f>IF(SER_hh_fec_in!F17=0,0,11630*1000*SER_hh_fec_in!F17/SER_hh_num_in!F17)</f>
        <v>0</v>
      </c>
      <c r="G17" s="132">
        <f>IF(SER_hh_fec_in!G17=0,0,11630*1000*SER_hh_fec_in!G17/SER_hh_num_in!G17)</f>
        <v>0</v>
      </c>
      <c r="H17" s="132">
        <f>IF(SER_hh_fec_in!H17=0,0,11630*1000*SER_hh_fec_in!H17/SER_hh_num_in!H17)</f>
        <v>0</v>
      </c>
      <c r="I17" s="132">
        <f>IF(SER_hh_fec_in!I17=0,0,11630*1000*SER_hh_fec_in!I17/SER_hh_num_in!I17)</f>
        <v>0</v>
      </c>
      <c r="J17" s="132">
        <f>IF(SER_hh_fec_in!J17=0,0,11630*1000*SER_hh_fec_in!J17/SER_hh_num_in!J17)</f>
        <v>0</v>
      </c>
      <c r="K17" s="132">
        <f>IF(SER_hh_fec_in!K17=0,0,11630*1000*SER_hh_fec_in!K17/SER_hh_num_in!K17)</f>
        <v>0</v>
      </c>
      <c r="L17" s="132">
        <f>IF(SER_hh_fec_in!L17=0,0,11630*1000*SER_hh_fec_in!L17/SER_hh_num_in!L17)</f>
        <v>0</v>
      </c>
      <c r="M17" s="132">
        <f>IF(SER_hh_fec_in!M17=0,0,11630*1000*SER_hh_fec_in!M17/SER_hh_num_in!M17)</f>
        <v>0</v>
      </c>
      <c r="N17" s="132">
        <f>IF(SER_hh_fec_in!N17=0,0,11630*1000*SER_hh_fec_in!N17/SER_hh_num_in!N17)</f>
        <v>0</v>
      </c>
      <c r="O17" s="132">
        <f>IF(SER_hh_fec_in!O17=0,0,11630*1000*SER_hh_fec_in!O17/SER_hh_num_in!O17)</f>
        <v>0</v>
      </c>
      <c r="P17" s="132">
        <f>IF(SER_hh_fec_in!P17=0,0,11630*1000*SER_hh_fec_in!P17/SER_hh_num_in!P17)</f>
        <v>0</v>
      </c>
      <c r="Q17" s="132">
        <f>IF(SER_hh_fec_in!Q17=0,0,11630*1000*SER_hh_fec_in!Q17/SER_hh_num_in!Q17)</f>
        <v>0</v>
      </c>
      <c r="R17" s="132">
        <f>IF(SER_hh_fec_in!R17=0,0,11630*1000*SER_hh_fec_in!R17/SER_hh_num_in!R17)</f>
        <v>0</v>
      </c>
      <c r="S17" s="132">
        <f>IF(SER_hh_fec_in!S17=0,0,11630*1000*SER_hh_fec_in!S17/SER_hh_num_in!S17)</f>
        <v>0</v>
      </c>
      <c r="T17" s="132">
        <f>IF(SER_hh_fec_in!T17=0,0,11630*1000*SER_hh_fec_in!T17/SER_hh_num_in!T17)</f>
        <v>0</v>
      </c>
      <c r="U17" s="132">
        <f>IF(SER_hh_fec_in!U17=0,0,11630*1000*SER_hh_fec_in!U17/SER_hh_num_in!U17)</f>
        <v>0</v>
      </c>
      <c r="V17" s="132">
        <f>IF(SER_hh_fec_in!V17=0,0,11630*1000*SER_hh_fec_in!V17/SER_hh_num_in!V17)</f>
        <v>0</v>
      </c>
      <c r="W17" s="132">
        <f>IF(SER_hh_fec_in!W17=0,0,11630*1000*SER_hh_fec_in!W17/SER_hh_num_in!W17)</f>
        <v>0</v>
      </c>
      <c r="X17" s="132">
        <f>IF(SER_hh_fec_in!X17=0,0,11630*1000*SER_hh_fec_in!X17/SER_hh_num_in!X17)</f>
        <v>0</v>
      </c>
      <c r="Y17" s="132">
        <f>IF(SER_hh_fec_in!Y17=0,0,11630*1000*SER_hh_fec_in!Y17/SER_hh_num_in!Y17)</f>
        <v>0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31704.034759233484</v>
      </c>
      <c r="D18" s="132">
        <f>IF(SER_hh_fec_in!D18=0,0,11630*1000*SER_hh_fec_in!D18/SER_hh_num_in!D18)</f>
        <v>23594.788120415928</v>
      </c>
      <c r="E18" s="132">
        <f>IF(SER_hh_fec_in!E18=0,0,11630*1000*SER_hh_fec_in!E18/SER_hh_num_in!E18)</f>
        <v>34413.02889487354</v>
      </c>
      <c r="F18" s="132">
        <f>IF(SER_hh_fec_in!F18=0,0,11630*1000*SER_hh_fec_in!F18/SER_hh_num_in!F18)</f>
        <v>17271.462474569438</v>
      </c>
      <c r="G18" s="132">
        <f>IF(SER_hh_fec_in!G18=0,0,11630*1000*SER_hh_fec_in!G18/SER_hh_num_in!G18)</f>
        <v>16392.411251569116</v>
      </c>
      <c r="H18" s="132">
        <f>IF(SER_hh_fec_in!H18=0,0,11630*1000*SER_hh_fec_in!H18/SER_hh_num_in!H18)</f>
        <v>21444.67312896689</v>
      </c>
      <c r="I18" s="132">
        <f>IF(SER_hh_fec_in!I18=0,0,11630*1000*SER_hh_fec_in!I18/SER_hh_num_in!I18)</f>
        <v>21379.215237564982</v>
      </c>
      <c r="J18" s="132">
        <f>IF(SER_hh_fec_in!J18=0,0,11630*1000*SER_hh_fec_in!J18/SER_hh_num_in!J18)</f>
        <v>17713.168248169986</v>
      </c>
      <c r="K18" s="132">
        <f>IF(SER_hh_fec_in!K18=0,0,11630*1000*SER_hh_fec_in!K18/SER_hh_num_in!K18)</f>
        <v>17458.87249878806</v>
      </c>
      <c r="L18" s="132">
        <f>IF(SER_hh_fec_in!L18=0,0,11630*1000*SER_hh_fec_in!L18/SER_hh_num_in!L18)</f>
        <v>13609.981504418949</v>
      </c>
      <c r="M18" s="132">
        <f>IF(SER_hh_fec_in!M18=0,0,11630*1000*SER_hh_fec_in!M18/SER_hh_num_in!M18)</f>
        <v>14029.1829489801</v>
      </c>
      <c r="N18" s="132">
        <f>IF(SER_hh_fec_in!N18=0,0,11630*1000*SER_hh_fec_in!N18/SER_hh_num_in!N18)</f>
        <v>23229.718064985656</v>
      </c>
      <c r="O18" s="132">
        <f>IF(SER_hh_fec_in!O18=0,0,11630*1000*SER_hh_fec_in!O18/SER_hh_num_in!O18)</f>
        <v>15409.697077767045</v>
      </c>
      <c r="P18" s="132">
        <f>IF(SER_hh_fec_in!P18=0,0,11630*1000*SER_hh_fec_in!P18/SER_hh_num_in!P18)</f>
        <v>14954.896786730744</v>
      </c>
      <c r="Q18" s="132">
        <f>IF(SER_hh_fec_in!Q18=0,0,11630*1000*SER_hh_fec_in!Q18/SER_hh_num_in!Q18)</f>
        <v>15226.417746434805</v>
      </c>
      <c r="R18" s="132">
        <f>IF(SER_hh_fec_in!R18=0,0,11630*1000*SER_hh_fec_in!R18/SER_hh_num_in!R18)</f>
        <v>11919.168975599459</v>
      </c>
      <c r="S18" s="132">
        <f>IF(SER_hh_fec_in!S18=0,0,11630*1000*SER_hh_fec_in!S18/SER_hh_num_in!S18)</f>
        <v>13515.384644274471</v>
      </c>
      <c r="T18" s="132">
        <f>IF(SER_hh_fec_in!T18=0,0,11630*1000*SER_hh_fec_in!T18/SER_hh_num_in!T18)</f>
        <v>11477.580396253063</v>
      </c>
      <c r="U18" s="132">
        <f>IF(SER_hh_fec_in!U18=0,0,11630*1000*SER_hh_fec_in!U18/SER_hh_num_in!U18)</f>
        <v>14876.625224450954</v>
      </c>
      <c r="V18" s="132">
        <f>IF(SER_hh_fec_in!V18=0,0,11630*1000*SER_hh_fec_in!V18/SER_hh_num_in!V18)</f>
        <v>10872.069905674047</v>
      </c>
      <c r="W18" s="132">
        <f>IF(SER_hh_fec_in!W18=0,0,11630*1000*SER_hh_fec_in!W18/SER_hh_num_in!W18)</f>
        <v>11365.537664123227</v>
      </c>
      <c r="X18" s="132">
        <f>IF(SER_hh_fec_in!X18=0,0,11630*1000*SER_hh_fec_in!X18/SER_hh_num_in!X18)</f>
        <v>9942.3350932620706</v>
      </c>
      <c r="Y18" s="132">
        <f>IF(SER_hh_fec_in!Y18=0,0,11630*1000*SER_hh_fec_in!Y18/SER_hh_num_in!Y18)</f>
        <v>8995.9423394205005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48643.693950328459</v>
      </c>
      <c r="D19" s="130">
        <f>IF(SER_hh_fec_in!D19=0,0,11630*1000*SER_hh_fec_in!D19/SER_hh_num_in!D19)</f>
        <v>49483.786680038393</v>
      </c>
      <c r="E19" s="130">
        <f>IF(SER_hh_fec_in!E19=0,0,11630*1000*SER_hh_fec_in!E19/SER_hh_num_in!E19)</f>
        <v>49688.690688412709</v>
      </c>
      <c r="F19" s="130">
        <f>IF(SER_hh_fec_in!F19=0,0,11630*1000*SER_hh_fec_in!F19/SER_hh_num_in!F19)</f>
        <v>50258.956345309038</v>
      </c>
      <c r="G19" s="130">
        <f>IF(SER_hh_fec_in!G19=0,0,11630*1000*SER_hh_fec_in!G19/SER_hh_num_in!G19)</f>
        <v>47734.534401393204</v>
      </c>
      <c r="H19" s="130">
        <f>IF(SER_hh_fec_in!H19=0,0,11630*1000*SER_hh_fec_in!H19/SER_hh_num_in!H19)</f>
        <v>52037.543735146239</v>
      </c>
      <c r="I19" s="130">
        <f>IF(SER_hh_fec_in!I19=0,0,11630*1000*SER_hh_fec_in!I19/SER_hh_num_in!I19)</f>
        <v>47678.549894600059</v>
      </c>
      <c r="J19" s="130">
        <f>IF(SER_hh_fec_in!J19=0,0,11630*1000*SER_hh_fec_in!J19/SER_hh_num_in!J19)</f>
        <v>45453.776731602964</v>
      </c>
      <c r="K19" s="130">
        <f>IF(SER_hh_fec_in!K19=0,0,11630*1000*SER_hh_fec_in!K19/SER_hh_num_in!K19)</f>
        <v>45754.220749972643</v>
      </c>
      <c r="L19" s="130">
        <f>IF(SER_hh_fec_in!L19=0,0,11630*1000*SER_hh_fec_in!L19/SER_hh_num_in!L19)</f>
        <v>47293.004332025834</v>
      </c>
      <c r="M19" s="130">
        <f>IF(SER_hh_fec_in!M19=0,0,11630*1000*SER_hh_fec_in!M19/SER_hh_num_in!M19)</f>
        <v>46430.299525929709</v>
      </c>
      <c r="N19" s="130">
        <f>IF(SER_hh_fec_in!N19=0,0,11630*1000*SER_hh_fec_in!N19/SER_hh_num_in!N19)</f>
        <v>43963.726727294445</v>
      </c>
      <c r="O19" s="130">
        <f>IF(SER_hh_fec_in!O19=0,0,11630*1000*SER_hh_fec_in!O19/SER_hh_num_in!O19)</f>
        <v>43281.001517998113</v>
      </c>
      <c r="P19" s="130">
        <f>IF(SER_hh_fec_in!P19=0,0,11630*1000*SER_hh_fec_in!P19/SER_hh_num_in!P19)</f>
        <v>40936.827098398091</v>
      </c>
      <c r="Q19" s="130">
        <f>IF(SER_hh_fec_in!Q19=0,0,11630*1000*SER_hh_fec_in!Q19/SER_hh_num_in!Q19)</f>
        <v>38921.972160255464</v>
      </c>
      <c r="R19" s="130">
        <f>IF(SER_hh_fec_in!R19=0,0,11630*1000*SER_hh_fec_in!R19/SER_hh_num_in!R19)</f>
        <v>37769.239720529571</v>
      </c>
      <c r="S19" s="130">
        <f>IF(SER_hh_fec_in!S19=0,0,11630*1000*SER_hh_fec_in!S19/SER_hh_num_in!S19)</f>
        <v>36349.450308162835</v>
      </c>
      <c r="T19" s="130">
        <f>IF(SER_hh_fec_in!T19=0,0,11630*1000*SER_hh_fec_in!T19/SER_hh_num_in!T19)</f>
        <v>35361.521885193448</v>
      </c>
      <c r="U19" s="130">
        <f>IF(SER_hh_fec_in!U19=0,0,11630*1000*SER_hh_fec_in!U19/SER_hh_num_in!U19)</f>
        <v>34294.255802333253</v>
      </c>
      <c r="V19" s="130">
        <f>IF(SER_hh_fec_in!V19=0,0,11630*1000*SER_hh_fec_in!V19/SER_hh_num_in!V19)</f>
        <v>31789.563469904861</v>
      </c>
      <c r="W19" s="130">
        <f>IF(SER_hh_fec_in!W19=0,0,11630*1000*SER_hh_fec_in!W19/SER_hh_num_in!W19)</f>
        <v>31305.683154109924</v>
      </c>
      <c r="X19" s="130">
        <f>IF(SER_hh_fec_in!X19=0,0,11630*1000*SER_hh_fec_in!X19/SER_hh_num_in!X19)</f>
        <v>30315.909383216804</v>
      </c>
      <c r="Y19" s="130">
        <f>IF(SER_hh_fec_in!Y19=0,0,11630*1000*SER_hh_fec_in!Y19/SER_hh_num_in!Y19)</f>
        <v>31196.029129862149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60396.072216639805</v>
      </c>
      <c r="D21" s="132">
        <f>IF(SER_hh_fec_in!D21=0,0,11630*1000*SER_hh_fec_in!D21/SER_hh_num_in!D21)</f>
        <v>61189.958667866056</v>
      </c>
      <c r="E21" s="132">
        <f>IF(SER_hh_fec_in!E21=0,0,11630*1000*SER_hh_fec_in!E21/SER_hh_num_in!E21)</f>
        <v>52356.378631519838</v>
      </c>
      <c r="F21" s="132">
        <f>IF(SER_hh_fec_in!F21=0,0,11630*1000*SER_hh_fec_in!F21/SER_hh_num_in!F21)</f>
        <v>45546.865253144795</v>
      </c>
      <c r="G21" s="132">
        <f>IF(SER_hh_fec_in!G21=0,0,11630*1000*SER_hh_fec_in!G21/SER_hh_num_in!G21)</f>
        <v>38583.239236674031</v>
      </c>
      <c r="H21" s="132">
        <f>IF(SER_hh_fec_in!H21=0,0,11630*1000*SER_hh_fec_in!H21/SER_hh_num_in!H21)</f>
        <v>86649.343002485301</v>
      </c>
      <c r="I21" s="132">
        <f>IF(SER_hh_fec_in!I21=0,0,11630*1000*SER_hh_fec_in!I21/SER_hh_num_in!I21)</f>
        <v>105032.87171131773</v>
      </c>
      <c r="J21" s="132">
        <f>IF(SER_hh_fec_in!J21=0,0,11630*1000*SER_hh_fec_in!J21/SER_hh_num_in!J21)</f>
        <v>95118.510536486894</v>
      </c>
      <c r="K21" s="132">
        <f>IF(SER_hh_fec_in!K21=0,0,11630*1000*SER_hh_fec_in!K21/SER_hh_num_in!K21)</f>
        <v>87364.12335906623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37485.30469040537</v>
      </c>
      <c r="T21" s="132">
        <f>IF(SER_hh_fec_in!T21=0,0,11630*1000*SER_hh_fec_in!T21/SER_hh_num_in!T21)</f>
        <v>43758.898920140506</v>
      </c>
      <c r="U21" s="132">
        <f>IF(SER_hh_fec_in!U21=0,0,11630*1000*SER_hh_fec_in!U21/SER_hh_num_in!U21)</f>
        <v>41267.171034263483</v>
      </c>
      <c r="V21" s="132">
        <f>IF(SER_hh_fec_in!V21=0,0,11630*1000*SER_hh_fec_in!V21/SER_hh_num_in!V21)</f>
        <v>31671.312325961397</v>
      </c>
      <c r="W21" s="132">
        <f>IF(SER_hh_fec_in!W21=0,0,11630*1000*SER_hh_fec_in!W21/SER_hh_num_in!W21)</f>
        <v>34855.168676678673</v>
      </c>
      <c r="X21" s="132">
        <f>IF(SER_hh_fec_in!X21=0,0,11630*1000*SER_hh_fec_in!X21/SER_hh_num_in!X21)</f>
        <v>46099.074898917112</v>
      </c>
      <c r="Y21" s="132">
        <f>IF(SER_hh_fec_in!Y21=0,0,11630*1000*SER_hh_fec_in!Y21/SER_hh_num_in!Y21)</f>
        <v>31877.810421248487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0</v>
      </c>
      <c r="D22" s="132">
        <f>IF(SER_hh_fec_in!D22=0,0,11630*1000*SER_hh_fec_in!D22/SER_hh_num_in!D22)</f>
        <v>0</v>
      </c>
      <c r="E22" s="132">
        <f>IF(SER_hh_fec_in!E22=0,0,11630*1000*SER_hh_fec_in!E22/SER_hh_num_in!E22)</f>
        <v>0</v>
      </c>
      <c r="F22" s="132">
        <f>IF(SER_hh_fec_in!F22=0,0,11630*1000*SER_hh_fec_in!F22/SER_hh_num_in!F22)</f>
        <v>0</v>
      </c>
      <c r="G22" s="132">
        <f>IF(SER_hh_fec_in!G22=0,0,11630*1000*SER_hh_fec_in!G22/SER_hh_num_in!G22)</f>
        <v>0</v>
      </c>
      <c r="H22" s="132">
        <f>IF(SER_hh_fec_in!H22=0,0,11630*1000*SER_hh_fec_in!H22/SER_hh_num_in!H22)</f>
        <v>0</v>
      </c>
      <c r="I22" s="132">
        <f>IF(SER_hh_fec_in!I22=0,0,11630*1000*SER_hh_fec_in!I22/SER_hh_num_in!I22)</f>
        <v>0</v>
      </c>
      <c r="J22" s="132">
        <f>IF(SER_hh_fec_in!J22=0,0,11630*1000*SER_hh_fec_in!J22/SER_hh_num_in!J22)</f>
        <v>0</v>
      </c>
      <c r="K22" s="132">
        <f>IF(SER_hh_fec_in!K22=0,0,11630*1000*SER_hh_fec_in!K22/SER_hh_num_in!K22)</f>
        <v>0</v>
      </c>
      <c r="L22" s="132">
        <f>IF(SER_hh_fec_in!L22=0,0,11630*1000*SER_hh_fec_in!L22/SER_hh_num_in!L22)</f>
        <v>0</v>
      </c>
      <c r="M22" s="132">
        <f>IF(SER_hh_fec_in!M22=0,0,11630*1000*SER_hh_fec_in!M22/SER_hh_num_in!M22)</f>
        <v>0</v>
      </c>
      <c r="N22" s="132">
        <f>IF(SER_hh_fec_in!N22=0,0,11630*1000*SER_hh_fec_in!N22/SER_hh_num_in!N22)</f>
        <v>0</v>
      </c>
      <c r="O22" s="132">
        <f>IF(SER_hh_fec_in!O22=0,0,11630*1000*SER_hh_fec_in!O22/SER_hh_num_in!O22)</f>
        <v>0</v>
      </c>
      <c r="P22" s="132">
        <f>IF(SER_hh_fec_in!P22=0,0,11630*1000*SER_hh_fec_in!P22/SER_hh_num_in!P22)</f>
        <v>0</v>
      </c>
      <c r="Q22" s="132">
        <f>IF(SER_hh_fec_in!Q22=0,0,11630*1000*SER_hh_fec_in!Q22/SER_hh_num_in!Q22)</f>
        <v>0</v>
      </c>
      <c r="R22" s="132">
        <f>IF(SER_hh_fec_in!R22=0,0,11630*1000*SER_hh_fec_in!R22/SER_hh_num_in!R22)</f>
        <v>0</v>
      </c>
      <c r="S22" s="132">
        <f>IF(SER_hh_fec_in!S22=0,0,11630*1000*SER_hh_fec_in!S22/SER_hh_num_in!S22)</f>
        <v>0</v>
      </c>
      <c r="T22" s="132">
        <f>IF(SER_hh_fec_in!T22=0,0,11630*1000*SER_hh_fec_in!T22/SER_hh_num_in!T22)</f>
        <v>0</v>
      </c>
      <c r="U22" s="132">
        <f>IF(SER_hh_fec_in!U22=0,0,11630*1000*SER_hh_fec_in!U22/SER_hh_num_in!U22)</f>
        <v>0</v>
      </c>
      <c r="V22" s="132">
        <f>IF(SER_hh_fec_in!V22=0,0,11630*1000*SER_hh_fec_in!V22/SER_hh_num_in!V22)</f>
        <v>0</v>
      </c>
      <c r="W22" s="132">
        <f>IF(SER_hh_fec_in!W22=0,0,11630*1000*SER_hh_fec_in!W22/SER_hh_num_in!W22)</f>
        <v>0</v>
      </c>
      <c r="X22" s="132">
        <f>IF(SER_hh_fec_in!X22=0,0,11630*1000*SER_hh_fec_in!X22/SER_hh_num_in!X22)</f>
        <v>0</v>
      </c>
      <c r="Y22" s="132">
        <f>IF(SER_hh_fec_in!Y22=0,0,11630*1000*SER_hh_fec_in!Y22/SER_hh_num_in!Y22)</f>
        <v>0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0</v>
      </c>
      <c r="D23" s="132">
        <f>IF(SER_hh_fec_in!D23=0,0,11630*1000*SER_hh_fec_in!D23/SER_hh_num_in!D23)</f>
        <v>0</v>
      </c>
      <c r="E23" s="132">
        <f>IF(SER_hh_fec_in!E23=0,0,11630*1000*SER_hh_fec_in!E23/SER_hh_num_in!E23)</f>
        <v>0</v>
      </c>
      <c r="F23" s="132">
        <f>IF(SER_hh_fec_in!F23=0,0,11630*1000*SER_hh_fec_in!F23/SER_hh_num_in!F23)</f>
        <v>0</v>
      </c>
      <c r="G23" s="132">
        <f>IF(SER_hh_fec_in!G23=0,0,11630*1000*SER_hh_fec_in!G23/SER_hh_num_in!G23)</f>
        <v>0</v>
      </c>
      <c r="H23" s="132">
        <f>IF(SER_hh_fec_in!H23=0,0,11630*1000*SER_hh_fec_in!H23/SER_hh_num_in!H23)</f>
        <v>0</v>
      </c>
      <c r="I23" s="132">
        <f>IF(SER_hh_fec_in!I23=0,0,11630*1000*SER_hh_fec_in!I23/SER_hh_num_in!I23)</f>
        <v>0</v>
      </c>
      <c r="J23" s="132">
        <f>IF(SER_hh_fec_in!J23=0,0,11630*1000*SER_hh_fec_in!J23/SER_hh_num_in!J23)</f>
        <v>0</v>
      </c>
      <c r="K23" s="132">
        <f>IF(SER_hh_fec_in!K23=0,0,11630*1000*SER_hh_fec_in!K23/SER_hh_num_in!K23)</f>
        <v>0</v>
      </c>
      <c r="L23" s="132">
        <f>IF(SER_hh_fec_in!L23=0,0,11630*1000*SER_hh_fec_in!L23/SER_hh_num_in!L23)</f>
        <v>0</v>
      </c>
      <c r="M23" s="132">
        <f>IF(SER_hh_fec_in!M23=0,0,11630*1000*SER_hh_fec_in!M23/SER_hh_num_in!M23)</f>
        <v>0</v>
      </c>
      <c r="N23" s="132">
        <f>IF(SER_hh_fec_in!N23=0,0,11630*1000*SER_hh_fec_in!N23/SER_hh_num_in!N23)</f>
        <v>0</v>
      </c>
      <c r="O23" s="132">
        <f>IF(SER_hh_fec_in!O23=0,0,11630*1000*SER_hh_fec_in!O23/SER_hh_num_in!O23)</f>
        <v>0</v>
      </c>
      <c r="P23" s="132">
        <f>IF(SER_hh_fec_in!P23=0,0,11630*1000*SER_hh_fec_in!P23/SER_hh_num_in!P23)</f>
        <v>0</v>
      </c>
      <c r="Q23" s="132">
        <f>IF(SER_hh_fec_in!Q23=0,0,11630*1000*SER_hh_fec_in!Q23/SER_hh_num_in!Q23)</f>
        <v>0</v>
      </c>
      <c r="R23" s="132">
        <f>IF(SER_hh_fec_in!R23=0,0,11630*1000*SER_hh_fec_in!R23/SER_hh_num_in!R23)</f>
        <v>0</v>
      </c>
      <c r="S23" s="132">
        <f>IF(SER_hh_fec_in!S23=0,0,11630*1000*SER_hh_fec_in!S23/SER_hh_num_in!S23)</f>
        <v>0</v>
      </c>
      <c r="T23" s="132">
        <f>IF(SER_hh_fec_in!T23=0,0,11630*1000*SER_hh_fec_in!T23/SER_hh_num_in!T23)</f>
        <v>0</v>
      </c>
      <c r="U23" s="132">
        <f>IF(SER_hh_fec_in!U23=0,0,11630*1000*SER_hh_fec_in!U23/SER_hh_num_in!U23)</f>
        <v>0</v>
      </c>
      <c r="V23" s="132">
        <f>IF(SER_hh_fec_in!V23=0,0,11630*1000*SER_hh_fec_in!V23/SER_hh_num_in!V23)</f>
        <v>0</v>
      </c>
      <c r="W23" s="132">
        <f>IF(SER_hh_fec_in!W23=0,0,11630*1000*SER_hh_fec_in!W23/SER_hh_num_in!W23)</f>
        <v>0</v>
      </c>
      <c r="X23" s="132">
        <f>IF(SER_hh_fec_in!X23=0,0,11630*1000*SER_hh_fec_in!X23/SER_hh_num_in!X23)</f>
        <v>0</v>
      </c>
      <c r="Y23" s="132">
        <f>IF(SER_hh_fec_in!Y23=0,0,11630*1000*SER_hh_fec_in!Y23/SER_hh_num_in!Y23)</f>
        <v>0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0</v>
      </c>
      <c r="D25" s="132">
        <f>IF(SER_hh_fec_in!D25=0,0,11630*1000*SER_hh_fec_in!D25/SER_hh_num_in!D25)</f>
        <v>0</v>
      </c>
      <c r="E25" s="132">
        <f>IF(SER_hh_fec_in!E25=0,0,11630*1000*SER_hh_fec_in!E25/SER_hh_num_in!E25)</f>
        <v>0</v>
      </c>
      <c r="F25" s="132">
        <f>IF(SER_hh_fec_in!F25=0,0,11630*1000*SER_hh_fec_in!F25/SER_hh_num_in!F25)</f>
        <v>0</v>
      </c>
      <c r="G25" s="132">
        <f>IF(SER_hh_fec_in!G25=0,0,11630*1000*SER_hh_fec_in!G25/SER_hh_num_in!G25)</f>
        <v>0</v>
      </c>
      <c r="H25" s="132">
        <f>IF(SER_hh_fec_in!H25=0,0,11630*1000*SER_hh_fec_in!H25/SER_hh_num_in!H25)</f>
        <v>0</v>
      </c>
      <c r="I25" s="132">
        <f>IF(SER_hh_fec_in!I25=0,0,11630*1000*SER_hh_fec_in!I25/SER_hh_num_in!I25)</f>
        <v>0</v>
      </c>
      <c r="J25" s="132">
        <f>IF(SER_hh_fec_in!J25=0,0,11630*1000*SER_hh_fec_in!J25/SER_hh_num_in!J25)</f>
        <v>0</v>
      </c>
      <c r="K25" s="132">
        <f>IF(SER_hh_fec_in!K25=0,0,11630*1000*SER_hh_fec_in!K25/SER_hh_num_in!K25)</f>
        <v>0</v>
      </c>
      <c r="L25" s="132">
        <f>IF(SER_hh_fec_in!L25=0,0,11630*1000*SER_hh_fec_in!L25/SER_hh_num_in!L25)</f>
        <v>0</v>
      </c>
      <c r="M25" s="132">
        <f>IF(SER_hh_fec_in!M25=0,0,11630*1000*SER_hh_fec_in!M25/SER_hh_num_in!M25)</f>
        <v>60877.473679447859</v>
      </c>
      <c r="N25" s="132">
        <f>IF(SER_hh_fec_in!N25=0,0,11630*1000*SER_hh_fec_in!N25/SER_hh_num_in!N25)</f>
        <v>43421.966135888426</v>
      </c>
      <c r="O25" s="132">
        <f>IF(SER_hh_fec_in!O25=0,0,11630*1000*SER_hh_fec_in!O25/SER_hh_num_in!O25)</f>
        <v>42971.217707604381</v>
      </c>
      <c r="P25" s="132">
        <f>IF(SER_hh_fec_in!P25=0,0,11630*1000*SER_hh_fec_in!P25/SER_hh_num_in!P25)</f>
        <v>0</v>
      </c>
      <c r="Q25" s="132">
        <f>IF(SER_hh_fec_in!Q25=0,0,11630*1000*SER_hh_fec_in!Q25/SER_hh_num_in!Q25)</f>
        <v>0</v>
      </c>
      <c r="R25" s="132">
        <f>IF(SER_hh_fec_in!R25=0,0,11630*1000*SER_hh_fec_in!R25/SER_hh_num_in!R25)</f>
        <v>0</v>
      </c>
      <c r="S25" s="132">
        <f>IF(SER_hh_fec_in!S25=0,0,11630*1000*SER_hh_fec_in!S25/SER_hh_num_in!S25)</f>
        <v>0</v>
      </c>
      <c r="T25" s="132">
        <f>IF(SER_hh_fec_in!T25=0,0,11630*1000*SER_hh_fec_in!T25/SER_hh_num_in!T25)</f>
        <v>0</v>
      </c>
      <c r="U25" s="132">
        <f>IF(SER_hh_fec_in!U25=0,0,11630*1000*SER_hh_fec_in!U25/SER_hh_num_in!U25)</f>
        <v>0</v>
      </c>
      <c r="V25" s="132">
        <f>IF(SER_hh_fec_in!V25=0,0,11630*1000*SER_hh_fec_in!V25/SER_hh_num_in!V25)</f>
        <v>0</v>
      </c>
      <c r="W25" s="132">
        <f>IF(SER_hh_fec_in!W25=0,0,11630*1000*SER_hh_fec_in!W25/SER_hh_num_in!W25)</f>
        <v>0</v>
      </c>
      <c r="X25" s="132">
        <f>IF(SER_hh_fec_in!X25=0,0,11630*1000*SER_hh_fec_in!X25/SER_hh_num_in!X25)</f>
        <v>0</v>
      </c>
      <c r="Y25" s="132">
        <f>IF(SER_hh_fec_in!Y25=0,0,11630*1000*SER_hh_fec_in!Y25/SER_hh_num_in!Y25)</f>
        <v>0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48033.211996249956</v>
      </c>
      <c r="D26" s="65">
        <f>IF(SER_hh_fec_in!D26=0,0,11630*1000*SER_hh_fec_in!D26/SER_hh_num_in!D26)</f>
        <v>49031.182290895573</v>
      </c>
      <c r="E26" s="65">
        <f>IF(SER_hh_fec_in!E26=0,0,11630*1000*SER_hh_fec_in!E26/SER_hh_num_in!E26)</f>
        <v>49515.159360151112</v>
      </c>
      <c r="F26" s="65">
        <f>IF(SER_hh_fec_in!F26=0,0,11630*1000*SER_hh_fec_in!F26/SER_hh_num_in!F26)</f>
        <v>50868.450905943355</v>
      </c>
      <c r="G26" s="65">
        <f>IF(SER_hh_fec_in!G26=0,0,11630*1000*SER_hh_fec_in!G26/SER_hh_num_in!G26)</f>
        <v>50247.808716133768</v>
      </c>
      <c r="H26" s="65">
        <f>IF(SER_hh_fec_in!H26=0,0,11630*1000*SER_hh_fec_in!H26/SER_hh_num_in!H26)</f>
        <v>46041.419598917288</v>
      </c>
      <c r="I26" s="65">
        <f>IF(SER_hh_fec_in!I26=0,0,11630*1000*SER_hh_fec_in!I26/SER_hh_num_in!I26)</f>
        <v>43435.515905926106</v>
      </c>
      <c r="J26" s="65">
        <f>IF(SER_hh_fec_in!J26=0,0,11630*1000*SER_hh_fec_in!J26/SER_hh_num_in!J26)</f>
        <v>42462.692443061627</v>
      </c>
      <c r="K26" s="65">
        <f>IF(SER_hh_fec_in!K26=0,0,11630*1000*SER_hh_fec_in!K26/SER_hh_num_in!K26)</f>
        <v>43036.632540542778</v>
      </c>
      <c r="L26" s="65">
        <f>IF(SER_hh_fec_in!L26=0,0,11630*1000*SER_hh_fec_in!L26/SER_hh_num_in!L26)</f>
        <v>47293.004332025834</v>
      </c>
      <c r="M26" s="65">
        <f>IF(SER_hh_fec_in!M26=0,0,11630*1000*SER_hh_fec_in!M26/SER_hh_num_in!M26)</f>
        <v>46399.74338945932</v>
      </c>
      <c r="N26" s="65">
        <f>IF(SER_hh_fec_in!N26=0,0,11630*1000*SER_hh_fec_in!N26/SER_hh_num_in!N26)</f>
        <v>43963.96706746491</v>
      </c>
      <c r="O26" s="65">
        <f>IF(SER_hh_fec_in!O26=0,0,11630*1000*SER_hh_fec_in!O26/SER_hh_num_in!O26)</f>
        <v>43281.101914551342</v>
      </c>
      <c r="P26" s="65">
        <f>IF(SER_hh_fec_in!P26=0,0,11630*1000*SER_hh_fec_in!P26/SER_hh_num_in!P26)</f>
        <v>40936.827098398091</v>
      </c>
      <c r="Q26" s="65">
        <f>IF(SER_hh_fec_in!Q26=0,0,11630*1000*SER_hh_fec_in!Q26/SER_hh_num_in!Q26)</f>
        <v>38921.972160255464</v>
      </c>
      <c r="R26" s="65">
        <f>IF(SER_hh_fec_in!R26=0,0,11630*1000*SER_hh_fec_in!R26/SER_hh_num_in!R26)</f>
        <v>37769.239720529571</v>
      </c>
      <c r="S26" s="65">
        <f>IF(SER_hh_fec_in!S26=0,0,11630*1000*SER_hh_fec_in!S26/SER_hh_num_in!S26)</f>
        <v>36317.779293088919</v>
      </c>
      <c r="T26" s="65">
        <f>IF(SER_hh_fec_in!T26=0,0,11630*1000*SER_hh_fec_in!T26/SER_hh_num_in!T26)</f>
        <v>35075.361881792713</v>
      </c>
      <c r="U26" s="65">
        <f>IF(SER_hh_fec_in!U26=0,0,11630*1000*SER_hh_fec_in!U26/SER_hh_num_in!U26)</f>
        <v>34122.162036662834</v>
      </c>
      <c r="V26" s="65">
        <f>IF(SER_hh_fec_in!V26=0,0,11630*1000*SER_hh_fec_in!V26/SER_hh_num_in!V26)</f>
        <v>31792.766332271272</v>
      </c>
      <c r="W26" s="65">
        <f>IF(SER_hh_fec_in!W26=0,0,11630*1000*SER_hh_fec_in!W26/SER_hh_num_in!W26)</f>
        <v>31151.074646443114</v>
      </c>
      <c r="X26" s="65">
        <f>IF(SER_hh_fec_in!X26=0,0,11630*1000*SER_hh_fec_in!X26/SER_hh_num_in!X26)</f>
        <v>30120.41461712297</v>
      </c>
      <c r="Y26" s="65">
        <f>IF(SER_hh_fec_in!Y26=0,0,11630*1000*SER_hh_fec_in!Y26/SER_hh_num_in!Y26)</f>
        <v>31180.975600936028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0</v>
      </c>
      <c r="H27" s="145">
        <f>IF(SER_hh_fec_in!H27=0,0,11630*1000*SER_hh_fec_in!H27/SER_hh_num_in!H19)</f>
        <v>0</v>
      </c>
      <c r="I27" s="145">
        <f>IF(SER_hh_fec_in!I27=0,0,11630*1000*SER_hh_fec_in!I27/SER_hh_num_in!I19)</f>
        <v>0</v>
      </c>
      <c r="J27" s="145">
        <f>IF(SER_hh_fec_in!J27=0,0,11630*1000*SER_hh_fec_in!J27/SER_hh_num_in!J19)</f>
        <v>0</v>
      </c>
      <c r="K27" s="145">
        <f>IF(SER_hh_fec_in!K27=0,0,11630*1000*SER_hh_fec_in!K27/SER_hh_num_in!K19)</f>
        <v>0</v>
      </c>
      <c r="L27" s="145">
        <f>IF(SER_hh_fec_in!L27=0,0,11630*1000*SER_hh_fec_in!L27/SER_hh_num_in!L19)</f>
        <v>0</v>
      </c>
      <c r="M27" s="145">
        <f>IF(SER_hh_fec_in!M27=0,0,11630*1000*SER_hh_fec_in!M27/SER_hh_num_in!M19)</f>
        <v>0</v>
      </c>
      <c r="N27" s="145">
        <f>IF(SER_hh_fec_in!N27=0,0,11630*1000*SER_hh_fec_in!N27/SER_hh_num_in!N19)</f>
        <v>0</v>
      </c>
      <c r="O27" s="145">
        <f>IF(SER_hh_fec_in!O27=0,0,11630*1000*SER_hh_fec_in!O27/SER_hh_num_in!O19)</f>
        <v>0</v>
      </c>
      <c r="P27" s="145">
        <f>IF(SER_hh_fec_in!P27=0,0,11630*1000*SER_hh_fec_in!P27/SER_hh_num_in!P19)</f>
        <v>0</v>
      </c>
      <c r="Q27" s="145">
        <f>IF(SER_hh_fec_in!Q27=0,0,11630*1000*SER_hh_fec_in!Q27/SER_hh_num_in!Q19)</f>
        <v>0</v>
      </c>
      <c r="R27" s="145">
        <f>IF(SER_hh_fec_in!R27=0,0,11630*1000*SER_hh_fec_in!R27/SER_hh_num_in!R19)</f>
        <v>0</v>
      </c>
      <c r="S27" s="145">
        <f>IF(SER_hh_fec_in!S27=0,0,11630*1000*SER_hh_fec_in!S27/SER_hh_num_in!S19)</f>
        <v>0</v>
      </c>
      <c r="T27" s="145">
        <f>IF(SER_hh_fec_in!T27=0,0,11630*1000*SER_hh_fec_in!T27/SER_hh_num_in!T19)</f>
        <v>0</v>
      </c>
      <c r="U27" s="145">
        <f>IF(SER_hh_fec_in!U27=0,0,11630*1000*SER_hh_fec_in!U27/SER_hh_num_in!U19)</f>
        <v>0</v>
      </c>
      <c r="V27" s="145">
        <f>IF(SER_hh_fec_in!V27=0,0,11630*1000*SER_hh_fec_in!V27/SER_hh_num_in!V19)</f>
        <v>0</v>
      </c>
      <c r="W27" s="145">
        <f>IF(SER_hh_fec_in!W27=0,0,11630*1000*SER_hh_fec_in!W27/SER_hh_num_in!W19)</f>
        <v>0</v>
      </c>
      <c r="X27" s="145">
        <f>IF(SER_hh_fec_in!X27=0,0,11630*1000*SER_hh_fec_in!X27/SER_hh_num_in!X19)</f>
        <v>0</v>
      </c>
      <c r="Y27" s="145">
        <f>IF(SER_hh_fec_in!Y27=0,0,11630*1000*SER_hh_fec_in!Y27/SER_hh_num_in!Y19)</f>
        <v>0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0</v>
      </c>
      <c r="H28" s="146">
        <f>IF(SER_hh_fec_in!H27=0,0,11630*1000*SER_hh_fec_in!H27/SER_hh_num_in!H27)</f>
        <v>0</v>
      </c>
      <c r="I28" s="146">
        <f>IF(SER_hh_fec_in!I27=0,0,11630*1000*SER_hh_fec_in!I27/SER_hh_num_in!I27)</f>
        <v>0</v>
      </c>
      <c r="J28" s="146">
        <f>IF(SER_hh_fec_in!J27=0,0,11630*1000*SER_hh_fec_in!J27/SER_hh_num_in!J27)</f>
        <v>0</v>
      </c>
      <c r="K28" s="146">
        <f>IF(SER_hh_fec_in!K27=0,0,11630*1000*SER_hh_fec_in!K27/SER_hh_num_in!K27)</f>
        <v>0</v>
      </c>
      <c r="L28" s="146">
        <f>IF(SER_hh_fec_in!L27=0,0,11630*1000*SER_hh_fec_in!L27/SER_hh_num_in!L27)</f>
        <v>0</v>
      </c>
      <c r="M28" s="146">
        <f>IF(SER_hh_fec_in!M27=0,0,11630*1000*SER_hh_fec_in!M27/SER_hh_num_in!M27)</f>
        <v>0</v>
      </c>
      <c r="N28" s="146">
        <f>IF(SER_hh_fec_in!N27=0,0,11630*1000*SER_hh_fec_in!N27/SER_hh_num_in!N27)</f>
        <v>0</v>
      </c>
      <c r="O28" s="146">
        <f>IF(SER_hh_fec_in!O27=0,0,11630*1000*SER_hh_fec_in!O27/SER_hh_num_in!O27)</f>
        <v>0</v>
      </c>
      <c r="P28" s="146">
        <f>IF(SER_hh_fec_in!P27=0,0,11630*1000*SER_hh_fec_in!P27/SER_hh_num_in!P27)</f>
        <v>0</v>
      </c>
      <c r="Q28" s="146">
        <f>IF(SER_hh_fec_in!Q27=0,0,11630*1000*SER_hh_fec_in!Q27/SER_hh_num_in!Q27)</f>
        <v>0</v>
      </c>
      <c r="R28" s="146">
        <f>IF(SER_hh_fec_in!R27=0,0,11630*1000*SER_hh_fec_in!R27/SER_hh_num_in!R27)</f>
        <v>0</v>
      </c>
      <c r="S28" s="146">
        <f>IF(SER_hh_fec_in!S27=0,0,11630*1000*SER_hh_fec_in!S27/SER_hh_num_in!S27)</f>
        <v>0</v>
      </c>
      <c r="T28" s="146">
        <f>IF(SER_hh_fec_in!T27=0,0,11630*1000*SER_hh_fec_in!T27/SER_hh_num_in!T27)</f>
        <v>0</v>
      </c>
      <c r="U28" s="146">
        <f>IF(SER_hh_fec_in!U27=0,0,11630*1000*SER_hh_fec_in!U27/SER_hh_num_in!U27)</f>
        <v>0</v>
      </c>
      <c r="V28" s="146">
        <f>IF(SER_hh_fec_in!V27=0,0,11630*1000*SER_hh_fec_in!V27/SER_hh_num_in!V27)</f>
        <v>0</v>
      </c>
      <c r="W28" s="146">
        <f>IF(SER_hh_fec_in!W27=0,0,11630*1000*SER_hh_fec_in!W27/SER_hh_num_in!W27)</f>
        <v>0</v>
      </c>
      <c r="X28" s="146">
        <f>IF(SER_hh_fec_in!X27=0,0,11630*1000*SER_hh_fec_in!X27/SER_hh_num_in!X27)</f>
        <v>0</v>
      </c>
      <c r="Y28" s="146">
        <f>IF(SER_hh_fec_in!Y27=0,0,11630*1000*SER_hh_fec_in!Y27/SER_hh_num_in!Y27)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57412.962346071086</v>
      </c>
      <c r="D29" s="130">
        <f>IF(SER_hh_fec_in!D29=0,0,11630*1000*SER_hh_fec_in!D29/SER_hh_num_in!D29)</f>
        <v>59502.503758614199</v>
      </c>
      <c r="E29" s="130">
        <f>IF(SER_hh_fec_in!E29=0,0,11630*1000*SER_hh_fec_in!E29/SER_hh_num_in!E29)</f>
        <v>60378.149065805774</v>
      </c>
      <c r="F29" s="130">
        <f>IF(SER_hh_fec_in!F29=0,0,11630*1000*SER_hh_fec_in!F29/SER_hh_num_in!F29)</f>
        <v>61961.738849325367</v>
      </c>
      <c r="G29" s="130">
        <f>IF(SER_hh_fec_in!G29=0,0,11630*1000*SER_hh_fec_in!G29/SER_hh_num_in!G29)</f>
        <v>59897.448187359136</v>
      </c>
      <c r="H29" s="130">
        <f>IF(SER_hh_fec_in!H29=0,0,11630*1000*SER_hh_fec_in!H29/SER_hh_num_in!H29)</f>
        <v>64187.469118085923</v>
      </c>
      <c r="I29" s="130">
        <f>IF(SER_hh_fec_in!I29=0,0,11630*1000*SER_hh_fec_in!I29/SER_hh_num_in!I29)</f>
        <v>61908.811863895586</v>
      </c>
      <c r="J29" s="130">
        <f>IF(SER_hh_fec_in!J29=0,0,11630*1000*SER_hh_fec_in!J29/SER_hh_num_in!J29)</f>
        <v>61700.730678468033</v>
      </c>
      <c r="K29" s="130">
        <f>IF(SER_hh_fec_in!K29=0,0,11630*1000*SER_hh_fec_in!K29/SER_hh_num_in!K29)</f>
        <v>68732.691435710149</v>
      </c>
      <c r="L29" s="130">
        <f>IF(SER_hh_fec_in!L29=0,0,11630*1000*SER_hh_fec_in!L29/SER_hh_num_in!L29)</f>
        <v>59493.665233004853</v>
      </c>
      <c r="M29" s="130">
        <f>IF(SER_hh_fec_in!M29=0,0,11630*1000*SER_hh_fec_in!M29/SER_hh_num_in!M29)</f>
        <v>60099.491307953802</v>
      </c>
      <c r="N29" s="130">
        <f>IF(SER_hh_fec_in!N29=0,0,11630*1000*SER_hh_fec_in!N29/SER_hh_num_in!N29)</f>
        <v>56431.458702691503</v>
      </c>
      <c r="O29" s="130">
        <f>IF(SER_hh_fec_in!O29=0,0,11630*1000*SER_hh_fec_in!O29/SER_hh_num_in!O29)</f>
        <v>57562.007445646101</v>
      </c>
      <c r="P29" s="130">
        <f>IF(SER_hh_fec_in!P29=0,0,11630*1000*SER_hh_fec_in!P29/SER_hh_num_in!P29)</f>
        <v>57497.591199565053</v>
      </c>
      <c r="Q29" s="130">
        <f>IF(SER_hh_fec_in!Q29=0,0,11630*1000*SER_hh_fec_in!Q29/SER_hh_num_in!Q29)</f>
        <v>59414.676881412153</v>
      </c>
      <c r="R29" s="130">
        <f>IF(SER_hh_fec_in!R29=0,0,11630*1000*SER_hh_fec_in!R29/SER_hh_num_in!R29)</f>
        <v>57625.219866201682</v>
      </c>
      <c r="S29" s="130">
        <f>IF(SER_hh_fec_in!S29=0,0,11630*1000*SER_hh_fec_in!S29/SER_hh_num_in!S29)</f>
        <v>59628.338092098471</v>
      </c>
      <c r="T29" s="130">
        <f>IF(SER_hh_fec_in!T29=0,0,11630*1000*SER_hh_fec_in!T29/SER_hh_num_in!T29)</f>
        <v>62573.266251312874</v>
      </c>
      <c r="U29" s="130">
        <f>IF(SER_hh_fec_in!U29=0,0,11630*1000*SER_hh_fec_in!U29/SER_hh_num_in!U29)</f>
        <v>57236.329810731826</v>
      </c>
      <c r="V29" s="130">
        <f>IF(SER_hh_fec_in!V29=0,0,11630*1000*SER_hh_fec_in!V29/SER_hh_num_in!V29)</f>
        <v>49824.454521028085</v>
      </c>
      <c r="W29" s="130">
        <f>IF(SER_hh_fec_in!W29=0,0,11630*1000*SER_hh_fec_in!W29/SER_hh_num_in!W29)</f>
        <v>51094.248862774213</v>
      </c>
      <c r="X29" s="130">
        <f>IF(SER_hh_fec_in!X29=0,0,11630*1000*SER_hh_fec_in!X29/SER_hh_num_in!X29)</f>
        <v>53202.190931979974</v>
      </c>
      <c r="Y29" s="130">
        <f>IF(SER_hh_fec_in!Y29=0,0,11630*1000*SER_hh_fec_in!Y29/SER_hh_num_in!Y29)</f>
        <v>55481.878380912356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70658.699177106726</v>
      </c>
      <c r="D30" s="132">
        <f>IF(SER_hh_fec_in!D30=0,0,11630*1000*SER_hh_fec_in!D30/SER_hh_num_in!D30)</f>
        <v>83379.628556540731</v>
      </c>
      <c r="E30" s="132">
        <f>IF(SER_hh_fec_in!E30=0,0,11630*1000*SER_hh_fec_in!E30/SER_hh_num_in!E30)</f>
        <v>79942.839434575493</v>
      </c>
      <c r="F30" s="132">
        <f>IF(SER_hh_fec_in!F30=0,0,11630*1000*SER_hh_fec_in!F30/SER_hh_num_in!F30)</f>
        <v>69627.699718917909</v>
      </c>
      <c r="G30" s="132">
        <f>IF(SER_hh_fec_in!G30=0,0,11630*1000*SER_hh_fec_in!G30/SER_hh_num_in!G30)</f>
        <v>60946.686917306295</v>
      </c>
      <c r="H30" s="132">
        <f>IF(SER_hh_fec_in!H30=0,0,11630*1000*SER_hh_fec_in!H30/SER_hh_num_in!H30)</f>
        <v>77874.318567799128</v>
      </c>
      <c r="I30" s="132">
        <f>IF(SER_hh_fec_in!I30=0,0,11630*1000*SER_hh_fec_in!I30/SER_hh_num_in!I30)</f>
        <v>67301.253072032108</v>
      </c>
      <c r="J30" s="132">
        <f>IF(SER_hh_fec_in!J30=0,0,11630*1000*SER_hh_fec_in!J30/SER_hh_num_in!J30)</f>
        <v>74238.876998899505</v>
      </c>
      <c r="K30" s="132">
        <f>IF(SER_hh_fec_in!K30=0,0,11630*1000*SER_hh_fec_in!K30/SER_hh_num_in!K30)</f>
        <v>91678.763427217229</v>
      </c>
      <c r="L30" s="132">
        <f>IF(SER_hh_fec_in!L30=0,0,11630*1000*SER_hh_fec_in!L30/SER_hh_num_in!L30)</f>
        <v>69409.725706037949</v>
      </c>
      <c r="M30" s="132">
        <f>IF(SER_hh_fec_in!M30=0,0,11630*1000*SER_hh_fec_in!M30/SER_hh_num_in!M30)</f>
        <v>77819.36771843028</v>
      </c>
      <c r="N30" s="132">
        <f>IF(SER_hh_fec_in!N30=0,0,11630*1000*SER_hh_fec_in!N30/SER_hh_num_in!N30)</f>
        <v>75227.110473801236</v>
      </c>
      <c r="O30" s="132">
        <f>IF(SER_hh_fec_in!O30=0,0,11630*1000*SER_hh_fec_in!O30/SER_hh_num_in!O30)</f>
        <v>72945.587966482897</v>
      </c>
      <c r="P30" s="132">
        <f>IF(SER_hh_fec_in!P30=0,0,11630*1000*SER_hh_fec_in!P30/SER_hh_num_in!P30)</f>
        <v>72162.863404888689</v>
      </c>
      <c r="Q30" s="132">
        <f>IF(SER_hh_fec_in!Q30=0,0,11630*1000*SER_hh_fec_in!Q30/SER_hh_num_in!Q30)</f>
        <v>79486.231306880436</v>
      </c>
      <c r="R30" s="132">
        <f>IF(SER_hh_fec_in!R30=0,0,11630*1000*SER_hh_fec_in!R30/SER_hh_num_in!R30)</f>
        <v>64285.222986729052</v>
      </c>
      <c r="S30" s="132">
        <f>IF(SER_hh_fec_in!S30=0,0,11630*1000*SER_hh_fec_in!S30/SER_hh_num_in!S30)</f>
        <v>68462.935335966875</v>
      </c>
      <c r="T30" s="132">
        <f>IF(SER_hh_fec_in!T30=0,0,11630*1000*SER_hh_fec_in!T30/SER_hh_num_in!T30)</f>
        <v>79059.184291586585</v>
      </c>
      <c r="U30" s="132">
        <f>IF(SER_hh_fec_in!U30=0,0,11630*1000*SER_hh_fec_in!U30/SER_hh_num_in!U30)</f>
        <v>79943.492889218745</v>
      </c>
      <c r="V30" s="132">
        <f>IF(SER_hh_fec_in!V30=0,0,11630*1000*SER_hh_fec_in!V30/SER_hh_num_in!V30)</f>
        <v>51023.931890424225</v>
      </c>
      <c r="W30" s="132">
        <f>IF(SER_hh_fec_in!W30=0,0,11630*1000*SER_hh_fec_in!W30/SER_hh_num_in!W30)</f>
        <v>54493.316780260604</v>
      </c>
      <c r="X30" s="132">
        <f>IF(SER_hh_fec_in!X30=0,0,11630*1000*SER_hh_fec_in!X30/SER_hh_num_in!X30)</f>
        <v>66495.16158051134</v>
      </c>
      <c r="Y30" s="132">
        <f>IF(SER_hh_fec_in!Y30=0,0,11630*1000*SER_hh_fec_in!Y30/SER_hh_num_in!Y30)</f>
        <v>72513.870442680971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0</v>
      </c>
      <c r="D31" s="132">
        <f>IF(SER_hh_fec_in!D31=0,0,11630*1000*SER_hh_fec_in!D31/SER_hh_num_in!D31)</f>
        <v>0</v>
      </c>
      <c r="E31" s="132">
        <f>IF(SER_hh_fec_in!E31=0,0,11630*1000*SER_hh_fec_in!E31/SER_hh_num_in!E31)</f>
        <v>0</v>
      </c>
      <c r="F31" s="132">
        <f>IF(SER_hh_fec_in!F31=0,0,11630*1000*SER_hh_fec_in!F31/SER_hh_num_in!F31)</f>
        <v>0</v>
      </c>
      <c r="G31" s="132">
        <f>IF(SER_hh_fec_in!G31=0,0,11630*1000*SER_hh_fec_in!G31/SER_hh_num_in!G31)</f>
        <v>0</v>
      </c>
      <c r="H31" s="132">
        <f>IF(SER_hh_fec_in!H31=0,0,11630*1000*SER_hh_fec_in!H31/SER_hh_num_in!H31)</f>
        <v>0</v>
      </c>
      <c r="I31" s="132">
        <f>IF(SER_hh_fec_in!I31=0,0,11630*1000*SER_hh_fec_in!I31/SER_hh_num_in!I31)</f>
        <v>0</v>
      </c>
      <c r="J31" s="132">
        <f>IF(SER_hh_fec_in!J31=0,0,11630*1000*SER_hh_fec_in!J31/SER_hh_num_in!J31)</f>
        <v>0</v>
      </c>
      <c r="K31" s="132">
        <f>IF(SER_hh_fec_in!K31=0,0,11630*1000*SER_hh_fec_in!K31/SER_hh_num_in!K31)</f>
        <v>0</v>
      </c>
      <c r="L31" s="132">
        <f>IF(SER_hh_fec_in!L31=0,0,11630*1000*SER_hh_fec_in!L31/SER_hh_num_in!L31)</f>
        <v>0</v>
      </c>
      <c r="M31" s="132">
        <f>IF(SER_hh_fec_in!M31=0,0,11630*1000*SER_hh_fec_in!M31/SER_hh_num_in!M31)</f>
        <v>0</v>
      </c>
      <c r="N31" s="132">
        <f>IF(SER_hh_fec_in!N31=0,0,11630*1000*SER_hh_fec_in!N31/SER_hh_num_in!N31)</f>
        <v>0</v>
      </c>
      <c r="O31" s="132">
        <f>IF(SER_hh_fec_in!O31=0,0,11630*1000*SER_hh_fec_in!O31/SER_hh_num_in!O31)</f>
        <v>0</v>
      </c>
      <c r="P31" s="132">
        <f>IF(SER_hh_fec_in!P31=0,0,11630*1000*SER_hh_fec_in!P31/SER_hh_num_in!P31)</f>
        <v>0</v>
      </c>
      <c r="Q31" s="132">
        <f>IF(SER_hh_fec_in!Q31=0,0,11630*1000*SER_hh_fec_in!Q31/SER_hh_num_in!Q31)</f>
        <v>0</v>
      </c>
      <c r="R31" s="132">
        <f>IF(SER_hh_fec_in!R31=0,0,11630*1000*SER_hh_fec_in!R31/SER_hh_num_in!R31)</f>
        <v>0</v>
      </c>
      <c r="S31" s="132">
        <f>IF(SER_hh_fec_in!S31=0,0,11630*1000*SER_hh_fec_in!S31/SER_hh_num_in!S31)</f>
        <v>0</v>
      </c>
      <c r="T31" s="132">
        <f>IF(SER_hh_fec_in!T31=0,0,11630*1000*SER_hh_fec_in!T31/SER_hh_num_in!T31)</f>
        <v>0</v>
      </c>
      <c r="U31" s="132">
        <f>IF(SER_hh_fec_in!U31=0,0,11630*1000*SER_hh_fec_in!U31/SER_hh_num_in!U31)</f>
        <v>0</v>
      </c>
      <c r="V31" s="132">
        <f>IF(SER_hh_fec_in!V31=0,0,11630*1000*SER_hh_fec_in!V31/SER_hh_num_in!V31)</f>
        <v>0</v>
      </c>
      <c r="W31" s="132">
        <f>IF(SER_hh_fec_in!W31=0,0,11630*1000*SER_hh_fec_in!W31/SER_hh_num_in!W31)</f>
        <v>0</v>
      </c>
      <c r="X31" s="132">
        <f>IF(SER_hh_fec_in!X31=0,0,11630*1000*SER_hh_fec_in!X31/SER_hh_num_in!X31)</f>
        <v>0</v>
      </c>
      <c r="Y31" s="132">
        <f>IF(SER_hh_fec_in!Y31=0,0,11630*1000*SER_hh_fec_in!Y31/SER_hh_num_in!Y31)</f>
        <v>0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56635.322256029322</v>
      </c>
      <c r="D33" s="68">
        <f>IF(SER_hh_fec_in!D33=0,0,11630*1000*SER_hh_fec_in!D33/SER_hh_num_in!D33)</f>
        <v>57554.253015501876</v>
      </c>
      <c r="E33" s="68">
        <f>IF(SER_hh_fec_in!E33=0,0,11630*1000*SER_hh_fec_in!E33/SER_hh_num_in!E33)</f>
        <v>59239.104847884548</v>
      </c>
      <c r="F33" s="68">
        <f>IF(SER_hh_fec_in!F33=0,0,11630*1000*SER_hh_fec_in!F33/SER_hh_num_in!F33)</f>
        <v>61076.385992318093</v>
      </c>
      <c r="G33" s="68">
        <f>IF(SER_hh_fec_in!G33=0,0,11630*1000*SER_hh_fec_in!G33/SER_hh_num_in!G33)</f>
        <v>59720.396210540217</v>
      </c>
      <c r="H33" s="68">
        <f>IF(SER_hh_fec_in!H33=0,0,11630*1000*SER_hh_fec_in!H33/SER_hh_num_in!H33)</f>
        <v>58273.257043482125</v>
      </c>
      <c r="I33" s="68">
        <f>IF(SER_hh_fec_in!I33=0,0,11630*1000*SER_hh_fec_in!I33/SER_hh_num_in!I33)</f>
        <v>58663.332206544903</v>
      </c>
      <c r="J33" s="68">
        <f>IF(SER_hh_fec_in!J33=0,0,11630*1000*SER_hh_fec_in!J33/SER_hh_num_in!J33)</f>
        <v>55540.271111079113</v>
      </c>
      <c r="K33" s="68">
        <f>IF(SER_hh_fec_in!K33=0,0,11630*1000*SER_hh_fec_in!K33/SER_hh_num_in!K33)</f>
        <v>52273.759086424048</v>
      </c>
      <c r="L33" s="68">
        <f>IF(SER_hh_fec_in!L33=0,0,11630*1000*SER_hh_fec_in!L33/SER_hh_num_in!L33)</f>
        <v>58234.286931359129</v>
      </c>
      <c r="M33" s="68">
        <f>IF(SER_hh_fec_in!M33=0,0,11630*1000*SER_hh_fec_in!M33/SER_hh_num_in!M33)</f>
        <v>56198.140424707759</v>
      </c>
      <c r="N33" s="68">
        <f>IF(SER_hh_fec_in!N33=0,0,11630*1000*SER_hh_fec_in!N33/SER_hh_num_in!N33)</f>
        <v>55194.429331861807</v>
      </c>
      <c r="O33" s="68">
        <f>IF(SER_hh_fec_in!O33=0,0,11630*1000*SER_hh_fec_in!O33/SER_hh_num_in!O33)</f>
        <v>54831.380277416945</v>
      </c>
      <c r="P33" s="68">
        <f>IF(SER_hh_fec_in!P33=0,0,11630*1000*SER_hh_fec_in!P33/SER_hh_num_in!P33)</f>
        <v>55036.249025982899</v>
      </c>
      <c r="Q33" s="68">
        <f>IF(SER_hh_fec_in!Q33=0,0,11630*1000*SER_hh_fec_in!Q33/SER_hh_num_in!Q33)</f>
        <v>52858.976835273461</v>
      </c>
      <c r="R33" s="68">
        <f>IF(SER_hh_fec_in!R33=0,0,11630*1000*SER_hh_fec_in!R33/SER_hh_num_in!R33)</f>
        <v>55183.740563855361</v>
      </c>
      <c r="S33" s="68">
        <f>IF(SER_hh_fec_in!S33=0,0,11630*1000*SER_hh_fec_in!S33/SER_hh_num_in!S33)</f>
        <v>52259.139960825698</v>
      </c>
      <c r="T33" s="68">
        <f>IF(SER_hh_fec_in!T33=0,0,11630*1000*SER_hh_fec_in!T33/SER_hh_num_in!T33)</f>
        <v>48643.029464087987</v>
      </c>
      <c r="U33" s="68">
        <f>IF(SER_hh_fec_in!U33=0,0,11630*1000*SER_hh_fec_in!U33/SER_hh_num_in!U33)</f>
        <v>47581.065740884143</v>
      </c>
      <c r="V33" s="68">
        <f>IF(SER_hh_fec_in!V33=0,0,11630*1000*SER_hh_fec_in!V33/SER_hh_num_in!V33)</f>
        <v>49313.796697317513</v>
      </c>
      <c r="W33" s="68">
        <f>IF(SER_hh_fec_in!W33=0,0,11630*1000*SER_hh_fec_in!W33/SER_hh_num_in!W33)</f>
        <v>49965.612842150585</v>
      </c>
      <c r="X33" s="68">
        <f>IF(SER_hh_fec_in!X33=0,0,11630*1000*SER_hh_fec_in!X33/SER_hh_num_in!X33)</f>
        <v>47193.607108030817</v>
      </c>
      <c r="Y33" s="68">
        <f>IF(SER_hh_fec_in!Y33=0,0,11630*1000*SER_hh_fec_in!Y33/SER_hh_num_in!Y33)</f>
        <v>47044.076557600238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208011.33260663462</v>
      </c>
      <c r="D3" s="125">
        <f>IF(SER_hh_tes_in!D3=0,0,11630*1000*SER_hh_tes_in!D3/SER_hh_num_in!D3)</f>
        <v>202638.73950228098</v>
      </c>
      <c r="E3" s="125">
        <f>IF(SER_hh_tes_in!E3=0,0,11630*1000*SER_hh_tes_in!E3/SER_hh_num_in!E3)</f>
        <v>240950.97690850229</v>
      </c>
      <c r="F3" s="125">
        <f>IF(SER_hh_tes_in!F3=0,0,11630*1000*SER_hh_tes_in!F3/SER_hh_num_in!F3)</f>
        <v>196170.65273863453</v>
      </c>
      <c r="G3" s="125">
        <f>IF(SER_hh_tes_in!G3=0,0,11630*1000*SER_hh_tes_in!G3/SER_hh_num_in!G3)</f>
        <v>228469.35172566058</v>
      </c>
      <c r="H3" s="125">
        <f>IF(SER_hh_tes_in!H3=0,0,11630*1000*SER_hh_tes_in!H3/SER_hh_num_in!H3)</f>
        <v>203144.54859282562</v>
      </c>
      <c r="I3" s="125">
        <f>IF(SER_hh_tes_in!I3=0,0,11630*1000*SER_hh_tes_in!I3/SER_hh_num_in!I3)</f>
        <v>203889.40111620192</v>
      </c>
      <c r="J3" s="125">
        <f>IF(SER_hh_tes_in!J3=0,0,11630*1000*SER_hh_tes_in!J3/SER_hh_num_in!J3)</f>
        <v>187932.17446762929</v>
      </c>
      <c r="K3" s="125">
        <f>IF(SER_hh_tes_in!K3=0,0,11630*1000*SER_hh_tes_in!K3/SER_hh_num_in!K3)</f>
        <v>171283.43983912509</v>
      </c>
      <c r="L3" s="125">
        <f>IF(SER_hh_tes_in!L3=0,0,11630*1000*SER_hh_tes_in!L3/SER_hh_num_in!L3)</f>
        <v>211953.17882316382</v>
      </c>
      <c r="M3" s="125">
        <f>IF(SER_hh_tes_in!M3=0,0,11630*1000*SER_hh_tes_in!M3/SER_hh_num_in!M3)</f>
        <v>208045.98173233069</v>
      </c>
      <c r="N3" s="125">
        <f>IF(SER_hh_tes_in!N3=0,0,11630*1000*SER_hh_tes_in!N3/SER_hh_num_in!N3)</f>
        <v>245447.00987527322</v>
      </c>
      <c r="O3" s="125">
        <f>IF(SER_hh_tes_in!O3=0,0,11630*1000*SER_hh_tes_in!O3/SER_hh_num_in!O3)</f>
        <v>228203.75160084738</v>
      </c>
      <c r="P3" s="125">
        <f>IF(SER_hh_tes_in!P3=0,0,11630*1000*SER_hh_tes_in!P3/SER_hh_num_in!P3)</f>
        <v>231950.58290696729</v>
      </c>
      <c r="Q3" s="125">
        <f>IF(SER_hh_tes_in!Q3=0,0,11630*1000*SER_hh_tes_in!Q3/SER_hh_num_in!Q3)</f>
        <v>242007.54562720738</v>
      </c>
      <c r="R3" s="125">
        <f>IF(SER_hh_tes_in!R3=0,0,11630*1000*SER_hh_tes_in!R3/SER_hh_num_in!R3)</f>
        <v>211837.6388114983</v>
      </c>
      <c r="S3" s="125">
        <f>IF(SER_hh_tes_in!S3=0,0,11630*1000*SER_hh_tes_in!S3/SER_hh_num_in!S3)</f>
        <v>218980.27962045645</v>
      </c>
      <c r="T3" s="125">
        <f>IF(SER_hh_tes_in!T3=0,0,11630*1000*SER_hh_tes_in!T3/SER_hh_num_in!T3)</f>
        <v>198278.78494892654</v>
      </c>
      <c r="U3" s="125">
        <f>IF(SER_hh_tes_in!U3=0,0,11630*1000*SER_hh_tes_in!U3/SER_hh_num_in!U3)</f>
        <v>201841.78484402623</v>
      </c>
      <c r="V3" s="125">
        <f>IF(SER_hh_tes_in!V3=0,0,11630*1000*SER_hh_tes_in!V3/SER_hh_num_in!V3)</f>
        <v>162387.80239900725</v>
      </c>
      <c r="W3" s="125">
        <f>IF(SER_hh_tes_in!W3=0,0,11630*1000*SER_hh_tes_in!W3/SER_hh_num_in!W3)</f>
        <v>153755.49772111772</v>
      </c>
      <c r="X3" s="125">
        <f>IF(SER_hh_tes_in!X3=0,0,11630*1000*SER_hh_tes_in!X3/SER_hh_num_in!X3)</f>
        <v>137837.82515948833</v>
      </c>
      <c r="Y3" s="125">
        <f>IF(SER_hh_tes_in!Y3=0,0,11630*1000*SER_hh_tes_in!Y3/SER_hh_num_in!Y3)</f>
        <v>136386.04629867483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62205.278621875281</v>
      </c>
      <c r="D4" s="130">
        <f>IF(SER_hh_tes_in!D4=0,0,11630*1000*SER_hh_tes_in!D4/SER_hh_num_in!D4)</f>
        <v>72419.364182569698</v>
      </c>
      <c r="E4" s="130">
        <f>IF(SER_hh_tes_in!E4=0,0,11630*1000*SER_hh_tes_in!E4/SER_hh_num_in!E4)</f>
        <v>77676.867127219783</v>
      </c>
      <c r="F4" s="130">
        <f>IF(SER_hh_tes_in!F4=0,0,11630*1000*SER_hh_tes_in!F4/SER_hh_num_in!F4)</f>
        <v>76120.198373080304</v>
      </c>
      <c r="G4" s="130">
        <f>IF(SER_hh_tes_in!G4=0,0,11630*1000*SER_hh_tes_in!G4/SER_hh_num_in!G4)</f>
        <v>112246.49175447179</v>
      </c>
      <c r="H4" s="130">
        <f>IF(SER_hh_tes_in!H4=0,0,11630*1000*SER_hh_tes_in!H4/SER_hh_num_in!H4)</f>
        <v>66987.760860863054</v>
      </c>
      <c r="I4" s="130">
        <f>IF(SER_hh_tes_in!I4=0,0,11630*1000*SER_hh_tes_in!I4/SER_hh_num_in!I4)</f>
        <v>69119.783351553997</v>
      </c>
      <c r="J4" s="130">
        <f>IF(SER_hh_tes_in!J4=0,0,11630*1000*SER_hh_tes_in!J4/SER_hh_num_in!J4)</f>
        <v>63442.331576384175</v>
      </c>
      <c r="K4" s="130">
        <f>IF(SER_hh_tes_in!K4=0,0,11630*1000*SER_hh_tes_in!K4/SER_hh_num_in!K4)</f>
        <v>42369.523860652022</v>
      </c>
      <c r="L4" s="130">
        <f>IF(SER_hh_tes_in!L4=0,0,11630*1000*SER_hh_tes_in!L4/SER_hh_num_in!L4)</f>
        <v>93979.838728644187</v>
      </c>
      <c r="M4" s="130">
        <f>IF(SER_hh_tes_in!M4=0,0,11630*1000*SER_hh_tes_in!M4/SER_hh_num_in!M4)</f>
        <v>87249.976615192427</v>
      </c>
      <c r="N4" s="130">
        <f>IF(SER_hh_tes_in!N4=0,0,11630*1000*SER_hh_tes_in!N4/SER_hh_num_in!N4)</f>
        <v>88465.721322114347</v>
      </c>
      <c r="O4" s="130">
        <f>IF(SER_hh_tes_in!O4=0,0,11630*1000*SER_hh_tes_in!O4/SER_hh_num_in!O4)</f>
        <v>98038.874588605555</v>
      </c>
      <c r="P4" s="130">
        <f>IF(SER_hh_tes_in!P4=0,0,11630*1000*SER_hh_tes_in!P4/SER_hh_num_in!P4)</f>
        <v>100621.96437215568</v>
      </c>
      <c r="Q4" s="130">
        <f>IF(SER_hh_tes_in!Q4=0,0,11630*1000*SER_hh_tes_in!Q4/SER_hh_num_in!Q4)</f>
        <v>107555.8935861365</v>
      </c>
      <c r="R4" s="130">
        <f>IF(SER_hh_tes_in!R4=0,0,11630*1000*SER_hh_tes_in!R4/SER_hh_num_in!R4)</f>
        <v>90194.597750513843</v>
      </c>
      <c r="S4" s="130">
        <f>IF(SER_hh_tes_in!S4=0,0,11630*1000*SER_hh_tes_in!S4/SER_hh_num_in!S4)</f>
        <v>90319.319866183287</v>
      </c>
      <c r="T4" s="130">
        <f>IF(SER_hh_tes_in!T4=0,0,11630*1000*SER_hh_tes_in!T4/SER_hh_num_in!T4)</f>
        <v>76628.099455022064</v>
      </c>
      <c r="U4" s="130">
        <f>IF(SER_hh_tes_in!U4=0,0,11630*1000*SER_hh_tes_in!U4/SER_hh_num_in!U4)</f>
        <v>64685.071533955976</v>
      </c>
      <c r="V4" s="130">
        <f>IF(SER_hh_tes_in!V4=0,0,11630*1000*SER_hh_tes_in!V4/SER_hh_num_in!V4)</f>
        <v>48580.98536739494</v>
      </c>
      <c r="W4" s="130">
        <f>IF(SER_hh_tes_in!W4=0,0,11630*1000*SER_hh_tes_in!W4/SER_hh_num_in!W4)</f>
        <v>35240.985168917963</v>
      </c>
      <c r="X4" s="130">
        <f>IF(SER_hh_tes_in!X4=0,0,11630*1000*SER_hh_tes_in!X4/SER_hh_num_in!X4)</f>
        <v>25972.123255736413</v>
      </c>
      <c r="Y4" s="130">
        <f>IF(SER_hh_tes_in!Y4=0,0,11630*1000*SER_hh_tes_in!Y4/SER_hh_num_in!Y4)</f>
        <v>26570.723200107339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66848.856606589135</v>
      </c>
      <c r="D6" s="132">
        <f>IF(SER_hh_tes_in!D6=0,0,11630*1000*SER_hh_tes_in!D6/SER_hh_num_in!D6)</f>
        <v>67882.63833658924</v>
      </c>
      <c r="E6" s="132">
        <f>IF(SER_hh_tes_in!E6=0,0,11630*1000*SER_hh_tes_in!E6/SER_hh_num_in!E6)</f>
        <v>76354.816448722529</v>
      </c>
      <c r="F6" s="132">
        <f>IF(SER_hh_tes_in!F6=0,0,11630*1000*SER_hh_tes_in!F6/SER_hh_num_in!F6)</f>
        <v>79708.172481814458</v>
      </c>
      <c r="G6" s="132">
        <f>IF(SER_hh_tes_in!G6=0,0,11630*1000*SER_hh_tes_in!G6/SER_hh_num_in!G6)</f>
        <v>68764.554909959756</v>
      </c>
      <c r="H6" s="132">
        <f>IF(SER_hh_tes_in!H6=0,0,11630*1000*SER_hh_tes_in!H6/SER_hh_num_in!H6)</f>
        <v>78841.230756038567</v>
      </c>
      <c r="I6" s="132">
        <f>IF(SER_hh_tes_in!I6=0,0,11630*1000*SER_hh_tes_in!I6/SER_hh_num_in!I6)</f>
        <v>87943.862388987793</v>
      </c>
      <c r="J6" s="132">
        <f>IF(SER_hh_tes_in!J6=0,0,11630*1000*SER_hh_tes_in!J6/SER_hh_num_in!J6)</f>
        <v>46841.58264852353</v>
      </c>
      <c r="K6" s="132">
        <f>IF(SER_hh_tes_in!K6=0,0,11630*1000*SER_hh_tes_in!K6/SER_hh_num_in!K6)</f>
        <v>24218.759082002489</v>
      </c>
      <c r="L6" s="132">
        <f>IF(SER_hh_tes_in!L6=0,0,11630*1000*SER_hh_tes_in!L6/SER_hh_num_in!L6)</f>
        <v>108538.05290294166</v>
      </c>
      <c r="M6" s="132">
        <f>IF(SER_hh_tes_in!M6=0,0,11630*1000*SER_hh_tes_in!M6/SER_hh_num_in!M6)</f>
        <v>82094.652135050492</v>
      </c>
      <c r="N6" s="132">
        <f>IF(SER_hh_tes_in!N6=0,0,11630*1000*SER_hh_tes_in!N6/SER_hh_num_in!N6)</f>
        <v>99725.496355015857</v>
      </c>
      <c r="O6" s="132">
        <f>IF(SER_hh_tes_in!O6=0,0,11630*1000*SER_hh_tes_in!O6/SER_hh_num_in!O6)</f>
        <v>0</v>
      </c>
      <c r="P6" s="132">
        <f>IF(SER_hh_tes_in!P6=0,0,11630*1000*SER_hh_tes_in!P6/SER_hh_num_in!P6)</f>
        <v>75828.803312219374</v>
      </c>
      <c r="Q6" s="132">
        <f>IF(SER_hh_tes_in!Q6=0,0,11630*1000*SER_hh_tes_in!Q6/SER_hh_num_in!Q6)</f>
        <v>87242.28799069699</v>
      </c>
      <c r="R6" s="132">
        <f>IF(SER_hh_tes_in!R6=0,0,11630*1000*SER_hh_tes_in!R6/SER_hh_num_in!R6)</f>
        <v>69770.846359955583</v>
      </c>
      <c r="S6" s="132">
        <f>IF(SER_hh_tes_in!S6=0,0,11630*1000*SER_hh_tes_in!S6/SER_hh_num_in!S6)</f>
        <v>72465.138212630234</v>
      </c>
      <c r="T6" s="132">
        <f>IF(SER_hh_tes_in!T6=0,0,11630*1000*SER_hh_tes_in!T6/SER_hh_num_in!T6)</f>
        <v>79503.744686269158</v>
      </c>
      <c r="U6" s="132">
        <f>IF(SER_hh_tes_in!U6=0,0,11630*1000*SER_hh_tes_in!U6/SER_hh_num_in!U6)</f>
        <v>67025.975358756536</v>
      </c>
      <c r="V6" s="132">
        <f>IF(SER_hh_tes_in!V6=0,0,11630*1000*SER_hh_tes_in!V6/SER_hh_num_in!V6)</f>
        <v>44889.879855865394</v>
      </c>
      <c r="W6" s="132">
        <f>IF(SER_hh_tes_in!W6=0,0,11630*1000*SER_hh_tes_in!W6/SER_hh_num_in!W6)</f>
        <v>36345.685262083549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59589.149695267981</v>
      </c>
      <c r="D7" s="132">
        <f>IF(SER_hh_tes_in!D7=0,0,11630*1000*SER_hh_tes_in!D7/SER_hh_num_in!D7)</f>
        <v>68362.470860696427</v>
      </c>
      <c r="E7" s="132">
        <f>IF(SER_hh_tes_in!E7=0,0,11630*1000*SER_hh_tes_in!E7/SER_hh_num_in!E7)</f>
        <v>84135.924248814365</v>
      </c>
      <c r="F7" s="132">
        <f>IF(SER_hh_tes_in!F7=0,0,11630*1000*SER_hh_tes_in!F7/SER_hh_num_in!F7)</f>
        <v>94735.158723872824</v>
      </c>
      <c r="G7" s="132">
        <f>IF(SER_hh_tes_in!G7=0,0,11630*1000*SER_hh_tes_in!G7/SER_hh_num_in!G7)</f>
        <v>81573.831754781204</v>
      </c>
      <c r="H7" s="132">
        <f>IF(SER_hh_tes_in!H7=0,0,11630*1000*SER_hh_tes_in!H7/SER_hh_num_in!H7)</f>
        <v>64171.986746039904</v>
      </c>
      <c r="I7" s="132">
        <f>IF(SER_hh_tes_in!I7=0,0,11630*1000*SER_hh_tes_in!I7/SER_hh_num_in!I7)</f>
        <v>70301.149470973309</v>
      </c>
      <c r="J7" s="132">
        <f>IF(SER_hh_tes_in!J7=0,0,11630*1000*SER_hh_tes_in!J7/SER_hh_num_in!J7)</f>
        <v>64864.677654516505</v>
      </c>
      <c r="K7" s="132">
        <f>IF(SER_hh_tes_in!K7=0,0,11630*1000*SER_hh_tes_in!K7/SER_hh_num_in!K7)</f>
        <v>0</v>
      </c>
      <c r="L7" s="132">
        <f>IF(SER_hh_tes_in!L7=0,0,11630*1000*SER_hh_tes_in!L7/SER_hh_num_in!L7)</f>
        <v>0</v>
      </c>
      <c r="M7" s="132">
        <f>IF(SER_hh_tes_in!M7=0,0,11630*1000*SER_hh_tes_in!M7/SER_hh_num_in!M7)</f>
        <v>49833.779817291441</v>
      </c>
      <c r="N7" s="132">
        <f>IF(SER_hh_tes_in!N7=0,0,11630*1000*SER_hh_tes_in!N7/SER_hh_num_in!N7)</f>
        <v>81527.941846931644</v>
      </c>
      <c r="O7" s="132">
        <f>IF(SER_hh_tes_in!O7=0,0,11630*1000*SER_hh_tes_in!O7/SER_hh_num_in!O7)</f>
        <v>102449.21849706785</v>
      </c>
      <c r="P7" s="132">
        <f>IF(SER_hh_tes_in!P7=0,0,11630*1000*SER_hh_tes_in!P7/SER_hh_num_in!P7)</f>
        <v>100270.39940359603</v>
      </c>
      <c r="Q7" s="132">
        <f>IF(SER_hh_tes_in!Q7=0,0,11630*1000*SER_hh_tes_in!Q7/SER_hh_num_in!Q7)</f>
        <v>113668.91160697761</v>
      </c>
      <c r="R7" s="132">
        <f>IF(SER_hh_tes_in!R7=0,0,11630*1000*SER_hh_tes_in!R7/SER_hh_num_in!R7)</f>
        <v>104956.63008285109</v>
      </c>
      <c r="S7" s="132">
        <f>IF(SER_hh_tes_in!S7=0,0,11630*1000*SER_hh_tes_in!S7/SER_hh_num_in!S7)</f>
        <v>0</v>
      </c>
      <c r="T7" s="132">
        <f>IF(SER_hh_tes_in!T7=0,0,11630*1000*SER_hh_tes_in!T7/SER_hh_num_in!T7)</f>
        <v>0</v>
      </c>
      <c r="U7" s="132">
        <f>IF(SER_hh_tes_in!U7=0,0,11630*1000*SER_hh_tes_in!U7/SER_hh_num_in!U7)</f>
        <v>0</v>
      </c>
      <c r="V7" s="132">
        <f>IF(SER_hh_tes_in!V7=0,0,11630*1000*SER_hh_tes_in!V7/SER_hh_num_in!V7)</f>
        <v>0</v>
      </c>
      <c r="W7" s="132">
        <f>IF(SER_hh_tes_in!W7=0,0,11630*1000*SER_hh_tes_in!W7/SER_hh_num_in!W7)</f>
        <v>32409.489692600378</v>
      </c>
      <c r="X7" s="132">
        <f>IF(SER_hh_tes_in!X7=0,0,11630*1000*SER_hh_tes_in!X7/SER_hh_num_in!X7)</f>
        <v>25820.145594751808</v>
      </c>
      <c r="Y7" s="132">
        <f>IF(SER_hh_tes_in!Y7=0,0,11630*1000*SER_hh_tes_in!Y7/SER_hh_num_in!Y7)</f>
        <v>22626.128406117863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0</v>
      </c>
      <c r="S8" s="132">
        <f>IF(SER_hh_tes_in!S8=0,0,11630*1000*SER_hh_tes_in!S8/SER_hh_num_in!S8)</f>
        <v>0</v>
      </c>
      <c r="T8" s="132">
        <f>IF(SER_hh_tes_in!T8=0,0,11630*1000*SER_hh_tes_in!T8/SER_hh_num_in!T8)</f>
        <v>0</v>
      </c>
      <c r="U8" s="132">
        <f>IF(SER_hh_tes_in!U8=0,0,11630*1000*SER_hh_tes_in!U8/SER_hh_num_in!U8)</f>
        <v>0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0</v>
      </c>
      <c r="D9" s="132">
        <f>IF(SER_hh_tes_in!D9=0,0,11630*1000*SER_hh_tes_in!D9/SER_hh_num_in!D9)</f>
        <v>0</v>
      </c>
      <c r="E9" s="132">
        <f>IF(SER_hh_tes_in!E9=0,0,11630*1000*SER_hh_tes_in!E9/SER_hh_num_in!E9)</f>
        <v>0</v>
      </c>
      <c r="F9" s="132">
        <f>IF(SER_hh_tes_in!F9=0,0,11630*1000*SER_hh_tes_in!F9/SER_hh_num_in!F9)</f>
        <v>0</v>
      </c>
      <c r="G9" s="132">
        <f>IF(SER_hh_tes_in!G9=0,0,11630*1000*SER_hh_tes_in!G9/SER_hh_num_in!G9)</f>
        <v>0</v>
      </c>
      <c r="H9" s="132">
        <f>IF(SER_hh_tes_in!H9=0,0,11630*1000*SER_hh_tes_in!H9/SER_hh_num_in!H9)</f>
        <v>0</v>
      </c>
      <c r="I9" s="132">
        <f>IF(SER_hh_tes_in!I9=0,0,11630*1000*SER_hh_tes_in!I9/SER_hh_num_in!I9)</f>
        <v>0</v>
      </c>
      <c r="J9" s="132">
        <f>IF(SER_hh_tes_in!J9=0,0,11630*1000*SER_hh_tes_in!J9/SER_hh_num_in!J9)</f>
        <v>0</v>
      </c>
      <c r="K9" s="132">
        <f>IF(SER_hh_tes_in!K9=0,0,11630*1000*SER_hh_tes_in!K9/SER_hh_num_in!K9)</f>
        <v>0</v>
      </c>
      <c r="L9" s="132">
        <f>IF(SER_hh_tes_in!L9=0,0,11630*1000*SER_hh_tes_in!L9/SER_hh_num_in!L9)</f>
        <v>0</v>
      </c>
      <c r="M9" s="132">
        <f>IF(SER_hh_tes_in!M9=0,0,11630*1000*SER_hh_tes_in!M9/SER_hh_num_in!M9)</f>
        <v>113981.12609992198</v>
      </c>
      <c r="N9" s="132">
        <f>IF(SER_hh_tes_in!N9=0,0,11630*1000*SER_hh_tes_in!N9/SER_hh_num_in!N9)</f>
        <v>125433.35784652222</v>
      </c>
      <c r="O9" s="132">
        <f>IF(SER_hh_tes_in!O9=0,0,11630*1000*SER_hh_tes_in!O9/SER_hh_num_in!O9)</f>
        <v>86921.896842452392</v>
      </c>
      <c r="P9" s="132">
        <f>IF(SER_hh_tes_in!P9=0,0,11630*1000*SER_hh_tes_in!P9/SER_hh_num_in!P9)</f>
        <v>0</v>
      </c>
      <c r="Q9" s="132">
        <f>IF(SER_hh_tes_in!Q9=0,0,11630*1000*SER_hh_tes_in!Q9/SER_hh_num_in!Q9)</f>
        <v>0</v>
      </c>
      <c r="R9" s="132">
        <f>IF(SER_hh_tes_in!R9=0,0,11630*1000*SER_hh_tes_in!R9/SER_hh_num_in!R9)</f>
        <v>104472.61251064735</v>
      </c>
      <c r="S9" s="132">
        <f>IF(SER_hh_tes_in!S9=0,0,11630*1000*SER_hh_tes_in!S9/SER_hh_num_in!S9)</f>
        <v>0</v>
      </c>
      <c r="T9" s="132">
        <f>IF(SER_hh_tes_in!T9=0,0,11630*1000*SER_hh_tes_in!T9/SER_hh_num_in!T9)</f>
        <v>57302.148538206609</v>
      </c>
      <c r="U9" s="132">
        <f>IF(SER_hh_tes_in!U9=0,0,11630*1000*SER_hh_tes_in!U9/SER_hh_num_in!U9)</f>
        <v>73654.721384724675</v>
      </c>
      <c r="V9" s="132">
        <f>IF(SER_hh_tes_in!V9=0,0,11630*1000*SER_hh_tes_in!V9/SER_hh_num_in!V9)</f>
        <v>48813.680065019587</v>
      </c>
      <c r="W9" s="132">
        <f>IF(SER_hh_tes_in!W9=0,0,11630*1000*SER_hh_tes_in!W9/SER_hh_num_in!W9)</f>
        <v>25154.16536448718</v>
      </c>
      <c r="X9" s="132">
        <f>IF(SER_hh_tes_in!X9=0,0,11630*1000*SER_hh_tes_in!X9/SER_hh_num_in!X9)</f>
        <v>25199.779250859006</v>
      </c>
      <c r="Y9" s="132">
        <f>IF(SER_hh_tes_in!Y9=0,0,11630*1000*SER_hh_tes_in!Y9/SER_hh_num_in!Y9)</f>
        <v>26009.928521876274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0</v>
      </c>
      <c r="D10" s="132">
        <f>IF(SER_hh_tes_in!D10=0,0,11630*1000*SER_hh_tes_in!D10/SER_hh_num_in!D10)</f>
        <v>0</v>
      </c>
      <c r="E10" s="132">
        <f>IF(SER_hh_tes_in!E10=0,0,11630*1000*SER_hh_tes_in!E10/SER_hh_num_in!E10)</f>
        <v>0</v>
      </c>
      <c r="F10" s="132">
        <f>IF(SER_hh_tes_in!F10=0,0,11630*1000*SER_hh_tes_in!F10/SER_hh_num_in!F10)</f>
        <v>0</v>
      </c>
      <c r="G10" s="132">
        <f>IF(SER_hh_tes_in!G10=0,0,11630*1000*SER_hh_tes_in!G10/SER_hh_num_in!G10)</f>
        <v>0</v>
      </c>
      <c r="H10" s="132">
        <f>IF(SER_hh_tes_in!H10=0,0,11630*1000*SER_hh_tes_in!H10/SER_hh_num_in!H10)</f>
        <v>0</v>
      </c>
      <c r="I10" s="132">
        <f>IF(SER_hh_tes_in!I10=0,0,11630*1000*SER_hh_tes_in!I10/SER_hh_num_in!I10)</f>
        <v>0</v>
      </c>
      <c r="J10" s="132">
        <f>IF(SER_hh_tes_in!J10=0,0,11630*1000*SER_hh_tes_in!J10/SER_hh_num_in!J10)</f>
        <v>0</v>
      </c>
      <c r="K10" s="132">
        <f>IF(SER_hh_tes_in!K10=0,0,11630*1000*SER_hh_tes_in!K10/SER_hh_num_in!K10)</f>
        <v>0</v>
      </c>
      <c r="L10" s="132">
        <f>IF(SER_hh_tes_in!L10=0,0,11630*1000*SER_hh_tes_in!L10/SER_hh_num_in!L10)</f>
        <v>0</v>
      </c>
      <c r="M10" s="132">
        <f>IF(SER_hh_tes_in!M10=0,0,11630*1000*SER_hh_tes_in!M10/SER_hh_num_in!M10)</f>
        <v>0</v>
      </c>
      <c r="N10" s="132">
        <f>IF(SER_hh_tes_in!N10=0,0,11630*1000*SER_hh_tes_in!N10/SER_hh_num_in!N10)</f>
        <v>0</v>
      </c>
      <c r="O10" s="132">
        <f>IF(SER_hh_tes_in!O10=0,0,11630*1000*SER_hh_tes_in!O10/SER_hh_num_in!O10)</f>
        <v>0</v>
      </c>
      <c r="P10" s="132">
        <f>IF(SER_hh_tes_in!P10=0,0,11630*1000*SER_hh_tes_in!P10/SER_hh_num_in!P10)</f>
        <v>0</v>
      </c>
      <c r="Q10" s="132">
        <f>IF(SER_hh_tes_in!Q10=0,0,11630*1000*SER_hh_tes_in!Q10/SER_hh_num_in!Q10)</f>
        <v>0</v>
      </c>
      <c r="R10" s="132">
        <f>IF(SER_hh_tes_in!R10=0,0,11630*1000*SER_hh_tes_in!R10/SER_hh_num_in!R10)</f>
        <v>0</v>
      </c>
      <c r="S10" s="132">
        <f>IF(SER_hh_tes_in!S10=0,0,11630*1000*SER_hh_tes_in!S10/SER_hh_num_in!S10)</f>
        <v>0</v>
      </c>
      <c r="T10" s="132">
        <f>IF(SER_hh_tes_in!T10=0,0,11630*1000*SER_hh_tes_in!T10/SER_hh_num_in!T10)</f>
        <v>0</v>
      </c>
      <c r="U10" s="132">
        <f>IF(SER_hh_tes_in!U10=0,0,11630*1000*SER_hh_tes_in!U10/SER_hh_num_in!U10)</f>
        <v>0</v>
      </c>
      <c r="V10" s="132">
        <f>IF(SER_hh_tes_in!V10=0,0,11630*1000*SER_hh_tes_in!V10/SER_hh_num_in!V10)</f>
        <v>0</v>
      </c>
      <c r="W10" s="132">
        <f>IF(SER_hh_tes_in!W10=0,0,11630*1000*SER_hh_tes_in!W10/SER_hh_num_in!W10)</f>
        <v>0</v>
      </c>
      <c r="X10" s="132">
        <f>IF(SER_hh_tes_in!X10=0,0,11630*1000*SER_hh_tes_in!X10/SER_hh_num_in!X10)</f>
        <v>0</v>
      </c>
      <c r="Y10" s="132">
        <f>IF(SER_hh_tes_in!Y10=0,0,11630*1000*SER_hh_tes_in!Y10/SER_hh_num_in!Y10)</f>
        <v>0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0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0</v>
      </c>
      <c r="D12" s="132">
        <f>IF(SER_hh_tes_in!D12=0,0,11630*1000*SER_hh_tes_in!D12/SER_hh_num_in!D12)</f>
        <v>0</v>
      </c>
      <c r="E12" s="132">
        <f>IF(SER_hh_tes_in!E12=0,0,11630*1000*SER_hh_tes_in!E12/SER_hh_num_in!E12)</f>
        <v>0</v>
      </c>
      <c r="F12" s="132">
        <f>IF(SER_hh_tes_in!F12=0,0,11630*1000*SER_hh_tes_in!F12/SER_hh_num_in!F12)</f>
        <v>0</v>
      </c>
      <c r="G12" s="132">
        <f>IF(SER_hh_tes_in!G12=0,0,11630*1000*SER_hh_tes_in!G12/SER_hh_num_in!G12)</f>
        <v>0</v>
      </c>
      <c r="H12" s="132">
        <f>IF(SER_hh_tes_in!H12=0,0,11630*1000*SER_hh_tes_in!H12/SER_hh_num_in!H12)</f>
        <v>0</v>
      </c>
      <c r="I12" s="132">
        <f>IF(SER_hh_tes_in!I12=0,0,11630*1000*SER_hh_tes_in!I12/SER_hh_num_in!I12)</f>
        <v>0</v>
      </c>
      <c r="J12" s="132">
        <f>IF(SER_hh_tes_in!J12=0,0,11630*1000*SER_hh_tes_in!J12/SER_hh_num_in!J12)</f>
        <v>0</v>
      </c>
      <c r="K12" s="132">
        <f>IF(SER_hh_tes_in!K12=0,0,11630*1000*SER_hh_tes_in!K12/SER_hh_num_in!K12)</f>
        <v>0</v>
      </c>
      <c r="L12" s="132">
        <f>IF(SER_hh_tes_in!L12=0,0,11630*1000*SER_hh_tes_in!L12/SER_hh_num_in!L12)</f>
        <v>0</v>
      </c>
      <c r="M12" s="132">
        <f>IF(SER_hh_tes_in!M12=0,0,11630*1000*SER_hh_tes_in!M12/SER_hh_num_in!M12)</f>
        <v>119218.75402482956</v>
      </c>
      <c r="N12" s="132">
        <f>IF(SER_hh_tes_in!N12=0,0,11630*1000*SER_hh_tes_in!N12/SER_hh_num_in!N12)</f>
        <v>184154.4997209927</v>
      </c>
      <c r="O12" s="132">
        <f>IF(SER_hh_tes_in!O12=0,0,11630*1000*SER_hh_tes_in!O12/SER_hh_num_in!O12)</f>
        <v>0</v>
      </c>
      <c r="P12" s="132">
        <f>IF(SER_hh_tes_in!P12=0,0,11630*1000*SER_hh_tes_in!P12/SER_hh_num_in!P12)</f>
        <v>0</v>
      </c>
      <c r="Q12" s="132">
        <f>IF(SER_hh_tes_in!Q12=0,0,11630*1000*SER_hh_tes_in!Q12/SER_hh_num_in!Q12)</f>
        <v>0</v>
      </c>
      <c r="R12" s="132">
        <f>IF(SER_hh_tes_in!R12=0,0,11630*1000*SER_hh_tes_in!R12/SER_hh_num_in!R12)</f>
        <v>0</v>
      </c>
      <c r="S12" s="132">
        <f>IF(SER_hh_tes_in!S12=0,0,11630*1000*SER_hh_tes_in!S12/SER_hh_num_in!S12)</f>
        <v>0</v>
      </c>
      <c r="T12" s="132">
        <f>IF(SER_hh_tes_in!T12=0,0,11630*1000*SER_hh_tes_in!T12/SER_hh_num_in!T12)</f>
        <v>0</v>
      </c>
      <c r="U12" s="132">
        <f>IF(SER_hh_tes_in!U12=0,0,11630*1000*SER_hh_tes_in!U12/SER_hh_num_in!U12)</f>
        <v>0</v>
      </c>
      <c r="V12" s="132">
        <f>IF(SER_hh_tes_in!V12=0,0,11630*1000*SER_hh_tes_in!V12/SER_hh_num_in!V12)</f>
        <v>0</v>
      </c>
      <c r="W12" s="132">
        <f>IF(SER_hh_tes_in!W12=0,0,11630*1000*SER_hh_tes_in!W12/SER_hh_num_in!W12)</f>
        <v>0</v>
      </c>
      <c r="X12" s="132">
        <f>IF(SER_hh_tes_in!X12=0,0,11630*1000*SER_hh_tes_in!X12/SER_hh_num_in!X12)</f>
        <v>0</v>
      </c>
      <c r="Y12" s="132">
        <f>IF(SER_hh_tes_in!Y12=0,0,11630*1000*SER_hh_tes_in!Y12/SER_hh_num_in!Y12)</f>
        <v>0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63227.812696978959</v>
      </c>
      <c r="D13" s="132">
        <f>IF(SER_hh_tes_in!D13=0,0,11630*1000*SER_hh_tes_in!D13/SER_hh_num_in!D13)</f>
        <v>71045.664715449835</v>
      </c>
      <c r="E13" s="132">
        <f>IF(SER_hh_tes_in!E13=0,0,11630*1000*SER_hh_tes_in!E13/SER_hh_num_in!E13)</f>
        <v>84071.176775323373</v>
      </c>
      <c r="F13" s="132">
        <f>IF(SER_hh_tes_in!F13=0,0,11630*1000*SER_hh_tes_in!F13/SER_hh_num_in!F13)</f>
        <v>74973.202815046752</v>
      </c>
      <c r="G13" s="132">
        <f>IF(SER_hh_tes_in!G13=0,0,11630*1000*SER_hh_tes_in!G13/SER_hh_num_in!G13)</f>
        <v>77903.024856711665</v>
      </c>
      <c r="H13" s="132">
        <f>IF(SER_hh_tes_in!H13=0,0,11630*1000*SER_hh_tes_in!H13/SER_hh_num_in!H13)</f>
        <v>61607.225009197675</v>
      </c>
      <c r="I13" s="132">
        <f>IF(SER_hh_tes_in!I13=0,0,11630*1000*SER_hh_tes_in!I13/SER_hh_num_in!I13)</f>
        <v>59412.4935861388</v>
      </c>
      <c r="J13" s="132">
        <f>IF(SER_hh_tes_in!J13=0,0,11630*1000*SER_hh_tes_in!J13/SER_hh_num_in!J13)</f>
        <v>64893.770287955573</v>
      </c>
      <c r="K13" s="132">
        <f>IF(SER_hh_tes_in!K13=0,0,11630*1000*SER_hh_tes_in!K13/SER_hh_num_in!K13)</f>
        <v>68321.736728852862</v>
      </c>
      <c r="L13" s="132">
        <f>IF(SER_hh_tes_in!L13=0,0,11630*1000*SER_hh_tes_in!L13/SER_hh_num_in!L13)</f>
        <v>69403.952997422573</v>
      </c>
      <c r="M13" s="132">
        <f>IF(SER_hh_tes_in!M13=0,0,11630*1000*SER_hh_tes_in!M13/SER_hh_num_in!M13)</f>
        <v>80192.10584533216</v>
      </c>
      <c r="N13" s="132">
        <f>IF(SER_hh_tes_in!N13=0,0,11630*1000*SER_hh_tes_in!N13/SER_hh_num_in!N13)</f>
        <v>90228.985221377807</v>
      </c>
      <c r="O13" s="132">
        <f>IF(SER_hh_tes_in!O13=0,0,11630*1000*SER_hh_tes_in!O13/SER_hh_num_in!O13)</f>
        <v>89507.886112560067</v>
      </c>
      <c r="P13" s="132">
        <f>IF(SER_hh_tes_in!P13=0,0,11630*1000*SER_hh_tes_in!P13/SER_hh_num_in!P13)</f>
        <v>100002.89294194998</v>
      </c>
      <c r="Q13" s="132">
        <f>IF(SER_hh_tes_in!Q13=0,0,11630*1000*SER_hh_tes_in!Q13/SER_hh_num_in!Q13)</f>
        <v>107142.61734810275</v>
      </c>
      <c r="R13" s="132">
        <f>IF(SER_hh_tes_in!R13=0,0,11630*1000*SER_hh_tes_in!R13/SER_hh_num_in!R13)</f>
        <v>97929.752682550228</v>
      </c>
      <c r="S13" s="132">
        <f>IF(SER_hh_tes_in!S13=0,0,11630*1000*SER_hh_tes_in!S13/SER_hh_num_in!S13)</f>
        <v>89484.695981265628</v>
      </c>
      <c r="T13" s="132">
        <f>IF(SER_hh_tes_in!T13=0,0,11630*1000*SER_hh_tes_in!T13/SER_hh_num_in!T13)</f>
        <v>74462.925074468556</v>
      </c>
      <c r="U13" s="132">
        <f>IF(SER_hh_tes_in!U13=0,0,11630*1000*SER_hh_tes_in!U13/SER_hh_num_in!U13)</f>
        <v>58418.628356375535</v>
      </c>
      <c r="V13" s="132">
        <f>IF(SER_hh_tes_in!V13=0,0,11630*1000*SER_hh_tes_in!V13/SER_hh_num_in!V13)</f>
        <v>51343.817261758355</v>
      </c>
      <c r="W13" s="132">
        <f>IF(SER_hh_tes_in!W13=0,0,11630*1000*SER_hh_tes_in!W13/SER_hh_num_in!W13)</f>
        <v>38958.43099302068</v>
      </c>
      <c r="X13" s="132">
        <f>IF(SER_hh_tes_in!X13=0,0,11630*1000*SER_hh_tes_in!X13/SER_hh_num_in!X13)</f>
        <v>25913.496096383791</v>
      </c>
      <c r="Y13" s="132">
        <f>IF(SER_hh_tes_in!Y13=0,0,11630*1000*SER_hh_tes_in!Y13/SER_hh_num_in!Y13)</f>
        <v>28408.04461293641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63516.625371115624</v>
      </c>
      <c r="D14" s="65">
        <f>IF(SER_hh_tes_in!D14=0,0,11630*1000*SER_hh_tes_in!D14/SER_hh_num_in!D14)</f>
        <v>76348.934285386262</v>
      </c>
      <c r="E14" s="65">
        <f>IF(SER_hh_tes_in!E14=0,0,11630*1000*SER_hh_tes_in!E14/SER_hh_num_in!E14)</f>
        <v>72671.205145917746</v>
      </c>
      <c r="F14" s="65">
        <f>IF(SER_hh_tes_in!F14=0,0,11630*1000*SER_hh_tes_in!F14/SER_hh_num_in!F14)</f>
        <v>74881.974719719103</v>
      </c>
      <c r="G14" s="65">
        <f>IF(SER_hh_tes_in!G14=0,0,11630*1000*SER_hh_tes_in!G14/SER_hh_num_in!G14)</f>
        <v>119614.80564180514</v>
      </c>
      <c r="H14" s="65">
        <f>IF(SER_hh_tes_in!H14=0,0,11630*1000*SER_hh_tes_in!H14/SER_hh_num_in!H14)</f>
        <v>70189.697539608096</v>
      </c>
      <c r="I14" s="65">
        <f>IF(SER_hh_tes_in!I14=0,0,11630*1000*SER_hh_tes_in!I14/SER_hh_num_in!I14)</f>
        <v>66442.478390420467</v>
      </c>
      <c r="J14" s="65">
        <f>IF(SER_hh_tes_in!J14=0,0,11630*1000*SER_hh_tes_in!J14/SER_hh_num_in!J14)</f>
        <v>56629.027186308464</v>
      </c>
      <c r="K14" s="65">
        <f>IF(SER_hh_tes_in!K14=0,0,11630*1000*SER_hh_tes_in!K14/SER_hh_num_in!K14)</f>
        <v>40105.434298878448</v>
      </c>
      <c r="L14" s="65">
        <f>IF(SER_hh_tes_in!L14=0,0,11630*1000*SER_hh_tes_in!L14/SER_hh_num_in!L14)</f>
        <v>93251.387098834952</v>
      </c>
      <c r="M14" s="65">
        <f>IF(SER_hh_tes_in!M14=0,0,11630*1000*SER_hh_tes_in!M14/SER_hh_num_in!M14)</f>
        <v>96121.959527103099</v>
      </c>
      <c r="N14" s="65">
        <f>IF(SER_hh_tes_in!N14=0,0,11630*1000*SER_hh_tes_in!N14/SER_hh_num_in!N14)</f>
        <v>94402.962497734348</v>
      </c>
      <c r="O14" s="65">
        <f>IF(SER_hh_tes_in!O14=0,0,11630*1000*SER_hh_tes_in!O14/SER_hh_num_in!O14)</f>
        <v>92796.255679579423</v>
      </c>
      <c r="P14" s="65">
        <f>IF(SER_hh_tes_in!P14=0,0,11630*1000*SER_hh_tes_in!P14/SER_hh_num_in!P14)</f>
        <v>96704.715371072874</v>
      </c>
      <c r="Q14" s="65">
        <f>IF(SER_hh_tes_in!Q14=0,0,11630*1000*SER_hh_tes_in!Q14/SER_hh_num_in!Q14)</f>
        <v>101189.74692661378</v>
      </c>
      <c r="R14" s="65">
        <f>IF(SER_hh_tes_in!R14=0,0,11630*1000*SER_hh_tes_in!R14/SER_hh_num_in!R14)</f>
        <v>87449.454904825267</v>
      </c>
      <c r="S14" s="65">
        <f>IF(SER_hh_tes_in!S14=0,0,11630*1000*SER_hh_tes_in!S14/SER_hh_num_in!S14)</f>
        <v>91575.337160311596</v>
      </c>
      <c r="T14" s="65">
        <f>IF(SER_hh_tes_in!T14=0,0,11630*1000*SER_hh_tes_in!T14/SER_hh_num_in!T14)</f>
        <v>77220.237714624673</v>
      </c>
      <c r="U14" s="65">
        <f>IF(SER_hh_tes_in!U14=0,0,11630*1000*SER_hh_tes_in!U14/SER_hh_num_in!U14)</f>
        <v>67664.991807736442</v>
      </c>
      <c r="V14" s="65">
        <f>IF(SER_hh_tes_in!V14=0,0,11630*1000*SER_hh_tes_in!V14/SER_hh_num_in!V14)</f>
        <v>44833.866433654657</v>
      </c>
      <c r="W14" s="65">
        <f>IF(SER_hh_tes_in!W14=0,0,11630*1000*SER_hh_tes_in!W14/SER_hh_num_in!W14)</f>
        <v>32120.226019805097</v>
      </c>
      <c r="X14" s="65">
        <f>IF(SER_hh_tes_in!X14=0,0,11630*1000*SER_hh_tes_in!X14/SER_hh_num_in!X14)</f>
        <v>25926.912423017955</v>
      </c>
      <c r="Y14" s="65">
        <f>IF(SER_hh_tes_in!Y14=0,0,11630*1000*SER_hh_tes_in!Y14/SER_hh_num_in!Y14)</f>
        <v>26238.887947470248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1171.8940210501639</v>
      </c>
      <c r="D15" s="134">
        <f>IF(SER_hh_tes_in!D15=0,0,11630*1000*SER_hh_tes_in!D15/SER_hh_num_in!D15)</f>
        <v>1311.6350970645944</v>
      </c>
      <c r="E15" s="134">
        <f>IF(SER_hh_tes_in!E15=0,0,11630*1000*SER_hh_tes_in!E15/SER_hh_num_in!E15)</f>
        <v>1572.5152563606277</v>
      </c>
      <c r="F15" s="134">
        <f>IF(SER_hh_tes_in!F15=0,0,11630*1000*SER_hh_tes_in!F15/SER_hh_num_in!F15)</f>
        <v>1569.6858561977547</v>
      </c>
      <c r="G15" s="134">
        <f>IF(SER_hh_tes_in!G15=0,0,11630*1000*SER_hh_tes_in!G15/SER_hh_num_in!G15)</f>
        <v>1372.9210152564631</v>
      </c>
      <c r="H15" s="134">
        <f>IF(SER_hh_tes_in!H15=0,0,11630*1000*SER_hh_tes_in!H15/SER_hh_num_in!H15)</f>
        <v>1173.8205037323519</v>
      </c>
      <c r="I15" s="134">
        <f>IF(SER_hh_tes_in!I15=0,0,11630*1000*SER_hh_tes_in!I15/SER_hh_num_in!I15)</f>
        <v>1258.7109765680138</v>
      </c>
      <c r="J15" s="134">
        <f>IF(SER_hh_tes_in!J15=0,0,11630*1000*SER_hh_tes_in!J15/SER_hh_num_in!J15)</f>
        <v>1111.4007871398703</v>
      </c>
      <c r="K15" s="134">
        <f>IF(SER_hh_tes_in!K15=0,0,11630*1000*SER_hh_tes_in!K15/SER_hh_num_in!K15)</f>
        <v>415.62492047440918</v>
      </c>
      <c r="L15" s="134">
        <f>IF(SER_hh_tes_in!L15=0,0,11630*1000*SER_hh_tes_in!L15/SER_hh_num_in!L15)</f>
        <v>1840.4226830674422</v>
      </c>
      <c r="M15" s="134">
        <f>IF(SER_hh_tes_in!M15=0,0,11630*1000*SER_hh_tes_in!M15/SER_hh_num_in!M15)</f>
        <v>1273.630351780967</v>
      </c>
      <c r="N15" s="134">
        <f>IF(SER_hh_tes_in!N15=0,0,11630*1000*SER_hh_tes_in!N15/SER_hh_num_in!N15)</f>
        <v>1400.2705379097963</v>
      </c>
      <c r="O15" s="134">
        <f>IF(SER_hh_tes_in!O15=0,0,11630*1000*SER_hh_tes_in!O15/SER_hh_num_in!O15)</f>
        <v>1685.4919454721314</v>
      </c>
      <c r="P15" s="134">
        <f>IF(SER_hh_tes_in!P15=0,0,11630*1000*SER_hh_tes_in!P15/SER_hh_num_in!P15)</f>
        <v>1630.84379421572</v>
      </c>
      <c r="Q15" s="134">
        <f>IF(SER_hh_tes_in!Q15=0,0,11630*1000*SER_hh_tes_in!Q15/SER_hh_num_in!Q15)</f>
        <v>1812.5424301571597</v>
      </c>
      <c r="R15" s="134">
        <f>IF(SER_hh_tes_in!R15=0,0,11630*1000*SER_hh_tes_in!R15/SER_hh_num_in!R15)</f>
        <v>1456.5759226539653</v>
      </c>
      <c r="S15" s="134">
        <f>IF(SER_hh_tes_in!S15=0,0,11630*1000*SER_hh_tes_in!S15/SER_hh_num_in!S15)</f>
        <v>1160.0259311625593</v>
      </c>
      <c r="T15" s="134">
        <f>IF(SER_hh_tes_in!T15=0,0,11630*1000*SER_hh_tes_in!T15/SER_hh_num_in!T15)</f>
        <v>1222.8618739550079</v>
      </c>
      <c r="U15" s="134">
        <f>IF(SER_hh_tes_in!U15=0,0,11630*1000*SER_hh_tes_in!U15/SER_hh_num_in!U15)</f>
        <v>1086.5223221276217</v>
      </c>
      <c r="V15" s="134">
        <f>IF(SER_hh_tes_in!V15=0,0,11630*1000*SER_hh_tes_in!V15/SER_hh_num_in!V15)</f>
        <v>712.13965493652665</v>
      </c>
      <c r="W15" s="134">
        <f>IF(SER_hh_tes_in!W15=0,0,11630*1000*SER_hh_tes_in!W15/SER_hh_num_in!W15)</f>
        <v>518.32298611563704</v>
      </c>
      <c r="X15" s="134">
        <f>IF(SER_hh_tes_in!X15=0,0,11630*1000*SER_hh_tes_in!X15/SER_hh_num_in!X15)</f>
        <v>408.5219887802192</v>
      </c>
      <c r="Y15" s="134">
        <f>IF(SER_hh_tes_in!Y15=0,0,11630*1000*SER_hh_tes_in!Y15/SER_hh_num_in!Y15)</f>
        <v>387.65679936162047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78282.70605131035</v>
      </c>
      <c r="D16" s="130">
        <f>IF(SER_hh_tes_in!D16=0,0,11630*1000*SER_hh_tes_in!D16/SER_hh_num_in!D16)</f>
        <v>60899.701047176357</v>
      </c>
      <c r="E16" s="130">
        <f>IF(SER_hh_tes_in!E16=0,0,11630*1000*SER_hh_tes_in!E16/SER_hh_num_in!E16)</f>
        <v>92730.635350448298</v>
      </c>
      <c r="F16" s="130">
        <f>IF(SER_hh_tes_in!F16=0,0,11630*1000*SER_hh_tes_in!F16/SER_hh_num_in!F16)</f>
        <v>48517.631023611371</v>
      </c>
      <c r="G16" s="130">
        <f>IF(SER_hh_tes_in!G16=0,0,11630*1000*SER_hh_tes_in!G16/SER_hh_num_in!G16)</f>
        <v>47950.759072783585</v>
      </c>
      <c r="H16" s="130">
        <f>IF(SER_hh_tes_in!H16=0,0,11630*1000*SER_hh_tes_in!H16/SER_hh_num_in!H16)</f>
        <v>65249.935492906523</v>
      </c>
      <c r="I16" s="130">
        <f>IF(SER_hh_tes_in!I16=0,0,11630*1000*SER_hh_tes_in!I16/SER_hh_num_in!I16)</f>
        <v>67597.896709847628</v>
      </c>
      <c r="J16" s="130">
        <f>IF(SER_hh_tes_in!J16=0,0,11630*1000*SER_hh_tes_in!J16/SER_hh_num_in!J16)</f>
        <v>58156.31655995961</v>
      </c>
      <c r="K16" s="130">
        <f>IF(SER_hh_tes_in!K16=0,0,11630*1000*SER_hh_tes_in!K16/SER_hh_num_in!K16)</f>
        <v>59488.06429457933</v>
      </c>
      <c r="L16" s="130">
        <f>IF(SER_hh_tes_in!L16=0,0,11630*1000*SER_hh_tes_in!L16/SER_hh_num_in!L16)</f>
        <v>48100.650475648152</v>
      </c>
      <c r="M16" s="130">
        <f>IF(SER_hh_tes_in!M16=0,0,11630*1000*SER_hh_tes_in!M16/SER_hh_num_in!M16)</f>
        <v>51622.183706058313</v>
      </c>
      <c r="N16" s="130">
        <f>IF(SER_hh_tes_in!N16=0,0,11630*1000*SER_hh_tes_in!N16/SER_hh_num_in!N16)</f>
        <v>89393.150297538174</v>
      </c>
      <c r="O16" s="130">
        <f>IF(SER_hh_tes_in!O16=0,0,11630*1000*SER_hh_tes_in!O16/SER_hh_num_in!O16)</f>
        <v>62250.596974046624</v>
      </c>
      <c r="P16" s="130">
        <f>IF(SER_hh_tes_in!P16=0,0,11630*1000*SER_hh_tes_in!P16/SER_hh_num_in!P16)</f>
        <v>63340.440661356217</v>
      </c>
      <c r="Q16" s="130">
        <f>IF(SER_hh_tes_in!Q16=0,0,11630*1000*SER_hh_tes_in!Q16/SER_hh_num_in!Q16)</f>
        <v>66777.74230275923</v>
      </c>
      <c r="R16" s="130">
        <f>IF(SER_hh_tes_in!R16=0,0,11630*1000*SER_hh_tes_in!R16/SER_hh_num_in!R16)</f>
        <v>54342.091485461926</v>
      </c>
      <c r="S16" s="130">
        <f>IF(SER_hh_tes_in!S16=0,0,11630*1000*SER_hh_tes_in!S16/SER_hh_num_in!S16)</f>
        <v>62560.746101448291</v>
      </c>
      <c r="T16" s="130">
        <f>IF(SER_hh_tes_in!T16=0,0,11630*1000*SER_hh_tes_in!T16/SER_hh_num_in!T16)</f>
        <v>53642.5194287083</v>
      </c>
      <c r="U16" s="130">
        <f>IF(SER_hh_tes_in!U16=0,0,11630*1000*SER_hh_tes_in!U16/SER_hh_num_in!U16)</f>
        <v>70002.192535387963</v>
      </c>
      <c r="V16" s="130">
        <f>IF(SER_hh_tes_in!V16=0,0,11630*1000*SER_hh_tes_in!V16/SER_hh_num_in!V16)</f>
        <v>51501.657988440027</v>
      </c>
      <c r="W16" s="130">
        <f>IF(SER_hh_tes_in!W16=0,0,11630*1000*SER_hh_tes_in!W16/SER_hh_num_in!W16)</f>
        <v>54209.554990098179</v>
      </c>
      <c r="X16" s="130">
        <f>IF(SER_hh_tes_in!X16=0,0,11630*1000*SER_hh_tes_in!X16/SER_hh_num_in!X16)</f>
        <v>47656.781518680131</v>
      </c>
      <c r="Y16" s="130">
        <f>IF(SER_hh_tes_in!Y16=0,0,11630*1000*SER_hh_tes_in!Y16/SER_hh_num_in!Y16)</f>
        <v>43305.716348095906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0</v>
      </c>
      <c r="D17" s="132">
        <f>IF(SER_hh_tes_in!D17=0,0,11630*1000*SER_hh_tes_in!D17/SER_hh_num_in!D17)</f>
        <v>0</v>
      </c>
      <c r="E17" s="132">
        <f>IF(SER_hh_tes_in!E17=0,0,11630*1000*SER_hh_tes_in!E17/SER_hh_num_in!E17)</f>
        <v>0</v>
      </c>
      <c r="F17" s="132">
        <f>IF(SER_hh_tes_in!F17=0,0,11630*1000*SER_hh_tes_in!F17/SER_hh_num_in!F17)</f>
        <v>0</v>
      </c>
      <c r="G17" s="132">
        <f>IF(SER_hh_tes_in!G17=0,0,11630*1000*SER_hh_tes_in!G17/SER_hh_num_in!G17)</f>
        <v>0</v>
      </c>
      <c r="H17" s="132">
        <f>IF(SER_hh_tes_in!H17=0,0,11630*1000*SER_hh_tes_in!H17/SER_hh_num_in!H17)</f>
        <v>0</v>
      </c>
      <c r="I17" s="132">
        <f>IF(SER_hh_tes_in!I17=0,0,11630*1000*SER_hh_tes_in!I17/SER_hh_num_in!I17)</f>
        <v>0</v>
      </c>
      <c r="J17" s="132">
        <f>IF(SER_hh_tes_in!J17=0,0,11630*1000*SER_hh_tes_in!J17/SER_hh_num_in!J17)</f>
        <v>0</v>
      </c>
      <c r="K17" s="132">
        <f>IF(SER_hh_tes_in!K17=0,0,11630*1000*SER_hh_tes_in!K17/SER_hh_num_in!K17)</f>
        <v>0</v>
      </c>
      <c r="L17" s="132">
        <f>IF(SER_hh_tes_in!L17=0,0,11630*1000*SER_hh_tes_in!L17/SER_hh_num_in!L17)</f>
        <v>0</v>
      </c>
      <c r="M17" s="132">
        <f>IF(SER_hh_tes_in!M17=0,0,11630*1000*SER_hh_tes_in!M17/SER_hh_num_in!M17)</f>
        <v>0</v>
      </c>
      <c r="N17" s="132">
        <f>IF(SER_hh_tes_in!N17=0,0,11630*1000*SER_hh_tes_in!N17/SER_hh_num_in!N17)</f>
        <v>0</v>
      </c>
      <c r="O17" s="132">
        <f>IF(SER_hh_tes_in!O17=0,0,11630*1000*SER_hh_tes_in!O17/SER_hh_num_in!O17)</f>
        <v>0</v>
      </c>
      <c r="P17" s="132">
        <f>IF(SER_hh_tes_in!P17=0,0,11630*1000*SER_hh_tes_in!P17/SER_hh_num_in!P17)</f>
        <v>0</v>
      </c>
      <c r="Q17" s="132">
        <f>IF(SER_hh_tes_in!Q17=0,0,11630*1000*SER_hh_tes_in!Q17/SER_hh_num_in!Q17)</f>
        <v>0</v>
      </c>
      <c r="R17" s="132">
        <f>IF(SER_hh_tes_in!R17=0,0,11630*1000*SER_hh_tes_in!R17/SER_hh_num_in!R17)</f>
        <v>0</v>
      </c>
      <c r="S17" s="132">
        <f>IF(SER_hh_tes_in!S17=0,0,11630*1000*SER_hh_tes_in!S17/SER_hh_num_in!S17)</f>
        <v>0</v>
      </c>
      <c r="T17" s="132">
        <f>IF(SER_hh_tes_in!T17=0,0,11630*1000*SER_hh_tes_in!T17/SER_hh_num_in!T17)</f>
        <v>0</v>
      </c>
      <c r="U17" s="132">
        <f>IF(SER_hh_tes_in!U17=0,0,11630*1000*SER_hh_tes_in!U17/SER_hh_num_in!U17)</f>
        <v>0</v>
      </c>
      <c r="V17" s="132">
        <f>IF(SER_hh_tes_in!V17=0,0,11630*1000*SER_hh_tes_in!V17/SER_hh_num_in!V17)</f>
        <v>0</v>
      </c>
      <c r="W17" s="132">
        <f>IF(SER_hh_tes_in!W17=0,0,11630*1000*SER_hh_tes_in!W17/SER_hh_num_in!W17)</f>
        <v>0</v>
      </c>
      <c r="X17" s="132">
        <f>IF(SER_hh_tes_in!X17=0,0,11630*1000*SER_hh_tes_in!X17/SER_hh_num_in!X17)</f>
        <v>0</v>
      </c>
      <c r="Y17" s="132">
        <f>IF(SER_hh_tes_in!Y17=0,0,11630*1000*SER_hh_tes_in!Y17/SER_hh_num_in!Y17)</f>
        <v>0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78282.70605131035</v>
      </c>
      <c r="D18" s="132">
        <f>IF(SER_hh_tes_in!D18=0,0,11630*1000*SER_hh_tes_in!D18/SER_hh_num_in!D18)</f>
        <v>60899.701047176357</v>
      </c>
      <c r="E18" s="132">
        <f>IF(SER_hh_tes_in!E18=0,0,11630*1000*SER_hh_tes_in!E18/SER_hh_num_in!E18)</f>
        <v>92730.635350448298</v>
      </c>
      <c r="F18" s="132">
        <f>IF(SER_hh_tes_in!F18=0,0,11630*1000*SER_hh_tes_in!F18/SER_hh_num_in!F18)</f>
        <v>48517.631023611371</v>
      </c>
      <c r="G18" s="132">
        <f>IF(SER_hh_tes_in!G18=0,0,11630*1000*SER_hh_tes_in!G18/SER_hh_num_in!G18)</f>
        <v>47950.759072783585</v>
      </c>
      <c r="H18" s="132">
        <f>IF(SER_hh_tes_in!H18=0,0,11630*1000*SER_hh_tes_in!H18/SER_hh_num_in!H18)</f>
        <v>65249.935492906523</v>
      </c>
      <c r="I18" s="132">
        <f>IF(SER_hh_tes_in!I18=0,0,11630*1000*SER_hh_tes_in!I18/SER_hh_num_in!I18)</f>
        <v>67597.896709847628</v>
      </c>
      <c r="J18" s="132">
        <f>IF(SER_hh_tes_in!J18=0,0,11630*1000*SER_hh_tes_in!J18/SER_hh_num_in!J18)</f>
        <v>58156.31655995961</v>
      </c>
      <c r="K18" s="132">
        <f>IF(SER_hh_tes_in!K18=0,0,11630*1000*SER_hh_tes_in!K18/SER_hh_num_in!K18)</f>
        <v>59488.06429457933</v>
      </c>
      <c r="L18" s="132">
        <f>IF(SER_hh_tes_in!L18=0,0,11630*1000*SER_hh_tes_in!L18/SER_hh_num_in!L18)</f>
        <v>48100.650475648152</v>
      </c>
      <c r="M18" s="132">
        <f>IF(SER_hh_tes_in!M18=0,0,11630*1000*SER_hh_tes_in!M18/SER_hh_num_in!M18)</f>
        <v>51622.183706058313</v>
      </c>
      <c r="N18" s="132">
        <f>IF(SER_hh_tes_in!N18=0,0,11630*1000*SER_hh_tes_in!N18/SER_hh_num_in!N18)</f>
        <v>89393.150297538174</v>
      </c>
      <c r="O18" s="132">
        <f>IF(SER_hh_tes_in!O18=0,0,11630*1000*SER_hh_tes_in!O18/SER_hh_num_in!O18)</f>
        <v>62250.596974046624</v>
      </c>
      <c r="P18" s="132">
        <f>IF(SER_hh_tes_in!P18=0,0,11630*1000*SER_hh_tes_in!P18/SER_hh_num_in!P18)</f>
        <v>63340.440661356217</v>
      </c>
      <c r="Q18" s="132">
        <f>IF(SER_hh_tes_in!Q18=0,0,11630*1000*SER_hh_tes_in!Q18/SER_hh_num_in!Q18)</f>
        <v>66777.74230275923</v>
      </c>
      <c r="R18" s="132">
        <f>IF(SER_hh_tes_in!R18=0,0,11630*1000*SER_hh_tes_in!R18/SER_hh_num_in!R18)</f>
        <v>54342.091485461926</v>
      </c>
      <c r="S18" s="132">
        <f>IF(SER_hh_tes_in!S18=0,0,11630*1000*SER_hh_tes_in!S18/SER_hh_num_in!S18)</f>
        <v>62560.746101448291</v>
      </c>
      <c r="T18" s="132">
        <f>IF(SER_hh_tes_in!T18=0,0,11630*1000*SER_hh_tes_in!T18/SER_hh_num_in!T18)</f>
        <v>53642.5194287083</v>
      </c>
      <c r="U18" s="132">
        <f>IF(SER_hh_tes_in!U18=0,0,11630*1000*SER_hh_tes_in!U18/SER_hh_num_in!U18)</f>
        <v>70002.192535387963</v>
      </c>
      <c r="V18" s="132">
        <f>IF(SER_hh_tes_in!V18=0,0,11630*1000*SER_hh_tes_in!V18/SER_hh_num_in!V18)</f>
        <v>51501.657988440027</v>
      </c>
      <c r="W18" s="132">
        <f>IF(SER_hh_tes_in!W18=0,0,11630*1000*SER_hh_tes_in!W18/SER_hh_num_in!W18)</f>
        <v>54209.554990098179</v>
      </c>
      <c r="X18" s="132">
        <f>IF(SER_hh_tes_in!X18=0,0,11630*1000*SER_hh_tes_in!X18/SER_hh_num_in!X18)</f>
        <v>47656.781518680131</v>
      </c>
      <c r="Y18" s="132">
        <f>IF(SER_hh_tes_in!Y18=0,0,11630*1000*SER_hh_tes_in!Y18/SER_hh_num_in!Y18)</f>
        <v>43305.716348095906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25747.555665664284</v>
      </c>
      <c r="D19" s="130">
        <f>IF(SER_hh_tes_in!D19=0,0,11630*1000*SER_hh_tes_in!D19/SER_hh_num_in!D19)</f>
        <v>26353.818649747602</v>
      </c>
      <c r="E19" s="130">
        <f>IF(SER_hh_tes_in!E19=0,0,11630*1000*SER_hh_tes_in!E19/SER_hh_num_in!E19)</f>
        <v>26493.377880138851</v>
      </c>
      <c r="F19" s="130">
        <f>IF(SER_hh_tes_in!F19=0,0,11630*1000*SER_hh_tes_in!F19/SER_hh_num_in!F19)</f>
        <v>26739.696577475588</v>
      </c>
      <c r="G19" s="130">
        <f>IF(SER_hh_tes_in!G19=0,0,11630*1000*SER_hh_tes_in!G19/SER_hh_num_in!G19)</f>
        <v>25225.647823764273</v>
      </c>
      <c r="H19" s="130">
        <f>IF(SER_hh_tes_in!H19=0,0,11630*1000*SER_hh_tes_in!H19/SER_hh_num_in!H19)</f>
        <v>27316.707988104408</v>
      </c>
      <c r="I19" s="130">
        <f>IF(SER_hh_tes_in!I19=0,0,11630*1000*SER_hh_tes_in!I19/SER_hh_num_in!I19)</f>
        <v>25538.631864794013</v>
      </c>
      <c r="J19" s="130">
        <f>IF(SER_hh_tes_in!J19=0,0,11630*1000*SER_hh_tes_in!J19/SER_hh_num_in!J19)</f>
        <v>24614.057714439758</v>
      </c>
      <c r="K19" s="130">
        <f>IF(SER_hh_tes_in!K19=0,0,11630*1000*SER_hh_tes_in!K19/SER_hh_num_in!K19)</f>
        <v>24948.881528463946</v>
      </c>
      <c r="L19" s="130">
        <f>IF(SER_hh_tes_in!L19=0,0,11630*1000*SER_hh_tes_in!L19/SER_hh_num_in!L19)</f>
        <v>26443.201613166235</v>
      </c>
      <c r="M19" s="130">
        <f>IF(SER_hh_tes_in!M19=0,0,11630*1000*SER_hh_tes_in!M19/SER_hh_num_in!M19)</f>
        <v>26329.20542371595</v>
      </c>
      <c r="N19" s="130">
        <f>IF(SER_hh_tes_in!N19=0,0,11630*1000*SER_hh_tes_in!N19/SER_hh_num_in!N19)</f>
        <v>25486.978478622819</v>
      </c>
      <c r="O19" s="130">
        <f>IF(SER_hh_tes_in!O19=0,0,11630*1000*SER_hh_tes_in!O19/SER_hh_num_in!O19)</f>
        <v>25935.75072980273</v>
      </c>
      <c r="P19" s="130">
        <f>IF(SER_hh_tes_in!P19=0,0,11630*1000*SER_hh_tes_in!P19/SER_hh_num_in!P19)</f>
        <v>25566.982023374716</v>
      </c>
      <c r="Q19" s="130">
        <f>IF(SER_hh_tes_in!Q19=0,0,11630*1000*SER_hh_tes_in!Q19/SER_hh_num_in!Q19)</f>
        <v>25259.36593730496</v>
      </c>
      <c r="R19" s="130">
        <f>IF(SER_hh_tes_in!R19=0,0,11630*1000*SER_hh_tes_in!R19/SER_hh_num_in!R19)</f>
        <v>25135.630347929357</v>
      </c>
      <c r="S19" s="130">
        <f>IF(SER_hh_tes_in!S19=0,0,11630*1000*SER_hh_tes_in!S19/SER_hh_num_in!S19)</f>
        <v>24701.042659780538</v>
      </c>
      <c r="T19" s="130">
        <f>IF(SER_hh_tes_in!T19=0,0,11630*1000*SER_hh_tes_in!T19/SER_hh_num_in!T19)</f>
        <v>24556.594412381637</v>
      </c>
      <c r="U19" s="130">
        <f>IF(SER_hh_tes_in!U19=0,0,11630*1000*SER_hh_tes_in!U19/SER_hh_num_in!U19)</f>
        <v>24386.915986080297</v>
      </c>
      <c r="V19" s="130">
        <f>IF(SER_hh_tes_in!V19=0,0,11630*1000*SER_hh_tes_in!V19/SER_hh_num_in!V19)</f>
        <v>23104.475835598423</v>
      </c>
      <c r="W19" s="130">
        <f>IF(SER_hh_tes_in!W19=0,0,11630*1000*SER_hh_tes_in!W19/SER_hh_num_in!W19)</f>
        <v>23134.90178750077</v>
      </c>
      <c r="X19" s="130">
        <f>IF(SER_hh_tes_in!X19=0,0,11630*1000*SER_hh_tes_in!X19/SER_hh_num_in!X19)</f>
        <v>22820.00922042489</v>
      </c>
      <c r="Y19" s="130">
        <f>IF(SER_hh_tes_in!Y19=0,0,11630*1000*SER_hh_tes_in!Y19/SER_hh_num_in!Y19)</f>
        <v>23795.225345957388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27173.327191605142</v>
      </c>
      <c r="D21" s="132">
        <f>IF(SER_hh_tes_in!D21=0,0,11630*1000*SER_hh_tes_in!D21/SER_hh_num_in!D21)</f>
        <v>27646.207537304381</v>
      </c>
      <c r="E21" s="132">
        <f>IF(SER_hh_tes_in!E21=0,0,11630*1000*SER_hh_tes_in!E21/SER_hh_num_in!E21)</f>
        <v>23767.865983024622</v>
      </c>
      <c r="F21" s="132">
        <f>IF(SER_hh_tes_in!F21=0,0,11630*1000*SER_hh_tes_in!F21/SER_hh_num_in!F21)</f>
        <v>20776.319639930716</v>
      </c>
      <c r="G21" s="132">
        <f>IF(SER_hh_tes_in!G21=0,0,11630*1000*SER_hh_tes_in!G21/SER_hh_num_in!G21)</f>
        <v>17693.658010370251</v>
      </c>
      <c r="H21" s="132">
        <f>IF(SER_hh_tes_in!H21=0,0,11630*1000*SER_hh_tes_in!H21/SER_hh_num_in!H21)</f>
        <v>39965.478713664255</v>
      </c>
      <c r="I21" s="132">
        <f>IF(SER_hh_tes_in!I21=0,0,11630*1000*SER_hh_tes_in!I21/SER_hh_num_in!I21)</f>
        <v>48750.822458579234</v>
      </c>
      <c r="J21" s="132">
        <f>IF(SER_hh_tes_in!J21=0,0,11630*1000*SER_hh_tes_in!J21/SER_hh_num_in!J21)</f>
        <v>44471.699908904353</v>
      </c>
      <c r="K21" s="132">
        <f>IF(SER_hh_tes_in!K21=0,0,11630*1000*SER_hh_tes_in!K21/SER_hh_num_in!K21)</f>
        <v>41199.551453169937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22897.696517320561</v>
      </c>
      <c r="T21" s="132">
        <f>IF(SER_hh_tes_in!T21=0,0,11630*1000*SER_hh_tes_in!T21/SER_hh_num_in!T21)</f>
        <v>27332.939236683775</v>
      </c>
      <c r="U21" s="132">
        <f>IF(SER_hh_tes_in!U21=0,0,11630*1000*SER_hh_tes_in!U21/SER_hh_num_in!U21)</f>
        <v>26260.899369102273</v>
      </c>
      <c r="V21" s="132">
        <f>IF(SER_hh_tes_in!V21=0,0,11630*1000*SER_hh_tes_in!V21/SER_hh_num_in!V21)</f>
        <v>20447.08537547279</v>
      </c>
      <c r="W21" s="132">
        <f>IF(SER_hh_tes_in!W21=0,0,11630*1000*SER_hh_tes_in!W21/SER_hh_num_in!W21)</f>
        <v>22700.542638479961</v>
      </c>
      <c r="X21" s="132">
        <f>IF(SER_hh_tes_in!X21=0,0,11630*1000*SER_hh_tes_in!X21/SER_hh_num_in!X21)</f>
        <v>30154.104254104393</v>
      </c>
      <c r="Y21" s="132">
        <f>IF(SER_hh_tes_in!Y21=0,0,11630*1000*SER_hh_tes_in!Y21/SER_hh_num_in!Y21)</f>
        <v>20897.493474376344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0</v>
      </c>
      <c r="D22" s="132">
        <f>IF(SER_hh_tes_in!D22=0,0,11630*1000*SER_hh_tes_in!D22/SER_hh_num_in!D22)</f>
        <v>0</v>
      </c>
      <c r="E22" s="132">
        <f>IF(SER_hh_tes_in!E22=0,0,11630*1000*SER_hh_tes_in!E22/SER_hh_num_in!E22)</f>
        <v>0</v>
      </c>
      <c r="F22" s="132">
        <f>IF(SER_hh_tes_in!F22=0,0,11630*1000*SER_hh_tes_in!F22/SER_hh_num_in!F22)</f>
        <v>0</v>
      </c>
      <c r="G22" s="132">
        <f>IF(SER_hh_tes_in!G22=0,0,11630*1000*SER_hh_tes_in!G22/SER_hh_num_in!G22)</f>
        <v>0</v>
      </c>
      <c r="H22" s="132">
        <f>IF(SER_hh_tes_in!H22=0,0,11630*1000*SER_hh_tes_in!H22/SER_hh_num_in!H22)</f>
        <v>0</v>
      </c>
      <c r="I22" s="132">
        <f>IF(SER_hh_tes_in!I22=0,0,11630*1000*SER_hh_tes_in!I22/SER_hh_num_in!I22)</f>
        <v>0</v>
      </c>
      <c r="J22" s="132">
        <f>IF(SER_hh_tes_in!J22=0,0,11630*1000*SER_hh_tes_in!J22/SER_hh_num_in!J22)</f>
        <v>0</v>
      </c>
      <c r="K22" s="132">
        <f>IF(SER_hh_tes_in!K22=0,0,11630*1000*SER_hh_tes_in!K22/SER_hh_num_in!K22)</f>
        <v>0</v>
      </c>
      <c r="L22" s="132">
        <f>IF(SER_hh_tes_in!L22=0,0,11630*1000*SER_hh_tes_in!L22/SER_hh_num_in!L22)</f>
        <v>0</v>
      </c>
      <c r="M22" s="132">
        <f>IF(SER_hh_tes_in!M22=0,0,11630*1000*SER_hh_tes_in!M22/SER_hh_num_in!M22)</f>
        <v>0</v>
      </c>
      <c r="N22" s="132">
        <f>IF(SER_hh_tes_in!N22=0,0,11630*1000*SER_hh_tes_in!N22/SER_hh_num_in!N22)</f>
        <v>0</v>
      </c>
      <c r="O22" s="132">
        <f>IF(SER_hh_tes_in!O22=0,0,11630*1000*SER_hh_tes_in!O22/SER_hh_num_in!O22)</f>
        <v>0</v>
      </c>
      <c r="P22" s="132">
        <f>IF(SER_hh_tes_in!P22=0,0,11630*1000*SER_hh_tes_in!P22/SER_hh_num_in!P22)</f>
        <v>0</v>
      </c>
      <c r="Q22" s="132">
        <f>IF(SER_hh_tes_in!Q22=0,0,11630*1000*SER_hh_tes_in!Q22/SER_hh_num_in!Q22)</f>
        <v>0</v>
      </c>
      <c r="R22" s="132">
        <f>IF(SER_hh_tes_in!R22=0,0,11630*1000*SER_hh_tes_in!R22/SER_hh_num_in!R22)</f>
        <v>0</v>
      </c>
      <c r="S22" s="132">
        <f>IF(SER_hh_tes_in!S22=0,0,11630*1000*SER_hh_tes_in!S22/SER_hh_num_in!S22)</f>
        <v>0</v>
      </c>
      <c r="T22" s="132">
        <f>IF(SER_hh_tes_in!T22=0,0,11630*1000*SER_hh_tes_in!T22/SER_hh_num_in!T22)</f>
        <v>0</v>
      </c>
      <c r="U22" s="132">
        <f>IF(SER_hh_tes_in!U22=0,0,11630*1000*SER_hh_tes_in!U22/SER_hh_num_in!U22)</f>
        <v>0</v>
      </c>
      <c r="V22" s="132">
        <f>IF(SER_hh_tes_in!V22=0,0,11630*1000*SER_hh_tes_in!V22/SER_hh_num_in!V22)</f>
        <v>0</v>
      </c>
      <c r="W22" s="132">
        <f>IF(SER_hh_tes_in!W22=0,0,11630*1000*SER_hh_tes_in!W22/SER_hh_num_in!W22)</f>
        <v>0</v>
      </c>
      <c r="X22" s="132">
        <f>IF(SER_hh_tes_in!X22=0,0,11630*1000*SER_hh_tes_in!X22/SER_hh_num_in!X22)</f>
        <v>0</v>
      </c>
      <c r="Y22" s="132">
        <f>IF(SER_hh_tes_in!Y22=0,0,11630*1000*SER_hh_tes_in!Y22/SER_hh_num_in!Y22)</f>
        <v>0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0</v>
      </c>
      <c r="D23" s="132">
        <f>IF(SER_hh_tes_in!D23=0,0,11630*1000*SER_hh_tes_in!D23/SER_hh_num_in!D23)</f>
        <v>0</v>
      </c>
      <c r="E23" s="132">
        <f>IF(SER_hh_tes_in!E23=0,0,11630*1000*SER_hh_tes_in!E23/SER_hh_num_in!E23)</f>
        <v>0</v>
      </c>
      <c r="F23" s="132">
        <f>IF(SER_hh_tes_in!F23=0,0,11630*1000*SER_hh_tes_in!F23/SER_hh_num_in!F23)</f>
        <v>0</v>
      </c>
      <c r="G23" s="132">
        <f>IF(SER_hh_tes_in!G23=0,0,11630*1000*SER_hh_tes_in!G23/SER_hh_num_in!G23)</f>
        <v>0</v>
      </c>
      <c r="H23" s="132">
        <f>IF(SER_hh_tes_in!H23=0,0,11630*1000*SER_hh_tes_in!H23/SER_hh_num_in!H23)</f>
        <v>0</v>
      </c>
      <c r="I23" s="132">
        <f>IF(SER_hh_tes_in!I23=0,0,11630*1000*SER_hh_tes_in!I23/SER_hh_num_in!I23)</f>
        <v>0</v>
      </c>
      <c r="J23" s="132">
        <f>IF(SER_hh_tes_in!J23=0,0,11630*1000*SER_hh_tes_in!J23/SER_hh_num_in!J23)</f>
        <v>0</v>
      </c>
      <c r="K23" s="132">
        <f>IF(SER_hh_tes_in!K23=0,0,11630*1000*SER_hh_tes_in!K23/SER_hh_num_in!K23)</f>
        <v>0</v>
      </c>
      <c r="L23" s="132">
        <f>IF(SER_hh_tes_in!L23=0,0,11630*1000*SER_hh_tes_in!L23/SER_hh_num_in!L23)</f>
        <v>0</v>
      </c>
      <c r="M23" s="132">
        <f>IF(SER_hh_tes_in!M23=0,0,11630*1000*SER_hh_tes_in!M23/SER_hh_num_in!M23)</f>
        <v>0</v>
      </c>
      <c r="N23" s="132">
        <f>IF(SER_hh_tes_in!N23=0,0,11630*1000*SER_hh_tes_in!N23/SER_hh_num_in!N23)</f>
        <v>0</v>
      </c>
      <c r="O23" s="132">
        <f>IF(SER_hh_tes_in!O23=0,0,11630*1000*SER_hh_tes_in!O23/SER_hh_num_in!O23)</f>
        <v>0</v>
      </c>
      <c r="P23" s="132">
        <f>IF(SER_hh_tes_in!P23=0,0,11630*1000*SER_hh_tes_in!P23/SER_hh_num_in!P23)</f>
        <v>0</v>
      </c>
      <c r="Q23" s="132">
        <f>IF(SER_hh_tes_in!Q23=0,0,11630*1000*SER_hh_tes_in!Q23/SER_hh_num_in!Q23)</f>
        <v>0</v>
      </c>
      <c r="R23" s="132">
        <f>IF(SER_hh_tes_in!R23=0,0,11630*1000*SER_hh_tes_in!R23/SER_hh_num_in!R23)</f>
        <v>0</v>
      </c>
      <c r="S23" s="132">
        <f>IF(SER_hh_tes_in!S23=0,0,11630*1000*SER_hh_tes_in!S23/SER_hh_num_in!S23)</f>
        <v>0</v>
      </c>
      <c r="T23" s="132">
        <f>IF(SER_hh_tes_in!T23=0,0,11630*1000*SER_hh_tes_in!T23/SER_hh_num_in!T23)</f>
        <v>0</v>
      </c>
      <c r="U23" s="132">
        <f>IF(SER_hh_tes_in!U23=0,0,11630*1000*SER_hh_tes_in!U23/SER_hh_num_in!U23)</f>
        <v>0</v>
      </c>
      <c r="V23" s="132">
        <f>IF(SER_hh_tes_in!V23=0,0,11630*1000*SER_hh_tes_in!V23/SER_hh_num_in!V23)</f>
        <v>0</v>
      </c>
      <c r="W23" s="132">
        <f>IF(SER_hh_tes_in!W23=0,0,11630*1000*SER_hh_tes_in!W23/SER_hh_num_in!W23)</f>
        <v>0</v>
      </c>
      <c r="X23" s="132">
        <f>IF(SER_hh_tes_in!X23=0,0,11630*1000*SER_hh_tes_in!X23/SER_hh_num_in!X23)</f>
        <v>0</v>
      </c>
      <c r="Y23" s="132">
        <f>IF(SER_hh_tes_in!Y23=0,0,11630*1000*SER_hh_tes_in!Y23/SER_hh_num_in!Y23)</f>
        <v>0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0</v>
      </c>
      <c r="D25" s="132">
        <f>IF(SER_hh_tes_in!D25=0,0,11630*1000*SER_hh_tes_in!D25/SER_hh_num_in!D25)</f>
        <v>0</v>
      </c>
      <c r="E25" s="132">
        <f>IF(SER_hh_tes_in!E25=0,0,11630*1000*SER_hh_tes_in!E25/SER_hh_num_in!E25)</f>
        <v>0</v>
      </c>
      <c r="F25" s="132">
        <f>IF(SER_hh_tes_in!F25=0,0,11630*1000*SER_hh_tes_in!F25/SER_hh_num_in!F25)</f>
        <v>0</v>
      </c>
      <c r="G25" s="132">
        <f>IF(SER_hh_tes_in!G25=0,0,11630*1000*SER_hh_tes_in!G25/SER_hh_num_in!G25)</f>
        <v>0</v>
      </c>
      <c r="H25" s="132">
        <f>IF(SER_hh_tes_in!H25=0,0,11630*1000*SER_hh_tes_in!H25/SER_hh_num_in!H25)</f>
        <v>0</v>
      </c>
      <c r="I25" s="132">
        <f>IF(SER_hh_tes_in!I25=0,0,11630*1000*SER_hh_tes_in!I25/SER_hh_num_in!I25)</f>
        <v>0</v>
      </c>
      <c r="J25" s="132">
        <f>IF(SER_hh_tes_in!J25=0,0,11630*1000*SER_hh_tes_in!J25/SER_hh_num_in!J25)</f>
        <v>0</v>
      </c>
      <c r="K25" s="132">
        <f>IF(SER_hh_tes_in!K25=0,0,11630*1000*SER_hh_tes_in!K25/SER_hh_num_in!K25)</f>
        <v>0</v>
      </c>
      <c r="L25" s="132">
        <f>IF(SER_hh_tes_in!L25=0,0,11630*1000*SER_hh_tes_in!L25/SER_hh_num_in!L25)</f>
        <v>0</v>
      </c>
      <c r="M25" s="132">
        <f>IF(SER_hh_tes_in!M25=0,0,11630*1000*SER_hh_tes_in!M25/SER_hh_num_in!M25)</f>
        <v>38226.926561773253</v>
      </c>
      <c r="N25" s="132">
        <f>IF(SER_hh_tes_in!N25=0,0,11630*1000*SER_hh_tes_in!N25/SER_hh_num_in!N25)</f>
        <v>27459.66837319472</v>
      </c>
      <c r="O25" s="132">
        <f>IF(SER_hh_tes_in!O25=0,0,11630*1000*SER_hh_tes_in!O25/SER_hh_num_in!O25)</f>
        <v>27425.53530756546</v>
      </c>
      <c r="P25" s="132">
        <f>IF(SER_hh_tes_in!P25=0,0,11630*1000*SER_hh_tes_in!P25/SER_hh_num_in!P25)</f>
        <v>0</v>
      </c>
      <c r="Q25" s="132">
        <f>IF(SER_hh_tes_in!Q25=0,0,11630*1000*SER_hh_tes_in!Q25/SER_hh_num_in!Q25)</f>
        <v>0</v>
      </c>
      <c r="R25" s="132">
        <f>IF(SER_hh_tes_in!R25=0,0,11630*1000*SER_hh_tes_in!R25/SER_hh_num_in!R25)</f>
        <v>0</v>
      </c>
      <c r="S25" s="132">
        <f>IF(SER_hh_tes_in!S25=0,0,11630*1000*SER_hh_tes_in!S25/SER_hh_num_in!S25)</f>
        <v>0</v>
      </c>
      <c r="T25" s="132">
        <f>IF(SER_hh_tes_in!T25=0,0,11630*1000*SER_hh_tes_in!T25/SER_hh_num_in!T25)</f>
        <v>0</v>
      </c>
      <c r="U25" s="132">
        <f>IF(SER_hh_tes_in!U25=0,0,11630*1000*SER_hh_tes_in!U25/SER_hh_num_in!U25)</f>
        <v>0</v>
      </c>
      <c r="V25" s="132">
        <f>IF(SER_hh_tes_in!V25=0,0,11630*1000*SER_hh_tes_in!V25/SER_hh_num_in!V25)</f>
        <v>0</v>
      </c>
      <c r="W25" s="132">
        <f>IF(SER_hh_tes_in!W25=0,0,11630*1000*SER_hh_tes_in!W25/SER_hh_num_in!W25)</f>
        <v>0</v>
      </c>
      <c r="X25" s="132">
        <f>IF(SER_hh_tes_in!X25=0,0,11630*1000*SER_hh_tes_in!X25/SER_hh_num_in!X25)</f>
        <v>0</v>
      </c>
      <c r="Y25" s="132">
        <f>IF(SER_hh_tes_in!Y25=0,0,11630*1000*SER_hh_tes_in!Y25/SER_hh_num_in!Y25)</f>
        <v>0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25673.493397797964</v>
      </c>
      <c r="D26" s="65">
        <f>IF(SER_hh_tes_in!D26=0,0,11630*1000*SER_hh_tes_in!D26/SER_hh_num_in!D26)</f>
        <v>26303.850061929497</v>
      </c>
      <c r="E26" s="65">
        <f>IF(SER_hh_tes_in!E26=0,0,11630*1000*SER_hh_tes_in!E26/SER_hh_num_in!E26)</f>
        <v>26670.670618189819</v>
      </c>
      <c r="F26" s="65">
        <f>IF(SER_hh_tes_in!F26=0,0,11630*1000*SER_hh_tes_in!F26/SER_hh_num_in!F26)</f>
        <v>27511.041132441816</v>
      </c>
      <c r="G26" s="65">
        <f>IF(SER_hh_tes_in!G26=0,0,11630*1000*SER_hh_tes_in!G26/SER_hh_num_in!G26)</f>
        <v>27294.202732786453</v>
      </c>
      <c r="H26" s="65">
        <f>IF(SER_hh_tes_in!H26=0,0,11630*1000*SER_hh_tes_in!H26/SER_hh_num_in!H26)</f>
        <v>25125.443706945684</v>
      </c>
      <c r="I26" s="65">
        <f>IF(SER_hh_tes_in!I26=0,0,11630*1000*SER_hh_tes_in!I26/SER_hh_num_in!I26)</f>
        <v>23821.409683076916</v>
      </c>
      <c r="J26" s="65">
        <f>IF(SER_hh_tes_in!J26=0,0,11630*1000*SER_hh_tes_in!J26/SER_hh_num_in!J26)</f>
        <v>23418.120939490247</v>
      </c>
      <c r="K26" s="65">
        <f>IF(SER_hh_tes_in!K26=0,0,11630*1000*SER_hh_tes_in!K26/SER_hh_num_in!K26)</f>
        <v>23887.532517445925</v>
      </c>
      <c r="L26" s="65">
        <f>IF(SER_hh_tes_in!L26=0,0,11630*1000*SER_hh_tes_in!L26/SER_hh_num_in!L26)</f>
        <v>26443.201613166235</v>
      </c>
      <c r="M26" s="65">
        <f>IF(SER_hh_tes_in!M26=0,0,11630*1000*SER_hh_tes_in!M26/SER_hh_num_in!M26)</f>
        <v>26304.041444454815</v>
      </c>
      <c r="N26" s="65">
        <f>IF(SER_hh_tes_in!N26=0,0,11630*1000*SER_hh_tes_in!N26/SER_hh_num_in!N26)</f>
        <v>25486.103338140001</v>
      </c>
      <c r="O26" s="65">
        <f>IF(SER_hh_tes_in!O26=0,0,11630*1000*SER_hh_tes_in!O26/SER_hh_num_in!O26)</f>
        <v>25935.267911683626</v>
      </c>
      <c r="P26" s="65">
        <f>IF(SER_hh_tes_in!P26=0,0,11630*1000*SER_hh_tes_in!P26/SER_hh_num_in!P26)</f>
        <v>25566.982023374716</v>
      </c>
      <c r="Q26" s="65">
        <f>IF(SER_hh_tes_in!Q26=0,0,11630*1000*SER_hh_tes_in!Q26/SER_hh_num_in!Q26)</f>
        <v>25259.36593730496</v>
      </c>
      <c r="R26" s="65">
        <f>IF(SER_hh_tes_in!R26=0,0,11630*1000*SER_hh_tes_in!R26/SER_hh_num_in!R26)</f>
        <v>25135.630347929357</v>
      </c>
      <c r="S26" s="65">
        <f>IF(SER_hh_tes_in!S26=0,0,11630*1000*SER_hh_tes_in!S26/SER_hh_num_in!S26)</f>
        <v>24751.325340161256</v>
      </c>
      <c r="T26" s="65">
        <f>IF(SER_hh_tes_in!T26=0,0,11630*1000*SER_hh_tes_in!T26/SER_hh_num_in!T26)</f>
        <v>24461.984054759538</v>
      </c>
      <c r="U26" s="65">
        <f>IF(SER_hh_tes_in!U26=0,0,11630*1000*SER_hh_tes_in!U26/SER_hh_num_in!U26)</f>
        <v>24340.665480164029</v>
      </c>
      <c r="V26" s="65">
        <f>IF(SER_hh_tes_in!V26=0,0,11630*1000*SER_hh_tes_in!V26/SER_hh_num_in!V26)</f>
        <v>23176.451933365905</v>
      </c>
      <c r="W26" s="65">
        <f>IF(SER_hh_tes_in!W26=0,0,11630*1000*SER_hh_tes_in!W26/SER_hh_num_in!W26)</f>
        <v>23153.821605427773</v>
      </c>
      <c r="X26" s="65">
        <f>IF(SER_hh_tes_in!X26=0,0,11630*1000*SER_hh_tes_in!X26/SER_hh_num_in!X26)</f>
        <v>22729.167038500556</v>
      </c>
      <c r="Y26" s="65">
        <f>IF(SER_hh_tes_in!Y26=0,0,11630*1000*SER_hh_tes_in!Y26/SER_hh_num_in!Y26)</f>
        <v>23859.206407186419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0</v>
      </c>
      <c r="H27" s="145">
        <f>IF(SER_hh_tes_in!H27=0,0,11630*1000*SER_hh_tes_in!H27/SER_hh_num_in!H19)</f>
        <v>0</v>
      </c>
      <c r="I27" s="145">
        <f>IF(SER_hh_tes_in!I27=0,0,11630*1000*SER_hh_tes_in!I27/SER_hh_num_in!I19)</f>
        <v>0</v>
      </c>
      <c r="J27" s="145">
        <f>IF(SER_hh_tes_in!J27=0,0,11630*1000*SER_hh_tes_in!J27/SER_hh_num_in!J19)</f>
        <v>0</v>
      </c>
      <c r="K27" s="145">
        <f>IF(SER_hh_tes_in!K27=0,0,11630*1000*SER_hh_tes_in!K27/SER_hh_num_in!K19)</f>
        <v>0</v>
      </c>
      <c r="L27" s="145">
        <f>IF(SER_hh_tes_in!L27=0,0,11630*1000*SER_hh_tes_in!L27/SER_hh_num_in!L19)</f>
        <v>0</v>
      </c>
      <c r="M27" s="145">
        <f>IF(SER_hh_tes_in!M27=0,0,11630*1000*SER_hh_tes_in!M27/SER_hh_num_in!M19)</f>
        <v>0</v>
      </c>
      <c r="N27" s="145">
        <f>IF(SER_hh_tes_in!N27=0,0,11630*1000*SER_hh_tes_in!N27/SER_hh_num_in!N19)</f>
        <v>0</v>
      </c>
      <c r="O27" s="145">
        <f>IF(SER_hh_tes_in!O27=0,0,11630*1000*SER_hh_tes_in!O27/SER_hh_num_in!O19)</f>
        <v>0</v>
      </c>
      <c r="P27" s="145">
        <f>IF(SER_hh_tes_in!P27=0,0,11630*1000*SER_hh_tes_in!P27/SER_hh_num_in!P19)</f>
        <v>0</v>
      </c>
      <c r="Q27" s="145">
        <f>IF(SER_hh_tes_in!Q27=0,0,11630*1000*SER_hh_tes_in!Q27/SER_hh_num_in!Q19)</f>
        <v>0</v>
      </c>
      <c r="R27" s="145">
        <f>IF(SER_hh_tes_in!R27=0,0,11630*1000*SER_hh_tes_in!R27/SER_hh_num_in!R19)</f>
        <v>0</v>
      </c>
      <c r="S27" s="145">
        <f>IF(SER_hh_tes_in!S27=0,0,11630*1000*SER_hh_tes_in!S27/SER_hh_num_in!S19)</f>
        <v>0</v>
      </c>
      <c r="T27" s="145">
        <f>IF(SER_hh_tes_in!T27=0,0,11630*1000*SER_hh_tes_in!T27/SER_hh_num_in!T19)</f>
        <v>0</v>
      </c>
      <c r="U27" s="145">
        <f>IF(SER_hh_tes_in!U27=0,0,11630*1000*SER_hh_tes_in!U27/SER_hh_num_in!U19)</f>
        <v>0</v>
      </c>
      <c r="V27" s="145">
        <f>IF(SER_hh_tes_in!V27=0,0,11630*1000*SER_hh_tes_in!V27/SER_hh_num_in!V19)</f>
        <v>0</v>
      </c>
      <c r="W27" s="145">
        <f>IF(SER_hh_tes_in!W27=0,0,11630*1000*SER_hh_tes_in!W27/SER_hh_num_in!W19)</f>
        <v>0</v>
      </c>
      <c r="X27" s="145">
        <f>IF(SER_hh_tes_in!X27=0,0,11630*1000*SER_hh_tes_in!X27/SER_hh_num_in!X19)</f>
        <v>0</v>
      </c>
      <c r="Y27" s="145">
        <f>IF(SER_hh_tes_in!Y27=0,0,11630*1000*SER_hh_tes_in!Y27/SER_hh_num_in!Y19)</f>
        <v>0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0</v>
      </c>
      <c r="H28" s="146">
        <f>IF(SER_hh_tes_in!H27=0,0,11630*1000*SER_hh_tes_in!H27/SER_hh_num_in!H27)</f>
        <v>0</v>
      </c>
      <c r="I28" s="146">
        <f>IF(SER_hh_tes_in!I27=0,0,11630*1000*SER_hh_tes_in!I27/SER_hh_num_in!I27)</f>
        <v>0</v>
      </c>
      <c r="J28" s="146">
        <f>IF(SER_hh_tes_in!J27=0,0,11630*1000*SER_hh_tes_in!J27/SER_hh_num_in!J27)</f>
        <v>0</v>
      </c>
      <c r="K28" s="146">
        <f>IF(SER_hh_tes_in!K27=0,0,11630*1000*SER_hh_tes_in!K27/SER_hh_num_in!K27)</f>
        <v>0</v>
      </c>
      <c r="L28" s="146">
        <f>IF(SER_hh_tes_in!L27=0,0,11630*1000*SER_hh_tes_in!L27/SER_hh_num_in!L27)</f>
        <v>0</v>
      </c>
      <c r="M28" s="146">
        <f>IF(SER_hh_tes_in!M27=0,0,11630*1000*SER_hh_tes_in!M27/SER_hh_num_in!M27)</f>
        <v>0</v>
      </c>
      <c r="N28" s="146">
        <f>IF(SER_hh_tes_in!N27=0,0,11630*1000*SER_hh_tes_in!N27/SER_hh_num_in!N27)</f>
        <v>0</v>
      </c>
      <c r="O28" s="146">
        <f>IF(SER_hh_tes_in!O27=0,0,11630*1000*SER_hh_tes_in!O27/SER_hh_num_in!O27)</f>
        <v>0</v>
      </c>
      <c r="P28" s="146">
        <f>IF(SER_hh_tes_in!P27=0,0,11630*1000*SER_hh_tes_in!P27/SER_hh_num_in!P27)</f>
        <v>0</v>
      </c>
      <c r="Q28" s="146">
        <f>IF(SER_hh_tes_in!Q27=0,0,11630*1000*SER_hh_tes_in!Q27/SER_hh_num_in!Q27)</f>
        <v>0</v>
      </c>
      <c r="R28" s="146">
        <f>IF(SER_hh_tes_in!R27=0,0,11630*1000*SER_hh_tes_in!R27/SER_hh_num_in!R27)</f>
        <v>0</v>
      </c>
      <c r="S28" s="146">
        <f>IF(SER_hh_tes_in!S27=0,0,11630*1000*SER_hh_tes_in!S27/SER_hh_num_in!S27)</f>
        <v>0</v>
      </c>
      <c r="T28" s="146">
        <f>IF(SER_hh_tes_in!T27=0,0,11630*1000*SER_hh_tes_in!T27/SER_hh_num_in!T27)</f>
        <v>0</v>
      </c>
      <c r="U28" s="146">
        <f>IF(SER_hh_tes_in!U27=0,0,11630*1000*SER_hh_tes_in!U27/SER_hh_num_in!U27)</f>
        <v>0</v>
      </c>
      <c r="V28" s="146">
        <f>IF(SER_hh_tes_in!V27=0,0,11630*1000*SER_hh_tes_in!V27/SER_hh_num_in!V27)</f>
        <v>0</v>
      </c>
      <c r="W28" s="146">
        <f>IF(SER_hh_tes_in!W27=0,0,11630*1000*SER_hh_tes_in!W27/SER_hh_num_in!W27)</f>
        <v>0</v>
      </c>
      <c r="X28" s="146">
        <f>IF(SER_hh_tes_in!X27=0,0,11630*1000*SER_hh_tes_in!X27/SER_hh_num_in!X27)</f>
        <v>0</v>
      </c>
      <c r="Y28" s="146">
        <f>IF(SER_hh_tes_in!Y27=0,0,11630*1000*SER_hh_tes_in!Y27/SER_hh_num_in!Y27)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41775.792267784738</v>
      </c>
      <c r="D29" s="130">
        <f>IF(SER_hh_tes_in!D29=0,0,11630*1000*SER_hh_tes_in!D29/SER_hh_num_in!D29)</f>
        <v>42965.855622787312</v>
      </c>
      <c r="E29" s="130">
        <f>IF(SER_hh_tes_in!E29=0,0,11630*1000*SER_hh_tes_in!E29/SER_hh_num_in!E29)</f>
        <v>44050.096550695343</v>
      </c>
      <c r="F29" s="130">
        <f>IF(SER_hh_tes_in!F29=0,0,11630*1000*SER_hh_tes_in!F29/SER_hh_num_in!F29)</f>
        <v>44793.12676446727</v>
      </c>
      <c r="G29" s="130">
        <f>IF(SER_hh_tes_in!G29=0,0,11630*1000*SER_hh_tes_in!G29/SER_hh_num_in!G29)</f>
        <v>43046.453074640936</v>
      </c>
      <c r="H29" s="130">
        <f>IF(SER_hh_tes_in!H29=0,0,11630*1000*SER_hh_tes_in!H29/SER_hh_num_in!H29)</f>
        <v>43590.144250951649</v>
      </c>
      <c r="I29" s="130">
        <f>IF(SER_hh_tes_in!I29=0,0,11630*1000*SER_hh_tes_in!I29/SER_hh_num_in!I29)</f>
        <v>41633.089190006278</v>
      </c>
      <c r="J29" s="130">
        <f>IF(SER_hh_tes_in!J29=0,0,11630*1000*SER_hh_tes_in!J29/SER_hh_num_in!J29)</f>
        <v>41719.468616845756</v>
      </c>
      <c r="K29" s="130">
        <f>IF(SER_hh_tes_in!K29=0,0,11630*1000*SER_hh_tes_in!K29/SER_hh_num_in!K29)</f>
        <v>44476.970155429786</v>
      </c>
      <c r="L29" s="130">
        <f>IF(SER_hh_tes_in!L29=0,0,11630*1000*SER_hh_tes_in!L29/SER_hh_num_in!L29)</f>
        <v>43429.488005705265</v>
      </c>
      <c r="M29" s="130">
        <f>IF(SER_hh_tes_in!M29=0,0,11630*1000*SER_hh_tes_in!M29/SER_hh_num_in!M29)</f>
        <v>42844.615987364064</v>
      </c>
      <c r="N29" s="130">
        <f>IF(SER_hh_tes_in!N29=0,0,11630*1000*SER_hh_tes_in!N29/SER_hh_num_in!N29)</f>
        <v>42101.159776997876</v>
      </c>
      <c r="O29" s="130">
        <f>IF(SER_hh_tes_in!O29=0,0,11630*1000*SER_hh_tes_in!O29/SER_hh_num_in!O29)</f>
        <v>41978.529308392506</v>
      </c>
      <c r="P29" s="130">
        <f>IF(SER_hh_tes_in!P29=0,0,11630*1000*SER_hh_tes_in!P29/SER_hh_num_in!P29)</f>
        <v>42421.195850080672</v>
      </c>
      <c r="Q29" s="130">
        <f>IF(SER_hh_tes_in!Q29=0,0,11630*1000*SER_hh_tes_in!Q29/SER_hh_num_in!Q29)</f>
        <v>42414.543801006665</v>
      </c>
      <c r="R29" s="130">
        <f>IF(SER_hh_tes_in!R29=0,0,11630*1000*SER_hh_tes_in!R29/SER_hh_num_in!R29)</f>
        <v>42165.319227593194</v>
      </c>
      <c r="S29" s="130">
        <f>IF(SER_hh_tes_in!S29=0,0,11630*1000*SER_hh_tes_in!S29/SER_hh_num_in!S29)</f>
        <v>41399.170993044303</v>
      </c>
      <c r="T29" s="130">
        <f>IF(SER_hh_tes_in!T29=0,0,11630*1000*SER_hh_tes_in!T29/SER_hh_num_in!T29)</f>
        <v>43451.571652814506</v>
      </c>
      <c r="U29" s="130">
        <f>IF(SER_hh_tes_in!U29=0,0,11630*1000*SER_hh_tes_in!U29/SER_hh_num_in!U29)</f>
        <v>42767.60478860201</v>
      </c>
      <c r="V29" s="130">
        <f>IF(SER_hh_tes_in!V29=0,0,11630*1000*SER_hh_tes_in!V29/SER_hh_num_in!V29)</f>
        <v>39200.683207573871</v>
      </c>
      <c r="W29" s="130">
        <f>IF(SER_hh_tes_in!W29=0,0,11630*1000*SER_hh_tes_in!W29/SER_hh_num_in!W29)</f>
        <v>41170.055774600783</v>
      </c>
      <c r="X29" s="130">
        <f>IF(SER_hh_tes_in!X29=0,0,11630*1000*SER_hh_tes_in!X29/SER_hh_num_in!X29)</f>
        <v>41388.911164646895</v>
      </c>
      <c r="Y29" s="130">
        <f>IF(SER_hh_tes_in!Y29=0,0,11630*1000*SER_hh_tes_in!Y29/SER_hh_num_in!Y29)</f>
        <v>42714.381404514184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39302.145573360969</v>
      </c>
      <c r="D30" s="132">
        <f>IF(SER_hh_tes_in!D30=0,0,11630*1000*SER_hh_tes_in!D30/SER_hh_num_in!D30)</f>
        <v>46447.300094304272</v>
      </c>
      <c r="E30" s="132">
        <f>IF(SER_hh_tes_in!E30=0,0,11630*1000*SER_hh_tes_in!E30/SER_hh_num_in!E30)</f>
        <v>44599.405649344117</v>
      </c>
      <c r="F30" s="132">
        <f>IF(SER_hh_tes_in!F30=0,0,11630*1000*SER_hh_tes_in!F30/SER_hh_num_in!F30)</f>
        <v>38902.68460364738</v>
      </c>
      <c r="G30" s="132">
        <f>IF(SER_hh_tes_in!G30=0,0,11630*1000*SER_hh_tes_in!G30/SER_hh_num_in!G30)</f>
        <v>34103.169053025871</v>
      </c>
      <c r="H30" s="132">
        <f>IF(SER_hh_tes_in!H30=0,0,11630*1000*SER_hh_tes_in!H30/SER_hh_num_in!H30)</f>
        <v>43640.035122045323</v>
      </c>
      <c r="I30" s="132">
        <f>IF(SER_hh_tes_in!I30=0,0,11630*1000*SER_hh_tes_in!I30/SER_hh_num_in!I30)</f>
        <v>37771.069115082086</v>
      </c>
      <c r="J30" s="132">
        <f>IF(SER_hh_tes_in!J30=0,0,11630*1000*SER_hh_tes_in!J30/SER_hh_num_in!J30)</f>
        <v>41726.500603876179</v>
      </c>
      <c r="K30" s="132">
        <f>IF(SER_hh_tes_in!K30=0,0,11630*1000*SER_hh_tes_in!K30/SER_hh_num_in!K30)</f>
        <v>51605.138631289912</v>
      </c>
      <c r="L30" s="132">
        <f>IF(SER_hh_tes_in!L30=0,0,11630*1000*SER_hh_tes_in!L30/SER_hh_num_in!L30)</f>
        <v>39127.974227888641</v>
      </c>
      <c r="M30" s="132">
        <f>IF(SER_hh_tes_in!M30=0,0,11630*1000*SER_hh_tes_in!M30/SER_hh_num_in!M30)</f>
        <v>43917.973649491491</v>
      </c>
      <c r="N30" s="132">
        <f>IF(SER_hh_tes_in!N30=0,0,11630*1000*SER_hh_tes_in!N30/SER_hh_num_in!N30)</f>
        <v>42481.638753605905</v>
      </c>
      <c r="O30" s="132">
        <f>IF(SER_hh_tes_in!O30=0,0,11630*1000*SER_hh_tes_in!O30/SER_hh_num_in!O30)</f>
        <v>41208.666992622537</v>
      </c>
      <c r="P30" s="132">
        <f>IF(SER_hh_tes_in!P30=0,0,11630*1000*SER_hh_tes_in!P30/SER_hh_num_in!P30)</f>
        <v>40809.083166078526</v>
      </c>
      <c r="Q30" s="132">
        <f>IF(SER_hh_tes_in!Q30=0,0,11630*1000*SER_hh_tes_in!Q30/SER_hh_num_in!Q30)</f>
        <v>45141.516129462107</v>
      </c>
      <c r="R30" s="132">
        <f>IF(SER_hh_tes_in!R30=0,0,11630*1000*SER_hh_tes_in!R30/SER_hh_num_in!R30)</f>
        <v>36914.313044270559</v>
      </c>
      <c r="S30" s="132">
        <f>IF(SER_hh_tes_in!S30=0,0,11630*1000*SER_hh_tes_in!S30/SER_hh_num_in!S30)</f>
        <v>39922.738894351402</v>
      </c>
      <c r="T30" s="132">
        <f>IF(SER_hh_tes_in!T30=0,0,11630*1000*SER_hh_tes_in!T30/SER_hh_num_in!T30)</f>
        <v>46873.928395041235</v>
      </c>
      <c r="U30" s="132">
        <f>IF(SER_hh_tes_in!U30=0,0,11630*1000*SER_hh_tes_in!U30/SER_hh_num_in!U30)</f>
        <v>48110.259968933351</v>
      </c>
      <c r="V30" s="132">
        <f>IF(SER_hh_tes_in!V30=0,0,11630*1000*SER_hh_tes_in!V30/SER_hh_num_in!V30)</f>
        <v>31028.83062175164</v>
      </c>
      <c r="W30" s="132">
        <f>IF(SER_hh_tes_in!W30=0,0,11630*1000*SER_hh_tes_in!W30/SER_hh_num_in!W30)</f>
        <v>33304.157368784552</v>
      </c>
      <c r="X30" s="132">
        <f>IF(SER_hh_tes_in!X30=0,0,11630*1000*SER_hh_tes_in!X30/SER_hh_num_in!X30)</f>
        <v>40665.831520216794</v>
      </c>
      <c r="Y30" s="132">
        <f>IF(SER_hh_tes_in!Y30=0,0,11630*1000*SER_hh_tes_in!Y30/SER_hh_num_in!Y30)</f>
        <v>44349.540833343774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0</v>
      </c>
      <c r="D31" s="132">
        <f>IF(SER_hh_tes_in!D31=0,0,11630*1000*SER_hh_tes_in!D31/SER_hh_num_in!D31)</f>
        <v>0</v>
      </c>
      <c r="E31" s="132">
        <f>IF(SER_hh_tes_in!E31=0,0,11630*1000*SER_hh_tes_in!E31/SER_hh_num_in!E31)</f>
        <v>0</v>
      </c>
      <c r="F31" s="132">
        <f>IF(SER_hh_tes_in!F31=0,0,11630*1000*SER_hh_tes_in!F31/SER_hh_num_in!F31)</f>
        <v>0</v>
      </c>
      <c r="G31" s="132">
        <f>IF(SER_hh_tes_in!G31=0,0,11630*1000*SER_hh_tes_in!G31/SER_hh_num_in!G31)</f>
        <v>0</v>
      </c>
      <c r="H31" s="132">
        <f>IF(SER_hh_tes_in!H31=0,0,11630*1000*SER_hh_tes_in!H31/SER_hh_num_in!H31)</f>
        <v>0</v>
      </c>
      <c r="I31" s="132">
        <f>IF(SER_hh_tes_in!I31=0,0,11630*1000*SER_hh_tes_in!I31/SER_hh_num_in!I31)</f>
        <v>0</v>
      </c>
      <c r="J31" s="132">
        <f>IF(SER_hh_tes_in!J31=0,0,11630*1000*SER_hh_tes_in!J31/SER_hh_num_in!J31)</f>
        <v>0</v>
      </c>
      <c r="K31" s="132">
        <f>IF(SER_hh_tes_in!K31=0,0,11630*1000*SER_hh_tes_in!K31/SER_hh_num_in!K31)</f>
        <v>0</v>
      </c>
      <c r="L31" s="132">
        <f>IF(SER_hh_tes_in!L31=0,0,11630*1000*SER_hh_tes_in!L31/SER_hh_num_in!L31)</f>
        <v>0</v>
      </c>
      <c r="M31" s="132">
        <f>IF(SER_hh_tes_in!M31=0,0,11630*1000*SER_hh_tes_in!M31/SER_hh_num_in!M31)</f>
        <v>0</v>
      </c>
      <c r="N31" s="132">
        <f>IF(SER_hh_tes_in!N31=0,0,11630*1000*SER_hh_tes_in!N31/SER_hh_num_in!N31)</f>
        <v>0</v>
      </c>
      <c r="O31" s="132">
        <f>IF(SER_hh_tes_in!O31=0,0,11630*1000*SER_hh_tes_in!O31/SER_hh_num_in!O31)</f>
        <v>0</v>
      </c>
      <c r="P31" s="132">
        <f>IF(SER_hh_tes_in!P31=0,0,11630*1000*SER_hh_tes_in!P31/SER_hh_num_in!P31)</f>
        <v>0</v>
      </c>
      <c r="Q31" s="132">
        <f>IF(SER_hh_tes_in!Q31=0,0,11630*1000*SER_hh_tes_in!Q31/SER_hh_num_in!Q31)</f>
        <v>0</v>
      </c>
      <c r="R31" s="132">
        <f>IF(SER_hh_tes_in!R31=0,0,11630*1000*SER_hh_tes_in!R31/SER_hh_num_in!R31)</f>
        <v>0</v>
      </c>
      <c r="S31" s="132">
        <f>IF(SER_hh_tes_in!S31=0,0,11630*1000*SER_hh_tes_in!S31/SER_hh_num_in!S31)</f>
        <v>0</v>
      </c>
      <c r="T31" s="132">
        <f>IF(SER_hh_tes_in!T31=0,0,11630*1000*SER_hh_tes_in!T31/SER_hh_num_in!T31)</f>
        <v>0</v>
      </c>
      <c r="U31" s="132">
        <f>IF(SER_hh_tes_in!U31=0,0,11630*1000*SER_hh_tes_in!U31/SER_hh_num_in!U31)</f>
        <v>0</v>
      </c>
      <c r="V31" s="132">
        <f>IF(SER_hh_tes_in!V31=0,0,11630*1000*SER_hh_tes_in!V31/SER_hh_num_in!V31)</f>
        <v>0</v>
      </c>
      <c r="W31" s="132">
        <f>IF(SER_hh_tes_in!W31=0,0,11630*1000*SER_hh_tes_in!W31/SER_hh_num_in!W31)</f>
        <v>0</v>
      </c>
      <c r="X31" s="132">
        <f>IF(SER_hh_tes_in!X31=0,0,11630*1000*SER_hh_tes_in!X31/SER_hh_num_in!X31)</f>
        <v>0</v>
      </c>
      <c r="Y31" s="132">
        <f>IF(SER_hh_tes_in!Y31=0,0,11630*1000*SER_hh_tes_in!Y31/SER_hh_num_in!Y31)</f>
        <v>0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41921.016868176623</v>
      </c>
      <c r="D33" s="68">
        <f>IF(SER_hh_tes_in!D33=0,0,11630*1000*SER_hh_tes_in!D33/SER_hh_num_in!D33)</f>
        <v>42681.787635701781</v>
      </c>
      <c r="E33" s="68">
        <f>IF(SER_hh_tes_in!E33=0,0,11630*1000*SER_hh_tes_in!E33/SER_hh_num_in!E33)</f>
        <v>44018.116113444674</v>
      </c>
      <c r="F33" s="68">
        <f>IF(SER_hh_tes_in!F33=0,0,11630*1000*SER_hh_tes_in!F33/SER_hh_num_in!F33)</f>
        <v>45473.422409701263</v>
      </c>
      <c r="G33" s="68">
        <f>IF(SER_hh_tes_in!G33=0,0,11630*1000*SER_hh_tes_in!G33/SER_hh_num_in!G33)</f>
        <v>44555.572086440719</v>
      </c>
      <c r="H33" s="68">
        <f>IF(SER_hh_tes_in!H33=0,0,11630*1000*SER_hh_tes_in!H33/SER_hh_num_in!H33)</f>
        <v>43568.585951993307</v>
      </c>
      <c r="I33" s="68">
        <f>IF(SER_hh_tes_in!I33=0,0,11630*1000*SER_hh_tes_in!I33/SER_hh_num_in!I33)</f>
        <v>43957.473843571715</v>
      </c>
      <c r="J33" s="68">
        <f>IF(SER_hh_tes_in!J33=0,0,11630*1000*SER_hh_tes_in!J33/SER_hh_num_in!J33)</f>
        <v>41716.013538983992</v>
      </c>
      <c r="K33" s="68">
        <f>IF(SER_hh_tes_in!K33=0,0,11630*1000*SER_hh_tes_in!K33/SER_hh_num_in!K33)</f>
        <v>39364.023470615095</v>
      </c>
      <c r="L33" s="68">
        <f>IF(SER_hh_tes_in!L33=0,0,11630*1000*SER_hh_tes_in!L33/SER_hh_num_in!L33)</f>
        <v>43975.797009239956</v>
      </c>
      <c r="M33" s="68">
        <f>IF(SER_hh_tes_in!M33=0,0,11630*1000*SER_hh_tes_in!M33/SER_hh_num_in!M33)</f>
        <v>42608.296908936187</v>
      </c>
      <c r="N33" s="68">
        <f>IF(SER_hh_tes_in!N33=0,0,11630*1000*SER_hh_tes_in!N33/SER_hh_num_in!N33)</f>
        <v>42076.118683729132</v>
      </c>
      <c r="O33" s="68">
        <f>IF(SER_hh_tes_in!O33=0,0,11630*1000*SER_hh_tes_in!O33/SER_hh_num_in!O33)</f>
        <v>42115.181952579595</v>
      </c>
      <c r="P33" s="68">
        <f>IF(SER_hh_tes_in!P33=0,0,11630*1000*SER_hh_tes_in!P33/SER_hh_num_in!P33)</f>
        <v>42691.764366105956</v>
      </c>
      <c r="Q33" s="68">
        <f>IF(SER_hh_tes_in!Q33=0,0,11630*1000*SER_hh_tes_in!Q33/SER_hh_num_in!Q33)</f>
        <v>41523.869753520317</v>
      </c>
      <c r="R33" s="68">
        <f>IF(SER_hh_tes_in!R33=0,0,11630*1000*SER_hh_tes_in!R33/SER_hh_num_in!R33)</f>
        <v>44090.276721015449</v>
      </c>
      <c r="S33" s="68">
        <f>IF(SER_hh_tes_in!S33=0,0,11630*1000*SER_hh_tes_in!S33/SER_hh_num_in!S33)</f>
        <v>42630.706552878706</v>
      </c>
      <c r="T33" s="68">
        <f>IF(SER_hh_tes_in!T33=0,0,11630*1000*SER_hh_tes_in!T33/SER_hh_num_in!T33)</f>
        <v>40559.755760420172</v>
      </c>
      <c r="U33" s="68">
        <f>IF(SER_hh_tes_in!U33=0,0,11630*1000*SER_hh_tes_in!U33/SER_hh_num_in!U33)</f>
        <v>40495.865847813286</v>
      </c>
      <c r="V33" s="68">
        <f>IF(SER_hh_tes_in!V33=0,0,11630*1000*SER_hh_tes_in!V33/SER_hh_num_in!V33)</f>
        <v>42679.715462480359</v>
      </c>
      <c r="W33" s="68">
        <f>IF(SER_hh_tes_in!W33=0,0,11630*1000*SER_hh_tes_in!W33/SER_hh_num_in!W33)</f>
        <v>43781.870687065173</v>
      </c>
      <c r="X33" s="68">
        <f>IF(SER_hh_tes_in!X33=0,0,11630*1000*SER_hh_tes_in!X33/SER_hh_num_in!X33)</f>
        <v>41715.751926567158</v>
      </c>
      <c r="Y33" s="68">
        <f>IF(SER_hh_tes_in!Y33=0,0,11630*1000*SER_hh_tes_in!Y33/SER_hh_num_in!Y33)</f>
        <v>41904.308738912456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14804.467870508142</v>
      </c>
      <c r="D3" s="125">
        <f>IF(SER_hh_emi_in!D3=0,0,1000000*SER_hh_emi_in!D3/SER_hh_num_in!D3)</f>
        <v>17997.195122020716</v>
      </c>
      <c r="E3" s="125">
        <f>IF(SER_hh_emi_in!E3=0,0,1000000*SER_hh_emi_in!E3/SER_hh_num_in!E3)</f>
        <v>14558.433343414183</v>
      </c>
      <c r="F3" s="125">
        <f>IF(SER_hh_emi_in!F3=0,0,1000000*SER_hh_emi_in!F3/SER_hh_num_in!F3)</f>
        <v>6274.75716689193</v>
      </c>
      <c r="G3" s="125">
        <f>IF(SER_hh_emi_in!G3=0,0,1000000*SER_hh_emi_in!G3/SER_hh_num_in!G3)</f>
        <v>7166.2696626051566</v>
      </c>
      <c r="H3" s="125">
        <f>IF(SER_hh_emi_in!H3=0,0,1000000*SER_hh_emi_in!H3/SER_hh_num_in!H3)</f>
        <v>24633.749316258898</v>
      </c>
      <c r="I3" s="125">
        <f>IF(SER_hh_emi_in!I3=0,0,1000000*SER_hh_emi_in!I3/SER_hh_num_in!I3)</f>
        <v>27487.490956676433</v>
      </c>
      <c r="J3" s="125">
        <f>IF(SER_hh_emi_in!J3=0,0,1000000*SER_hh_emi_in!J3/SER_hh_num_in!J3)</f>
        <v>24440.881445061845</v>
      </c>
      <c r="K3" s="125">
        <f>IF(SER_hh_emi_in!K3=0,0,1000000*SER_hh_emi_in!K3/SER_hh_num_in!K3)</f>
        <v>10457.186908177986</v>
      </c>
      <c r="L3" s="125">
        <f>IF(SER_hh_emi_in!L3=0,0,1000000*SER_hh_emi_in!L3/SER_hh_num_in!L3)</f>
        <v>4192.1308928331027</v>
      </c>
      <c r="M3" s="125">
        <f>IF(SER_hh_emi_in!M3=0,0,1000000*SER_hh_emi_in!M3/SER_hh_num_in!M3)</f>
        <v>10455.884014567151</v>
      </c>
      <c r="N3" s="125">
        <f>IF(SER_hh_emi_in!N3=0,0,1000000*SER_hh_emi_in!N3/SER_hh_num_in!N3)</f>
        <v>21709.301570140255</v>
      </c>
      <c r="O3" s="125">
        <f>IF(SER_hh_emi_in!O3=0,0,1000000*SER_hh_emi_in!O3/SER_hh_num_in!O3)</f>
        <v>21743.517822276754</v>
      </c>
      <c r="P3" s="125">
        <f>IF(SER_hh_emi_in!P3=0,0,1000000*SER_hh_emi_in!P3/SER_hh_num_in!P3)</f>
        <v>26823.82607228644</v>
      </c>
      <c r="Q3" s="125">
        <f>IF(SER_hh_emi_in!Q3=0,0,1000000*SER_hh_emi_in!Q3/SER_hh_num_in!Q3)</f>
        <v>20724.239285753367</v>
      </c>
      <c r="R3" s="125">
        <f>IF(SER_hh_emi_in!R3=0,0,1000000*SER_hh_emi_in!R3/SER_hh_num_in!R3)</f>
        <v>6557.3236536578979</v>
      </c>
      <c r="S3" s="125">
        <f>IF(SER_hh_emi_in!S3=0,0,1000000*SER_hh_emi_in!S3/SER_hh_num_in!S3)</f>
        <v>8348.7724797509072</v>
      </c>
      <c r="T3" s="125">
        <f>IF(SER_hh_emi_in!T3=0,0,1000000*SER_hh_emi_in!T3/SER_hh_num_in!T3)</f>
        <v>10196.223120379656</v>
      </c>
      <c r="U3" s="125">
        <f>IF(SER_hh_emi_in!U3=0,0,1000000*SER_hh_emi_in!U3/SER_hh_num_in!U3)</f>
        <v>7264.6958288276455</v>
      </c>
      <c r="V3" s="125">
        <f>IF(SER_hh_emi_in!V3=0,0,1000000*SER_hh_emi_in!V3/SER_hh_num_in!V3)</f>
        <v>4477.1382444281835</v>
      </c>
      <c r="W3" s="125">
        <f>IF(SER_hh_emi_in!W3=0,0,1000000*SER_hh_emi_in!W3/SER_hh_num_in!W3)</f>
        <v>5521.7645772378737</v>
      </c>
      <c r="X3" s="125">
        <f>IF(SER_hh_emi_in!X3=0,0,1000000*SER_hh_emi_in!X3/SER_hh_num_in!X3)</f>
        <v>6476.8108434046944</v>
      </c>
      <c r="Y3" s="125">
        <f>IF(SER_hh_emi_in!Y3=0,0,1000000*SER_hh_emi_in!Y3/SER_hh_num_in!Y3)</f>
        <v>5892.6136870831861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13236.922363279133</v>
      </c>
      <c r="D4" s="130">
        <f>IF(SER_hh_emi_in!D4=0,0,1000000*SER_hh_emi_in!D4/SER_hh_num_in!D4)</f>
        <v>16050.916737320969</v>
      </c>
      <c r="E4" s="130">
        <f>IF(SER_hh_emi_in!E4=0,0,1000000*SER_hh_emi_in!E4/SER_hh_num_in!E4)</f>
        <v>12832.948379611209</v>
      </c>
      <c r="F4" s="130">
        <f>IF(SER_hh_emi_in!F4=0,0,1000000*SER_hh_emi_in!F4/SER_hh_num_in!F4)</f>
        <v>3452.1941377294334</v>
      </c>
      <c r="G4" s="130">
        <f>IF(SER_hh_emi_in!G4=0,0,1000000*SER_hh_emi_in!G4/SER_hh_num_in!G4)</f>
        <v>3278.9441525818688</v>
      </c>
      <c r="H4" s="130">
        <f>IF(SER_hh_emi_in!H4=0,0,1000000*SER_hh_emi_in!H4/SER_hh_num_in!H4)</f>
        <v>16389.770716388401</v>
      </c>
      <c r="I4" s="130">
        <f>IF(SER_hh_emi_in!I4=0,0,1000000*SER_hh_emi_in!I4/SER_hh_num_in!I4)</f>
        <v>20099.848461149457</v>
      </c>
      <c r="J4" s="130">
        <f>IF(SER_hh_emi_in!J4=0,0,1000000*SER_hh_emi_in!J4/SER_hh_num_in!J4)</f>
        <v>17657.438343823531</v>
      </c>
      <c r="K4" s="130">
        <f>IF(SER_hh_emi_in!K4=0,0,1000000*SER_hh_emi_in!K4/SER_hh_num_in!K4)</f>
        <v>541.87880510099319</v>
      </c>
      <c r="L4" s="130">
        <f>IF(SER_hh_emi_in!L4=0,0,1000000*SER_hh_emi_in!L4/SER_hh_num_in!L4)</f>
        <v>2415.3093505998213</v>
      </c>
      <c r="M4" s="130">
        <f>IF(SER_hh_emi_in!M4=0,0,1000000*SER_hh_emi_in!M4/SER_hh_num_in!M4)</f>
        <v>7266.1517779349451</v>
      </c>
      <c r="N4" s="130">
        <f>IF(SER_hh_emi_in!N4=0,0,1000000*SER_hh_emi_in!N4/SER_hh_num_in!N4)</f>
        <v>20654.071463898465</v>
      </c>
      <c r="O4" s="130">
        <f>IF(SER_hh_emi_in!O4=0,0,1000000*SER_hh_emi_in!O4/SER_hh_num_in!O4)</f>
        <v>19245.624118819494</v>
      </c>
      <c r="P4" s="130">
        <f>IF(SER_hh_emi_in!P4=0,0,1000000*SER_hh_emi_in!P4/SER_hh_num_in!P4)</f>
        <v>24467.984445042373</v>
      </c>
      <c r="Q4" s="130">
        <f>IF(SER_hh_emi_in!Q4=0,0,1000000*SER_hh_emi_in!Q4/SER_hh_num_in!Q4)</f>
        <v>16278.781896427698</v>
      </c>
      <c r="R4" s="130">
        <f>IF(SER_hh_emi_in!R4=0,0,1000000*SER_hh_emi_in!R4/SER_hh_num_in!R4)</f>
        <v>2640.0498623315539</v>
      </c>
      <c r="S4" s="130">
        <f>IF(SER_hh_emi_in!S4=0,0,1000000*SER_hh_emi_in!S4/SER_hh_num_in!S4)</f>
        <v>1044.9933921277459</v>
      </c>
      <c r="T4" s="130">
        <f>IF(SER_hh_emi_in!T4=0,0,1000000*SER_hh_emi_in!T4/SER_hh_num_in!T4)</f>
        <v>1643.6014993175988</v>
      </c>
      <c r="U4" s="130">
        <f>IF(SER_hh_emi_in!U4=0,0,1000000*SER_hh_emi_in!U4/SER_hh_num_in!U4)</f>
        <v>1620.9206995558955</v>
      </c>
      <c r="V4" s="130">
        <f>IF(SER_hh_emi_in!V4=0,0,1000000*SER_hh_emi_in!V4/SER_hh_num_in!V4)</f>
        <v>826.38362341246557</v>
      </c>
      <c r="W4" s="130">
        <f>IF(SER_hh_emi_in!W4=0,0,1000000*SER_hh_emi_in!W4/SER_hh_num_in!W4)</f>
        <v>2105.5998523295243</v>
      </c>
      <c r="X4" s="130">
        <f>IF(SER_hh_emi_in!X4=0,0,1000000*SER_hh_emi_in!X4/SER_hh_num_in!X4)</f>
        <v>1646.4832852916745</v>
      </c>
      <c r="Y4" s="130">
        <f>IF(SER_hh_emi_in!Y4=0,0,1000000*SER_hh_emi_in!Y4/SER_hh_num_in!Y4)</f>
        <v>279.14429941513953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24440.90107181633</v>
      </c>
      <c r="D6" s="132">
        <f>IF(SER_hh_emi_in!D6=0,0,1000000*SER_hh_emi_in!D6/SER_hh_num_in!D6)</f>
        <v>24648.534901412273</v>
      </c>
      <c r="E6" s="132">
        <f>IF(SER_hh_emi_in!E6=0,0,1000000*SER_hh_emi_in!E6/SER_hh_num_in!E6)</f>
        <v>27525.859978872941</v>
      </c>
      <c r="F6" s="132">
        <f>IF(SER_hh_emi_in!F6=0,0,1000000*SER_hh_emi_in!F6/SER_hh_num_in!F6)</f>
        <v>28531.108639338458</v>
      </c>
      <c r="G6" s="132">
        <f>IF(SER_hh_emi_in!G6=0,0,1000000*SER_hh_emi_in!G6/SER_hh_num_in!G6)</f>
        <v>24433.007117397898</v>
      </c>
      <c r="H6" s="132">
        <f>IF(SER_hh_emi_in!H6=0,0,1000000*SER_hh_emi_in!H6/SER_hh_num_in!H6)</f>
        <v>27801.655359529268</v>
      </c>
      <c r="I6" s="132">
        <f>IF(SER_hh_emi_in!I6=0,0,1000000*SER_hh_emi_in!I6/SER_hh_num_in!I6)</f>
        <v>30768.28870132165</v>
      </c>
      <c r="J6" s="132">
        <f>IF(SER_hh_emi_in!J6=0,0,1000000*SER_hh_emi_in!J6/SER_hh_num_in!J6)</f>
        <v>16249.543586983009</v>
      </c>
      <c r="K6" s="132">
        <f>IF(SER_hh_emi_in!K6=0,0,1000000*SER_hh_emi_in!K6/SER_hh_num_in!K6)</f>
        <v>8323.1965494592878</v>
      </c>
      <c r="L6" s="132">
        <f>IF(SER_hh_emi_in!L6=0,0,1000000*SER_hh_emi_in!L6/SER_hh_num_in!L6)</f>
        <v>36918.967127439573</v>
      </c>
      <c r="M6" s="132">
        <f>IF(SER_hh_emi_in!M6=0,0,1000000*SER_hh_emi_in!M6/SER_hh_num_in!M6)</f>
        <v>27416.262018098761</v>
      </c>
      <c r="N6" s="132">
        <f>IF(SER_hh_emi_in!N6=0,0,1000000*SER_hh_emi_in!N6/SER_hh_num_in!N6)</f>
        <v>32382.255519115042</v>
      </c>
      <c r="O6" s="132">
        <f>IF(SER_hh_emi_in!O6=0,0,1000000*SER_hh_emi_in!O6/SER_hh_num_in!O6)</f>
        <v>0</v>
      </c>
      <c r="P6" s="132">
        <f>IF(SER_hh_emi_in!P6=0,0,1000000*SER_hh_emi_in!P6/SER_hh_num_in!P6)</f>
        <v>22727.65507038635</v>
      </c>
      <c r="Q6" s="132">
        <f>IF(SER_hh_emi_in!Q6=0,0,1000000*SER_hh_emi_in!Q6/SER_hh_num_in!Q6)</f>
        <v>25315.559969320493</v>
      </c>
      <c r="R6" s="132">
        <f>IF(SER_hh_emi_in!R6=0,0,1000000*SER_hh_emi_in!R6/SER_hh_num_in!R6)</f>
        <v>20004.673918578006</v>
      </c>
      <c r="S6" s="132">
        <f>IF(SER_hh_emi_in!S6=0,0,1000000*SER_hh_emi_in!S6/SER_hh_num_in!S6)</f>
        <v>20664.075124713912</v>
      </c>
      <c r="T6" s="132">
        <f>IF(SER_hh_emi_in!T6=0,0,1000000*SER_hh_emi_in!T6/SER_hh_num_in!T6)</f>
        <v>22632.127686903703</v>
      </c>
      <c r="U6" s="132">
        <f>IF(SER_hh_emi_in!U6=0,0,1000000*SER_hh_emi_in!U6/SER_hh_num_in!U6)</f>
        <v>19069.073935372457</v>
      </c>
      <c r="V6" s="132">
        <f>IF(SER_hh_emi_in!V6=0,0,1000000*SER_hh_emi_in!V6/SER_hh_num_in!V6)</f>
        <v>12746.821381538957</v>
      </c>
      <c r="W6" s="132">
        <f>IF(SER_hh_emi_in!W6=0,0,1000000*SER_hh_emi_in!W6/SER_hh_num_in!W6)</f>
        <v>10290.272053655397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25432.994556398302</v>
      </c>
      <c r="D7" s="132">
        <f>IF(SER_hh_emi_in!D7=0,0,1000000*SER_hh_emi_in!D7/SER_hh_num_in!D7)</f>
        <v>28964.737020052038</v>
      </c>
      <c r="E7" s="132">
        <f>IF(SER_hh_emi_in!E7=0,0,1000000*SER_hh_emi_in!E7/SER_hh_num_in!E7)</f>
        <v>35375.398942656713</v>
      </c>
      <c r="F7" s="132">
        <f>IF(SER_hh_emi_in!F7=0,0,1000000*SER_hh_emi_in!F7/SER_hh_num_in!F7)</f>
        <v>39549.296461520826</v>
      </c>
      <c r="G7" s="132">
        <f>IF(SER_hh_emi_in!G7=0,0,1000000*SER_hh_emi_in!G7/SER_hh_num_in!G7)</f>
        <v>35238.880723001268</v>
      </c>
      <c r="H7" s="132">
        <f>IF(SER_hh_emi_in!H7=0,0,1000000*SER_hh_emi_in!H7/SER_hh_num_in!H7)</f>
        <v>27583.985415564817</v>
      </c>
      <c r="I7" s="132">
        <f>IF(SER_hh_emi_in!I7=0,0,1000000*SER_hh_emi_in!I7/SER_hh_num_in!I7)</f>
        <v>30157.490363275952</v>
      </c>
      <c r="J7" s="132">
        <f>IF(SER_hh_emi_in!J7=0,0,1000000*SER_hh_emi_in!J7/SER_hh_num_in!J7)</f>
        <v>27595.408840821587</v>
      </c>
      <c r="K7" s="132">
        <f>IF(SER_hh_emi_in!K7=0,0,1000000*SER_hh_emi_in!K7/SER_hh_num_in!K7)</f>
        <v>0</v>
      </c>
      <c r="L7" s="132">
        <f>IF(SER_hh_emi_in!L7=0,0,1000000*SER_hh_emi_in!L7/SER_hh_num_in!L7)</f>
        <v>0</v>
      </c>
      <c r="M7" s="132">
        <f>IF(SER_hh_emi_in!M7=0,0,1000000*SER_hh_emi_in!M7/SER_hh_num_in!M7)</f>
        <v>19988.728605993292</v>
      </c>
      <c r="N7" s="132">
        <f>IF(SER_hh_emi_in!N7=0,0,1000000*SER_hh_emi_in!N7/SER_hh_num_in!N7)</f>
        <v>32054.519545097803</v>
      </c>
      <c r="O7" s="132">
        <f>IF(SER_hh_emi_in!O7=0,0,1000000*SER_hh_emi_in!O7/SER_hh_num_in!O7)</f>
        <v>38962.120494721901</v>
      </c>
      <c r="P7" s="132">
        <f>IF(SER_hh_emi_in!P7=0,0,1000000*SER_hh_emi_in!P7/SER_hh_num_in!P7)</f>
        <v>36597.850385856764</v>
      </c>
      <c r="Q7" s="132">
        <f>IF(SER_hh_emi_in!Q7=0,0,1000000*SER_hh_emi_in!Q7/SER_hh_num_in!Q7)</f>
        <v>40058.989323865266</v>
      </c>
      <c r="R7" s="132">
        <f>IF(SER_hh_emi_in!R7=0,0,1000000*SER_hh_emi_in!R7/SER_hh_num_in!R7)</f>
        <v>36415.247523053826</v>
      </c>
      <c r="S7" s="132">
        <f>IF(SER_hh_emi_in!S7=0,0,1000000*SER_hh_emi_in!S7/SER_hh_num_in!S7)</f>
        <v>0</v>
      </c>
      <c r="T7" s="132">
        <f>IF(SER_hh_emi_in!T7=0,0,1000000*SER_hh_emi_in!T7/SER_hh_num_in!T7)</f>
        <v>0</v>
      </c>
      <c r="U7" s="132">
        <f>IF(SER_hh_emi_in!U7=0,0,1000000*SER_hh_emi_in!U7/SER_hh_num_in!U7)</f>
        <v>0</v>
      </c>
      <c r="V7" s="132">
        <f>IF(SER_hh_emi_in!V7=0,0,1000000*SER_hh_emi_in!V7/SER_hh_num_in!V7)</f>
        <v>0</v>
      </c>
      <c r="W7" s="132">
        <f>IF(SER_hh_emi_in!W7=0,0,1000000*SER_hh_emi_in!W7/SER_hh_num_in!W7)</f>
        <v>11198.552781852819</v>
      </c>
      <c r="X7" s="132">
        <f>IF(SER_hh_emi_in!X7=0,0,1000000*SER_hh_emi_in!X7/SER_hh_num_in!X7)</f>
        <v>8889.7715486927791</v>
      </c>
      <c r="Y7" s="132">
        <f>IF(SER_hh_emi_in!Y7=0,0,1000000*SER_hh_emi_in!Y7/SER_hh_num_in!Y7)</f>
        <v>7805.5201833354249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0</v>
      </c>
      <c r="S8" s="132">
        <f>IF(SER_hh_emi_in!S8=0,0,1000000*SER_hh_emi_in!S8/SER_hh_num_in!S8)</f>
        <v>0</v>
      </c>
      <c r="T8" s="132">
        <f>IF(SER_hh_emi_in!T8=0,0,1000000*SER_hh_emi_in!T8/SER_hh_num_in!T8)</f>
        <v>0</v>
      </c>
      <c r="U8" s="132">
        <f>IF(SER_hh_emi_in!U8=0,0,1000000*SER_hh_emi_in!U8/SER_hh_num_in!U8)</f>
        <v>0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0</v>
      </c>
      <c r="D9" s="132">
        <f>IF(SER_hh_emi_in!D9=0,0,1000000*SER_hh_emi_in!D9/SER_hh_num_in!D9)</f>
        <v>0</v>
      </c>
      <c r="E9" s="132">
        <f>IF(SER_hh_emi_in!E9=0,0,1000000*SER_hh_emi_in!E9/SER_hh_num_in!E9)</f>
        <v>0</v>
      </c>
      <c r="F9" s="132">
        <f>IF(SER_hh_emi_in!F9=0,0,1000000*SER_hh_emi_in!F9/SER_hh_num_in!F9)</f>
        <v>0</v>
      </c>
      <c r="G9" s="132">
        <f>IF(SER_hh_emi_in!G9=0,0,1000000*SER_hh_emi_in!G9/SER_hh_num_in!G9)</f>
        <v>0</v>
      </c>
      <c r="H9" s="132">
        <f>IF(SER_hh_emi_in!H9=0,0,1000000*SER_hh_emi_in!H9/SER_hh_num_in!H9)</f>
        <v>0</v>
      </c>
      <c r="I9" s="132">
        <f>IF(SER_hh_emi_in!I9=0,0,1000000*SER_hh_emi_in!I9/SER_hh_num_in!I9)</f>
        <v>0</v>
      </c>
      <c r="J9" s="132">
        <f>IF(SER_hh_emi_in!J9=0,0,1000000*SER_hh_emi_in!J9/SER_hh_num_in!J9)</f>
        <v>0</v>
      </c>
      <c r="K9" s="132">
        <f>IF(SER_hh_emi_in!K9=0,0,1000000*SER_hh_emi_in!K9/SER_hh_num_in!K9)</f>
        <v>0</v>
      </c>
      <c r="L9" s="132">
        <f>IF(SER_hh_emi_in!L9=0,0,1000000*SER_hh_emi_in!L9/SER_hh_num_in!L9)</f>
        <v>0</v>
      </c>
      <c r="M9" s="132">
        <f>IF(SER_hh_emi_in!M9=0,0,1000000*SER_hh_emi_in!M9/SER_hh_num_in!M9)</f>
        <v>0</v>
      </c>
      <c r="N9" s="132">
        <f>IF(SER_hh_emi_in!N9=0,0,1000000*SER_hh_emi_in!N9/SER_hh_num_in!N9)</f>
        <v>0</v>
      </c>
      <c r="O9" s="132">
        <f>IF(SER_hh_emi_in!O9=0,0,1000000*SER_hh_emi_in!O9/SER_hh_num_in!O9)</f>
        <v>0</v>
      </c>
      <c r="P9" s="132">
        <f>IF(SER_hh_emi_in!P9=0,0,1000000*SER_hh_emi_in!P9/SER_hh_num_in!P9)</f>
        <v>0</v>
      </c>
      <c r="Q9" s="132">
        <f>IF(SER_hh_emi_in!Q9=0,0,1000000*SER_hh_emi_in!Q9/SER_hh_num_in!Q9)</f>
        <v>0</v>
      </c>
      <c r="R9" s="132">
        <f>IF(SER_hh_emi_in!R9=0,0,1000000*SER_hh_emi_in!R9/SER_hh_num_in!R9)</f>
        <v>0</v>
      </c>
      <c r="S9" s="132">
        <f>IF(SER_hh_emi_in!S9=0,0,1000000*SER_hh_emi_in!S9/SER_hh_num_in!S9)</f>
        <v>0</v>
      </c>
      <c r="T9" s="132">
        <f>IF(SER_hh_emi_in!T9=0,0,1000000*SER_hh_emi_in!T9/SER_hh_num_in!T9)</f>
        <v>0</v>
      </c>
      <c r="U9" s="132">
        <f>IF(SER_hh_emi_in!U9=0,0,1000000*SER_hh_emi_in!U9/SER_hh_num_in!U9)</f>
        <v>0</v>
      </c>
      <c r="V9" s="132">
        <f>IF(SER_hh_emi_in!V9=0,0,1000000*SER_hh_emi_in!V9/SER_hh_num_in!V9)</f>
        <v>0</v>
      </c>
      <c r="W9" s="132">
        <f>IF(SER_hh_emi_in!W9=0,0,1000000*SER_hh_emi_in!W9/SER_hh_num_in!W9)</f>
        <v>0</v>
      </c>
      <c r="X9" s="132">
        <f>IF(SER_hh_emi_in!X9=0,0,1000000*SER_hh_emi_in!X9/SER_hh_num_in!X9)</f>
        <v>0</v>
      </c>
      <c r="Y9" s="132">
        <f>IF(SER_hh_emi_in!Y9=0,0,1000000*SER_hh_emi_in!Y9/SER_hh_num_in!Y9)</f>
        <v>0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0</v>
      </c>
      <c r="D16" s="130">
        <f>IF(SER_hh_emi_in!D16=0,0,1000000*SER_hh_emi_in!D16/SER_hh_num_in!D16)</f>
        <v>0</v>
      </c>
      <c r="E16" s="130">
        <f>IF(SER_hh_emi_in!E16=0,0,1000000*SER_hh_emi_in!E16/SER_hh_num_in!E16)</f>
        <v>0</v>
      </c>
      <c r="F16" s="130">
        <f>IF(SER_hh_emi_in!F16=0,0,1000000*SER_hh_emi_in!F16/SER_hh_num_in!F16)</f>
        <v>0</v>
      </c>
      <c r="G16" s="130">
        <f>IF(SER_hh_emi_in!G16=0,0,1000000*SER_hh_emi_in!G16/SER_hh_num_in!G16)</f>
        <v>0</v>
      </c>
      <c r="H16" s="130">
        <f>IF(SER_hh_emi_in!H16=0,0,1000000*SER_hh_emi_in!H16/SER_hh_num_in!H16)</f>
        <v>0</v>
      </c>
      <c r="I16" s="130">
        <f>IF(SER_hh_emi_in!I16=0,0,1000000*SER_hh_emi_in!I16/SER_hh_num_in!I16)</f>
        <v>0</v>
      </c>
      <c r="J16" s="130">
        <f>IF(SER_hh_emi_in!J16=0,0,1000000*SER_hh_emi_in!J16/SER_hh_num_in!J16)</f>
        <v>0</v>
      </c>
      <c r="K16" s="130">
        <f>IF(SER_hh_emi_in!K16=0,0,1000000*SER_hh_emi_in!K16/SER_hh_num_in!K16)</f>
        <v>0</v>
      </c>
      <c r="L16" s="130">
        <f>IF(SER_hh_emi_in!L16=0,0,1000000*SER_hh_emi_in!L16/SER_hh_num_in!L16)</f>
        <v>0</v>
      </c>
      <c r="M16" s="130">
        <f>IF(SER_hh_emi_in!M16=0,0,1000000*SER_hh_emi_in!M16/SER_hh_num_in!M16)</f>
        <v>0</v>
      </c>
      <c r="N16" s="130">
        <f>IF(SER_hh_emi_in!N16=0,0,1000000*SER_hh_emi_in!N16/SER_hh_num_in!N16)</f>
        <v>0</v>
      </c>
      <c r="O16" s="130">
        <f>IF(SER_hh_emi_in!O16=0,0,1000000*SER_hh_emi_in!O16/SER_hh_num_in!O16)</f>
        <v>0</v>
      </c>
      <c r="P16" s="130">
        <f>IF(SER_hh_emi_in!P16=0,0,1000000*SER_hh_emi_in!P16/SER_hh_num_in!P16)</f>
        <v>0</v>
      </c>
      <c r="Q16" s="130">
        <f>IF(SER_hh_emi_in!Q16=0,0,1000000*SER_hh_emi_in!Q16/SER_hh_num_in!Q16)</f>
        <v>0</v>
      </c>
      <c r="R16" s="130">
        <f>IF(SER_hh_emi_in!R16=0,0,1000000*SER_hh_emi_in!R16/SER_hh_num_in!R16)</f>
        <v>0</v>
      </c>
      <c r="S16" s="130">
        <f>IF(SER_hh_emi_in!S16=0,0,1000000*SER_hh_emi_in!S16/SER_hh_num_in!S16)</f>
        <v>0</v>
      </c>
      <c r="T16" s="130">
        <f>IF(SER_hh_emi_in!T16=0,0,1000000*SER_hh_emi_in!T16/SER_hh_num_in!T16)</f>
        <v>0</v>
      </c>
      <c r="U16" s="130">
        <f>IF(SER_hh_emi_in!U16=0,0,1000000*SER_hh_emi_in!U16/SER_hh_num_in!U16)</f>
        <v>0</v>
      </c>
      <c r="V16" s="130">
        <f>IF(SER_hh_emi_in!V16=0,0,1000000*SER_hh_emi_in!V16/SER_hh_num_in!V16)</f>
        <v>0</v>
      </c>
      <c r="W16" s="130">
        <f>IF(SER_hh_emi_in!W16=0,0,1000000*SER_hh_emi_in!W16/SER_hh_num_in!W16)</f>
        <v>0</v>
      </c>
      <c r="X16" s="130">
        <f>IF(SER_hh_emi_in!X16=0,0,1000000*SER_hh_emi_in!X16/SER_hh_num_in!X16)</f>
        <v>0</v>
      </c>
      <c r="Y16" s="130">
        <f>IF(SER_hh_emi_in!Y16=0,0,1000000*SER_hh_emi_in!Y16/SER_hh_num_in!Y16)</f>
        <v>0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0</v>
      </c>
      <c r="D17" s="132">
        <f>IF(SER_hh_emi_in!D17=0,0,1000000*SER_hh_emi_in!D17/SER_hh_num_in!D17)</f>
        <v>0</v>
      </c>
      <c r="E17" s="132">
        <f>IF(SER_hh_emi_in!E17=0,0,1000000*SER_hh_emi_in!E17/SER_hh_num_in!E17)</f>
        <v>0</v>
      </c>
      <c r="F17" s="132">
        <f>IF(SER_hh_emi_in!F17=0,0,1000000*SER_hh_emi_in!F17/SER_hh_num_in!F17)</f>
        <v>0</v>
      </c>
      <c r="G17" s="132">
        <f>IF(SER_hh_emi_in!G17=0,0,1000000*SER_hh_emi_in!G17/SER_hh_num_in!G17)</f>
        <v>0</v>
      </c>
      <c r="H17" s="132">
        <f>IF(SER_hh_emi_in!H17=0,0,1000000*SER_hh_emi_in!H17/SER_hh_num_in!H17)</f>
        <v>0</v>
      </c>
      <c r="I17" s="132">
        <f>IF(SER_hh_emi_in!I17=0,0,1000000*SER_hh_emi_in!I17/SER_hh_num_in!I17)</f>
        <v>0</v>
      </c>
      <c r="J17" s="132">
        <f>IF(SER_hh_emi_in!J17=0,0,1000000*SER_hh_emi_in!J17/SER_hh_num_in!J17)</f>
        <v>0</v>
      </c>
      <c r="K17" s="132">
        <f>IF(SER_hh_emi_in!K17=0,0,1000000*SER_hh_emi_in!K17/SER_hh_num_in!K17)</f>
        <v>0</v>
      </c>
      <c r="L17" s="132">
        <f>IF(SER_hh_emi_in!L17=0,0,1000000*SER_hh_emi_in!L17/SER_hh_num_in!L17)</f>
        <v>0</v>
      </c>
      <c r="M17" s="132">
        <f>IF(SER_hh_emi_in!M17=0,0,1000000*SER_hh_emi_in!M17/SER_hh_num_in!M17)</f>
        <v>0</v>
      </c>
      <c r="N17" s="132">
        <f>IF(SER_hh_emi_in!N17=0,0,1000000*SER_hh_emi_in!N17/SER_hh_num_in!N17)</f>
        <v>0</v>
      </c>
      <c r="O17" s="132">
        <f>IF(SER_hh_emi_in!O17=0,0,1000000*SER_hh_emi_in!O17/SER_hh_num_in!O17)</f>
        <v>0</v>
      </c>
      <c r="P17" s="132">
        <f>IF(SER_hh_emi_in!P17=0,0,1000000*SER_hh_emi_in!P17/SER_hh_num_in!P17)</f>
        <v>0</v>
      </c>
      <c r="Q17" s="132">
        <f>IF(SER_hh_emi_in!Q17=0,0,1000000*SER_hh_emi_in!Q17/SER_hh_num_in!Q17)</f>
        <v>0</v>
      </c>
      <c r="R17" s="132">
        <f>IF(SER_hh_emi_in!R17=0,0,1000000*SER_hh_emi_in!R17/SER_hh_num_in!R17)</f>
        <v>0</v>
      </c>
      <c r="S17" s="132">
        <f>IF(SER_hh_emi_in!S17=0,0,1000000*SER_hh_emi_in!S17/SER_hh_num_in!S17)</f>
        <v>0</v>
      </c>
      <c r="T17" s="132">
        <f>IF(SER_hh_emi_in!T17=0,0,1000000*SER_hh_emi_in!T17/SER_hh_num_in!T17)</f>
        <v>0</v>
      </c>
      <c r="U17" s="132">
        <f>IF(SER_hh_emi_in!U17=0,0,1000000*SER_hh_emi_in!U17/SER_hh_num_in!U17)</f>
        <v>0</v>
      </c>
      <c r="V17" s="132">
        <f>IF(SER_hh_emi_in!V17=0,0,1000000*SER_hh_emi_in!V17/SER_hh_num_in!V17)</f>
        <v>0</v>
      </c>
      <c r="W17" s="132">
        <f>IF(SER_hh_emi_in!W17=0,0,1000000*SER_hh_emi_in!W17/SER_hh_num_in!W17)</f>
        <v>0</v>
      </c>
      <c r="X17" s="132">
        <f>IF(SER_hh_emi_in!X17=0,0,1000000*SER_hh_emi_in!X17/SER_hh_num_in!X17)</f>
        <v>0</v>
      </c>
      <c r="Y17" s="132">
        <f>IF(SER_hh_emi_in!Y17=0,0,1000000*SER_hh_emi_in!Y17/SER_hh_num_in!Y17)</f>
        <v>0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677.47679992694589</v>
      </c>
      <c r="D19" s="130">
        <f>IF(SER_hh_emi_in!D19=0,0,1000000*SER_hh_emi_in!D19/SER_hh_num_in!D19)</f>
        <v>517.41725789000395</v>
      </c>
      <c r="E19" s="130">
        <f>IF(SER_hh_emi_in!E19=0,0,1000000*SER_hh_emi_in!E19/SER_hh_num_in!E19)</f>
        <v>726.39793194107961</v>
      </c>
      <c r="F19" s="130">
        <f>IF(SER_hh_emi_in!F19=0,0,1000000*SER_hh_emi_in!F19/SER_hh_num_in!F19)</f>
        <v>1185.0021264594118</v>
      </c>
      <c r="G19" s="130">
        <f>IF(SER_hh_emi_in!G19=0,0,1000000*SER_hh_emi_in!G19/SER_hh_num_in!G19)</f>
        <v>1888.4336231859781</v>
      </c>
      <c r="H19" s="130">
        <f>IF(SER_hh_emi_in!H19=0,0,1000000*SER_hh_emi_in!H19/SER_hh_num_in!H19)</f>
        <v>2906.4105965963267</v>
      </c>
      <c r="I19" s="130">
        <f>IF(SER_hh_emi_in!I19=0,0,1000000*SER_hh_emi_in!I19/SER_hh_num_in!I19)</f>
        <v>1643.5069344694518</v>
      </c>
      <c r="J19" s="130">
        <f>IF(SER_hh_emi_in!J19=0,0,1000000*SER_hh_emi_in!J19/SER_hh_num_in!J19)</f>
        <v>1227.3804119946417</v>
      </c>
      <c r="K19" s="130">
        <f>IF(SER_hh_emi_in!K19=0,0,1000000*SER_hh_emi_in!K19/SER_hh_num_in!K19)</f>
        <v>1216.6775218686348</v>
      </c>
      <c r="L19" s="130">
        <f>IF(SER_hh_emi_in!L19=0,0,1000000*SER_hh_emi_in!L19/SER_hh_num_in!L19)</f>
        <v>0</v>
      </c>
      <c r="M19" s="130">
        <f>IF(SER_hh_emi_in!M19=0,0,1000000*SER_hh_emi_in!M19/SER_hh_num_in!M19)</f>
        <v>0</v>
      </c>
      <c r="N19" s="130">
        <f>IF(SER_hh_emi_in!N19=0,0,1000000*SER_hh_emi_in!N19/SER_hh_num_in!N19)</f>
        <v>0</v>
      </c>
      <c r="O19" s="130">
        <f>IF(SER_hh_emi_in!O19=0,0,1000000*SER_hh_emi_in!O19/SER_hh_num_in!O19)</f>
        <v>0</v>
      </c>
      <c r="P19" s="130">
        <f>IF(SER_hh_emi_in!P19=0,0,1000000*SER_hh_emi_in!P19/SER_hh_num_in!P19)</f>
        <v>0</v>
      </c>
      <c r="Q19" s="130">
        <f>IF(SER_hh_emi_in!Q19=0,0,1000000*SER_hh_emi_in!Q19/SER_hh_num_in!Q19)</f>
        <v>0</v>
      </c>
      <c r="R19" s="130">
        <f>IF(SER_hh_emi_in!R19=0,0,1000000*SER_hh_emi_in!R19/SER_hh_num_in!R19)</f>
        <v>0</v>
      </c>
      <c r="S19" s="130">
        <f>IF(SER_hh_emi_in!S19=0,0,1000000*SER_hh_emi_in!S19/SER_hh_num_in!S19)</f>
        <v>230.9875389187946</v>
      </c>
      <c r="T19" s="130">
        <f>IF(SER_hh_emi_in!T19=0,0,1000000*SER_hh_emi_in!T19/SER_hh_num_in!T19)</f>
        <v>327.57482435866882</v>
      </c>
      <c r="U19" s="130">
        <f>IF(SER_hh_emi_in!U19=0,0,1000000*SER_hh_emi_in!U19/SER_hh_num_in!U19)</f>
        <v>225.78699086871896</v>
      </c>
      <c r="V19" s="130">
        <f>IF(SER_hh_emi_in!V19=0,0,1000000*SER_hh_emi_in!V19/SER_hh_num_in!V19)</f>
        <v>189.72490782976291</v>
      </c>
      <c r="W19" s="130">
        <f>IF(SER_hh_emi_in!W19=0,0,1000000*SER_hh_emi_in!W19/SER_hh_num_in!W19)</f>
        <v>330.48399667709617</v>
      </c>
      <c r="X19" s="130">
        <f>IF(SER_hh_emi_in!X19=0,0,1000000*SER_hh_emi_in!X19/SER_hh_num_in!X19)</f>
        <v>128.12056390195062</v>
      </c>
      <c r="Y19" s="130">
        <f>IF(SER_hh_emi_in!Y19=0,0,1000000*SER_hh_emi_in!Y19/SER_hh_num_in!Y19)</f>
        <v>156.43316100044709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13719.571764731898</v>
      </c>
      <c r="D21" s="132">
        <f>IF(SER_hh_emi_in!D21=0,0,1000000*SER_hh_emi_in!D21/SER_hh_num_in!D21)</f>
        <v>13899.911010992455</v>
      </c>
      <c r="E21" s="132">
        <f>IF(SER_hh_emi_in!E21=0,0,1000000*SER_hh_emi_in!E21/SER_hh_num_in!E21)</f>
        <v>11893.27496993605</v>
      </c>
      <c r="F21" s="132">
        <f>IF(SER_hh_emi_in!F21=0,0,1000000*SER_hh_emi_in!F21/SER_hh_num_in!F21)</f>
        <v>10346.425910904372</v>
      </c>
      <c r="G21" s="132">
        <f>IF(SER_hh_emi_in!G21=0,0,1000000*SER_hh_emi_in!G21/SER_hh_num_in!G21)</f>
        <v>8764.5686250028757</v>
      </c>
      <c r="H21" s="132">
        <f>IF(SER_hh_emi_in!H21=0,0,1000000*SER_hh_emi_in!H21/SER_hh_num_in!H21)</f>
        <v>19683.264756444561</v>
      </c>
      <c r="I21" s="132">
        <f>IF(SER_hh_emi_in!I21=0,0,1000000*SER_hh_emi_in!I21/SER_hh_num_in!I21)</f>
        <v>23859.267137942938</v>
      </c>
      <c r="J21" s="132">
        <f>IF(SER_hh_emi_in!J21=0,0,1000000*SER_hh_emi_in!J21/SER_hh_num_in!J21)</f>
        <v>21607.120853468361</v>
      </c>
      <c r="K21" s="132">
        <f>IF(SER_hh_emi_in!K21=0,0,1000000*SER_hh_emi_in!K21/SER_hh_num_in!K21)</f>
        <v>19845.634262245483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8515.1618134724849</v>
      </c>
      <c r="T21" s="132">
        <f>IF(SER_hh_emi_in!T21=0,0,1000000*SER_hh_emi_in!T21/SER_hh_num_in!T21)</f>
        <v>9940.2714786991201</v>
      </c>
      <c r="U21" s="132">
        <f>IF(SER_hh_emi_in!U21=0,0,1000000*SER_hh_emi_in!U21/SER_hh_num_in!U21)</f>
        <v>9374.2505721432954</v>
      </c>
      <c r="V21" s="132">
        <f>IF(SER_hh_emi_in!V21=0,0,1000000*SER_hh_emi_in!V21/SER_hh_num_in!V21)</f>
        <v>7194.4553079653924</v>
      </c>
      <c r="W21" s="132">
        <f>IF(SER_hh_emi_in!W21=0,0,1000000*SER_hh_emi_in!W21/SER_hh_num_in!W21)</f>
        <v>7917.7001165943284</v>
      </c>
      <c r="X21" s="132">
        <f>IF(SER_hh_emi_in!X21=0,0,1000000*SER_hh_emi_in!X21/SER_hh_num_in!X21)</f>
        <v>10471.865854038013</v>
      </c>
      <c r="Y21" s="132">
        <f>IF(SER_hh_emi_in!Y21=0,0,1000000*SER_hh_emi_in!Y21/SER_hh_num_in!Y21)</f>
        <v>7241.3634152908089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0</v>
      </c>
      <c r="D22" s="132">
        <f>IF(SER_hh_emi_in!D22=0,0,1000000*SER_hh_emi_in!D22/SER_hh_num_in!D22)</f>
        <v>0</v>
      </c>
      <c r="E22" s="132">
        <f>IF(SER_hh_emi_in!E22=0,0,1000000*SER_hh_emi_in!E22/SER_hh_num_in!E22)</f>
        <v>0</v>
      </c>
      <c r="F22" s="132">
        <f>IF(SER_hh_emi_in!F22=0,0,1000000*SER_hh_emi_in!F22/SER_hh_num_in!F22)</f>
        <v>0</v>
      </c>
      <c r="G22" s="132">
        <f>IF(SER_hh_emi_in!G22=0,0,1000000*SER_hh_emi_in!G22/SER_hh_num_in!G22)</f>
        <v>0</v>
      </c>
      <c r="H22" s="132">
        <f>IF(SER_hh_emi_in!H22=0,0,1000000*SER_hh_emi_in!H22/SER_hh_num_in!H22)</f>
        <v>0</v>
      </c>
      <c r="I22" s="132">
        <f>IF(SER_hh_emi_in!I22=0,0,1000000*SER_hh_emi_in!I22/SER_hh_num_in!I22)</f>
        <v>0</v>
      </c>
      <c r="J22" s="132">
        <f>IF(SER_hh_emi_in!J22=0,0,1000000*SER_hh_emi_in!J22/SER_hh_num_in!J22)</f>
        <v>0</v>
      </c>
      <c r="K22" s="132">
        <f>IF(SER_hh_emi_in!K22=0,0,1000000*SER_hh_emi_in!K22/SER_hh_num_in!K22)</f>
        <v>0</v>
      </c>
      <c r="L22" s="132">
        <f>IF(SER_hh_emi_in!L22=0,0,1000000*SER_hh_emi_in!L22/SER_hh_num_in!L22)</f>
        <v>0</v>
      </c>
      <c r="M22" s="132">
        <f>IF(SER_hh_emi_in!M22=0,0,1000000*SER_hh_emi_in!M22/SER_hh_num_in!M22)</f>
        <v>0</v>
      </c>
      <c r="N22" s="132">
        <f>IF(SER_hh_emi_in!N22=0,0,1000000*SER_hh_emi_in!N22/SER_hh_num_in!N22)</f>
        <v>0</v>
      </c>
      <c r="O22" s="132">
        <f>IF(SER_hh_emi_in!O22=0,0,1000000*SER_hh_emi_in!O22/SER_hh_num_in!O22)</f>
        <v>0</v>
      </c>
      <c r="P22" s="132">
        <f>IF(SER_hh_emi_in!P22=0,0,1000000*SER_hh_emi_in!P22/SER_hh_num_in!P22)</f>
        <v>0</v>
      </c>
      <c r="Q22" s="132">
        <f>IF(SER_hh_emi_in!Q22=0,0,1000000*SER_hh_emi_in!Q22/SER_hh_num_in!Q22)</f>
        <v>0</v>
      </c>
      <c r="R22" s="132">
        <f>IF(SER_hh_emi_in!R22=0,0,1000000*SER_hh_emi_in!R22/SER_hh_num_in!R22)</f>
        <v>0</v>
      </c>
      <c r="S22" s="132">
        <f>IF(SER_hh_emi_in!S22=0,0,1000000*SER_hh_emi_in!S22/SER_hh_num_in!S22)</f>
        <v>0</v>
      </c>
      <c r="T22" s="132">
        <f>IF(SER_hh_emi_in!T22=0,0,1000000*SER_hh_emi_in!T22/SER_hh_num_in!T22)</f>
        <v>0</v>
      </c>
      <c r="U22" s="132">
        <f>IF(SER_hh_emi_in!U22=0,0,1000000*SER_hh_emi_in!U22/SER_hh_num_in!U22)</f>
        <v>0</v>
      </c>
      <c r="V22" s="132">
        <f>IF(SER_hh_emi_in!V22=0,0,1000000*SER_hh_emi_in!V22/SER_hh_num_in!V22)</f>
        <v>0</v>
      </c>
      <c r="W22" s="132">
        <f>IF(SER_hh_emi_in!W22=0,0,1000000*SER_hh_emi_in!W22/SER_hh_num_in!W22)</f>
        <v>0</v>
      </c>
      <c r="X22" s="132">
        <f>IF(SER_hh_emi_in!X22=0,0,1000000*SER_hh_emi_in!X22/SER_hh_num_in!X22)</f>
        <v>0</v>
      </c>
      <c r="Y22" s="132">
        <f>IF(SER_hh_emi_in!Y22=0,0,1000000*SER_hh_emi_in!Y22/SER_hh_num_in!Y22)</f>
        <v>0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0</v>
      </c>
      <c r="D23" s="132">
        <f>IF(SER_hh_emi_in!D23=0,0,1000000*SER_hh_emi_in!D23/SER_hh_num_in!D23)</f>
        <v>0</v>
      </c>
      <c r="E23" s="132">
        <f>IF(SER_hh_emi_in!E23=0,0,1000000*SER_hh_emi_in!E23/SER_hh_num_in!E23)</f>
        <v>0</v>
      </c>
      <c r="F23" s="132">
        <f>IF(SER_hh_emi_in!F23=0,0,1000000*SER_hh_emi_in!F23/SER_hh_num_in!F23)</f>
        <v>0</v>
      </c>
      <c r="G23" s="132">
        <f>IF(SER_hh_emi_in!G23=0,0,1000000*SER_hh_emi_in!G23/SER_hh_num_in!G23)</f>
        <v>0</v>
      </c>
      <c r="H23" s="132">
        <f>IF(SER_hh_emi_in!H23=0,0,1000000*SER_hh_emi_in!H23/SER_hh_num_in!H23)</f>
        <v>0</v>
      </c>
      <c r="I23" s="132">
        <f>IF(SER_hh_emi_in!I23=0,0,1000000*SER_hh_emi_in!I23/SER_hh_num_in!I23)</f>
        <v>0</v>
      </c>
      <c r="J23" s="132">
        <f>IF(SER_hh_emi_in!J23=0,0,1000000*SER_hh_emi_in!J23/SER_hh_num_in!J23)</f>
        <v>0</v>
      </c>
      <c r="K23" s="132">
        <f>IF(SER_hh_emi_in!K23=0,0,1000000*SER_hh_emi_in!K23/SER_hh_num_in!K23)</f>
        <v>0</v>
      </c>
      <c r="L23" s="132">
        <f>IF(SER_hh_emi_in!L23=0,0,1000000*SER_hh_emi_in!L23/SER_hh_num_in!L23)</f>
        <v>0</v>
      </c>
      <c r="M23" s="132">
        <f>IF(SER_hh_emi_in!M23=0,0,1000000*SER_hh_emi_in!M23/SER_hh_num_in!M23)</f>
        <v>0</v>
      </c>
      <c r="N23" s="132">
        <f>IF(SER_hh_emi_in!N23=0,0,1000000*SER_hh_emi_in!N23/SER_hh_num_in!N23)</f>
        <v>0</v>
      </c>
      <c r="O23" s="132">
        <f>IF(SER_hh_emi_in!O23=0,0,1000000*SER_hh_emi_in!O23/SER_hh_num_in!O23)</f>
        <v>0</v>
      </c>
      <c r="P23" s="132">
        <f>IF(SER_hh_emi_in!P23=0,0,1000000*SER_hh_emi_in!P23/SER_hh_num_in!P23)</f>
        <v>0</v>
      </c>
      <c r="Q23" s="132">
        <f>IF(SER_hh_emi_in!Q23=0,0,1000000*SER_hh_emi_in!Q23/SER_hh_num_in!Q23)</f>
        <v>0</v>
      </c>
      <c r="R23" s="132">
        <f>IF(SER_hh_emi_in!R23=0,0,1000000*SER_hh_emi_in!R23/SER_hh_num_in!R23)</f>
        <v>0</v>
      </c>
      <c r="S23" s="132">
        <f>IF(SER_hh_emi_in!S23=0,0,1000000*SER_hh_emi_in!S23/SER_hh_num_in!S23)</f>
        <v>0</v>
      </c>
      <c r="T23" s="132">
        <f>IF(SER_hh_emi_in!T23=0,0,1000000*SER_hh_emi_in!T23/SER_hh_num_in!T23)</f>
        <v>0</v>
      </c>
      <c r="U23" s="132">
        <f>IF(SER_hh_emi_in!U23=0,0,1000000*SER_hh_emi_in!U23/SER_hh_num_in!U23)</f>
        <v>0</v>
      </c>
      <c r="V23" s="132">
        <f>IF(SER_hh_emi_in!V23=0,0,1000000*SER_hh_emi_in!V23/SER_hh_num_in!V23)</f>
        <v>0</v>
      </c>
      <c r="W23" s="132">
        <f>IF(SER_hh_emi_in!W23=0,0,1000000*SER_hh_emi_in!W23/SER_hh_num_in!W23)</f>
        <v>0</v>
      </c>
      <c r="X23" s="132">
        <f>IF(SER_hh_emi_in!X23=0,0,1000000*SER_hh_emi_in!X23/SER_hh_num_in!X23)</f>
        <v>0</v>
      </c>
      <c r="Y23" s="132">
        <f>IF(SER_hh_emi_in!Y23=0,0,1000000*SER_hh_emi_in!Y23/SER_hh_num_in!Y23)</f>
        <v>0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890.06870730206242</v>
      </c>
      <c r="D29" s="130">
        <f>IF(SER_hh_emi_in!D29=0,0,1000000*SER_hh_emi_in!D29/SER_hh_num_in!D29)</f>
        <v>1428.8611268097416</v>
      </c>
      <c r="E29" s="130">
        <f>IF(SER_hh_emi_in!E29=0,0,1000000*SER_hh_emi_in!E29/SER_hh_num_in!E29)</f>
        <v>999.08703186189791</v>
      </c>
      <c r="F29" s="130">
        <f>IF(SER_hh_emi_in!F29=0,0,1000000*SER_hh_emi_in!F29/SER_hh_num_in!F29)</f>
        <v>1637.5609027030844</v>
      </c>
      <c r="G29" s="130">
        <f>IF(SER_hh_emi_in!G29=0,0,1000000*SER_hh_emi_in!G29/SER_hh_num_in!G29)</f>
        <v>1998.89188683731</v>
      </c>
      <c r="H29" s="130">
        <f>IF(SER_hh_emi_in!H29=0,0,1000000*SER_hh_emi_in!H29/SER_hh_num_in!H29)</f>
        <v>5337.568003274173</v>
      </c>
      <c r="I29" s="130">
        <f>IF(SER_hh_emi_in!I29=0,0,1000000*SER_hh_emi_in!I29/SER_hh_num_in!I29)</f>
        <v>5744.1355610575229</v>
      </c>
      <c r="J29" s="130">
        <f>IF(SER_hh_emi_in!J29=0,0,1000000*SER_hh_emi_in!J29/SER_hh_num_in!J29)</f>
        <v>5556.0626892436712</v>
      </c>
      <c r="K29" s="130">
        <f>IF(SER_hh_emi_in!K29=0,0,1000000*SER_hh_emi_in!K29/SER_hh_num_in!K29)</f>
        <v>8698.630581208361</v>
      </c>
      <c r="L29" s="130">
        <f>IF(SER_hh_emi_in!L29=0,0,1000000*SER_hh_emi_in!L29/SER_hh_num_in!L29)</f>
        <v>1776.821542233281</v>
      </c>
      <c r="M29" s="130">
        <f>IF(SER_hh_emi_in!M29=0,0,1000000*SER_hh_emi_in!M29/SER_hh_num_in!M29)</f>
        <v>3189.7322366322082</v>
      </c>
      <c r="N29" s="130">
        <f>IF(SER_hh_emi_in!N29=0,0,1000000*SER_hh_emi_in!N29/SER_hh_num_in!N29)</f>
        <v>1055.2301062417916</v>
      </c>
      <c r="O29" s="130">
        <f>IF(SER_hh_emi_in!O29=0,0,1000000*SER_hh_emi_in!O29/SER_hh_num_in!O29)</f>
        <v>2497.8937034572605</v>
      </c>
      <c r="P29" s="130">
        <f>IF(SER_hh_emi_in!P29=0,0,1000000*SER_hh_emi_in!P29/SER_hh_num_in!P29)</f>
        <v>2355.84162724407</v>
      </c>
      <c r="Q29" s="130">
        <f>IF(SER_hh_emi_in!Q29=0,0,1000000*SER_hh_emi_in!Q29/SER_hh_num_in!Q29)</f>
        <v>4445.4573893256684</v>
      </c>
      <c r="R29" s="130">
        <f>IF(SER_hh_emi_in!R29=0,0,1000000*SER_hh_emi_in!R29/SER_hh_num_in!R29)</f>
        <v>3917.2737913263445</v>
      </c>
      <c r="S29" s="130">
        <f>IF(SER_hh_emi_in!S29=0,0,1000000*SER_hh_emi_in!S29/SER_hh_num_in!S29)</f>
        <v>7072.7915487043674</v>
      </c>
      <c r="T29" s="130">
        <f>IF(SER_hh_emi_in!T29=0,0,1000000*SER_hh_emi_in!T29/SER_hh_num_in!T29)</f>
        <v>8225.0467967033892</v>
      </c>
      <c r="U29" s="130">
        <f>IF(SER_hh_emi_in!U29=0,0,1000000*SER_hh_emi_in!U29/SER_hh_num_in!U29)</f>
        <v>5417.9881384030314</v>
      </c>
      <c r="V29" s="130">
        <f>IF(SER_hh_emi_in!V29=0,0,1000000*SER_hh_emi_in!V29/SER_hh_num_in!V29)</f>
        <v>3461.0297131859561</v>
      </c>
      <c r="W29" s="130">
        <f>IF(SER_hh_emi_in!W29=0,0,1000000*SER_hh_emi_in!W29/SER_hh_num_in!W29)</f>
        <v>3085.6807282312534</v>
      </c>
      <c r="X29" s="130">
        <f>IF(SER_hh_emi_in!X29=0,0,1000000*SER_hh_emi_in!X29/SER_hh_num_in!X29)</f>
        <v>4702.2069942110693</v>
      </c>
      <c r="Y29" s="130">
        <f>IF(SER_hh_emi_in!Y29=0,0,1000000*SER_hh_emi_in!Y29/SER_hh_num_in!Y29)</f>
        <v>5457.0362266675984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16050.830105071564</v>
      </c>
      <c r="D30" s="132">
        <f>IF(SER_hh_emi_in!D30=0,0,1000000*SER_hh_emi_in!D30/SER_hh_num_in!D30)</f>
        <v>18940.516422903795</v>
      </c>
      <c r="E30" s="132">
        <f>IF(SER_hh_emi_in!E30=0,0,1000000*SER_hh_emi_in!E30/SER_hh_num_in!E30)</f>
        <v>18159.815405958172</v>
      </c>
      <c r="F30" s="132">
        <f>IF(SER_hh_emi_in!F30=0,0,1000000*SER_hh_emi_in!F30/SER_hh_num_in!F30)</f>
        <v>15816.628268149396</v>
      </c>
      <c r="G30" s="132">
        <f>IF(SER_hh_emi_in!G30=0,0,1000000*SER_hh_emi_in!G30/SER_hh_num_in!G30)</f>
        <v>13844.6494001353</v>
      </c>
      <c r="H30" s="132">
        <f>IF(SER_hh_emi_in!H30=0,0,1000000*SER_hh_emi_in!H30/SER_hh_num_in!H30)</f>
        <v>17689.930205861252</v>
      </c>
      <c r="I30" s="132">
        <f>IF(SER_hh_emi_in!I30=0,0,1000000*SER_hh_emi_in!I30/SER_hh_num_in!I30)</f>
        <v>15288.152647842817</v>
      </c>
      <c r="J30" s="132">
        <f>IF(SER_hh_emi_in!J30=0,0,1000000*SER_hh_emi_in!J30/SER_hh_num_in!J30)</f>
        <v>16864.103299070015</v>
      </c>
      <c r="K30" s="132">
        <f>IF(SER_hh_emi_in!K30=0,0,1000000*SER_hh_emi_in!K30/SER_hh_num_in!K30)</f>
        <v>20825.747900126666</v>
      </c>
      <c r="L30" s="132">
        <f>IF(SER_hh_emi_in!L30=0,0,1000000*SER_hh_emi_in!L30/SER_hh_num_in!L30)</f>
        <v>15767.113291383581</v>
      </c>
      <c r="M30" s="132">
        <f>IF(SER_hh_emi_in!M30=0,0,1000000*SER_hh_emi_in!M30/SER_hh_num_in!M30)</f>
        <v>17677.447570918623</v>
      </c>
      <c r="N30" s="132">
        <f>IF(SER_hh_emi_in!N30=0,0,1000000*SER_hh_emi_in!N30/SER_hh_num_in!N30)</f>
        <v>17088.590415228693</v>
      </c>
      <c r="O30" s="132">
        <f>IF(SER_hh_emi_in!O30=0,0,1000000*SER_hh_emi_in!O30/SER_hh_num_in!O30)</f>
        <v>16570.319762466257</v>
      </c>
      <c r="P30" s="132">
        <f>IF(SER_hh_emi_in!P30=0,0,1000000*SER_hh_emi_in!P30/SER_hh_num_in!P30)</f>
        <v>16392.516051054521</v>
      </c>
      <c r="Q30" s="132">
        <f>IF(SER_hh_emi_in!Q30=0,0,1000000*SER_hh_emi_in!Q30/SER_hh_num_in!Q30)</f>
        <v>18056.092303670965</v>
      </c>
      <c r="R30" s="132">
        <f>IF(SER_hh_emi_in!R30=0,0,1000000*SER_hh_emi_in!R30/SER_hh_num_in!R30)</f>
        <v>14603.031253665373</v>
      </c>
      <c r="S30" s="132">
        <f>IF(SER_hh_emi_in!S30=0,0,1000000*SER_hh_emi_in!S30/SER_hh_num_in!S30)</f>
        <v>15552.040390918239</v>
      </c>
      <c r="T30" s="132">
        <f>IF(SER_hh_emi_in!T30=0,0,1000000*SER_hh_emi_in!T30/SER_hh_num_in!T30)</f>
        <v>17959.084303676813</v>
      </c>
      <c r="U30" s="132">
        <f>IF(SER_hh_emi_in!U30=0,0,1000000*SER_hh_emi_in!U30/SER_hh_num_in!U30)</f>
        <v>18159.963844714934</v>
      </c>
      <c r="V30" s="132">
        <f>IF(SER_hh_emi_in!V30=0,0,1000000*SER_hh_emi_in!V30/SER_hh_num_in!V30)</f>
        <v>11590.596368228769</v>
      </c>
      <c r="W30" s="132">
        <f>IF(SER_hh_emi_in!W30=0,0,1000000*SER_hh_emi_in!W30/SER_hh_num_in!W30)</f>
        <v>12378.701839804</v>
      </c>
      <c r="X30" s="132">
        <f>IF(SER_hh_emi_in!X30=0,0,1000000*SER_hh_emi_in!X30/SER_hh_num_in!X30)</f>
        <v>15105.040904628959</v>
      </c>
      <c r="Y30" s="132">
        <f>IF(SER_hh_emi_in!Y30=0,0,1000000*SER_hh_emi_in!Y30/SER_hh_num_in!Y30)</f>
        <v>16472.250809759411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0</v>
      </c>
      <c r="D31" s="132">
        <f>IF(SER_hh_emi_in!D31=0,0,1000000*SER_hh_emi_in!D31/SER_hh_num_in!D31)</f>
        <v>0</v>
      </c>
      <c r="E31" s="132">
        <f>IF(SER_hh_emi_in!E31=0,0,1000000*SER_hh_emi_in!E31/SER_hh_num_in!E31)</f>
        <v>0</v>
      </c>
      <c r="F31" s="132">
        <f>IF(SER_hh_emi_in!F31=0,0,1000000*SER_hh_emi_in!F31/SER_hh_num_in!F31)</f>
        <v>0</v>
      </c>
      <c r="G31" s="132">
        <f>IF(SER_hh_emi_in!G31=0,0,1000000*SER_hh_emi_in!G31/SER_hh_num_in!G31)</f>
        <v>0</v>
      </c>
      <c r="H31" s="132">
        <f>IF(SER_hh_emi_in!H31=0,0,1000000*SER_hh_emi_in!H31/SER_hh_num_in!H31)</f>
        <v>0</v>
      </c>
      <c r="I31" s="132">
        <f>IF(SER_hh_emi_in!I31=0,0,1000000*SER_hh_emi_in!I31/SER_hh_num_in!I31)</f>
        <v>0</v>
      </c>
      <c r="J31" s="132">
        <f>IF(SER_hh_emi_in!J31=0,0,1000000*SER_hh_emi_in!J31/SER_hh_num_in!J31)</f>
        <v>0</v>
      </c>
      <c r="K31" s="132">
        <f>IF(SER_hh_emi_in!K31=0,0,1000000*SER_hh_emi_in!K31/SER_hh_num_in!K31)</f>
        <v>0</v>
      </c>
      <c r="L31" s="132">
        <f>IF(SER_hh_emi_in!L31=0,0,1000000*SER_hh_emi_in!L31/SER_hh_num_in!L31)</f>
        <v>0</v>
      </c>
      <c r="M31" s="132">
        <f>IF(SER_hh_emi_in!M31=0,0,1000000*SER_hh_emi_in!M31/SER_hh_num_in!M31)</f>
        <v>0</v>
      </c>
      <c r="N31" s="132">
        <f>IF(SER_hh_emi_in!N31=0,0,1000000*SER_hh_emi_in!N31/SER_hh_num_in!N31)</f>
        <v>0</v>
      </c>
      <c r="O31" s="132">
        <f>IF(SER_hh_emi_in!O31=0,0,1000000*SER_hh_emi_in!O31/SER_hh_num_in!O31)</f>
        <v>0</v>
      </c>
      <c r="P31" s="132">
        <f>IF(SER_hh_emi_in!P31=0,0,1000000*SER_hh_emi_in!P31/SER_hh_num_in!P31)</f>
        <v>0</v>
      </c>
      <c r="Q31" s="132">
        <f>IF(SER_hh_emi_in!Q31=0,0,1000000*SER_hh_emi_in!Q31/SER_hh_num_in!Q31)</f>
        <v>0</v>
      </c>
      <c r="R31" s="132">
        <f>IF(SER_hh_emi_in!R31=0,0,1000000*SER_hh_emi_in!R31/SER_hh_num_in!R31)</f>
        <v>0</v>
      </c>
      <c r="S31" s="132">
        <f>IF(SER_hh_emi_in!S31=0,0,1000000*SER_hh_emi_in!S31/SER_hh_num_in!S31)</f>
        <v>0</v>
      </c>
      <c r="T31" s="132">
        <f>IF(SER_hh_emi_in!T31=0,0,1000000*SER_hh_emi_in!T31/SER_hh_num_in!T31)</f>
        <v>0</v>
      </c>
      <c r="U31" s="132">
        <f>IF(SER_hh_emi_in!U31=0,0,1000000*SER_hh_emi_in!U31/SER_hh_num_in!U31)</f>
        <v>0</v>
      </c>
      <c r="V31" s="132">
        <f>IF(SER_hh_emi_in!V31=0,0,1000000*SER_hh_emi_in!V31/SER_hh_num_in!V31)</f>
        <v>0</v>
      </c>
      <c r="W31" s="132">
        <f>IF(SER_hh_emi_in!W31=0,0,1000000*SER_hh_emi_in!W31/SER_hh_num_in!W31)</f>
        <v>0</v>
      </c>
      <c r="X31" s="132">
        <f>IF(SER_hh_emi_in!X31=0,0,1000000*SER_hh_emi_in!X31/SER_hh_num_in!X31)</f>
        <v>0</v>
      </c>
      <c r="Y31" s="132">
        <f>IF(SER_hh_emi_in!Y31=0,0,1000000*SER_hh_emi_in!Y31/SER_hh_num_in!Y31)</f>
        <v>0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266.00233421955386</v>
      </c>
      <c r="D3" s="125">
        <f>IF(SER_hh_fech_in!D3=0,0,SER_hh_fech_in!D3/SER_summary!D$27)</f>
        <v>276.52183860602111</v>
      </c>
      <c r="E3" s="125">
        <f>IF(SER_hh_fech_in!E3=0,0,SER_hh_fech_in!E3/SER_summary!E$27)</f>
        <v>297.79477631421645</v>
      </c>
      <c r="F3" s="125">
        <f>IF(SER_hh_fech_in!F3=0,0,SER_hh_fech_in!F3/SER_summary!F$27)</f>
        <v>277.28271347600111</v>
      </c>
      <c r="G3" s="125">
        <f>IF(SER_hh_fech_in!G3=0,0,SER_hh_fech_in!G3/SER_summary!G$27)</f>
        <v>334.30277711086251</v>
      </c>
      <c r="H3" s="125">
        <f>IF(SER_hh_fech_in!H3=0,0,SER_hh_fech_in!H3/SER_summary!H$27)</f>
        <v>260.60633143865641</v>
      </c>
      <c r="I3" s="125">
        <f>IF(SER_hh_fech_in!I3=0,0,SER_hh_fech_in!I3/SER_summary!I$27)</f>
        <v>250.50351147146702</v>
      </c>
      <c r="J3" s="125">
        <f>IF(SER_hh_fech_in!J3=0,0,SER_hh_fech_in!J3/SER_summary!J$27)</f>
        <v>235.54633811641</v>
      </c>
      <c r="K3" s="125">
        <f>IF(SER_hh_fech_in!K3=0,0,SER_hh_fech_in!K3/SER_summary!K$27)</f>
        <v>210.68958725844865</v>
      </c>
      <c r="L3" s="125">
        <f>IF(SER_hh_fech_in!L3=0,0,SER_hh_fech_in!L3/SER_summary!L$27)</f>
        <v>295.94747464636208</v>
      </c>
      <c r="M3" s="125">
        <f>IF(SER_hh_fech_in!M3=0,0,SER_hh_fech_in!M3/SER_summary!M$27)</f>
        <v>269.50029355747074</v>
      </c>
      <c r="N3" s="125">
        <f>IF(SER_hh_fech_in!N3=0,0,SER_hh_fech_in!N3/SER_summary!N$27)</f>
        <v>279.34394087451284</v>
      </c>
      <c r="O3" s="125">
        <f>IF(SER_hh_fech_in!O3=0,0,SER_hh_fech_in!O3/SER_summary!O$27)</f>
        <v>276.56060016837489</v>
      </c>
      <c r="P3" s="125">
        <f>IF(SER_hh_fech_in!P3=0,0,SER_hh_fech_in!P3/SER_summary!P$27)</f>
        <v>255.68625570974146</v>
      </c>
      <c r="Q3" s="125">
        <f>IF(SER_hh_fech_in!Q3=0,0,SER_hh_fech_in!Q3/SER_summary!Q$27)</f>
        <v>267.81250319575776</v>
      </c>
      <c r="R3" s="125">
        <f>IF(SER_hh_fech_in!R3=0,0,SER_hh_fech_in!R3/SER_summary!R$27)</f>
        <v>236.60513973854205</v>
      </c>
      <c r="S3" s="125">
        <f>IF(SER_hh_fech_in!S3=0,0,SER_hh_fech_in!S3/SER_summary!S$27)</f>
        <v>245.09154965130196</v>
      </c>
      <c r="T3" s="125">
        <f>IF(SER_hh_fech_in!T3=0,0,SER_hh_fech_in!T3/SER_summary!T$27)</f>
        <v>215.59860152701071</v>
      </c>
      <c r="U3" s="125">
        <f>IF(SER_hh_fech_in!U3=0,0,SER_hh_fech_in!U3/SER_summary!U$27)</f>
        <v>188.59630401029474</v>
      </c>
      <c r="V3" s="125">
        <f>IF(SER_hh_fech_in!V3=0,0,SER_hh_fech_in!V3/SER_summary!V$27)</f>
        <v>138.48146762289153</v>
      </c>
      <c r="W3" s="125">
        <f>IF(SER_hh_fech_in!W3=0,0,SER_hh_fech_in!W3/SER_summary!W$27)</f>
        <v>134.82596414427618</v>
      </c>
      <c r="X3" s="125">
        <f>IF(SER_hh_fech_in!X3=0,0,SER_hh_fech_in!X3/SER_summary!X$27)</f>
        <v>131.78380368344833</v>
      </c>
      <c r="Y3" s="125">
        <f>IF(SER_hh_fech_in!Y3=0,0,SER_hh_fech_in!Y3/SER_summary!Y$27)</f>
        <v>135.70272736219465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112.93489971329493</v>
      </c>
      <c r="D4" s="130">
        <f>IF(SER_hh_fech_in!D4=0,0,SER_hh_fech_in!D4/SER_summary!D$27)</f>
        <v>129.20952909594499</v>
      </c>
      <c r="E4" s="130">
        <f>IF(SER_hh_fech_in!E4=0,0,SER_hh_fech_in!E4/SER_summary!E$27)</f>
        <v>137.26158892633643</v>
      </c>
      <c r="F4" s="130">
        <f>IF(SER_hh_fech_in!F4=0,0,SER_hh_fech_in!F4/SER_summary!F$27)</f>
        <v>133.40253828799689</v>
      </c>
      <c r="G4" s="130">
        <f>IF(SER_hh_fech_in!G4=0,0,SER_hh_fech_in!G4/SER_summary!G$27)</f>
        <v>196.49789506606095</v>
      </c>
      <c r="H4" s="130">
        <f>IF(SER_hh_fech_in!H4=0,0,SER_hh_fech_in!H4/SER_summary!H$27)</f>
        <v>107.64001368065747</v>
      </c>
      <c r="I4" s="130">
        <f>IF(SER_hh_fech_in!I4=0,0,SER_hh_fech_in!I4/SER_summary!I$27)</f>
        <v>104.98509258695519</v>
      </c>
      <c r="J4" s="130">
        <f>IF(SER_hh_fech_in!J4=0,0,SER_hh_fech_in!J4/SER_summary!J$27)</f>
        <v>96.804476273920045</v>
      </c>
      <c r="K4" s="130">
        <f>IF(SER_hh_fech_in!K4=0,0,SER_hh_fech_in!K4/SER_summary!K$27)</f>
        <v>64.083159831258868</v>
      </c>
      <c r="L4" s="130">
        <f>IF(SER_hh_fech_in!L4=0,0,SER_hh_fech_in!L4/SER_summary!L$27)</f>
        <v>162.17341790252908</v>
      </c>
      <c r="M4" s="130">
        <f>IF(SER_hh_fech_in!M4=0,0,SER_hh_fech_in!M4/SER_summary!M$27)</f>
        <v>135.5458782431779</v>
      </c>
      <c r="N4" s="130">
        <f>IF(SER_hh_fech_in!N4=0,0,SER_hh_fech_in!N4/SER_summary!N$27)</f>
        <v>141.98293699121106</v>
      </c>
      <c r="O4" s="130">
        <f>IF(SER_hh_fech_in!O4=0,0,SER_hh_fech_in!O4/SER_summary!O$27)</f>
        <v>147.39092678902909</v>
      </c>
      <c r="P4" s="130">
        <f>IF(SER_hh_fech_in!P4=0,0,SER_hh_fech_in!P4/SER_summary!P$27)</f>
        <v>129.69812783785932</v>
      </c>
      <c r="Q4" s="130">
        <f>IF(SER_hh_fech_in!Q4=0,0,SER_hh_fech_in!Q4/SER_summary!Q$27)</f>
        <v>141.63131787564396</v>
      </c>
      <c r="R4" s="130">
        <f>IF(SER_hh_fech_in!R4=0,0,SER_hh_fech_in!R4/SER_summary!R$27)</f>
        <v>117.36777466928574</v>
      </c>
      <c r="S4" s="130">
        <f>IF(SER_hh_fech_in!S4=0,0,SER_hh_fech_in!S4/SER_summary!S$27)</f>
        <v>123.43246849070661</v>
      </c>
      <c r="T4" s="130">
        <f>IF(SER_hh_fech_in!T4=0,0,SER_hh_fech_in!T4/SER_summary!T$27)</f>
        <v>94.029303157278079</v>
      </c>
      <c r="U4" s="130">
        <f>IF(SER_hh_fech_in!U4=0,0,SER_hh_fech_in!U4/SER_summary!U$27)</f>
        <v>70.366069746388035</v>
      </c>
      <c r="V4" s="130">
        <f>IF(SER_hh_fech_in!V4=0,0,SER_hh_fech_in!V4/SER_summary!V$27)</f>
        <v>35.71914773777263</v>
      </c>
      <c r="W4" s="130">
        <f>IF(SER_hh_fech_in!W4=0,0,SER_hh_fech_in!W4/SER_summary!W$27)</f>
        <v>30.642108943156895</v>
      </c>
      <c r="X4" s="130">
        <f>IF(SER_hh_fech_in!X4=0,0,SER_hh_fech_in!X4/SER_summary!X$27)</f>
        <v>27.9388754518274</v>
      </c>
      <c r="Y4" s="130">
        <f>IF(SER_hh_fech_in!Y4=0,0,SER_hh_fech_in!Y4/SER_summary!Y$27)</f>
        <v>29.398449750866831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119.54814556463545</v>
      </c>
      <c r="D6" s="132">
        <f>IF(SER_hh_fech_in!D6=0,0,SER_hh_fech_in!D6/SER_summary!D$27)</f>
        <v>120.56374802592526</v>
      </c>
      <c r="E6" s="132">
        <f>IF(SER_hh_fech_in!E6=0,0,SER_hh_fech_in!E6/SER_summary!E$27)</f>
        <v>134.63765128285959</v>
      </c>
      <c r="F6" s="132">
        <f>IF(SER_hh_fech_in!F6=0,0,SER_hh_fech_in!F6/SER_summary!F$27)</f>
        <v>139.55463911554486</v>
      </c>
      <c r="G6" s="132">
        <f>IF(SER_hh_fech_in!G6=0,0,SER_hh_fech_in!G6/SER_summary!G$27)</f>
        <v>119.50953374712826</v>
      </c>
      <c r="H6" s="132">
        <f>IF(SER_hh_fech_in!H6=0,0,SER_hh_fech_in!H6/SER_summary!H$27)</f>
        <v>135.98665335998737</v>
      </c>
      <c r="I6" s="132">
        <f>IF(SER_hh_fech_in!I6=0,0,SER_hh_fech_in!I6/SER_summary!I$27)</f>
        <v>150.49739146818513</v>
      </c>
      <c r="J6" s="132">
        <f>IF(SER_hh_fech_in!J6=0,0,SER_hh_fech_in!J6/SER_summary!J$27)</f>
        <v>79.481635983364654</v>
      </c>
      <c r="K6" s="132">
        <f>IF(SER_hh_fech_in!K6=0,0,SER_hh_fech_in!K6/SER_summary!K$27)</f>
        <v>40.711375973172537</v>
      </c>
      <c r="L6" s="132">
        <f>IF(SER_hh_fech_in!L6=0,0,SER_hh_fech_in!L6/SER_summary!L$27)</f>
        <v>180.58229699790442</v>
      </c>
      <c r="M6" s="132">
        <f>IF(SER_hh_fech_in!M6=0,0,SER_hh_fech_in!M6/SER_summary!M$27)</f>
        <v>134.10157313542467</v>
      </c>
      <c r="N6" s="132">
        <f>IF(SER_hh_fech_in!N6=0,0,SER_hh_fech_in!N6/SER_summary!N$27)</f>
        <v>158.39181154308781</v>
      </c>
      <c r="O6" s="132">
        <f>IF(SER_hh_fech_in!O6=0,0,SER_hh_fech_in!O6/SER_summary!O$27)</f>
        <v>0</v>
      </c>
      <c r="P6" s="132">
        <f>IF(SER_hh_fech_in!P6=0,0,SER_hh_fech_in!P6/SER_summary!P$27)</f>
        <v>111.16811973149787</v>
      </c>
      <c r="Q6" s="132">
        <f>IF(SER_hh_fech_in!Q6=0,0,SER_hh_fech_in!Q6/SER_summary!Q$27)</f>
        <v>123.82637773336702</v>
      </c>
      <c r="R6" s="132">
        <f>IF(SER_hh_fech_in!R6=0,0,SER_hh_fech_in!R6/SER_summary!R$27)</f>
        <v>97.849161230351598</v>
      </c>
      <c r="S6" s="132">
        <f>IF(SER_hh_fech_in!S6=0,0,SER_hh_fech_in!S6/SER_summary!S$27)</f>
        <v>101.07450022849244</v>
      </c>
      <c r="T6" s="132">
        <f>IF(SER_hh_fech_in!T6=0,0,SER_hh_fech_in!T6/SER_summary!T$27)</f>
        <v>110.70086520956204</v>
      </c>
      <c r="U6" s="132">
        <f>IF(SER_hh_fech_in!U6=0,0,SER_hh_fech_in!U6/SER_summary!U$27)</f>
        <v>93.272847016163126</v>
      </c>
      <c r="V6" s="132">
        <f>IF(SER_hh_fech_in!V6=0,0,SER_hh_fech_in!V6/SER_summary!V$27)</f>
        <v>62.348718385176163</v>
      </c>
      <c r="W6" s="132">
        <f>IF(SER_hh_fech_in!W6=0,0,SER_hh_fech_in!W6/SER_summary!W$27)</f>
        <v>50.332961855840217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108.71021530653253</v>
      </c>
      <c r="D7" s="132">
        <f>IF(SER_hh_fech_in!D7=0,0,SER_hh_fech_in!D7/SER_summary!D$27)</f>
        <v>123.87870389879932</v>
      </c>
      <c r="E7" s="132">
        <f>IF(SER_hh_fech_in!E7=0,0,SER_hh_fech_in!E7/SER_summary!E$27)</f>
        <v>151.39152863590283</v>
      </c>
      <c r="F7" s="132">
        <f>IF(SER_hh_fech_in!F7=0,0,SER_hh_fech_in!F7/SER_summary!F$27)</f>
        <v>169.28186082504681</v>
      </c>
      <c r="G7" s="132">
        <f>IF(SER_hh_fech_in!G7=0,0,SER_hh_fech_in!G7/SER_summary!G$27)</f>
        <v>144.71595351200131</v>
      </c>
      <c r="H7" s="132">
        <f>IF(SER_hh_fech_in!H7=0,0,SER_hh_fech_in!H7/SER_summary!H$27)</f>
        <v>113.00230421720606</v>
      </c>
      <c r="I7" s="132">
        <f>IF(SER_hh_fech_in!I7=0,0,SER_hh_fech_in!I7/SER_summary!I$27)</f>
        <v>122.84520598327774</v>
      </c>
      <c r="J7" s="132">
        <f>IF(SER_hh_fech_in!J7=0,0,SER_hh_fech_in!J7/SER_summary!J$27)</f>
        <v>112.40727423563851</v>
      </c>
      <c r="K7" s="132">
        <f>IF(SER_hh_fech_in!K7=0,0,SER_hh_fech_in!K7/SER_summary!K$27)</f>
        <v>0</v>
      </c>
      <c r="L7" s="132">
        <f>IF(SER_hh_fech_in!L7=0,0,SER_hh_fech_in!L7/SER_summary!L$27)</f>
        <v>0</v>
      </c>
      <c r="M7" s="132">
        <f>IF(SER_hh_fech_in!M7=0,0,SER_hh_fech_in!M7/SER_summary!M$27)</f>
        <v>83.2027485668861</v>
      </c>
      <c r="N7" s="132">
        <f>IF(SER_hh_fech_in!N7=0,0,SER_hh_fech_in!N7/SER_summary!N$27)</f>
        <v>132.42611279641363</v>
      </c>
      <c r="O7" s="132">
        <f>IF(SER_hh_fech_in!O7=0,0,SER_hh_fech_in!O7/SER_summary!O$27)</f>
        <v>160.32174993063342</v>
      </c>
      <c r="P7" s="132">
        <f>IF(SER_hh_fech_in!P7=0,0,SER_hh_fech_in!P7/SER_summary!P$27)</f>
        <v>150.56517511564911</v>
      </c>
      <c r="Q7" s="132">
        <f>IF(SER_hh_fech_in!Q7=0,0,SER_hh_fech_in!Q7/SER_summary!Q$27)</f>
        <v>165.34380603819207</v>
      </c>
      <c r="R7" s="132">
        <f>IF(SER_hh_fech_in!R7=0,0,SER_hh_fech_in!R7/SER_summary!R$27)</f>
        <v>150.87241603201215</v>
      </c>
      <c r="S7" s="132">
        <f>IF(SER_hh_fech_in!S7=0,0,SER_hh_fech_in!S7/SER_summary!S$27)</f>
        <v>0</v>
      </c>
      <c r="T7" s="132">
        <f>IF(SER_hh_fech_in!T7=0,0,SER_hh_fech_in!T7/SER_summary!T$27)</f>
        <v>0</v>
      </c>
      <c r="U7" s="132">
        <f>IF(SER_hh_fech_in!U7=0,0,SER_hh_fech_in!U7/SER_summary!U$27)</f>
        <v>0</v>
      </c>
      <c r="V7" s="132">
        <f>IF(SER_hh_fech_in!V7=0,0,SER_hh_fech_in!V7/SER_summary!V$27)</f>
        <v>0</v>
      </c>
      <c r="W7" s="132">
        <f>IF(SER_hh_fech_in!W7=0,0,SER_hh_fech_in!W7/SER_summary!W$27)</f>
        <v>46.052783736213719</v>
      </c>
      <c r="X7" s="132">
        <f>IF(SER_hh_fech_in!X7=0,0,SER_hh_fech_in!X7/SER_summary!X$27)</f>
        <v>36.644038985731505</v>
      </c>
      <c r="Y7" s="132">
        <f>IF(SER_hh_fech_in!Y7=0,0,SER_hh_fech_in!Y7/SER_summary!Y$27)</f>
        <v>32.085572653868127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0</v>
      </c>
      <c r="S8" s="132">
        <f>IF(SER_hh_fech_in!S8=0,0,SER_hh_fech_in!S8/SER_summary!S$27)</f>
        <v>0</v>
      </c>
      <c r="T8" s="132">
        <f>IF(SER_hh_fech_in!T8=0,0,SER_hh_fech_in!T8/SER_summary!T$27)</f>
        <v>0</v>
      </c>
      <c r="U8" s="132">
        <f>IF(SER_hh_fech_in!U8=0,0,SER_hh_fech_in!U8/SER_summary!U$27)</f>
        <v>0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0</v>
      </c>
      <c r="D9" s="132">
        <f>IF(SER_hh_fech_in!D9=0,0,SER_hh_fech_in!D9/SER_summary!D$27)</f>
        <v>0</v>
      </c>
      <c r="E9" s="132">
        <f>IF(SER_hh_fech_in!E9=0,0,SER_hh_fech_in!E9/SER_summary!E$27)</f>
        <v>0</v>
      </c>
      <c r="F9" s="132">
        <f>IF(SER_hh_fech_in!F9=0,0,SER_hh_fech_in!F9/SER_summary!F$27)</f>
        <v>0</v>
      </c>
      <c r="G9" s="132">
        <f>IF(SER_hh_fech_in!G9=0,0,SER_hh_fech_in!G9/SER_summary!G$27)</f>
        <v>0</v>
      </c>
      <c r="H9" s="132">
        <f>IF(SER_hh_fech_in!H9=0,0,SER_hh_fech_in!H9/SER_summary!H$27)</f>
        <v>0</v>
      </c>
      <c r="I9" s="132">
        <f>IF(SER_hh_fech_in!I9=0,0,SER_hh_fech_in!I9/SER_summary!I$27)</f>
        <v>0</v>
      </c>
      <c r="J9" s="132">
        <f>IF(SER_hh_fech_in!J9=0,0,SER_hh_fech_in!J9/SER_summary!J$27)</f>
        <v>0</v>
      </c>
      <c r="K9" s="132">
        <f>IF(SER_hh_fech_in!K9=0,0,SER_hh_fech_in!K9/SER_summary!K$27)</f>
        <v>0</v>
      </c>
      <c r="L9" s="132">
        <f>IF(SER_hh_fech_in!L9=0,0,SER_hh_fech_in!L9/SER_summary!L$27)</f>
        <v>0</v>
      </c>
      <c r="M9" s="132">
        <f>IF(SER_hh_fech_in!M9=0,0,SER_hh_fech_in!M9/SER_summary!M$27)</f>
        <v>154.92763766302218</v>
      </c>
      <c r="N9" s="132">
        <f>IF(SER_hh_fech_in!N9=0,0,SER_hh_fech_in!N9/SER_summary!N$27)</f>
        <v>168.03027540517627</v>
      </c>
      <c r="O9" s="132">
        <f>IF(SER_hh_fech_in!O9=0,0,SER_hh_fech_in!O9/SER_summary!O$27)</f>
        <v>114.0976521912422</v>
      </c>
      <c r="P9" s="132">
        <f>IF(SER_hh_fech_in!P9=0,0,SER_hh_fech_in!P9/SER_summary!P$27)</f>
        <v>0</v>
      </c>
      <c r="Q9" s="132">
        <f>IF(SER_hh_fech_in!Q9=0,0,SER_hh_fech_in!Q9/SER_summary!Q$27)</f>
        <v>0</v>
      </c>
      <c r="R9" s="132">
        <f>IF(SER_hh_fech_in!R9=0,0,SER_hh_fech_in!R9/SER_summary!R$27)</f>
        <v>130.13589085225433</v>
      </c>
      <c r="S9" s="132">
        <f>IF(SER_hh_fech_in!S9=0,0,SER_hh_fech_in!S9/SER_summary!S$27)</f>
        <v>0</v>
      </c>
      <c r="T9" s="132">
        <f>IF(SER_hh_fech_in!T9=0,0,SER_hh_fech_in!T9/SER_summary!T$27)</f>
        <v>70.441980724627214</v>
      </c>
      <c r="U9" s="132">
        <f>IF(SER_hh_fech_in!U9=0,0,SER_hh_fech_in!U9/SER_summary!U$27)</f>
        <v>90.08474993779916</v>
      </c>
      <c r="V9" s="132">
        <f>IF(SER_hh_fech_in!V9=0,0,SER_hh_fech_in!V9/SER_summary!V$27)</f>
        <v>59.428941698216256</v>
      </c>
      <c r="W9" s="132">
        <f>IF(SER_hh_fech_in!W9=0,0,SER_hh_fech_in!W9/SER_summary!W$27)</f>
        <v>30.520312963050962</v>
      </c>
      <c r="X9" s="132">
        <f>IF(SER_hh_fech_in!X9=0,0,SER_hh_fech_in!X9/SER_summary!X$27)</f>
        <v>30.510912469603984</v>
      </c>
      <c r="Y9" s="132">
        <f>IF(SER_hh_fech_in!Y9=0,0,SER_hh_fech_in!Y9/SER_summary!Y$27)</f>
        <v>31.446355268228217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0</v>
      </c>
      <c r="D10" s="132">
        <f>IF(SER_hh_fech_in!D10=0,0,SER_hh_fech_in!D10/SER_summary!D$27)</f>
        <v>0</v>
      </c>
      <c r="E10" s="132">
        <f>IF(SER_hh_fech_in!E10=0,0,SER_hh_fech_in!E10/SER_summary!E$27)</f>
        <v>0</v>
      </c>
      <c r="F10" s="132">
        <f>IF(SER_hh_fech_in!F10=0,0,SER_hh_fech_in!F10/SER_summary!F$27)</f>
        <v>0</v>
      </c>
      <c r="G10" s="132">
        <f>IF(SER_hh_fech_in!G10=0,0,SER_hh_fech_in!G10/SER_summary!G$27)</f>
        <v>0</v>
      </c>
      <c r="H10" s="132">
        <f>IF(SER_hh_fech_in!H10=0,0,SER_hh_fech_in!H10/SER_summary!H$27)</f>
        <v>0</v>
      </c>
      <c r="I10" s="132">
        <f>IF(SER_hh_fech_in!I10=0,0,SER_hh_fech_in!I10/SER_summary!I$27)</f>
        <v>0</v>
      </c>
      <c r="J10" s="132">
        <f>IF(SER_hh_fech_in!J10=0,0,SER_hh_fech_in!J10/SER_summary!J$27)</f>
        <v>0</v>
      </c>
      <c r="K10" s="132">
        <f>IF(SER_hh_fech_in!K10=0,0,SER_hh_fech_in!K10/SER_summary!K$27)</f>
        <v>0</v>
      </c>
      <c r="L10" s="132">
        <f>IF(SER_hh_fech_in!L10=0,0,SER_hh_fech_in!L10/SER_summary!L$27)</f>
        <v>0</v>
      </c>
      <c r="M10" s="132">
        <f>IF(SER_hh_fech_in!M10=0,0,SER_hh_fech_in!M10/SER_summary!M$27)</f>
        <v>0</v>
      </c>
      <c r="N10" s="132">
        <f>IF(SER_hh_fech_in!N10=0,0,SER_hh_fech_in!N10/SER_summary!N$27)</f>
        <v>0</v>
      </c>
      <c r="O10" s="132">
        <f>IF(SER_hh_fech_in!O10=0,0,SER_hh_fech_in!O10/SER_summary!O$27)</f>
        <v>0</v>
      </c>
      <c r="P10" s="132">
        <f>IF(SER_hh_fech_in!P10=0,0,SER_hh_fech_in!P10/SER_summary!P$27)</f>
        <v>0</v>
      </c>
      <c r="Q10" s="132">
        <f>IF(SER_hh_fech_in!Q10=0,0,SER_hh_fech_in!Q10/SER_summary!Q$27)</f>
        <v>0</v>
      </c>
      <c r="R10" s="132">
        <f>IF(SER_hh_fech_in!R10=0,0,SER_hh_fech_in!R10/SER_summary!R$27)</f>
        <v>0</v>
      </c>
      <c r="S10" s="132">
        <f>IF(SER_hh_fech_in!S10=0,0,SER_hh_fech_in!S10/SER_summary!S$27)</f>
        <v>0</v>
      </c>
      <c r="T10" s="132">
        <f>IF(SER_hh_fech_in!T10=0,0,SER_hh_fech_in!T10/SER_summary!T$27)</f>
        <v>0</v>
      </c>
      <c r="U10" s="132">
        <f>IF(SER_hh_fech_in!U10=0,0,SER_hh_fech_in!U10/SER_summary!U$27)</f>
        <v>0</v>
      </c>
      <c r="V10" s="132">
        <f>IF(SER_hh_fech_in!V10=0,0,SER_hh_fech_in!V10/SER_summary!V$27)</f>
        <v>0</v>
      </c>
      <c r="W10" s="132">
        <f>IF(SER_hh_fech_in!W10=0,0,SER_hh_fech_in!W10/SER_summary!W$27)</f>
        <v>0</v>
      </c>
      <c r="X10" s="132">
        <f>IF(SER_hh_fech_in!X10=0,0,SER_hh_fech_in!X10/SER_summary!X$27)</f>
        <v>0</v>
      </c>
      <c r="Y10" s="132">
        <f>IF(SER_hh_fech_in!Y10=0,0,SER_hh_fech_in!Y10/SER_summary!Y$27)</f>
        <v>0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0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0</v>
      </c>
      <c r="D12" s="132">
        <f>IF(SER_hh_fech_in!D12=0,0,SER_hh_fech_in!D12/SER_summary!D$27)</f>
        <v>0</v>
      </c>
      <c r="E12" s="132">
        <f>IF(SER_hh_fech_in!E12=0,0,SER_hh_fech_in!E12/SER_summary!E$27)</f>
        <v>0</v>
      </c>
      <c r="F12" s="132">
        <f>IF(SER_hh_fech_in!F12=0,0,SER_hh_fech_in!F12/SER_summary!F$27)</f>
        <v>0</v>
      </c>
      <c r="G12" s="132">
        <f>IF(SER_hh_fech_in!G12=0,0,SER_hh_fech_in!G12/SER_summary!G$27)</f>
        <v>0</v>
      </c>
      <c r="H12" s="132">
        <f>IF(SER_hh_fech_in!H12=0,0,SER_hh_fech_in!H12/SER_summary!H$27)</f>
        <v>0</v>
      </c>
      <c r="I12" s="132">
        <f>IF(SER_hh_fech_in!I12=0,0,SER_hh_fech_in!I12/SER_summary!I$27)</f>
        <v>0</v>
      </c>
      <c r="J12" s="132">
        <f>IF(SER_hh_fech_in!J12=0,0,SER_hh_fech_in!J12/SER_summary!J$27)</f>
        <v>0</v>
      </c>
      <c r="K12" s="132">
        <f>IF(SER_hh_fech_in!K12=0,0,SER_hh_fech_in!K12/SER_summary!K$27)</f>
        <v>0</v>
      </c>
      <c r="L12" s="132">
        <f>IF(SER_hh_fech_in!L12=0,0,SER_hh_fech_in!L12/SER_summary!L$27)</f>
        <v>0</v>
      </c>
      <c r="M12" s="132">
        <f>IF(SER_hh_fech_in!M12=0,0,SER_hh_fech_in!M12/SER_summary!M$27)</f>
        <v>170.59633992144418</v>
      </c>
      <c r="N12" s="132">
        <f>IF(SER_hh_fech_in!N12=0,0,SER_hh_fech_in!N12/SER_summary!N$27)</f>
        <v>261.6582441156653</v>
      </c>
      <c r="O12" s="132">
        <f>IF(SER_hh_fech_in!O12=0,0,SER_hh_fech_in!O12/SER_summary!O$27)</f>
        <v>0</v>
      </c>
      <c r="P12" s="132">
        <f>IF(SER_hh_fech_in!P12=0,0,SER_hh_fech_in!P12/SER_summary!P$27)</f>
        <v>0</v>
      </c>
      <c r="Q12" s="132">
        <f>IF(SER_hh_fech_in!Q12=0,0,SER_hh_fech_in!Q12/SER_summary!Q$27)</f>
        <v>0</v>
      </c>
      <c r="R12" s="132">
        <f>IF(SER_hh_fech_in!R12=0,0,SER_hh_fech_in!R12/SER_summary!R$27)</f>
        <v>0</v>
      </c>
      <c r="S12" s="132">
        <f>IF(SER_hh_fech_in!S12=0,0,SER_hh_fech_in!S12/SER_summary!S$27)</f>
        <v>0</v>
      </c>
      <c r="T12" s="132">
        <f>IF(SER_hh_fech_in!T12=0,0,SER_hh_fech_in!T12/SER_summary!T$27)</f>
        <v>0</v>
      </c>
      <c r="U12" s="132">
        <f>IF(SER_hh_fech_in!U12=0,0,SER_hh_fech_in!U12/SER_summary!U$27)</f>
        <v>0</v>
      </c>
      <c r="V12" s="132">
        <f>IF(SER_hh_fech_in!V12=0,0,SER_hh_fech_in!V12/SER_summary!V$27)</f>
        <v>0</v>
      </c>
      <c r="W12" s="132">
        <f>IF(SER_hh_fech_in!W12=0,0,SER_hh_fech_in!W12/SER_summary!W$27)</f>
        <v>0</v>
      </c>
      <c r="X12" s="132">
        <f>IF(SER_hh_fech_in!X12=0,0,SER_hh_fech_in!X12/SER_summary!X$27)</f>
        <v>0</v>
      </c>
      <c r="Y12" s="132">
        <f>IF(SER_hh_fech_in!Y12=0,0,SER_hh_fech_in!Y12/SER_summary!Y$27)</f>
        <v>0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41.374143274760314</v>
      </c>
      <c r="D13" s="132">
        <f>IF(SER_hh_fech_in!D13=0,0,SER_hh_fech_in!D13/SER_summary!D$27)</f>
        <v>44.098299543439552</v>
      </c>
      <c r="E13" s="132">
        <f>IF(SER_hh_fech_in!E13=0,0,SER_hh_fech_in!E13/SER_summary!E$27)</f>
        <v>49.589306119268684</v>
      </c>
      <c r="F13" s="132">
        <f>IF(SER_hh_fech_in!F13=0,0,SER_hh_fech_in!F13/SER_summary!F$27)</f>
        <v>42.11490695202167</v>
      </c>
      <c r="G13" s="132">
        <f>IF(SER_hh_fech_in!G13=0,0,SER_hh_fech_in!G13/SER_summary!G$27)</f>
        <v>41.740041506449742</v>
      </c>
      <c r="H13" s="132">
        <f>IF(SER_hh_fech_in!H13=0,0,SER_hh_fech_in!H13/SER_summary!H$27)</f>
        <v>31.532000428541874</v>
      </c>
      <c r="I13" s="132">
        <f>IF(SER_hh_fech_in!I13=0,0,SER_hh_fech_in!I13/SER_summary!I$27)</f>
        <v>29.086238750003805</v>
      </c>
      <c r="J13" s="132">
        <f>IF(SER_hh_fech_in!J13=0,0,SER_hh_fech_in!J13/SER_summary!J$27)</f>
        <v>30.414680839463859</v>
      </c>
      <c r="K13" s="132">
        <f>IF(SER_hh_fech_in!K13=0,0,SER_hh_fech_in!K13/SER_summary!K$27)</f>
        <v>30.672727596226935</v>
      </c>
      <c r="L13" s="132">
        <f>IF(SER_hh_fech_in!L13=0,0,SER_hh_fech_in!L13/SER_summary!L$27)</f>
        <v>29.860974544027624</v>
      </c>
      <c r="M13" s="132">
        <f>IF(SER_hh_fech_in!M13=0,0,SER_hh_fech_in!M13/SER_summary!M$27)</f>
        <v>32.83070759783071</v>
      </c>
      <c r="N13" s="132">
        <f>IF(SER_hh_fech_in!N13=0,0,SER_hh_fech_in!N13/SER_summary!N$27)</f>
        <v>34.851907941381121</v>
      </c>
      <c r="O13" s="132">
        <f>IF(SER_hh_fech_in!O13=0,0,SER_hh_fech_in!O13/SER_summary!O$27)</f>
        <v>32.3667199597501</v>
      </c>
      <c r="P13" s="132">
        <f>IF(SER_hh_fech_in!P13=0,0,SER_hh_fech_in!P13/SER_summary!P$27)</f>
        <v>33.849826639667391</v>
      </c>
      <c r="Q13" s="132">
        <f>IF(SER_hh_fech_in!Q13=0,0,SER_hh_fech_in!Q13/SER_summary!Q$27)</f>
        <v>34.548796115517654</v>
      </c>
      <c r="R13" s="132">
        <f>IF(SER_hh_fech_in!R13=0,0,SER_hh_fech_in!R13/SER_summary!R$27)</f>
        <v>29.647748721366604</v>
      </c>
      <c r="S13" s="132">
        <f>IF(SER_hh_fech_in!S13=0,0,SER_hh_fech_in!S13/SER_summary!S$27)</f>
        <v>26.324417153379766</v>
      </c>
      <c r="T13" s="132">
        <f>IF(SER_hh_fech_in!T13=0,0,SER_hh_fech_in!T13/SER_summary!T$27)</f>
        <v>21.525620401443298</v>
      </c>
      <c r="U13" s="132">
        <f>IF(SER_hh_fech_in!U13=0,0,SER_hh_fech_in!U13/SER_summary!U$27)</f>
        <v>16.692899178861872</v>
      </c>
      <c r="V13" s="132">
        <f>IF(SER_hh_fech_in!V13=0,0,SER_hh_fech_in!V13/SER_summary!V$27)</f>
        <v>14.517358783444356</v>
      </c>
      <c r="W13" s="132">
        <f>IF(SER_hh_fech_in!W13=0,0,SER_hh_fech_in!W13/SER_summary!W$27)</f>
        <v>10.900970391453757</v>
      </c>
      <c r="X13" s="132">
        <f>IF(SER_hh_fech_in!X13=0,0,SER_hh_fech_in!X13/SER_summary!X$27)</f>
        <v>7.1882753231078933</v>
      </c>
      <c r="Y13" s="132">
        <f>IF(SER_hh_fech_in!Y13=0,0,SER_hh_fech_in!Y13/SER_summary!Y$27)</f>
        <v>7.8223374536033061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118.7111662359172</v>
      </c>
      <c r="D14" s="65">
        <f>IF(SER_hh_fech_in!D14=0,0,SER_hh_fech_in!D14/SER_summary!D$27)</f>
        <v>141.60198193194813</v>
      </c>
      <c r="E14" s="65">
        <f>IF(SER_hh_fech_in!E14=0,0,SER_hh_fech_in!E14/SER_summary!E$27)</f>
        <v>133.75978453427976</v>
      </c>
      <c r="F14" s="65">
        <f>IF(SER_hh_fech_in!F14=0,0,SER_hh_fech_in!F14/SER_summary!F$27)</f>
        <v>136.79298539411292</v>
      </c>
      <c r="G14" s="65">
        <f>IF(SER_hh_fech_in!G14=0,0,SER_hh_fech_in!G14/SER_summary!G$27)</f>
        <v>216.88408665258558</v>
      </c>
      <c r="H14" s="65">
        <f>IF(SER_hh_fech_in!H14=0,0,SER_hh_fech_in!H14/SER_summary!H$27)</f>
        <v>126.32921569936548</v>
      </c>
      <c r="I14" s="65">
        <f>IF(SER_hh_fech_in!I14=0,0,SER_hh_fech_in!I14/SER_summary!I$27)</f>
        <v>118.71251484146526</v>
      </c>
      <c r="J14" s="65">
        <f>IF(SER_hh_fech_in!J14=0,0,SER_hh_fech_in!J14/SER_summary!J$27)</f>
        <v>100.44971591689925</v>
      </c>
      <c r="K14" s="65">
        <f>IF(SER_hh_fech_in!K14=0,0,SER_hh_fech_in!K14/SER_summary!K$27)</f>
        <v>70.634250564426722</v>
      </c>
      <c r="L14" s="65">
        <f>IF(SER_hh_fech_in!L14=0,0,SER_hh_fech_in!L14/SER_summary!L$27)</f>
        <v>163.08504286358479</v>
      </c>
      <c r="M14" s="65">
        <f>IF(SER_hh_fech_in!M14=0,0,SER_hh_fech_in!M14/SER_summary!M$27)</f>
        <v>167.15826452410059</v>
      </c>
      <c r="N14" s="65">
        <f>IF(SER_hh_fech_in!N14=0,0,SER_hh_fech_in!N14/SER_summary!N$27)</f>
        <v>163.54122453947349</v>
      </c>
      <c r="O14" s="65">
        <f>IF(SER_hh_fech_in!O14=0,0,SER_hh_fech_in!O14/SER_summary!O$27)</f>
        <v>160.33380852324623</v>
      </c>
      <c r="P14" s="65">
        <f>IF(SER_hh_fech_in!P14=0,0,SER_hh_fech_in!P14/SER_summary!P$27)</f>
        <v>166.39953729076464</v>
      </c>
      <c r="Q14" s="65">
        <f>IF(SER_hh_fech_in!Q14=0,0,SER_hh_fech_in!Q14/SER_summary!Q$27)</f>
        <v>171.91300552620228</v>
      </c>
      <c r="R14" s="65">
        <f>IF(SER_hh_fech_in!R14=0,0,SER_hh_fech_in!R14/SER_summary!R$27)</f>
        <v>144.29176464988555</v>
      </c>
      <c r="S14" s="65">
        <f>IF(SER_hh_fech_in!S14=0,0,SER_hh_fech_in!S14/SER_summary!S$27)</f>
        <v>145.45740555567323</v>
      </c>
      <c r="T14" s="65">
        <f>IF(SER_hh_fech_in!T14=0,0,SER_hh_fech_in!T14/SER_summary!T$27)</f>
        <v>117.7309444222837</v>
      </c>
      <c r="U14" s="65">
        <f>IF(SER_hh_fech_in!U14=0,0,SER_hh_fech_in!U14/SER_summary!U$27)</f>
        <v>99.23472159990682</v>
      </c>
      <c r="V14" s="65">
        <f>IF(SER_hh_fech_in!V14=0,0,SER_hh_fech_in!V14/SER_summary!V$27)</f>
        <v>63.661359587824407</v>
      </c>
      <c r="W14" s="65">
        <f>IF(SER_hh_fech_in!W14=0,0,SER_hh_fech_in!W14/SER_summary!W$27)</f>
        <v>44.461180628808812</v>
      </c>
      <c r="X14" s="65">
        <f>IF(SER_hh_fech_in!X14=0,0,SER_hh_fech_in!X14/SER_summary!X$27)</f>
        <v>35.30335206686221</v>
      </c>
      <c r="Y14" s="65">
        <f>IF(SER_hh_fech_in!Y14=0,0,SER_hh_fech_in!Y14/SER_summary!Y$27)</f>
        <v>35.187169628664208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1.3021044678335156</v>
      </c>
      <c r="D15" s="134">
        <f>IF(SER_hh_fech_in!D15=0,0,SER_hh_fech_in!D15/SER_summary!D$27)</f>
        <v>1.4573723300717714</v>
      </c>
      <c r="E15" s="134">
        <f>IF(SER_hh_fech_in!E15=0,0,SER_hh_fech_in!E15/SER_summary!E$27)</f>
        <v>1.7472391737340314</v>
      </c>
      <c r="F15" s="134">
        <f>IF(SER_hh_fech_in!F15=0,0,SER_hh_fech_in!F15/SER_summary!F$27)</f>
        <v>1.7440953957752829</v>
      </c>
      <c r="G15" s="134">
        <f>IF(SER_hh_fech_in!G15=0,0,SER_hh_fech_in!G15/SER_summary!G$27)</f>
        <v>1.5254677947294035</v>
      </c>
      <c r="H15" s="134">
        <f>IF(SER_hh_fech_in!H15=0,0,SER_hh_fech_in!H15/SER_summary!H$27)</f>
        <v>1.3042450041470575</v>
      </c>
      <c r="I15" s="134">
        <f>IF(SER_hh_fech_in!I15=0,0,SER_hh_fech_in!I15/SER_summary!I$27)</f>
        <v>1.3985677517422375</v>
      </c>
      <c r="J15" s="134">
        <f>IF(SER_hh_fech_in!J15=0,0,SER_hh_fech_in!J15/SER_summary!J$27)</f>
        <v>1.2348897634887446</v>
      </c>
      <c r="K15" s="134">
        <f>IF(SER_hh_fech_in!K15=0,0,SER_hh_fech_in!K15/SER_summary!K$27)</f>
        <v>0.46180546719378796</v>
      </c>
      <c r="L15" s="134">
        <f>IF(SER_hh_fech_in!L15=0,0,SER_hh_fech_in!L15/SER_summary!L$27)</f>
        <v>2.0449140922971583</v>
      </c>
      <c r="M15" s="134">
        <f>IF(SER_hh_fech_in!M15=0,0,SER_hh_fech_in!M15/SER_summary!M$27)</f>
        <v>1.4151448353121856</v>
      </c>
      <c r="N15" s="134">
        <f>IF(SER_hh_fech_in!N15=0,0,SER_hh_fech_in!N15/SER_summary!N$27)</f>
        <v>1.5558561532331072</v>
      </c>
      <c r="O15" s="134">
        <f>IF(SER_hh_fech_in!O15=0,0,SER_hh_fech_in!O15/SER_summary!O$27)</f>
        <v>1.872768828302368</v>
      </c>
      <c r="P15" s="134">
        <f>IF(SER_hh_fech_in!P15=0,0,SER_hh_fech_in!P15/SER_summary!P$27)</f>
        <v>1.8120486602396888</v>
      </c>
      <c r="Q15" s="134">
        <f>IF(SER_hh_fech_in!Q15=0,0,SER_hh_fech_in!Q15/SER_summary!Q$27)</f>
        <v>2.0139360335079552</v>
      </c>
      <c r="R15" s="134">
        <f>IF(SER_hh_fech_in!R15=0,0,SER_hh_fech_in!R15/SER_summary!R$27)</f>
        <v>1.6184176918377393</v>
      </c>
      <c r="S15" s="134">
        <f>IF(SER_hh_fech_in!S15=0,0,SER_hh_fech_in!S15/SER_summary!S$27)</f>
        <v>1.2889177012917326</v>
      </c>
      <c r="T15" s="134">
        <f>IF(SER_hh_fech_in!T15=0,0,SER_hh_fech_in!T15/SER_summary!T$27)</f>
        <v>1.3587354155055644</v>
      </c>
      <c r="U15" s="134">
        <f>IF(SER_hh_fech_in!U15=0,0,SER_hh_fech_in!U15/SER_summary!U$27)</f>
        <v>1.2072470245862463</v>
      </c>
      <c r="V15" s="134">
        <f>IF(SER_hh_fech_in!V15=0,0,SER_hh_fech_in!V15/SER_summary!V$27)</f>
        <v>0.79126628326280735</v>
      </c>
      <c r="W15" s="134">
        <f>IF(SER_hh_fech_in!W15=0,0,SER_hh_fech_in!W15/SER_summary!W$27)</f>
        <v>0.57591442901737444</v>
      </c>
      <c r="X15" s="134">
        <f>IF(SER_hh_fech_in!X15=0,0,SER_hh_fech_in!X15/SER_summary!X$27)</f>
        <v>0.45391332086691016</v>
      </c>
      <c r="Y15" s="134">
        <f>IF(SER_hh_fech_in!Y15=0,0,SER_hh_fech_in!Y15/SER_summary!Y$27)</f>
        <v>0.43072977706846727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35.226705288037209</v>
      </c>
      <c r="D16" s="130">
        <f>IF(SER_hh_fech_in!D16=0,0,SER_hh_fech_in!D16/SER_summary!D$27)</f>
        <v>26.216431244906584</v>
      </c>
      <c r="E16" s="130">
        <f>IF(SER_hh_fech_in!E16=0,0,SER_hh_fech_in!E16/SER_summary!E$27)</f>
        <v>38.236698772081724</v>
      </c>
      <c r="F16" s="130">
        <f>IF(SER_hh_fech_in!F16=0,0,SER_hh_fech_in!F16/SER_summary!F$27)</f>
        <v>19.190513860632709</v>
      </c>
      <c r="G16" s="130">
        <f>IF(SER_hh_fech_in!G16=0,0,SER_hh_fech_in!G16/SER_summary!G$27)</f>
        <v>18.213790279521241</v>
      </c>
      <c r="H16" s="130">
        <f>IF(SER_hh_fech_in!H16=0,0,SER_hh_fech_in!H16/SER_summary!H$27)</f>
        <v>23.827414587740986</v>
      </c>
      <c r="I16" s="130">
        <f>IF(SER_hh_fech_in!I16=0,0,SER_hh_fech_in!I16/SER_summary!I$27)</f>
        <v>23.75468359729442</v>
      </c>
      <c r="J16" s="130">
        <f>IF(SER_hh_fech_in!J16=0,0,SER_hh_fech_in!J16/SER_summary!J$27)</f>
        <v>19.681298053522202</v>
      </c>
      <c r="K16" s="130">
        <f>IF(SER_hh_fech_in!K16=0,0,SER_hh_fech_in!K16/SER_summary!K$27)</f>
        <v>19.39874722087562</v>
      </c>
      <c r="L16" s="130">
        <f>IF(SER_hh_fech_in!L16=0,0,SER_hh_fech_in!L16/SER_summary!L$27)</f>
        <v>15.122201671576612</v>
      </c>
      <c r="M16" s="130">
        <f>IF(SER_hh_fech_in!M16=0,0,SER_hh_fech_in!M16/SER_summary!M$27)</f>
        <v>15.587981054422334</v>
      </c>
      <c r="N16" s="130">
        <f>IF(SER_hh_fech_in!N16=0,0,SER_hh_fech_in!N16/SER_summary!N$27)</f>
        <v>25.810797849984066</v>
      </c>
      <c r="O16" s="130">
        <f>IF(SER_hh_fech_in!O16=0,0,SER_hh_fech_in!O16/SER_summary!O$27)</f>
        <v>17.121885641963381</v>
      </c>
      <c r="P16" s="130">
        <f>IF(SER_hh_fech_in!P16=0,0,SER_hh_fech_in!P16/SER_summary!P$27)</f>
        <v>16.616551985256383</v>
      </c>
      <c r="Q16" s="130">
        <f>IF(SER_hh_fech_in!Q16=0,0,SER_hh_fech_in!Q16/SER_summary!Q$27)</f>
        <v>16.918241940483117</v>
      </c>
      <c r="R16" s="130">
        <f>IF(SER_hh_fech_in!R16=0,0,SER_hh_fech_in!R16/SER_summary!R$27)</f>
        <v>13.243521083999399</v>
      </c>
      <c r="S16" s="130">
        <f>IF(SER_hh_fech_in!S16=0,0,SER_hh_fech_in!S16/SER_summary!S$27)</f>
        <v>15.017094049193856</v>
      </c>
      <c r="T16" s="130">
        <f>IF(SER_hh_fech_in!T16=0,0,SER_hh_fech_in!T16/SER_summary!T$27)</f>
        <v>12.752867106947848</v>
      </c>
      <c r="U16" s="130">
        <f>IF(SER_hh_fech_in!U16=0,0,SER_hh_fech_in!U16/SER_summary!U$27)</f>
        <v>16.529583582723284</v>
      </c>
      <c r="V16" s="130">
        <f>IF(SER_hh_fech_in!V16=0,0,SER_hh_fech_in!V16/SER_summary!V$27)</f>
        <v>12.080077672971163</v>
      </c>
      <c r="W16" s="130">
        <f>IF(SER_hh_fech_in!W16=0,0,SER_hh_fech_in!W16/SER_summary!W$27)</f>
        <v>12.628375182359141</v>
      </c>
      <c r="X16" s="130">
        <f>IF(SER_hh_fech_in!X16=0,0,SER_hh_fech_in!X16/SER_summary!X$27)</f>
        <v>11.047038992513411</v>
      </c>
      <c r="Y16" s="130">
        <f>IF(SER_hh_fech_in!Y16=0,0,SER_hh_fech_in!Y16/SER_summary!Y$27)</f>
        <v>9.9954914882450012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0</v>
      </c>
      <c r="D17" s="132">
        <f>IF(SER_hh_fech_in!D17=0,0,SER_hh_fech_in!D17/SER_summary!D$27)</f>
        <v>0</v>
      </c>
      <c r="E17" s="132">
        <f>IF(SER_hh_fech_in!E17=0,0,SER_hh_fech_in!E17/SER_summary!E$27)</f>
        <v>0</v>
      </c>
      <c r="F17" s="132">
        <f>IF(SER_hh_fech_in!F17=0,0,SER_hh_fech_in!F17/SER_summary!F$27)</f>
        <v>0</v>
      </c>
      <c r="G17" s="132">
        <f>IF(SER_hh_fech_in!G17=0,0,SER_hh_fech_in!G17/SER_summary!G$27)</f>
        <v>0</v>
      </c>
      <c r="H17" s="132">
        <f>IF(SER_hh_fech_in!H17=0,0,SER_hh_fech_in!H17/SER_summary!H$27)</f>
        <v>0</v>
      </c>
      <c r="I17" s="132">
        <f>IF(SER_hh_fech_in!I17=0,0,SER_hh_fech_in!I17/SER_summary!I$27)</f>
        <v>0</v>
      </c>
      <c r="J17" s="132">
        <f>IF(SER_hh_fech_in!J17=0,0,SER_hh_fech_in!J17/SER_summary!J$27)</f>
        <v>0</v>
      </c>
      <c r="K17" s="132">
        <f>IF(SER_hh_fech_in!K17=0,0,SER_hh_fech_in!K17/SER_summary!K$27)</f>
        <v>0</v>
      </c>
      <c r="L17" s="132">
        <f>IF(SER_hh_fech_in!L17=0,0,SER_hh_fech_in!L17/SER_summary!L$27)</f>
        <v>0</v>
      </c>
      <c r="M17" s="132">
        <f>IF(SER_hh_fech_in!M17=0,0,SER_hh_fech_in!M17/SER_summary!M$27)</f>
        <v>0</v>
      </c>
      <c r="N17" s="132">
        <f>IF(SER_hh_fech_in!N17=0,0,SER_hh_fech_in!N17/SER_summary!N$27)</f>
        <v>0</v>
      </c>
      <c r="O17" s="132">
        <f>IF(SER_hh_fech_in!O17=0,0,SER_hh_fech_in!O17/SER_summary!O$27)</f>
        <v>0</v>
      </c>
      <c r="P17" s="132">
        <f>IF(SER_hh_fech_in!P17=0,0,SER_hh_fech_in!P17/SER_summary!P$27)</f>
        <v>0</v>
      </c>
      <c r="Q17" s="132">
        <f>IF(SER_hh_fech_in!Q17=0,0,SER_hh_fech_in!Q17/SER_summary!Q$27)</f>
        <v>0</v>
      </c>
      <c r="R17" s="132">
        <f>IF(SER_hh_fech_in!R17=0,0,SER_hh_fech_in!R17/SER_summary!R$27)</f>
        <v>0</v>
      </c>
      <c r="S17" s="132">
        <f>IF(SER_hh_fech_in!S17=0,0,SER_hh_fech_in!S17/SER_summary!S$27)</f>
        <v>0</v>
      </c>
      <c r="T17" s="132">
        <f>IF(SER_hh_fech_in!T17=0,0,SER_hh_fech_in!T17/SER_summary!T$27)</f>
        <v>0</v>
      </c>
      <c r="U17" s="132">
        <f>IF(SER_hh_fech_in!U17=0,0,SER_hh_fech_in!U17/SER_summary!U$27)</f>
        <v>0</v>
      </c>
      <c r="V17" s="132">
        <f>IF(SER_hh_fech_in!V17=0,0,SER_hh_fech_in!V17/SER_summary!V$27)</f>
        <v>0</v>
      </c>
      <c r="W17" s="132">
        <f>IF(SER_hh_fech_in!W17=0,0,SER_hh_fech_in!W17/SER_summary!W$27)</f>
        <v>0</v>
      </c>
      <c r="X17" s="132">
        <f>IF(SER_hh_fech_in!X17=0,0,SER_hh_fech_in!X17/SER_summary!X$27)</f>
        <v>0</v>
      </c>
      <c r="Y17" s="132">
        <f>IF(SER_hh_fech_in!Y17=0,0,SER_hh_fech_in!Y17/SER_summary!Y$27)</f>
        <v>0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35.226705288037209</v>
      </c>
      <c r="D18" s="132">
        <f>IF(SER_hh_fech_in!D18=0,0,SER_hh_fech_in!D18/SER_summary!D$27)</f>
        <v>26.216431244906584</v>
      </c>
      <c r="E18" s="132">
        <f>IF(SER_hh_fech_in!E18=0,0,SER_hh_fech_in!E18/SER_summary!E$27)</f>
        <v>38.236698772081724</v>
      </c>
      <c r="F18" s="132">
        <f>IF(SER_hh_fech_in!F18=0,0,SER_hh_fech_in!F18/SER_summary!F$27)</f>
        <v>19.190513860632709</v>
      </c>
      <c r="G18" s="132">
        <f>IF(SER_hh_fech_in!G18=0,0,SER_hh_fech_in!G18/SER_summary!G$27)</f>
        <v>18.213790279521241</v>
      </c>
      <c r="H18" s="132">
        <f>IF(SER_hh_fech_in!H18=0,0,SER_hh_fech_in!H18/SER_summary!H$27)</f>
        <v>23.827414587740986</v>
      </c>
      <c r="I18" s="132">
        <f>IF(SER_hh_fech_in!I18=0,0,SER_hh_fech_in!I18/SER_summary!I$27)</f>
        <v>23.75468359729442</v>
      </c>
      <c r="J18" s="132">
        <f>IF(SER_hh_fech_in!J18=0,0,SER_hh_fech_in!J18/SER_summary!J$27)</f>
        <v>19.681298053522202</v>
      </c>
      <c r="K18" s="132">
        <f>IF(SER_hh_fech_in!K18=0,0,SER_hh_fech_in!K18/SER_summary!K$27)</f>
        <v>19.39874722087562</v>
      </c>
      <c r="L18" s="132">
        <f>IF(SER_hh_fech_in!L18=0,0,SER_hh_fech_in!L18/SER_summary!L$27)</f>
        <v>15.122201671576612</v>
      </c>
      <c r="M18" s="132">
        <f>IF(SER_hh_fech_in!M18=0,0,SER_hh_fech_in!M18/SER_summary!M$27)</f>
        <v>15.587981054422334</v>
      </c>
      <c r="N18" s="132">
        <f>IF(SER_hh_fech_in!N18=0,0,SER_hh_fech_in!N18/SER_summary!N$27)</f>
        <v>25.810797849984066</v>
      </c>
      <c r="O18" s="132">
        <f>IF(SER_hh_fech_in!O18=0,0,SER_hh_fech_in!O18/SER_summary!O$27)</f>
        <v>17.121885641963381</v>
      </c>
      <c r="P18" s="132">
        <f>IF(SER_hh_fech_in!P18=0,0,SER_hh_fech_in!P18/SER_summary!P$27)</f>
        <v>16.616551985256383</v>
      </c>
      <c r="Q18" s="132">
        <f>IF(SER_hh_fech_in!Q18=0,0,SER_hh_fech_in!Q18/SER_summary!Q$27)</f>
        <v>16.918241940483117</v>
      </c>
      <c r="R18" s="132">
        <f>IF(SER_hh_fech_in!R18=0,0,SER_hh_fech_in!R18/SER_summary!R$27)</f>
        <v>13.243521083999399</v>
      </c>
      <c r="S18" s="132">
        <f>IF(SER_hh_fech_in!S18=0,0,SER_hh_fech_in!S18/SER_summary!S$27)</f>
        <v>15.017094049193856</v>
      </c>
      <c r="T18" s="132">
        <f>IF(SER_hh_fech_in!T18=0,0,SER_hh_fech_in!T18/SER_summary!T$27)</f>
        <v>12.752867106947848</v>
      </c>
      <c r="U18" s="132">
        <f>IF(SER_hh_fech_in!U18=0,0,SER_hh_fech_in!U18/SER_summary!U$27)</f>
        <v>16.529583582723284</v>
      </c>
      <c r="V18" s="132">
        <f>IF(SER_hh_fech_in!V18=0,0,SER_hh_fech_in!V18/SER_summary!V$27)</f>
        <v>12.080077672971163</v>
      </c>
      <c r="W18" s="132">
        <f>IF(SER_hh_fech_in!W18=0,0,SER_hh_fech_in!W18/SER_summary!W$27)</f>
        <v>12.628375182359141</v>
      </c>
      <c r="X18" s="132">
        <f>IF(SER_hh_fech_in!X18=0,0,SER_hh_fech_in!X18/SER_summary!X$27)</f>
        <v>11.047038992513411</v>
      </c>
      <c r="Y18" s="132">
        <f>IF(SER_hh_fech_in!Y18=0,0,SER_hh_fech_in!Y18/SER_summary!Y$27)</f>
        <v>9.9954914882450012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54.048548833698298</v>
      </c>
      <c r="D19" s="130">
        <f>IF(SER_hh_fech_in!D19=0,0,SER_hh_fech_in!D19/SER_summary!D$27)</f>
        <v>54.981985200042651</v>
      </c>
      <c r="E19" s="130">
        <f>IF(SER_hh_fech_in!E19=0,0,SER_hh_fech_in!E19/SER_summary!E$27)</f>
        <v>55.209656320458578</v>
      </c>
      <c r="F19" s="130">
        <f>IF(SER_hh_fech_in!F19=0,0,SER_hh_fech_in!F19/SER_summary!F$27)</f>
        <v>55.843284828121156</v>
      </c>
      <c r="G19" s="130">
        <f>IF(SER_hh_fech_in!G19=0,0,SER_hh_fech_in!G19/SER_summary!G$27)</f>
        <v>53.038371557103559</v>
      </c>
      <c r="H19" s="130">
        <f>IF(SER_hh_fech_in!H19=0,0,SER_hh_fech_in!H19/SER_summary!H$27)</f>
        <v>57.819493039051366</v>
      </c>
      <c r="I19" s="130">
        <f>IF(SER_hh_fech_in!I19=0,0,SER_hh_fech_in!I19/SER_summary!I$27)</f>
        <v>52.976166549555614</v>
      </c>
      <c r="J19" s="130">
        <f>IF(SER_hh_fech_in!J19=0,0,SER_hh_fech_in!J19/SER_summary!J$27)</f>
        <v>50.504196368447722</v>
      </c>
      <c r="K19" s="130">
        <f>IF(SER_hh_fech_in!K19=0,0,SER_hh_fech_in!K19/SER_summary!K$27)</f>
        <v>50.838023055525156</v>
      </c>
      <c r="L19" s="130">
        <f>IF(SER_hh_fech_in!L19=0,0,SER_hh_fech_in!L19/SER_summary!L$27)</f>
        <v>52.547782591139821</v>
      </c>
      <c r="M19" s="130">
        <f>IF(SER_hh_fech_in!M19=0,0,SER_hh_fech_in!M19/SER_summary!M$27)</f>
        <v>51.589221695477455</v>
      </c>
      <c r="N19" s="130">
        <f>IF(SER_hh_fech_in!N19=0,0,SER_hh_fech_in!N19/SER_summary!N$27)</f>
        <v>48.848585252549391</v>
      </c>
      <c r="O19" s="130">
        <f>IF(SER_hh_fech_in!O19=0,0,SER_hh_fech_in!O19/SER_summary!O$27)</f>
        <v>48.090001686664564</v>
      </c>
      <c r="P19" s="130">
        <f>IF(SER_hh_fech_in!P19=0,0,SER_hh_fech_in!P19/SER_summary!P$27)</f>
        <v>45.485363442664543</v>
      </c>
      <c r="Q19" s="130">
        <f>IF(SER_hh_fech_in!Q19=0,0,SER_hh_fech_in!Q19/SER_summary!Q$27)</f>
        <v>43.246635733617182</v>
      </c>
      <c r="R19" s="130">
        <f>IF(SER_hh_fech_in!R19=0,0,SER_hh_fech_in!R19/SER_summary!R$27)</f>
        <v>41.965821911699521</v>
      </c>
      <c r="S19" s="130">
        <f>IF(SER_hh_fech_in!S19=0,0,SER_hh_fech_in!S19/SER_summary!S$27)</f>
        <v>40.388278120180928</v>
      </c>
      <c r="T19" s="130">
        <f>IF(SER_hh_fech_in!T19=0,0,SER_hh_fech_in!T19/SER_summary!T$27)</f>
        <v>39.290579872437164</v>
      </c>
      <c r="U19" s="130">
        <f>IF(SER_hh_fech_in!U19=0,0,SER_hh_fech_in!U19/SER_summary!U$27)</f>
        <v>38.104728669259167</v>
      </c>
      <c r="V19" s="130">
        <f>IF(SER_hh_fech_in!V19=0,0,SER_hh_fech_in!V19/SER_summary!V$27)</f>
        <v>35.321737188783182</v>
      </c>
      <c r="W19" s="130">
        <f>IF(SER_hh_fech_in!W19=0,0,SER_hh_fech_in!W19/SER_summary!W$27)</f>
        <v>34.784092393455474</v>
      </c>
      <c r="X19" s="130">
        <f>IF(SER_hh_fech_in!X19=0,0,SER_hh_fech_in!X19/SER_summary!X$27)</f>
        <v>33.684343759129774</v>
      </c>
      <c r="Y19" s="130">
        <f>IF(SER_hh_fech_in!Y19=0,0,SER_hh_fech_in!Y19/SER_summary!Y$27)</f>
        <v>34.662254588735728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67.10674690737757</v>
      </c>
      <c r="D21" s="132">
        <f>IF(SER_hh_fech_in!D21=0,0,SER_hh_fech_in!D21/SER_summary!D$27)</f>
        <v>67.988842964295614</v>
      </c>
      <c r="E21" s="132">
        <f>IF(SER_hh_fech_in!E21=0,0,SER_hh_fech_in!E21/SER_summary!E$27)</f>
        <v>58.173754035022057</v>
      </c>
      <c r="F21" s="132">
        <f>IF(SER_hh_fech_in!F21=0,0,SER_hh_fech_in!F21/SER_summary!F$27)</f>
        <v>50.607628059049773</v>
      </c>
      <c r="G21" s="132">
        <f>IF(SER_hh_fech_in!G21=0,0,SER_hh_fech_in!G21/SER_summary!G$27)</f>
        <v>42.870265818526704</v>
      </c>
      <c r="H21" s="132">
        <f>IF(SER_hh_fech_in!H21=0,0,SER_hh_fech_in!H21/SER_summary!H$27)</f>
        <v>96.277047780539206</v>
      </c>
      <c r="I21" s="132">
        <f>IF(SER_hh_fech_in!I21=0,0,SER_hh_fech_in!I21/SER_summary!I$27)</f>
        <v>116.70319079035302</v>
      </c>
      <c r="J21" s="132">
        <f>IF(SER_hh_fech_in!J21=0,0,SER_hh_fech_in!J21/SER_summary!J$27)</f>
        <v>105.68723392942985</v>
      </c>
      <c r="K21" s="132">
        <f>IF(SER_hh_fech_in!K21=0,0,SER_hh_fech_in!K21/SER_summary!K$27)</f>
        <v>97.071248176740255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41.650338544894858</v>
      </c>
      <c r="T21" s="132">
        <f>IF(SER_hh_fech_in!T21=0,0,SER_hh_fech_in!T21/SER_summary!T$27)</f>
        <v>48.620998800156116</v>
      </c>
      <c r="U21" s="132">
        <f>IF(SER_hh_fech_in!U21=0,0,SER_hh_fech_in!U21/SER_summary!U$27)</f>
        <v>45.852412260292759</v>
      </c>
      <c r="V21" s="132">
        <f>IF(SER_hh_fech_in!V21=0,0,SER_hh_fech_in!V21/SER_summary!V$27)</f>
        <v>35.190347028845999</v>
      </c>
      <c r="W21" s="132">
        <f>IF(SER_hh_fech_in!W21=0,0,SER_hh_fech_in!W21/SER_summary!W$27)</f>
        <v>38.72796519630964</v>
      </c>
      <c r="X21" s="132">
        <f>IF(SER_hh_fech_in!X21=0,0,SER_hh_fech_in!X21/SER_summary!X$27)</f>
        <v>51.221194332130118</v>
      </c>
      <c r="Y21" s="132">
        <f>IF(SER_hh_fech_in!Y21=0,0,SER_hh_fech_in!Y21/SER_summary!Y$27)</f>
        <v>35.419789356942765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0</v>
      </c>
      <c r="D22" s="132">
        <f>IF(SER_hh_fech_in!D22=0,0,SER_hh_fech_in!D22/SER_summary!D$27)</f>
        <v>0</v>
      </c>
      <c r="E22" s="132">
        <f>IF(SER_hh_fech_in!E22=0,0,SER_hh_fech_in!E22/SER_summary!E$27)</f>
        <v>0</v>
      </c>
      <c r="F22" s="132">
        <f>IF(SER_hh_fech_in!F22=0,0,SER_hh_fech_in!F22/SER_summary!F$27)</f>
        <v>0</v>
      </c>
      <c r="G22" s="132">
        <f>IF(SER_hh_fech_in!G22=0,0,SER_hh_fech_in!G22/SER_summary!G$27)</f>
        <v>0</v>
      </c>
      <c r="H22" s="132">
        <f>IF(SER_hh_fech_in!H22=0,0,SER_hh_fech_in!H22/SER_summary!H$27)</f>
        <v>0</v>
      </c>
      <c r="I22" s="132">
        <f>IF(SER_hh_fech_in!I22=0,0,SER_hh_fech_in!I22/SER_summary!I$27)</f>
        <v>0</v>
      </c>
      <c r="J22" s="132">
        <f>IF(SER_hh_fech_in!J22=0,0,SER_hh_fech_in!J22/SER_summary!J$27)</f>
        <v>0</v>
      </c>
      <c r="K22" s="132">
        <f>IF(SER_hh_fech_in!K22=0,0,SER_hh_fech_in!K22/SER_summary!K$27)</f>
        <v>0</v>
      </c>
      <c r="L22" s="132">
        <f>IF(SER_hh_fech_in!L22=0,0,SER_hh_fech_in!L22/SER_summary!L$27)</f>
        <v>0</v>
      </c>
      <c r="M22" s="132">
        <f>IF(SER_hh_fech_in!M22=0,0,SER_hh_fech_in!M22/SER_summary!M$27)</f>
        <v>0</v>
      </c>
      <c r="N22" s="132">
        <f>IF(SER_hh_fech_in!N22=0,0,SER_hh_fech_in!N22/SER_summary!N$27)</f>
        <v>0</v>
      </c>
      <c r="O22" s="132">
        <f>IF(SER_hh_fech_in!O22=0,0,SER_hh_fech_in!O22/SER_summary!O$27)</f>
        <v>0</v>
      </c>
      <c r="P22" s="132">
        <f>IF(SER_hh_fech_in!P22=0,0,SER_hh_fech_in!P22/SER_summary!P$27)</f>
        <v>0</v>
      </c>
      <c r="Q22" s="132">
        <f>IF(SER_hh_fech_in!Q22=0,0,SER_hh_fech_in!Q22/SER_summary!Q$27)</f>
        <v>0</v>
      </c>
      <c r="R22" s="132">
        <f>IF(SER_hh_fech_in!R22=0,0,SER_hh_fech_in!R22/SER_summary!R$27)</f>
        <v>0</v>
      </c>
      <c r="S22" s="132">
        <f>IF(SER_hh_fech_in!S22=0,0,SER_hh_fech_in!S22/SER_summary!S$27)</f>
        <v>0</v>
      </c>
      <c r="T22" s="132">
        <f>IF(SER_hh_fech_in!T22=0,0,SER_hh_fech_in!T22/SER_summary!T$27)</f>
        <v>0</v>
      </c>
      <c r="U22" s="132">
        <f>IF(SER_hh_fech_in!U22=0,0,SER_hh_fech_in!U22/SER_summary!U$27)</f>
        <v>0</v>
      </c>
      <c r="V22" s="132">
        <f>IF(SER_hh_fech_in!V22=0,0,SER_hh_fech_in!V22/SER_summary!V$27)</f>
        <v>0</v>
      </c>
      <c r="W22" s="132">
        <f>IF(SER_hh_fech_in!W22=0,0,SER_hh_fech_in!W22/SER_summary!W$27)</f>
        <v>0</v>
      </c>
      <c r="X22" s="132">
        <f>IF(SER_hh_fech_in!X22=0,0,SER_hh_fech_in!X22/SER_summary!X$27)</f>
        <v>0</v>
      </c>
      <c r="Y22" s="132">
        <f>IF(SER_hh_fech_in!Y22=0,0,SER_hh_fech_in!Y22/SER_summary!Y$27)</f>
        <v>0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0</v>
      </c>
      <c r="D23" s="132">
        <f>IF(SER_hh_fech_in!D23=0,0,SER_hh_fech_in!D23/SER_summary!D$27)</f>
        <v>0</v>
      </c>
      <c r="E23" s="132">
        <f>IF(SER_hh_fech_in!E23=0,0,SER_hh_fech_in!E23/SER_summary!E$27)</f>
        <v>0</v>
      </c>
      <c r="F23" s="132">
        <f>IF(SER_hh_fech_in!F23=0,0,SER_hh_fech_in!F23/SER_summary!F$27)</f>
        <v>0</v>
      </c>
      <c r="G23" s="132">
        <f>IF(SER_hh_fech_in!G23=0,0,SER_hh_fech_in!G23/SER_summary!G$27)</f>
        <v>0</v>
      </c>
      <c r="H23" s="132">
        <f>IF(SER_hh_fech_in!H23=0,0,SER_hh_fech_in!H23/SER_summary!H$27)</f>
        <v>0</v>
      </c>
      <c r="I23" s="132">
        <f>IF(SER_hh_fech_in!I23=0,0,SER_hh_fech_in!I23/SER_summary!I$27)</f>
        <v>0</v>
      </c>
      <c r="J23" s="132">
        <f>IF(SER_hh_fech_in!J23=0,0,SER_hh_fech_in!J23/SER_summary!J$27)</f>
        <v>0</v>
      </c>
      <c r="K23" s="132">
        <f>IF(SER_hh_fech_in!K23=0,0,SER_hh_fech_in!K23/SER_summary!K$27)</f>
        <v>0</v>
      </c>
      <c r="L23" s="132">
        <f>IF(SER_hh_fech_in!L23=0,0,SER_hh_fech_in!L23/SER_summary!L$27)</f>
        <v>0</v>
      </c>
      <c r="M23" s="132">
        <f>IF(SER_hh_fech_in!M23=0,0,SER_hh_fech_in!M23/SER_summary!M$27)</f>
        <v>0</v>
      </c>
      <c r="N23" s="132">
        <f>IF(SER_hh_fech_in!N23=0,0,SER_hh_fech_in!N23/SER_summary!N$27)</f>
        <v>0</v>
      </c>
      <c r="O23" s="132">
        <f>IF(SER_hh_fech_in!O23=0,0,SER_hh_fech_in!O23/SER_summary!O$27)</f>
        <v>0</v>
      </c>
      <c r="P23" s="132">
        <f>IF(SER_hh_fech_in!P23=0,0,SER_hh_fech_in!P23/SER_summary!P$27)</f>
        <v>0</v>
      </c>
      <c r="Q23" s="132">
        <f>IF(SER_hh_fech_in!Q23=0,0,SER_hh_fech_in!Q23/SER_summary!Q$27)</f>
        <v>0</v>
      </c>
      <c r="R23" s="132">
        <f>IF(SER_hh_fech_in!R23=0,0,SER_hh_fech_in!R23/SER_summary!R$27)</f>
        <v>0</v>
      </c>
      <c r="S23" s="132">
        <f>IF(SER_hh_fech_in!S23=0,0,SER_hh_fech_in!S23/SER_summary!S$27)</f>
        <v>0</v>
      </c>
      <c r="T23" s="132">
        <f>IF(SER_hh_fech_in!T23=0,0,SER_hh_fech_in!T23/SER_summary!T$27)</f>
        <v>0</v>
      </c>
      <c r="U23" s="132">
        <f>IF(SER_hh_fech_in!U23=0,0,SER_hh_fech_in!U23/SER_summary!U$27)</f>
        <v>0</v>
      </c>
      <c r="V23" s="132">
        <f>IF(SER_hh_fech_in!V23=0,0,SER_hh_fech_in!V23/SER_summary!V$27)</f>
        <v>0</v>
      </c>
      <c r="W23" s="132">
        <f>IF(SER_hh_fech_in!W23=0,0,SER_hh_fech_in!W23/SER_summary!W$27)</f>
        <v>0</v>
      </c>
      <c r="X23" s="132">
        <f>IF(SER_hh_fech_in!X23=0,0,SER_hh_fech_in!X23/SER_summary!X$27)</f>
        <v>0</v>
      </c>
      <c r="Y23" s="132">
        <f>IF(SER_hh_fech_in!Y23=0,0,SER_hh_fech_in!Y23/SER_summary!Y$27)</f>
        <v>0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0</v>
      </c>
      <c r="D25" s="132">
        <f>IF(SER_hh_fech_in!D25=0,0,SER_hh_fech_in!D25/SER_summary!D$27)</f>
        <v>0</v>
      </c>
      <c r="E25" s="132">
        <f>IF(SER_hh_fech_in!E25=0,0,SER_hh_fech_in!E25/SER_summary!E$27)</f>
        <v>0</v>
      </c>
      <c r="F25" s="132">
        <f>IF(SER_hh_fech_in!F25=0,0,SER_hh_fech_in!F25/SER_summary!F$27)</f>
        <v>0</v>
      </c>
      <c r="G25" s="132">
        <f>IF(SER_hh_fech_in!G25=0,0,SER_hh_fech_in!G25/SER_summary!G$27)</f>
        <v>0</v>
      </c>
      <c r="H25" s="132">
        <f>IF(SER_hh_fech_in!H25=0,0,SER_hh_fech_in!H25/SER_summary!H$27)</f>
        <v>0</v>
      </c>
      <c r="I25" s="132">
        <f>IF(SER_hh_fech_in!I25=0,0,SER_hh_fech_in!I25/SER_summary!I$27)</f>
        <v>0</v>
      </c>
      <c r="J25" s="132">
        <f>IF(SER_hh_fech_in!J25=0,0,SER_hh_fech_in!J25/SER_summary!J$27)</f>
        <v>0</v>
      </c>
      <c r="K25" s="132">
        <f>IF(SER_hh_fech_in!K25=0,0,SER_hh_fech_in!K25/SER_summary!K$27)</f>
        <v>0</v>
      </c>
      <c r="L25" s="132">
        <f>IF(SER_hh_fech_in!L25=0,0,SER_hh_fech_in!L25/SER_summary!L$27)</f>
        <v>0</v>
      </c>
      <c r="M25" s="132">
        <f>IF(SER_hh_fech_in!M25=0,0,SER_hh_fech_in!M25/SER_summary!M$27)</f>
        <v>67.641637421608735</v>
      </c>
      <c r="N25" s="132">
        <f>IF(SER_hh_fech_in!N25=0,0,SER_hh_fech_in!N25/SER_summary!N$27)</f>
        <v>48.246629039876034</v>
      </c>
      <c r="O25" s="132">
        <f>IF(SER_hh_fech_in!O25=0,0,SER_hh_fech_in!O25/SER_summary!O$27)</f>
        <v>47.745797452893747</v>
      </c>
      <c r="P25" s="132">
        <f>IF(SER_hh_fech_in!P25=0,0,SER_hh_fech_in!P25/SER_summary!P$27)</f>
        <v>0</v>
      </c>
      <c r="Q25" s="132">
        <f>IF(SER_hh_fech_in!Q25=0,0,SER_hh_fech_in!Q25/SER_summary!Q$27)</f>
        <v>0</v>
      </c>
      <c r="R25" s="132">
        <f>IF(SER_hh_fech_in!R25=0,0,SER_hh_fech_in!R25/SER_summary!R$27)</f>
        <v>0</v>
      </c>
      <c r="S25" s="132">
        <f>IF(SER_hh_fech_in!S25=0,0,SER_hh_fech_in!S25/SER_summary!S$27)</f>
        <v>0</v>
      </c>
      <c r="T25" s="132">
        <f>IF(SER_hh_fech_in!T25=0,0,SER_hh_fech_in!T25/SER_summary!T$27)</f>
        <v>0</v>
      </c>
      <c r="U25" s="132">
        <f>IF(SER_hh_fech_in!U25=0,0,SER_hh_fech_in!U25/SER_summary!U$27)</f>
        <v>0</v>
      </c>
      <c r="V25" s="132">
        <f>IF(SER_hh_fech_in!V25=0,0,SER_hh_fech_in!V25/SER_summary!V$27)</f>
        <v>0</v>
      </c>
      <c r="W25" s="132">
        <f>IF(SER_hh_fech_in!W25=0,0,SER_hh_fech_in!W25/SER_summary!W$27)</f>
        <v>0</v>
      </c>
      <c r="X25" s="132">
        <f>IF(SER_hh_fech_in!X25=0,0,SER_hh_fech_in!X25/SER_summary!X$27)</f>
        <v>0</v>
      </c>
      <c r="Y25" s="132">
        <f>IF(SER_hh_fech_in!Y25=0,0,SER_hh_fech_in!Y25/SER_summary!Y$27)</f>
        <v>0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53.370235551388845</v>
      </c>
      <c r="D26" s="65">
        <f>IF(SER_hh_fech_in!D26=0,0,SER_hh_fech_in!D26/SER_summary!D$27)</f>
        <v>54.47909143432841</v>
      </c>
      <c r="E26" s="65">
        <f>IF(SER_hh_fech_in!E26=0,0,SER_hh_fech_in!E26/SER_summary!E$27)</f>
        <v>55.016843733501247</v>
      </c>
      <c r="F26" s="65">
        <f>IF(SER_hh_fech_in!F26=0,0,SER_hh_fech_in!F26/SER_summary!F$27)</f>
        <v>56.52050100660373</v>
      </c>
      <c r="G26" s="65">
        <f>IF(SER_hh_fech_in!G26=0,0,SER_hh_fech_in!G26/SER_summary!G$27)</f>
        <v>55.830898573481967</v>
      </c>
      <c r="H26" s="65">
        <f>IF(SER_hh_fech_in!H26=0,0,SER_hh_fech_in!H26/SER_summary!H$27)</f>
        <v>51.157132887685869</v>
      </c>
      <c r="I26" s="65">
        <f>IF(SER_hh_fech_in!I26=0,0,SER_hh_fech_in!I26/SER_summary!I$27)</f>
        <v>48.261684339917892</v>
      </c>
      <c r="J26" s="65">
        <f>IF(SER_hh_fech_in!J26=0,0,SER_hh_fech_in!J26/SER_summary!J$27)</f>
        <v>47.180769381179573</v>
      </c>
      <c r="K26" s="65">
        <f>IF(SER_hh_fech_in!K26=0,0,SER_hh_fech_in!K26/SER_summary!K$27)</f>
        <v>47.818480600603088</v>
      </c>
      <c r="L26" s="65">
        <f>IF(SER_hh_fech_in!L26=0,0,SER_hh_fech_in!L26/SER_summary!L$27)</f>
        <v>52.547782591139821</v>
      </c>
      <c r="M26" s="65">
        <f>IF(SER_hh_fech_in!M26=0,0,SER_hh_fech_in!M26/SER_summary!M$27)</f>
        <v>51.555270432732577</v>
      </c>
      <c r="N26" s="65">
        <f>IF(SER_hh_fech_in!N26=0,0,SER_hh_fech_in!N26/SER_summary!N$27)</f>
        <v>48.848852297183242</v>
      </c>
      <c r="O26" s="65">
        <f>IF(SER_hh_fech_in!O26=0,0,SER_hh_fech_in!O26/SER_summary!O$27)</f>
        <v>48.090113238390373</v>
      </c>
      <c r="P26" s="65">
        <f>IF(SER_hh_fech_in!P26=0,0,SER_hh_fech_in!P26/SER_summary!P$27)</f>
        <v>45.485363442664543</v>
      </c>
      <c r="Q26" s="65">
        <f>IF(SER_hh_fech_in!Q26=0,0,SER_hh_fech_in!Q26/SER_summary!Q$27)</f>
        <v>43.246635733617182</v>
      </c>
      <c r="R26" s="65">
        <f>IF(SER_hh_fech_in!R26=0,0,SER_hh_fech_in!R26/SER_summary!R$27)</f>
        <v>41.965821911699521</v>
      </c>
      <c r="S26" s="65">
        <f>IF(SER_hh_fech_in!S26=0,0,SER_hh_fech_in!S26/SER_summary!S$27)</f>
        <v>40.353088103432135</v>
      </c>
      <c r="T26" s="65">
        <f>IF(SER_hh_fech_in!T26=0,0,SER_hh_fech_in!T26/SER_summary!T$27)</f>
        <v>38.972624313103012</v>
      </c>
      <c r="U26" s="65">
        <f>IF(SER_hh_fech_in!U26=0,0,SER_hh_fech_in!U26/SER_summary!U$27)</f>
        <v>37.913513374069815</v>
      </c>
      <c r="V26" s="65">
        <f>IF(SER_hh_fech_in!V26=0,0,SER_hh_fech_in!V26/SER_summary!V$27)</f>
        <v>35.325295924745859</v>
      </c>
      <c r="W26" s="65">
        <f>IF(SER_hh_fech_in!W26=0,0,SER_hh_fech_in!W26/SER_summary!W$27)</f>
        <v>34.61230516271457</v>
      </c>
      <c r="X26" s="65">
        <f>IF(SER_hh_fech_in!X26=0,0,SER_hh_fech_in!X26/SER_summary!X$27)</f>
        <v>33.467127352358851</v>
      </c>
      <c r="Y26" s="65">
        <f>IF(SER_hh_fech_in!Y26=0,0,SER_hh_fech_in!Y26/SER_summary!Y$27)</f>
        <v>34.64552844548448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0</v>
      </c>
      <c r="H27" s="145">
        <f>IF(SER_hh_fech_in!H27=0,0,SER_hh_fech_in!H27/SER_summary!H$27)</f>
        <v>0</v>
      </c>
      <c r="I27" s="145">
        <f>IF(SER_hh_fech_in!I27=0,0,SER_hh_fech_in!I27/SER_summary!I$27)</f>
        <v>0</v>
      </c>
      <c r="J27" s="145">
        <f>IF(SER_hh_fech_in!J27=0,0,SER_hh_fech_in!J27/SER_summary!J$27)</f>
        <v>0</v>
      </c>
      <c r="K27" s="145">
        <f>IF(SER_hh_fech_in!K27=0,0,SER_hh_fech_in!K27/SER_summary!K$27)</f>
        <v>0</v>
      </c>
      <c r="L27" s="145">
        <f>IF(SER_hh_fech_in!L27=0,0,SER_hh_fech_in!L27/SER_summary!L$27)</f>
        <v>0</v>
      </c>
      <c r="M27" s="145">
        <f>IF(SER_hh_fech_in!M27=0,0,SER_hh_fech_in!M27/SER_summary!M$27)</f>
        <v>0</v>
      </c>
      <c r="N27" s="145">
        <f>IF(SER_hh_fech_in!N27=0,0,SER_hh_fech_in!N27/SER_summary!N$27)</f>
        <v>0</v>
      </c>
      <c r="O27" s="145">
        <f>IF(SER_hh_fech_in!O27=0,0,SER_hh_fech_in!O27/SER_summary!O$27)</f>
        <v>0</v>
      </c>
      <c r="P27" s="145">
        <f>IF(SER_hh_fech_in!P27=0,0,SER_hh_fech_in!P27/SER_summary!P$27)</f>
        <v>0</v>
      </c>
      <c r="Q27" s="145">
        <f>IF(SER_hh_fech_in!Q27=0,0,SER_hh_fech_in!Q27/SER_summary!Q$27)</f>
        <v>0</v>
      </c>
      <c r="R27" s="145">
        <f>IF(SER_hh_fech_in!R27=0,0,SER_hh_fech_in!R27/SER_summary!R$27)</f>
        <v>0</v>
      </c>
      <c r="S27" s="145">
        <f>IF(SER_hh_fech_in!S27=0,0,SER_hh_fech_in!S27/SER_summary!S$27)</f>
        <v>0</v>
      </c>
      <c r="T27" s="145">
        <f>IF(SER_hh_fech_in!T27=0,0,SER_hh_fech_in!T27/SER_summary!T$27)</f>
        <v>0</v>
      </c>
      <c r="U27" s="145">
        <f>IF(SER_hh_fech_in!U27=0,0,SER_hh_fech_in!U27/SER_summary!U$27)</f>
        <v>0</v>
      </c>
      <c r="V27" s="145">
        <f>IF(SER_hh_fech_in!V27=0,0,SER_hh_fech_in!V27/SER_summary!V$27)</f>
        <v>0</v>
      </c>
      <c r="W27" s="145">
        <f>IF(SER_hh_fech_in!W27=0,0,SER_hh_fech_in!W27/SER_summary!W$27)</f>
        <v>0</v>
      </c>
      <c r="X27" s="145">
        <f>IF(SER_hh_fech_in!X27=0,0,SER_hh_fech_in!X27/SER_summary!X$27)</f>
        <v>0</v>
      </c>
      <c r="Y27" s="145">
        <f>IF(SER_hh_fech_in!Y27=0,0,SER_hh_fech_in!Y27/SER_summary!Y$27)</f>
        <v>0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0</v>
      </c>
      <c r="H28" s="146">
        <f>IF(SER_hh_fech_in!H28=0,0,SER_hh_fech_in!H28/SER_summary!H$27)</f>
        <v>0</v>
      </c>
      <c r="I28" s="146">
        <f>IF(SER_hh_fech_in!I28=0,0,SER_hh_fech_in!I28/SER_summary!I$27)</f>
        <v>0</v>
      </c>
      <c r="J28" s="146">
        <f>IF(SER_hh_fech_in!J28=0,0,SER_hh_fech_in!J28/SER_summary!J$27)</f>
        <v>0</v>
      </c>
      <c r="K28" s="146">
        <f>IF(SER_hh_fech_in!K28=0,0,SER_hh_fech_in!K28/SER_summary!K$27)</f>
        <v>0</v>
      </c>
      <c r="L28" s="146">
        <f>IF(SER_hh_fech_in!L28=0,0,SER_hh_fech_in!L28/SER_summary!L$27)</f>
        <v>0</v>
      </c>
      <c r="M28" s="146">
        <f>IF(SER_hh_fech_in!M28=0,0,SER_hh_fech_in!M28/SER_summary!M$27)</f>
        <v>0</v>
      </c>
      <c r="N28" s="146">
        <f>IF(SER_hh_fech_in!N28=0,0,SER_hh_fech_in!N28/SER_summary!N$27)</f>
        <v>0</v>
      </c>
      <c r="O28" s="146">
        <f>IF(SER_hh_fech_in!O28=0,0,SER_hh_fech_in!O28/SER_summary!O$27)</f>
        <v>0</v>
      </c>
      <c r="P28" s="146">
        <f>IF(SER_hh_fech_in!P28=0,0,SER_hh_fech_in!P28/SER_summary!P$27)</f>
        <v>0</v>
      </c>
      <c r="Q28" s="146">
        <f>IF(SER_hh_fech_in!Q28=0,0,SER_hh_fech_in!Q28/SER_summary!Q$27)</f>
        <v>0</v>
      </c>
      <c r="R28" s="146">
        <f>IF(SER_hh_fech_in!R28=0,0,SER_hh_fech_in!R28/SER_summary!R$27)</f>
        <v>0</v>
      </c>
      <c r="S28" s="146">
        <f>IF(SER_hh_fech_in!S28=0,0,SER_hh_fech_in!S28/SER_summary!S$27)</f>
        <v>0</v>
      </c>
      <c r="T28" s="146">
        <f>IF(SER_hh_fech_in!T28=0,0,SER_hh_fech_in!T28/SER_summary!T$27)</f>
        <v>0</v>
      </c>
      <c r="U28" s="146">
        <f>IF(SER_hh_fech_in!U28=0,0,SER_hh_fech_in!U28/SER_summary!U$27)</f>
        <v>0</v>
      </c>
      <c r="V28" s="146">
        <f>IF(SER_hh_fech_in!V28=0,0,SER_hh_fech_in!V28/SER_summary!V$27)</f>
        <v>0</v>
      </c>
      <c r="W28" s="146">
        <f>IF(SER_hh_fech_in!W28=0,0,SER_hh_fech_in!W28/SER_summary!W$27)</f>
        <v>0</v>
      </c>
      <c r="X28" s="146">
        <f>IF(SER_hh_fech_in!X28=0,0,SER_hh_fech_in!X28/SER_summary!X$27)</f>
        <v>0</v>
      </c>
      <c r="Y28" s="146">
        <f>IF(SER_hh_fech_in!Y28=0,0,SER_hh_fech_in!Y28/SER_summary!Y$27)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63.792180384523441</v>
      </c>
      <c r="D29" s="130">
        <f>IF(SER_hh_fech_in!D29=0,0,SER_hh_fech_in!D29/SER_summary!D$27)</f>
        <v>66.113893065126874</v>
      </c>
      <c r="E29" s="130">
        <f>IF(SER_hh_fech_in!E29=0,0,SER_hh_fech_in!E29/SER_summary!E$27)</f>
        <v>67.086832295339761</v>
      </c>
      <c r="F29" s="130">
        <f>IF(SER_hh_fech_in!F29=0,0,SER_hh_fech_in!F29/SER_summary!F$27)</f>
        <v>68.846376499250411</v>
      </c>
      <c r="G29" s="130">
        <f>IF(SER_hh_fech_in!G29=0,0,SER_hh_fech_in!G29/SER_summary!G$27)</f>
        <v>66.552720208176822</v>
      </c>
      <c r="H29" s="130">
        <f>IF(SER_hh_fech_in!H29=0,0,SER_hh_fech_in!H29/SER_summary!H$27)</f>
        <v>71.319410131206567</v>
      </c>
      <c r="I29" s="130">
        <f>IF(SER_hh_fech_in!I29=0,0,SER_hh_fech_in!I29/SER_summary!I$27)</f>
        <v>68.787568737661758</v>
      </c>
      <c r="J29" s="130">
        <f>IF(SER_hh_fech_in!J29=0,0,SER_hh_fech_in!J29/SER_summary!J$27)</f>
        <v>68.556367420520019</v>
      </c>
      <c r="K29" s="130">
        <f>IF(SER_hh_fech_in!K29=0,0,SER_hh_fech_in!K29/SER_summary!K$27)</f>
        <v>76.369657150789052</v>
      </c>
      <c r="L29" s="130">
        <f>IF(SER_hh_fech_in!L29=0,0,SER_hh_fech_in!L29/SER_summary!L$27)</f>
        <v>66.104072481116518</v>
      </c>
      <c r="M29" s="130">
        <f>IF(SER_hh_fech_in!M29=0,0,SER_hh_fech_in!M29/SER_summary!M$27)</f>
        <v>66.77721256439311</v>
      </c>
      <c r="N29" s="130">
        <f>IF(SER_hh_fech_in!N29=0,0,SER_hh_fech_in!N29/SER_summary!N$27)</f>
        <v>62.701620780768344</v>
      </c>
      <c r="O29" s="130">
        <f>IF(SER_hh_fech_in!O29=0,0,SER_hh_fech_in!O29/SER_summary!O$27)</f>
        <v>63.957786050717878</v>
      </c>
      <c r="P29" s="130">
        <f>IF(SER_hh_fech_in!P29=0,0,SER_hh_fech_in!P29/SER_summary!P$27)</f>
        <v>63.88621244396117</v>
      </c>
      <c r="Q29" s="130">
        <f>IF(SER_hh_fech_in!Q29=0,0,SER_hh_fech_in!Q29/SER_summary!Q$27)</f>
        <v>66.016307646013502</v>
      </c>
      <c r="R29" s="130">
        <f>IF(SER_hh_fech_in!R29=0,0,SER_hh_fech_in!R29/SER_summary!R$27)</f>
        <v>64.028022073557423</v>
      </c>
      <c r="S29" s="130">
        <f>IF(SER_hh_fech_in!S29=0,0,SER_hh_fech_in!S29/SER_summary!S$27)</f>
        <v>66.25370899122052</v>
      </c>
      <c r="T29" s="130">
        <f>IF(SER_hh_fech_in!T29=0,0,SER_hh_fech_in!T29/SER_summary!T$27)</f>
        <v>69.52585139034764</v>
      </c>
      <c r="U29" s="130">
        <f>IF(SER_hh_fech_in!U29=0,0,SER_hh_fech_in!U29/SER_summary!U$27)</f>
        <v>63.595922011924252</v>
      </c>
      <c r="V29" s="130">
        <f>IF(SER_hh_fech_in!V29=0,0,SER_hh_fech_in!V29/SER_summary!V$27)</f>
        <v>55.360505023364539</v>
      </c>
      <c r="W29" s="130">
        <f>IF(SER_hh_fech_in!W29=0,0,SER_hh_fech_in!W29/SER_summary!W$27)</f>
        <v>56.771387625304683</v>
      </c>
      <c r="X29" s="130">
        <f>IF(SER_hh_fech_in!X29=0,0,SER_hh_fech_in!X29/SER_summary!X$27)</f>
        <v>59.113545479977745</v>
      </c>
      <c r="Y29" s="130">
        <f>IF(SER_hh_fech_in!Y29=0,0,SER_hh_fech_in!Y29/SER_summary!Y$27)</f>
        <v>61.646531534347069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78.509665752340823</v>
      </c>
      <c r="D30" s="132">
        <f>IF(SER_hh_fech_in!D30=0,0,SER_hh_fech_in!D30/SER_summary!D$27)</f>
        <v>92.644031729489683</v>
      </c>
      <c r="E30" s="132">
        <f>IF(SER_hh_fech_in!E30=0,0,SER_hh_fech_in!E30/SER_summary!E$27)</f>
        <v>88.82537714952835</v>
      </c>
      <c r="F30" s="132">
        <f>IF(SER_hh_fech_in!F30=0,0,SER_hh_fech_in!F30/SER_summary!F$27)</f>
        <v>77.364110798797682</v>
      </c>
      <c r="G30" s="132">
        <f>IF(SER_hh_fech_in!G30=0,0,SER_hh_fech_in!G30/SER_summary!G$27)</f>
        <v>67.718541019229221</v>
      </c>
      <c r="H30" s="132">
        <f>IF(SER_hh_fech_in!H30=0,0,SER_hh_fech_in!H30/SER_summary!H$27)</f>
        <v>86.527020630887904</v>
      </c>
      <c r="I30" s="132">
        <f>IF(SER_hh_fech_in!I30=0,0,SER_hh_fech_in!I30/SER_summary!I$27)</f>
        <v>74.779170080035669</v>
      </c>
      <c r="J30" s="132">
        <f>IF(SER_hh_fech_in!J30=0,0,SER_hh_fech_in!J30/SER_summary!J$27)</f>
        <v>82.487641109888315</v>
      </c>
      <c r="K30" s="132">
        <f>IF(SER_hh_fech_in!K30=0,0,SER_hh_fech_in!K30/SER_summary!K$27)</f>
        <v>101.86529269690803</v>
      </c>
      <c r="L30" s="132">
        <f>IF(SER_hh_fech_in!L30=0,0,SER_hh_fech_in!L30/SER_summary!L$27)</f>
        <v>77.12191745115328</v>
      </c>
      <c r="M30" s="132">
        <f>IF(SER_hh_fech_in!M30=0,0,SER_hh_fech_in!M30/SER_summary!M$27)</f>
        <v>86.465964131589203</v>
      </c>
      <c r="N30" s="132">
        <f>IF(SER_hh_fech_in!N30=0,0,SER_hh_fech_in!N30/SER_summary!N$27)</f>
        <v>83.585678304223606</v>
      </c>
      <c r="O30" s="132">
        <f>IF(SER_hh_fech_in!O30=0,0,SER_hh_fech_in!O30/SER_summary!O$27)</f>
        <v>81.050653296092094</v>
      </c>
      <c r="P30" s="132">
        <f>IF(SER_hh_fech_in!P30=0,0,SER_hh_fech_in!P30/SER_summary!P$27)</f>
        <v>80.180959338765206</v>
      </c>
      <c r="Q30" s="132">
        <f>IF(SER_hh_fech_in!Q30=0,0,SER_hh_fech_in!Q30/SER_summary!Q$27)</f>
        <v>88.318034785422711</v>
      </c>
      <c r="R30" s="132">
        <f>IF(SER_hh_fech_in!R30=0,0,SER_hh_fech_in!R30/SER_summary!R$27)</f>
        <v>71.428025540810054</v>
      </c>
      <c r="S30" s="132">
        <f>IF(SER_hh_fech_in!S30=0,0,SER_hh_fech_in!S30/SER_summary!S$27)</f>
        <v>76.069928151074308</v>
      </c>
      <c r="T30" s="132">
        <f>IF(SER_hh_fech_in!T30=0,0,SER_hh_fech_in!T30/SER_summary!T$27)</f>
        <v>87.843538101762874</v>
      </c>
      <c r="U30" s="132">
        <f>IF(SER_hh_fech_in!U30=0,0,SER_hh_fech_in!U30/SER_summary!U$27)</f>
        <v>88.826103210243048</v>
      </c>
      <c r="V30" s="132">
        <f>IF(SER_hh_fech_in!V30=0,0,SER_hh_fech_in!V30/SER_summary!V$27)</f>
        <v>56.693257656026915</v>
      </c>
      <c r="W30" s="132">
        <f>IF(SER_hh_fech_in!W30=0,0,SER_hh_fech_in!W30/SER_summary!W$27)</f>
        <v>60.548129755845117</v>
      </c>
      <c r="X30" s="132">
        <f>IF(SER_hh_fech_in!X30=0,0,SER_hh_fech_in!X30/SER_summary!X$27)</f>
        <v>73.883512867234813</v>
      </c>
      <c r="Y30" s="132">
        <f>IF(SER_hh_fech_in!Y30=0,0,SER_hh_fech_in!Y30/SER_summary!Y$27)</f>
        <v>80.570967158534415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0</v>
      </c>
      <c r="D31" s="132">
        <f>IF(SER_hh_fech_in!D31=0,0,SER_hh_fech_in!D31/SER_summary!D$27)</f>
        <v>0</v>
      </c>
      <c r="E31" s="132">
        <f>IF(SER_hh_fech_in!E31=0,0,SER_hh_fech_in!E31/SER_summary!E$27)</f>
        <v>0</v>
      </c>
      <c r="F31" s="132">
        <f>IF(SER_hh_fech_in!F31=0,0,SER_hh_fech_in!F31/SER_summary!F$27)</f>
        <v>0</v>
      </c>
      <c r="G31" s="132">
        <f>IF(SER_hh_fech_in!G31=0,0,SER_hh_fech_in!G31/SER_summary!G$27)</f>
        <v>0</v>
      </c>
      <c r="H31" s="132">
        <f>IF(SER_hh_fech_in!H31=0,0,SER_hh_fech_in!H31/SER_summary!H$27)</f>
        <v>0</v>
      </c>
      <c r="I31" s="132">
        <f>IF(SER_hh_fech_in!I31=0,0,SER_hh_fech_in!I31/SER_summary!I$27)</f>
        <v>0</v>
      </c>
      <c r="J31" s="132">
        <f>IF(SER_hh_fech_in!J31=0,0,SER_hh_fech_in!J31/SER_summary!J$27)</f>
        <v>0</v>
      </c>
      <c r="K31" s="132">
        <f>IF(SER_hh_fech_in!K31=0,0,SER_hh_fech_in!K31/SER_summary!K$27)</f>
        <v>0</v>
      </c>
      <c r="L31" s="132">
        <f>IF(SER_hh_fech_in!L31=0,0,SER_hh_fech_in!L31/SER_summary!L$27)</f>
        <v>0</v>
      </c>
      <c r="M31" s="132">
        <f>IF(SER_hh_fech_in!M31=0,0,SER_hh_fech_in!M31/SER_summary!M$27)</f>
        <v>0</v>
      </c>
      <c r="N31" s="132">
        <f>IF(SER_hh_fech_in!N31=0,0,SER_hh_fech_in!N31/SER_summary!N$27)</f>
        <v>0</v>
      </c>
      <c r="O31" s="132">
        <f>IF(SER_hh_fech_in!O31=0,0,SER_hh_fech_in!O31/SER_summary!O$27)</f>
        <v>0</v>
      </c>
      <c r="P31" s="132">
        <f>IF(SER_hh_fech_in!P31=0,0,SER_hh_fech_in!P31/SER_summary!P$27)</f>
        <v>0</v>
      </c>
      <c r="Q31" s="132">
        <f>IF(SER_hh_fech_in!Q31=0,0,SER_hh_fech_in!Q31/SER_summary!Q$27)</f>
        <v>0</v>
      </c>
      <c r="R31" s="132">
        <f>IF(SER_hh_fech_in!R31=0,0,SER_hh_fech_in!R31/SER_summary!R$27)</f>
        <v>0</v>
      </c>
      <c r="S31" s="132">
        <f>IF(SER_hh_fech_in!S31=0,0,SER_hh_fech_in!S31/SER_summary!S$27)</f>
        <v>0</v>
      </c>
      <c r="T31" s="132">
        <f>IF(SER_hh_fech_in!T31=0,0,SER_hh_fech_in!T31/SER_summary!T$27)</f>
        <v>0</v>
      </c>
      <c r="U31" s="132">
        <f>IF(SER_hh_fech_in!U31=0,0,SER_hh_fech_in!U31/SER_summary!U$27)</f>
        <v>0</v>
      </c>
      <c r="V31" s="132">
        <f>IF(SER_hh_fech_in!V31=0,0,SER_hh_fech_in!V31/SER_summary!V$27)</f>
        <v>0</v>
      </c>
      <c r="W31" s="132">
        <f>IF(SER_hh_fech_in!W31=0,0,SER_hh_fech_in!W31/SER_summary!W$27)</f>
        <v>0</v>
      </c>
      <c r="X31" s="132">
        <f>IF(SER_hh_fech_in!X31=0,0,SER_hh_fech_in!X31/SER_summary!X$27)</f>
        <v>0</v>
      </c>
      <c r="Y31" s="132">
        <f>IF(SER_hh_fech_in!Y31=0,0,SER_hh_fech_in!Y31/SER_summary!Y$27)</f>
        <v>0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62.928135840032589</v>
      </c>
      <c r="D33" s="68">
        <f>IF(SER_hh_fech_in!D33=0,0,SER_hh_fech_in!D33/SER_summary!D$27)</f>
        <v>63.949170017224297</v>
      </c>
      <c r="E33" s="68">
        <f>IF(SER_hh_fech_in!E33=0,0,SER_hh_fech_in!E33/SER_summary!E$27)</f>
        <v>65.821227608760623</v>
      </c>
      <c r="F33" s="68">
        <f>IF(SER_hh_fech_in!F33=0,0,SER_hh_fech_in!F33/SER_summary!F$27)</f>
        <v>67.862651102575654</v>
      </c>
      <c r="G33" s="68">
        <f>IF(SER_hh_fech_in!G33=0,0,SER_hh_fech_in!G33/SER_summary!G$27)</f>
        <v>66.355995789489128</v>
      </c>
      <c r="H33" s="68">
        <f>IF(SER_hh_fech_in!H33=0,0,SER_hh_fech_in!H33/SER_summary!H$27)</f>
        <v>64.748063381646801</v>
      </c>
      <c r="I33" s="68">
        <f>IF(SER_hh_fech_in!I33=0,0,SER_hh_fech_in!I33/SER_summary!I$27)</f>
        <v>65.181480229494326</v>
      </c>
      <c r="J33" s="68">
        <f>IF(SER_hh_fech_in!J33=0,0,SER_hh_fech_in!J33/SER_summary!J$27)</f>
        <v>61.711412345643446</v>
      </c>
      <c r="K33" s="68">
        <f>IF(SER_hh_fech_in!K33=0,0,SER_hh_fech_in!K33/SER_summary!K$27)</f>
        <v>58.081954540471166</v>
      </c>
      <c r="L33" s="68">
        <f>IF(SER_hh_fech_in!L33=0,0,SER_hh_fech_in!L33/SER_summary!L$27)</f>
        <v>64.704763257065707</v>
      </c>
      <c r="M33" s="68">
        <f>IF(SER_hh_fech_in!M33=0,0,SER_hh_fech_in!M33/SER_summary!M$27)</f>
        <v>62.442378249675286</v>
      </c>
      <c r="N33" s="68">
        <f>IF(SER_hh_fech_in!N33=0,0,SER_hh_fech_in!N33/SER_summary!N$27)</f>
        <v>61.327143702068682</v>
      </c>
      <c r="O33" s="68">
        <f>IF(SER_hh_fech_in!O33=0,0,SER_hh_fech_in!O33/SER_summary!O$27)</f>
        <v>60.9237558637966</v>
      </c>
      <c r="P33" s="68">
        <f>IF(SER_hh_fech_in!P33=0,0,SER_hh_fech_in!P33/SER_summary!P$27)</f>
        <v>61.151387806647669</v>
      </c>
      <c r="Q33" s="68">
        <f>IF(SER_hh_fech_in!Q33=0,0,SER_hh_fech_in!Q33/SER_summary!Q$27)</f>
        <v>58.732196483637182</v>
      </c>
      <c r="R33" s="68">
        <f>IF(SER_hh_fech_in!R33=0,0,SER_hh_fech_in!R33/SER_summary!R$27)</f>
        <v>61.315267293172624</v>
      </c>
      <c r="S33" s="68">
        <f>IF(SER_hh_fech_in!S33=0,0,SER_hh_fech_in!S33/SER_summary!S$27)</f>
        <v>58.065711067584111</v>
      </c>
      <c r="T33" s="68">
        <f>IF(SER_hh_fech_in!T33=0,0,SER_hh_fech_in!T33/SER_summary!T$27)</f>
        <v>54.047810515653318</v>
      </c>
      <c r="U33" s="68">
        <f>IF(SER_hh_fech_in!U33=0,0,SER_hh_fech_in!U33/SER_summary!U$27)</f>
        <v>52.867850823204606</v>
      </c>
      <c r="V33" s="68">
        <f>IF(SER_hh_fech_in!V33=0,0,SER_hh_fech_in!V33/SER_summary!V$27)</f>
        <v>54.793107441463903</v>
      </c>
      <c r="W33" s="68">
        <f>IF(SER_hh_fech_in!W33=0,0,SER_hh_fech_in!W33/SER_summary!W$27)</f>
        <v>55.517347602389542</v>
      </c>
      <c r="X33" s="68">
        <f>IF(SER_hh_fech_in!X33=0,0,SER_hh_fech_in!X33/SER_summary!X$27)</f>
        <v>52.437341231145346</v>
      </c>
      <c r="Y33" s="68">
        <f>IF(SER_hh_fech_in!Y33=0,0,SER_hh_fech_in!Y33/SER_summary!Y$27)</f>
        <v>52.271196175111385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231.12370289626071</v>
      </c>
      <c r="D3" s="125">
        <f>IF(SER_hh_tesh_in!D3=0,0,SER_hh_tesh_in!D3/SER_summary!D$27)</f>
        <v>225.1541550025344</v>
      </c>
      <c r="E3" s="125">
        <f>IF(SER_hh_tesh_in!E3=0,0,SER_hh_tesh_in!E3/SER_summary!E$27)</f>
        <v>267.72330767611373</v>
      </c>
      <c r="F3" s="125">
        <f>IF(SER_hh_tesh_in!F3=0,0,SER_hh_tesh_in!F3/SER_summary!F$27)</f>
        <v>217.96739193181614</v>
      </c>
      <c r="G3" s="125">
        <f>IF(SER_hh_tesh_in!G3=0,0,SER_hh_tesh_in!G3/SER_summary!G$27)</f>
        <v>253.85483525073397</v>
      </c>
      <c r="H3" s="125">
        <f>IF(SER_hh_tesh_in!H3=0,0,SER_hh_tesh_in!H3/SER_summary!H$27)</f>
        <v>225.71616510313956</v>
      </c>
      <c r="I3" s="125">
        <f>IF(SER_hh_tesh_in!I3=0,0,SER_hh_tesh_in!I3/SER_summary!I$27)</f>
        <v>226.54377901800211</v>
      </c>
      <c r="J3" s="125">
        <f>IF(SER_hh_tesh_in!J3=0,0,SER_hh_tesh_in!J3/SER_summary!J$27)</f>
        <v>208.8135271862547</v>
      </c>
      <c r="K3" s="125">
        <f>IF(SER_hh_tesh_in!K3=0,0,SER_hh_tesh_in!K3/SER_summary!K$27)</f>
        <v>190.31493315458343</v>
      </c>
      <c r="L3" s="125">
        <f>IF(SER_hh_tesh_in!L3=0,0,SER_hh_tesh_in!L3/SER_summary!L$27)</f>
        <v>235.5035320257376</v>
      </c>
      <c r="M3" s="125">
        <f>IF(SER_hh_tesh_in!M3=0,0,SER_hh_tesh_in!M3/SER_summary!M$27)</f>
        <v>231.16220192481188</v>
      </c>
      <c r="N3" s="125">
        <f>IF(SER_hh_tesh_in!N3=0,0,SER_hh_tesh_in!N3/SER_summary!N$27)</f>
        <v>272.71889986141474</v>
      </c>
      <c r="O3" s="125">
        <f>IF(SER_hh_tesh_in!O3=0,0,SER_hh_tesh_in!O3/SER_summary!O$27)</f>
        <v>253.55972400094149</v>
      </c>
      <c r="P3" s="125">
        <f>IF(SER_hh_tesh_in!P3=0,0,SER_hh_tesh_in!P3/SER_summary!P$27)</f>
        <v>257.7228698966303</v>
      </c>
      <c r="Q3" s="125">
        <f>IF(SER_hh_tesh_in!Q3=0,0,SER_hh_tesh_in!Q3/SER_summary!Q$27)</f>
        <v>268.8972729191193</v>
      </c>
      <c r="R3" s="125">
        <f>IF(SER_hh_tesh_in!R3=0,0,SER_hh_tesh_in!R3/SER_summary!R$27)</f>
        <v>235.37515423499812</v>
      </c>
      <c r="S3" s="125">
        <f>IF(SER_hh_tesh_in!S3=0,0,SER_hh_tesh_in!S3/SER_summary!S$27)</f>
        <v>243.31142180050716</v>
      </c>
      <c r="T3" s="125">
        <f>IF(SER_hh_tesh_in!T3=0,0,SER_hh_tesh_in!T3/SER_summary!T$27)</f>
        <v>220.30976105436281</v>
      </c>
      <c r="U3" s="125">
        <f>IF(SER_hh_tesh_in!U3=0,0,SER_hh_tesh_in!U3/SER_summary!U$27)</f>
        <v>224.26864982669582</v>
      </c>
      <c r="V3" s="125">
        <f>IF(SER_hh_tesh_in!V3=0,0,SER_hh_tesh_in!V3/SER_summary!V$27)</f>
        <v>180.4308915544525</v>
      </c>
      <c r="W3" s="125">
        <f>IF(SER_hh_tesh_in!W3=0,0,SER_hh_tesh_in!W3/SER_summary!W$27)</f>
        <v>170.83944191235301</v>
      </c>
      <c r="X3" s="125">
        <f>IF(SER_hh_tesh_in!X3=0,0,SER_hh_tesh_in!X3/SER_summary!X$27)</f>
        <v>153.15313906609813</v>
      </c>
      <c r="Y3" s="125">
        <f>IF(SER_hh_tesh_in!Y3=0,0,SER_hh_tesh_in!Y3/SER_summary!Y$27)</f>
        <v>151.54005144297204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69.116976246528097</v>
      </c>
      <c r="D4" s="130">
        <f>IF(SER_hh_tesh_in!D4=0,0,SER_hh_tesh_in!D4/SER_summary!D$27)</f>
        <v>80.465960202855214</v>
      </c>
      <c r="E4" s="130">
        <f>IF(SER_hh_tesh_in!E4=0,0,SER_hh_tesh_in!E4/SER_summary!E$27)</f>
        <v>86.307630141355332</v>
      </c>
      <c r="F4" s="130">
        <f>IF(SER_hh_tesh_in!F4=0,0,SER_hh_tesh_in!F4/SER_summary!F$27)</f>
        <v>84.577998192311455</v>
      </c>
      <c r="G4" s="130">
        <f>IF(SER_hh_tesh_in!G4=0,0,SER_hh_tesh_in!G4/SER_summary!G$27)</f>
        <v>124.71832417163532</v>
      </c>
      <c r="H4" s="130">
        <f>IF(SER_hh_tesh_in!H4=0,0,SER_hh_tesh_in!H4/SER_summary!H$27)</f>
        <v>74.430845400958944</v>
      </c>
      <c r="I4" s="130">
        <f>IF(SER_hh_tesh_in!I4=0,0,SER_hh_tesh_in!I4/SER_summary!I$27)</f>
        <v>76.799759279504428</v>
      </c>
      <c r="J4" s="130">
        <f>IF(SER_hh_tesh_in!J4=0,0,SER_hh_tesh_in!J4/SER_summary!J$27)</f>
        <v>70.491479529315725</v>
      </c>
      <c r="K4" s="130">
        <f>IF(SER_hh_tesh_in!K4=0,0,SER_hh_tesh_in!K4/SER_summary!K$27)</f>
        <v>47.077248734057804</v>
      </c>
      <c r="L4" s="130">
        <f>IF(SER_hh_tesh_in!L4=0,0,SER_hh_tesh_in!L4/SER_summary!L$27)</f>
        <v>104.42204303182689</v>
      </c>
      <c r="M4" s="130">
        <f>IF(SER_hh_tesh_in!M4=0,0,SER_hh_tesh_in!M4/SER_summary!M$27)</f>
        <v>96.944418461324915</v>
      </c>
      <c r="N4" s="130">
        <f>IF(SER_hh_tesh_in!N4=0,0,SER_hh_tesh_in!N4/SER_summary!N$27)</f>
        <v>98.295245913460391</v>
      </c>
      <c r="O4" s="130">
        <f>IF(SER_hh_tesh_in!O4=0,0,SER_hh_tesh_in!O4/SER_summary!O$27)</f>
        <v>108.93208287622838</v>
      </c>
      <c r="P4" s="130">
        <f>IF(SER_hh_tesh_in!P4=0,0,SER_hh_tesh_in!P4/SER_summary!P$27)</f>
        <v>111.80218263572853</v>
      </c>
      <c r="Q4" s="130">
        <f>IF(SER_hh_tesh_in!Q4=0,0,SER_hh_tesh_in!Q4/SER_summary!Q$27)</f>
        <v>119.50654842904056</v>
      </c>
      <c r="R4" s="130">
        <f>IF(SER_hh_tesh_in!R4=0,0,SER_hh_tesh_in!R4/SER_summary!R$27)</f>
        <v>100.21621972279316</v>
      </c>
      <c r="S4" s="130">
        <f>IF(SER_hh_tesh_in!S4=0,0,SER_hh_tesh_in!S4/SER_summary!S$27)</f>
        <v>100.35479985131477</v>
      </c>
      <c r="T4" s="130">
        <f>IF(SER_hh_tesh_in!T4=0,0,SER_hh_tesh_in!T4/SER_summary!T$27)</f>
        <v>85.142332727802298</v>
      </c>
      <c r="U4" s="130">
        <f>IF(SER_hh_tesh_in!U4=0,0,SER_hh_tesh_in!U4/SER_summary!U$27)</f>
        <v>71.872301704395525</v>
      </c>
      <c r="V4" s="130">
        <f>IF(SER_hh_tesh_in!V4=0,0,SER_hh_tesh_in!V4/SER_summary!V$27)</f>
        <v>53.978872630438822</v>
      </c>
      <c r="W4" s="130">
        <f>IF(SER_hh_tesh_in!W4=0,0,SER_hh_tesh_in!W4/SER_summary!W$27)</f>
        <v>39.156650187686623</v>
      </c>
      <c r="X4" s="130">
        <f>IF(SER_hh_tesh_in!X4=0,0,SER_hh_tesh_in!X4/SER_summary!X$27)</f>
        <v>28.857914728596011</v>
      </c>
      <c r="Y4" s="130">
        <f>IF(SER_hh_tesh_in!Y4=0,0,SER_hh_tesh_in!Y4/SER_summary!Y$27)</f>
        <v>29.523025777897047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74.276507340654604</v>
      </c>
      <c r="D6" s="132">
        <f>IF(SER_hh_tesh_in!D6=0,0,SER_hh_tesh_in!D6/SER_summary!D$27)</f>
        <v>75.425153707321371</v>
      </c>
      <c r="E6" s="132">
        <f>IF(SER_hh_tesh_in!E6=0,0,SER_hh_tesh_in!E6/SER_summary!E$27)</f>
        <v>84.838684943025058</v>
      </c>
      <c r="F6" s="132">
        <f>IF(SER_hh_tesh_in!F6=0,0,SER_hh_tesh_in!F6/SER_summary!F$27)</f>
        <v>88.564636090904955</v>
      </c>
      <c r="G6" s="132">
        <f>IF(SER_hh_tesh_in!G6=0,0,SER_hh_tesh_in!G6/SER_summary!G$27)</f>
        <v>76.405061011066394</v>
      </c>
      <c r="H6" s="132">
        <f>IF(SER_hh_tesh_in!H6=0,0,SER_hh_tesh_in!H6/SER_summary!H$27)</f>
        <v>87.601367506709508</v>
      </c>
      <c r="I6" s="132">
        <f>IF(SER_hh_tesh_in!I6=0,0,SER_hh_tesh_in!I6/SER_summary!I$27)</f>
        <v>97.715402654430875</v>
      </c>
      <c r="J6" s="132">
        <f>IF(SER_hh_tesh_in!J6=0,0,SER_hh_tesh_in!J6/SER_summary!J$27)</f>
        <v>52.046202942803909</v>
      </c>
      <c r="K6" s="132">
        <f>IF(SER_hh_tesh_in!K6=0,0,SER_hh_tesh_in!K6/SER_summary!K$27)</f>
        <v>26.9097323133361</v>
      </c>
      <c r="L6" s="132">
        <f>IF(SER_hh_tesh_in!L6=0,0,SER_hh_tesh_in!L6/SER_summary!L$27)</f>
        <v>120.59783655882408</v>
      </c>
      <c r="M6" s="132">
        <f>IF(SER_hh_tesh_in!M6=0,0,SER_hh_tesh_in!M6/SER_summary!M$27)</f>
        <v>91.216280150056107</v>
      </c>
      <c r="N6" s="132">
        <f>IF(SER_hh_tesh_in!N6=0,0,SER_hh_tesh_in!N6/SER_summary!N$27)</f>
        <v>110.80610706112874</v>
      </c>
      <c r="O6" s="132">
        <f>IF(SER_hh_tesh_in!O6=0,0,SER_hh_tesh_in!O6/SER_summary!O$27)</f>
        <v>0</v>
      </c>
      <c r="P6" s="132">
        <f>IF(SER_hh_tesh_in!P6=0,0,SER_hh_tesh_in!P6/SER_summary!P$27)</f>
        <v>84.254225902465976</v>
      </c>
      <c r="Q6" s="132">
        <f>IF(SER_hh_tesh_in!Q6=0,0,SER_hh_tesh_in!Q6/SER_summary!Q$27)</f>
        <v>96.935875545218877</v>
      </c>
      <c r="R6" s="132">
        <f>IF(SER_hh_tesh_in!R6=0,0,SER_hh_tesh_in!R6/SER_summary!R$27)</f>
        <v>77.523162622172876</v>
      </c>
      <c r="S6" s="132">
        <f>IF(SER_hh_tesh_in!S6=0,0,SER_hh_tesh_in!S6/SER_summary!S$27)</f>
        <v>80.516820236255811</v>
      </c>
      <c r="T6" s="132">
        <f>IF(SER_hh_tesh_in!T6=0,0,SER_hh_tesh_in!T6/SER_summary!T$27)</f>
        <v>88.337494095854623</v>
      </c>
      <c r="U6" s="132">
        <f>IF(SER_hh_tesh_in!U6=0,0,SER_hh_tesh_in!U6/SER_summary!U$27)</f>
        <v>74.473305954173924</v>
      </c>
      <c r="V6" s="132">
        <f>IF(SER_hh_tesh_in!V6=0,0,SER_hh_tesh_in!V6/SER_summary!V$27)</f>
        <v>49.877644284294881</v>
      </c>
      <c r="W6" s="132">
        <f>IF(SER_hh_tesh_in!W6=0,0,SER_hh_tesh_in!W6/SER_summary!W$27)</f>
        <v>40.384094735648389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66.210166328075545</v>
      </c>
      <c r="D7" s="132">
        <f>IF(SER_hh_tesh_in!D7=0,0,SER_hh_tesh_in!D7/SER_summary!D$27)</f>
        <v>75.958300956329353</v>
      </c>
      <c r="E7" s="132">
        <f>IF(SER_hh_tesh_in!E7=0,0,SER_hh_tesh_in!E7/SER_summary!E$27)</f>
        <v>93.484360276460436</v>
      </c>
      <c r="F7" s="132">
        <f>IF(SER_hh_tesh_in!F7=0,0,SER_hh_tesh_in!F7/SER_summary!F$27)</f>
        <v>105.2612874709698</v>
      </c>
      <c r="G7" s="132">
        <f>IF(SER_hh_tesh_in!G7=0,0,SER_hh_tesh_in!G7/SER_summary!G$27)</f>
        <v>90.637590838645778</v>
      </c>
      <c r="H7" s="132">
        <f>IF(SER_hh_tesh_in!H7=0,0,SER_hh_tesh_in!H7/SER_summary!H$27)</f>
        <v>71.302207495599887</v>
      </c>
      <c r="I7" s="132">
        <f>IF(SER_hh_tesh_in!I7=0,0,SER_hh_tesh_in!I7/SER_summary!I$27)</f>
        <v>78.112388301081438</v>
      </c>
      <c r="J7" s="132">
        <f>IF(SER_hh_tesh_in!J7=0,0,SER_hh_tesh_in!J7/SER_summary!J$27)</f>
        <v>72.071864060573873</v>
      </c>
      <c r="K7" s="132">
        <f>IF(SER_hh_tesh_in!K7=0,0,SER_hh_tesh_in!K7/SER_summary!K$27)</f>
        <v>0</v>
      </c>
      <c r="L7" s="132">
        <f>IF(SER_hh_tesh_in!L7=0,0,SER_hh_tesh_in!L7/SER_summary!L$27)</f>
        <v>0</v>
      </c>
      <c r="M7" s="132">
        <f>IF(SER_hh_tesh_in!M7=0,0,SER_hh_tesh_in!M7/SER_summary!M$27)</f>
        <v>55.370866463657158</v>
      </c>
      <c r="N7" s="132">
        <f>IF(SER_hh_tesh_in!N7=0,0,SER_hh_tesh_in!N7/SER_summary!N$27)</f>
        <v>90.586602052146276</v>
      </c>
      <c r="O7" s="132">
        <f>IF(SER_hh_tesh_in!O7=0,0,SER_hh_tesh_in!O7/SER_summary!O$27)</f>
        <v>113.83246499674205</v>
      </c>
      <c r="P7" s="132">
        <f>IF(SER_hh_tesh_in!P7=0,0,SER_hh_tesh_in!P7/SER_summary!P$27)</f>
        <v>111.41155489288448</v>
      </c>
      <c r="Q7" s="132">
        <f>IF(SER_hh_tesh_in!Q7=0,0,SER_hh_tesh_in!Q7/SER_summary!Q$27)</f>
        <v>126.29879067441956</v>
      </c>
      <c r="R7" s="132">
        <f>IF(SER_hh_tesh_in!R7=0,0,SER_hh_tesh_in!R7/SER_summary!R$27)</f>
        <v>116.61847786983454</v>
      </c>
      <c r="S7" s="132">
        <f>IF(SER_hh_tesh_in!S7=0,0,SER_hh_tesh_in!S7/SER_summary!S$27)</f>
        <v>0</v>
      </c>
      <c r="T7" s="132">
        <f>IF(SER_hh_tesh_in!T7=0,0,SER_hh_tesh_in!T7/SER_summary!T$27)</f>
        <v>0</v>
      </c>
      <c r="U7" s="132">
        <f>IF(SER_hh_tesh_in!U7=0,0,SER_hh_tesh_in!U7/SER_summary!U$27)</f>
        <v>0</v>
      </c>
      <c r="V7" s="132">
        <f>IF(SER_hh_tesh_in!V7=0,0,SER_hh_tesh_in!V7/SER_summary!V$27)</f>
        <v>0</v>
      </c>
      <c r="W7" s="132">
        <f>IF(SER_hh_tesh_in!W7=0,0,SER_hh_tesh_in!W7/SER_summary!W$27)</f>
        <v>36.010544102889313</v>
      </c>
      <c r="X7" s="132">
        <f>IF(SER_hh_tesh_in!X7=0,0,SER_hh_tesh_in!X7/SER_summary!X$27)</f>
        <v>28.689050660835338</v>
      </c>
      <c r="Y7" s="132">
        <f>IF(SER_hh_tesh_in!Y7=0,0,SER_hh_tesh_in!Y7/SER_summary!Y$27)</f>
        <v>25.140142673464297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0</v>
      </c>
      <c r="S8" s="132">
        <f>IF(SER_hh_tesh_in!S8=0,0,SER_hh_tesh_in!S8/SER_summary!S$27)</f>
        <v>0</v>
      </c>
      <c r="T8" s="132">
        <f>IF(SER_hh_tesh_in!T8=0,0,SER_hh_tesh_in!T8/SER_summary!T$27)</f>
        <v>0</v>
      </c>
      <c r="U8" s="132">
        <f>IF(SER_hh_tesh_in!U8=0,0,SER_hh_tesh_in!U8/SER_summary!U$27)</f>
        <v>0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0</v>
      </c>
      <c r="D9" s="132">
        <f>IF(SER_hh_tesh_in!D9=0,0,SER_hh_tesh_in!D9/SER_summary!D$27)</f>
        <v>0</v>
      </c>
      <c r="E9" s="132">
        <f>IF(SER_hh_tesh_in!E9=0,0,SER_hh_tesh_in!E9/SER_summary!E$27)</f>
        <v>0</v>
      </c>
      <c r="F9" s="132">
        <f>IF(SER_hh_tesh_in!F9=0,0,SER_hh_tesh_in!F9/SER_summary!F$27)</f>
        <v>0</v>
      </c>
      <c r="G9" s="132">
        <f>IF(SER_hh_tesh_in!G9=0,0,SER_hh_tesh_in!G9/SER_summary!G$27)</f>
        <v>0</v>
      </c>
      <c r="H9" s="132">
        <f>IF(SER_hh_tesh_in!H9=0,0,SER_hh_tesh_in!H9/SER_summary!H$27)</f>
        <v>0</v>
      </c>
      <c r="I9" s="132">
        <f>IF(SER_hh_tesh_in!I9=0,0,SER_hh_tesh_in!I9/SER_summary!I$27)</f>
        <v>0</v>
      </c>
      <c r="J9" s="132">
        <f>IF(SER_hh_tesh_in!J9=0,0,SER_hh_tesh_in!J9/SER_summary!J$27)</f>
        <v>0</v>
      </c>
      <c r="K9" s="132">
        <f>IF(SER_hh_tesh_in!K9=0,0,SER_hh_tesh_in!K9/SER_summary!K$27)</f>
        <v>0</v>
      </c>
      <c r="L9" s="132">
        <f>IF(SER_hh_tesh_in!L9=0,0,SER_hh_tesh_in!L9/SER_summary!L$27)</f>
        <v>0</v>
      </c>
      <c r="M9" s="132">
        <f>IF(SER_hh_tesh_in!M9=0,0,SER_hh_tesh_in!M9/SER_summary!M$27)</f>
        <v>126.64569566657998</v>
      </c>
      <c r="N9" s="132">
        <f>IF(SER_hh_tesh_in!N9=0,0,SER_hh_tesh_in!N9/SER_summary!N$27)</f>
        <v>139.37039760724693</v>
      </c>
      <c r="O9" s="132">
        <f>IF(SER_hh_tesh_in!O9=0,0,SER_hh_tesh_in!O9/SER_summary!O$27)</f>
        <v>96.579885380502645</v>
      </c>
      <c r="P9" s="132">
        <f>IF(SER_hh_tesh_in!P9=0,0,SER_hh_tesh_in!P9/SER_summary!P$27)</f>
        <v>0</v>
      </c>
      <c r="Q9" s="132">
        <f>IF(SER_hh_tesh_in!Q9=0,0,SER_hh_tesh_in!Q9/SER_summary!Q$27)</f>
        <v>0</v>
      </c>
      <c r="R9" s="132">
        <f>IF(SER_hh_tesh_in!R9=0,0,SER_hh_tesh_in!R9/SER_summary!R$27)</f>
        <v>116.08068056738594</v>
      </c>
      <c r="S9" s="132">
        <f>IF(SER_hh_tesh_in!S9=0,0,SER_hh_tesh_in!S9/SER_summary!S$27)</f>
        <v>0</v>
      </c>
      <c r="T9" s="132">
        <f>IF(SER_hh_tesh_in!T9=0,0,SER_hh_tesh_in!T9/SER_summary!T$27)</f>
        <v>63.669053931340677</v>
      </c>
      <c r="U9" s="132">
        <f>IF(SER_hh_tesh_in!U9=0,0,SER_hh_tesh_in!U9/SER_summary!U$27)</f>
        <v>81.83857931636075</v>
      </c>
      <c r="V9" s="132">
        <f>IF(SER_hh_tesh_in!V9=0,0,SER_hh_tesh_in!V9/SER_summary!V$27)</f>
        <v>54.237422294466207</v>
      </c>
      <c r="W9" s="132">
        <f>IF(SER_hh_tesh_in!W9=0,0,SER_hh_tesh_in!W9/SER_summary!W$27)</f>
        <v>27.949072627207979</v>
      </c>
      <c r="X9" s="132">
        <f>IF(SER_hh_tesh_in!X9=0,0,SER_hh_tesh_in!X9/SER_summary!X$27)</f>
        <v>27.999754723176672</v>
      </c>
      <c r="Y9" s="132">
        <f>IF(SER_hh_tesh_in!Y9=0,0,SER_hh_tesh_in!Y9/SER_summary!Y$27)</f>
        <v>28.899920579862531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0</v>
      </c>
      <c r="D10" s="132">
        <f>IF(SER_hh_tesh_in!D10=0,0,SER_hh_tesh_in!D10/SER_summary!D$27)</f>
        <v>0</v>
      </c>
      <c r="E10" s="132">
        <f>IF(SER_hh_tesh_in!E10=0,0,SER_hh_tesh_in!E10/SER_summary!E$27)</f>
        <v>0</v>
      </c>
      <c r="F10" s="132">
        <f>IF(SER_hh_tesh_in!F10=0,0,SER_hh_tesh_in!F10/SER_summary!F$27)</f>
        <v>0</v>
      </c>
      <c r="G10" s="132">
        <f>IF(SER_hh_tesh_in!G10=0,0,SER_hh_tesh_in!G10/SER_summary!G$27)</f>
        <v>0</v>
      </c>
      <c r="H10" s="132">
        <f>IF(SER_hh_tesh_in!H10=0,0,SER_hh_tesh_in!H10/SER_summary!H$27)</f>
        <v>0</v>
      </c>
      <c r="I10" s="132">
        <f>IF(SER_hh_tesh_in!I10=0,0,SER_hh_tesh_in!I10/SER_summary!I$27)</f>
        <v>0</v>
      </c>
      <c r="J10" s="132">
        <f>IF(SER_hh_tesh_in!J10=0,0,SER_hh_tesh_in!J10/SER_summary!J$27)</f>
        <v>0</v>
      </c>
      <c r="K10" s="132">
        <f>IF(SER_hh_tesh_in!K10=0,0,SER_hh_tesh_in!K10/SER_summary!K$27)</f>
        <v>0</v>
      </c>
      <c r="L10" s="132">
        <f>IF(SER_hh_tesh_in!L10=0,0,SER_hh_tesh_in!L10/SER_summary!L$27)</f>
        <v>0</v>
      </c>
      <c r="M10" s="132">
        <f>IF(SER_hh_tesh_in!M10=0,0,SER_hh_tesh_in!M10/SER_summary!M$27)</f>
        <v>0</v>
      </c>
      <c r="N10" s="132">
        <f>IF(SER_hh_tesh_in!N10=0,0,SER_hh_tesh_in!N10/SER_summary!N$27)</f>
        <v>0</v>
      </c>
      <c r="O10" s="132">
        <f>IF(SER_hh_tesh_in!O10=0,0,SER_hh_tesh_in!O10/SER_summary!O$27)</f>
        <v>0</v>
      </c>
      <c r="P10" s="132">
        <f>IF(SER_hh_tesh_in!P10=0,0,SER_hh_tesh_in!P10/SER_summary!P$27)</f>
        <v>0</v>
      </c>
      <c r="Q10" s="132">
        <f>IF(SER_hh_tesh_in!Q10=0,0,SER_hh_tesh_in!Q10/SER_summary!Q$27)</f>
        <v>0</v>
      </c>
      <c r="R10" s="132">
        <f>IF(SER_hh_tesh_in!R10=0,0,SER_hh_tesh_in!R10/SER_summary!R$27)</f>
        <v>0</v>
      </c>
      <c r="S10" s="132">
        <f>IF(SER_hh_tesh_in!S10=0,0,SER_hh_tesh_in!S10/SER_summary!S$27)</f>
        <v>0</v>
      </c>
      <c r="T10" s="132">
        <f>IF(SER_hh_tesh_in!T10=0,0,SER_hh_tesh_in!T10/SER_summary!T$27)</f>
        <v>0</v>
      </c>
      <c r="U10" s="132">
        <f>IF(SER_hh_tesh_in!U10=0,0,SER_hh_tesh_in!U10/SER_summary!U$27)</f>
        <v>0</v>
      </c>
      <c r="V10" s="132">
        <f>IF(SER_hh_tesh_in!V10=0,0,SER_hh_tesh_in!V10/SER_summary!V$27)</f>
        <v>0</v>
      </c>
      <c r="W10" s="132">
        <f>IF(SER_hh_tesh_in!W10=0,0,SER_hh_tesh_in!W10/SER_summary!W$27)</f>
        <v>0</v>
      </c>
      <c r="X10" s="132">
        <f>IF(SER_hh_tesh_in!X10=0,0,SER_hh_tesh_in!X10/SER_summary!X$27)</f>
        <v>0</v>
      </c>
      <c r="Y10" s="132">
        <f>IF(SER_hh_tesh_in!Y10=0,0,SER_hh_tesh_in!Y10/SER_summary!Y$27)</f>
        <v>0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0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0</v>
      </c>
      <c r="D12" s="132">
        <f>IF(SER_hh_tesh_in!D12=0,0,SER_hh_tesh_in!D12/SER_summary!D$27)</f>
        <v>0</v>
      </c>
      <c r="E12" s="132">
        <f>IF(SER_hh_tesh_in!E12=0,0,SER_hh_tesh_in!E12/SER_summary!E$27)</f>
        <v>0</v>
      </c>
      <c r="F12" s="132">
        <f>IF(SER_hh_tesh_in!F12=0,0,SER_hh_tesh_in!F12/SER_summary!F$27)</f>
        <v>0</v>
      </c>
      <c r="G12" s="132">
        <f>IF(SER_hh_tesh_in!G12=0,0,SER_hh_tesh_in!G12/SER_summary!G$27)</f>
        <v>0</v>
      </c>
      <c r="H12" s="132">
        <f>IF(SER_hh_tesh_in!H12=0,0,SER_hh_tesh_in!H12/SER_summary!H$27)</f>
        <v>0</v>
      </c>
      <c r="I12" s="132">
        <f>IF(SER_hh_tesh_in!I12=0,0,SER_hh_tesh_in!I12/SER_summary!I$27)</f>
        <v>0</v>
      </c>
      <c r="J12" s="132">
        <f>IF(SER_hh_tesh_in!J12=0,0,SER_hh_tesh_in!J12/SER_summary!J$27)</f>
        <v>0</v>
      </c>
      <c r="K12" s="132">
        <f>IF(SER_hh_tesh_in!K12=0,0,SER_hh_tesh_in!K12/SER_summary!K$27)</f>
        <v>0</v>
      </c>
      <c r="L12" s="132">
        <f>IF(SER_hh_tesh_in!L12=0,0,SER_hh_tesh_in!L12/SER_summary!L$27)</f>
        <v>0</v>
      </c>
      <c r="M12" s="132">
        <f>IF(SER_hh_tesh_in!M12=0,0,SER_hh_tesh_in!M12/SER_summary!M$27)</f>
        <v>132.46528224981063</v>
      </c>
      <c r="N12" s="132">
        <f>IF(SER_hh_tesh_in!N12=0,0,SER_hh_tesh_in!N12/SER_summary!N$27)</f>
        <v>204.61611080110302</v>
      </c>
      <c r="O12" s="132">
        <f>IF(SER_hh_tesh_in!O12=0,0,SER_hh_tesh_in!O12/SER_summary!O$27)</f>
        <v>0</v>
      </c>
      <c r="P12" s="132">
        <f>IF(SER_hh_tesh_in!P12=0,0,SER_hh_tesh_in!P12/SER_summary!P$27)</f>
        <v>0</v>
      </c>
      <c r="Q12" s="132">
        <f>IF(SER_hh_tesh_in!Q12=0,0,SER_hh_tesh_in!Q12/SER_summary!Q$27)</f>
        <v>0</v>
      </c>
      <c r="R12" s="132">
        <f>IF(SER_hh_tesh_in!R12=0,0,SER_hh_tesh_in!R12/SER_summary!R$27)</f>
        <v>0</v>
      </c>
      <c r="S12" s="132">
        <f>IF(SER_hh_tesh_in!S12=0,0,SER_hh_tesh_in!S12/SER_summary!S$27)</f>
        <v>0</v>
      </c>
      <c r="T12" s="132">
        <f>IF(SER_hh_tesh_in!T12=0,0,SER_hh_tesh_in!T12/SER_summary!T$27)</f>
        <v>0</v>
      </c>
      <c r="U12" s="132">
        <f>IF(SER_hh_tesh_in!U12=0,0,SER_hh_tesh_in!U12/SER_summary!U$27)</f>
        <v>0</v>
      </c>
      <c r="V12" s="132">
        <f>IF(SER_hh_tesh_in!V12=0,0,SER_hh_tesh_in!V12/SER_summary!V$27)</f>
        <v>0</v>
      </c>
      <c r="W12" s="132">
        <f>IF(SER_hh_tesh_in!W12=0,0,SER_hh_tesh_in!W12/SER_summary!W$27)</f>
        <v>0</v>
      </c>
      <c r="X12" s="132">
        <f>IF(SER_hh_tesh_in!X12=0,0,SER_hh_tesh_in!X12/SER_summary!X$27)</f>
        <v>0</v>
      </c>
      <c r="Y12" s="132">
        <f>IF(SER_hh_tesh_in!Y12=0,0,SER_hh_tesh_in!Y12/SER_summary!Y$27)</f>
        <v>0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70.25312521886552</v>
      </c>
      <c r="D13" s="132">
        <f>IF(SER_hh_tesh_in!D13=0,0,SER_hh_tesh_in!D13/SER_summary!D$27)</f>
        <v>78.939627461610911</v>
      </c>
      <c r="E13" s="132">
        <f>IF(SER_hh_tesh_in!E13=0,0,SER_hh_tesh_in!E13/SER_summary!E$27)</f>
        <v>93.412418639248216</v>
      </c>
      <c r="F13" s="132">
        <f>IF(SER_hh_tesh_in!F13=0,0,SER_hh_tesh_in!F13/SER_summary!F$27)</f>
        <v>83.303558683385276</v>
      </c>
      <c r="G13" s="132">
        <f>IF(SER_hh_tesh_in!G13=0,0,SER_hh_tesh_in!G13/SER_summary!G$27)</f>
        <v>86.558916507457411</v>
      </c>
      <c r="H13" s="132">
        <f>IF(SER_hh_tesh_in!H13=0,0,SER_hh_tesh_in!H13/SER_summary!H$27)</f>
        <v>68.452472232441849</v>
      </c>
      <c r="I13" s="132">
        <f>IF(SER_hh_tesh_in!I13=0,0,SER_hh_tesh_in!I13/SER_summary!I$27)</f>
        <v>66.013881762376442</v>
      </c>
      <c r="J13" s="132">
        <f>IF(SER_hh_tesh_in!J13=0,0,SER_hh_tesh_in!J13/SER_summary!J$27)</f>
        <v>72.1041892088395</v>
      </c>
      <c r="K13" s="132">
        <f>IF(SER_hh_tesh_in!K13=0,0,SER_hh_tesh_in!K13/SER_summary!K$27)</f>
        <v>75.913040809836517</v>
      </c>
      <c r="L13" s="132">
        <f>IF(SER_hh_tesh_in!L13=0,0,SER_hh_tesh_in!L13/SER_summary!L$27)</f>
        <v>77.115503330469537</v>
      </c>
      <c r="M13" s="132">
        <f>IF(SER_hh_tesh_in!M13=0,0,SER_hh_tesh_in!M13/SER_summary!M$27)</f>
        <v>89.102339828146839</v>
      </c>
      <c r="N13" s="132">
        <f>IF(SER_hh_tesh_in!N13=0,0,SER_hh_tesh_in!N13/SER_summary!N$27)</f>
        <v>100.25442802375314</v>
      </c>
      <c r="O13" s="132">
        <f>IF(SER_hh_tesh_in!O13=0,0,SER_hh_tesh_in!O13/SER_summary!O$27)</f>
        <v>99.453206791733393</v>
      </c>
      <c r="P13" s="132">
        <f>IF(SER_hh_tesh_in!P13=0,0,SER_hh_tesh_in!P13/SER_summary!P$27)</f>
        <v>111.11432549105552</v>
      </c>
      <c r="Q13" s="132">
        <f>IF(SER_hh_tesh_in!Q13=0,0,SER_hh_tesh_in!Q13/SER_summary!Q$27)</f>
        <v>119.04735260900306</v>
      </c>
      <c r="R13" s="132">
        <f>IF(SER_hh_tesh_in!R13=0,0,SER_hh_tesh_in!R13/SER_summary!R$27)</f>
        <v>108.81083631394471</v>
      </c>
      <c r="S13" s="132">
        <f>IF(SER_hh_tesh_in!S13=0,0,SER_hh_tesh_in!S13/SER_summary!S$27)</f>
        <v>99.42743997918403</v>
      </c>
      <c r="T13" s="132">
        <f>IF(SER_hh_tesh_in!T13=0,0,SER_hh_tesh_in!T13/SER_summary!T$27)</f>
        <v>82.736583416076172</v>
      </c>
      <c r="U13" s="132">
        <f>IF(SER_hh_tesh_in!U13=0,0,SER_hh_tesh_in!U13/SER_summary!U$27)</f>
        <v>64.909587062639488</v>
      </c>
      <c r="V13" s="132">
        <f>IF(SER_hh_tesh_in!V13=0,0,SER_hh_tesh_in!V13/SER_summary!V$27)</f>
        <v>57.048685846398172</v>
      </c>
      <c r="W13" s="132">
        <f>IF(SER_hh_tesh_in!W13=0,0,SER_hh_tesh_in!W13/SER_summary!W$27)</f>
        <v>43.287145547800755</v>
      </c>
      <c r="X13" s="132">
        <f>IF(SER_hh_tesh_in!X13=0,0,SER_hh_tesh_in!X13/SER_summary!X$27)</f>
        <v>28.79277344042643</v>
      </c>
      <c r="Y13" s="132">
        <f>IF(SER_hh_tesh_in!Y13=0,0,SER_hh_tesh_in!Y13/SER_summary!Y$27)</f>
        <v>31.564494014373793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70.574028190128473</v>
      </c>
      <c r="D14" s="65">
        <f>IF(SER_hh_tesh_in!D14=0,0,SER_hh_tesh_in!D14/SER_summary!D$27)</f>
        <v>84.83214920598472</v>
      </c>
      <c r="E14" s="65">
        <f>IF(SER_hh_tesh_in!E14=0,0,SER_hh_tesh_in!E14/SER_summary!E$27)</f>
        <v>80.745783495464181</v>
      </c>
      <c r="F14" s="65">
        <f>IF(SER_hh_tesh_in!F14=0,0,SER_hh_tesh_in!F14/SER_summary!F$27)</f>
        <v>83.202194133021223</v>
      </c>
      <c r="G14" s="65">
        <f>IF(SER_hh_tesh_in!G14=0,0,SER_hh_tesh_in!G14/SER_summary!G$27)</f>
        <v>132.90533960200571</v>
      </c>
      <c r="H14" s="65">
        <f>IF(SER_hh_tesh_in!H14=0,0,SER_hh_tesh_in!H14/SER_summary!H$27)</f>
        <v>77.988552821786769</v>
      </c>
      <c r="I14" s="65">
        <f>IF(SER_hh_tesh_in!I14=0,0,SER_hh_tesh_in!I14/SER_summary!I$27)</f>
        <v>73.824975989356062</v>
      </c>
      <c r="J14" s="65">
        <f>IF(SER_hh_tesh_in!J14=0,0,SER_hh_tesh_in!J14/SER_summary!J$27)</f>
        <v>62.921141318120497</v>
      </c>
      <c r="K14" s="65">
        <f>IF(SER_hh_tesh_in!K14=0,0,SER_hh_tesh_in!K14/SER_summary!K$27)</f>
        <v>44.561593665420496</v>
      </c>
      <c r="L14" s="65">
        <f>IF(SER_hh_tesh_in!L14=0,0,SER_hh_tesh_in!L14/SER_summary!L$27)</f>
        <v>103.61265233203885</v>
      </c>
      <c r="M14" s="65">
        <f>IF(SER_hh_tesh_in!M14=0,0,SER_hh_tesh_in!M14/SER_summary!M$27)</f>
        <v>106.80217725233678</v>
      </c>
      <c r="N14" s="65">
        <f>IF(SER_hh_tesh_in!N14=0,0,SER_hh_tesh_in!N14/SER_summary!N$27)</f>
        <v>104.89218055303817</v>
      </c>
      <c r="O14" s="65">
        <f>IF(SER_hh_tesh_in!O14=0,0,SER_hh_tesh_in!O14/SER_summary!O$27)</f>
        <v>103.10695075508823</v>
      </c>
      <c r="P14" s="65">
        <f>IF(SER_hh_tesh_in!P14=0,0,SER_hh_tesh_in!P14/SER_summary!P$27)</f>
        <v>107.44968374563653</v>
      </c>
      <c r="Q14" s="65">
        <f>IF(SER_hh_tesh_in!Q14=0,0,SER_hh_tesh_in!Q14/SER_summary!Q$27)</f>
        <v>112.43305214068198</v>
      </c>
      <c r="R14" s="65">
        <f>IF(SER_hh_tesh_in!R14=0,0,SER_hh_tesh_in!R14/SER_summary!R$27)</f>
        <v>97.166061005361414</v>
      </c>
      <c r="S14" s="65">
        <f>IF(SER_hh_tesh_in!S14=0,0,SER_hh_tesh_in!S14/SER_summary!S$27)</f>
        <v>101.75037462256844</v>
      </c>
      <c r="T14" s="65">
        <f>IF(SER_hh_tesh_in!T14=0,0,SER_hh_tesh_in!T14/SER_summary!T$27)</f>
        <v>85.800264127360748</v>
      </c>
      <c r="U14" s="65">
        <f>IF(SER_hh_tesh_in!U14=0,0,SER_hh_tesh_in!U14/SER_summary!U$27)</f>
        <v>75.183324230818272</v>
      </c>
      <c r="V14" s="65">
        <f>IF(SER_hh_tesh_in!V14=0,0,SER_hh_tesh_in!V14/SER_summary!V$27)</f>
        <v>49.815407148505173</v>
      </c>
      <c r="W14" s="65">
        <f>IF(SER_hh_tesh_in!W14=0,0,SER_hh_tesh_in!W14/SER_summary!W$27)</f>
        <v>35.689140022005667</v>
      </c>
      <c r="X14" s="65">
        <f>IF(SER_hh_tesh_in!X14=0,0,SER_hh_tesh_in!X14/SER_summary!X$27)</f>
        <v>28.807680470019946</v>
      </c>
      <c r="Y14" s="65">
        <f>IF(SER_hh_tesh_in!Y14=0,0,SER_hh_tesh_in!Y14/SER_summary!Y$27)</f>
        <v>29.154319941633613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1.3021044678335156</v>
      </c>
      <c r="D15" s="134">
        <f>IF(SER_hh_tesh_in!D15=0,0,SER_hh_tesh_in!D15/SER_summary!D$27)</f>
        <v>1.4573723300717714</v>
      </c>
      <c r="E15" s="134">
        <f>IF(SER_hh_tesh_in!E15=0,0,SER_hh_tesh_in!E15/SER_summary!E$27)</f>
        <v>1.7472391737340314</v>
      </c>
      <c r="F15" s="134">
        <f>IF(SER_hh_tesh_in!F15=0,0,SER_hh_tesh_in!F15/SER_summary!F$27)</f>
        <v>1.7440953957752829</v>
      </c>
      <c r="G15" s="134">
        <f>IF(SER_hh_tesh_in!G15=0,0,SER_hh_tesh_in!G15/SER_summary!G$27)</f>
        <v>1.5254677947294035</v>
      </c>
      <c r="H15" s="134">
        <f>IF(SER_hh_tesh_in!H15=0,0,SER_hh_tesh_in!H15/SER_summary!H$27)</f>
        <v>1.3042450041470575</v>
      </c>
      <c r="I15" s="134">
        <f>IF(SER_hh_tesh_in!I15=0,0,SER_hh_tesh_in!I15/SER_summary!I$27)</f>
        <v>1.3985677517422375</v>
      </c>
      <c r="J15" s="134">
        <f>IF(SER_hh_tesh_in!J15=0,0,SER_hh_tesh_in!J15/SER_summary!J$27)</f>
        <v>1.2348897634887446</v>
      </c>
      <c r="K15" s="134">
        <f>IF(SER_hh_tesh_in!K15=0,0,SER_hh_tesh_in!K15/SER_summary!K$27)</f>
        <v>0.46180546719378796</v>
      </c>
      <c r="L15" s="134">
        <f>IF(SER_hh_tesh_in!L15=0,0,SER_hh_tesh_in!L15/SER_summary!L$27)</f>
        <v>2.0449140922971583</v>
      </c>
      <c r="M15" s="134">
        <f>IF(SER_hh_tesh_in!M15=0,0,SER_hh_tesh_in!M15/SER_summary!M$27)</f>
        <v>1.4151448353121856</v>
      </c>
      <c r="N15" s="134">
        <f>IF(SER_hh_tesh_in!N15=0,0,SER_hh_tesh_in!N15/SER_summary!N$27)</f>
        <v>1.5558561532331072</v>
      </c>
      <c r="O15" s="134">
        <f>IF(SER_hh_tesh_in!O15=0,0,SER_hh_tesh_in!O15/SER_summary!O$27)</f>
        <v>1.872768828302368</v>
      </c>
      <c r="P15" s="134">
        <f>IF(SER_hh_tesh_in!P15=0,0,SER_hh_tesh_in!P15/SER_summary!P$27)</f>
        <v>1.8120486602396888</v>
      </c>
      <c r="Q15" s="134">
        <f>IF(SER_hh_tesh_in!Q15=0,0,SER_hh_tesh_in!Q15/SER_summary!Q$27)</f>
        <v>2.0139360335079552</v>
      </c>
      <c r="R15" s="134">
        <f>IF(SER_hh_tesh_in!R15=0,0,SER_hh_tesh_in!R15/SER_summary!R$27)</f>
        <v>1.6184176918377393</v>
      </c>
      <c r="S15" s="134">
        <f>IF(SER_hh_tesh_in!S15=0,0,SER_hh_tesh_in!S15/SER_summary!S$27)</f>
        <v>1.2889177012917326</v>
      </c>
      <c r="T15" s="134">
        <f>IF(SER_hh_tesh_in!T15=0,0,SER_hh_tesh_in!T15/SER_summary!T$27)</f>
        <v>1.3587354155055644</v>
      </c>
      <c r="U15" s="134">
        <f>IF(SER_hh_tesh_in!U15=0,0,SER_hh_tesh_in!U15/SER_summary!U$27)</f>
        <v>1.2072470245862463</v>
      </c>
      <c r="V15" s="134">
        <f>IF(SER_hh_tesh_in!V15=0,0,SER_hh_tesh_in!V15/SER_summary!V$27)</f>
        <v>0.79126628326280735</v>
      </c>
      <c r="W15" s="134">
        <f>IF(SER_hh_tesh_in!W15=0,0,SER_hh_tesh_in!W15/SER_summary!W$27)</f>
        <v>0.57591442901737444</v>
      </c>
      <c r="X15" s="134">
        <f>IF(SER_hh_tesh_in!X15=0,0,SER_hh_tesh_in!X15/SER_summary!X$27)</f>
        <v>0.45391332086691016</v>
      </c>
      <c r="Y15" s="134">
        <f>IF(SER_hh_tesh_in!Y15=0,0,SER_hh_tesh_in!Y15/SER_summary!Y$27)</f>
        <v>0.43072977706846727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86.980784501455958</v>
      </c>
      <c r="D16" s="130">
        <f>IF(SER_hh_tesh_in!D16=0,0,SER_hh_tesh_in!D16/SER_summary!D$27)</f>
        <v>67.666334496862603</v>
      </c>
      <c r="E16" s="130">
        <f>IF(SER_hh_tesh_in!E16=0,0,SER_hh_tesh_in!E16/SER_summary!E$27)</f>
        <v>103.03403927827591</v>
      </c>
      <c r="F16" s="130">
        <f>IF(SER_hh_tesh_in!F16=0,0,SER_hh_tesh_in!F16/SER_summary!F$27)</f>
        <v>53.908478915123744</v>
      </c>
      <c r="G16" s="130">
        <f>IF(SER_hh_tesh_in!G16=0,0,SER_hh_tesh_in!G16/SER_summary!G$27)</f>
        <v>53.278621191981763</v>
      </c>
      <c r="H16" s="130">
        <f>IF(SER_hh_tesh_in!H16=0,0,SER_hh_tesh_in!H16/SER_summary!H$27)</f>
        <v>72.499928325451677</v>
      </c>
      <c r="I16" s="130">
        <f>IF(SER_hh_tesh_in!I16=0,0,SER_hh_tesh_in!I16/SER_summary!I$27)</f>
        <v>75.108774122052907</v>
      </c>
      <c r="J16" s="130">
        <f>IF(SER_hh_tesh_in!J16=0,0,SER_hh_tesh_in!J16/SER_summary!J$27)</f>
        <v>64.618129511066215</v>
      </c>
      <c r="K16" s="130">
        <f>IF(SER_hh_tesh_in!K16=0,0,SER_hh_tesh_in!K16/SER_summary!K$27)</f>
        <v>66.097849216199251</v>
      </c>
      <c r="L16" s="130">
        <f>IF(SER_hh_tesh_in!L16=0,0,SER_hh_tesh_in!L16/SER_summary!L$27)</f>
        <v>53.445167195164622</v>
      </c>
      <c r="M16" s="130">
        <f>IF(SER_hh_tesh_in!M16=0,0,SER_hh_tesh_in!M16/SER_summary!M$27)</f>
        <v>57.357981895620348</v>
      </c>
      <c r="N16" s="130">
        <f>IF(SER_hh_tesh_in!N16=0,0,SER_hh_tesh_in!N16/SER_summary!N$27)</f>
        <v>99.32572255282021</v>
      </c>
      <c r="O16" s="130">
        <f>IF(SER_hh_tesh_in!O16=0,0,SER_hh_tesh_in!O16/SER_summary!O$27)</f>
        <v>69.167329971162914</v>
      </c>
      <c r="P16" s="130">
        <f>IF(SER_hh_tesh_in!P16=0,0,SER_hh_tesh_in!P16/SER_summary!P$27)</f>
        <v>70.378267401506903</v>
      </c>
      <c r="Q16" s="130">
        <f>IF(SER_hh_tesh_in!Q16=0,0,SER_hh_tesh_in!Q16/SER_summary!Q$27)</f>
        <v>74.197491447510259</v>
      </c>
      <c r="R16" s="130">
        <f>IF(SER_hh_tesh_in!R16=0,0,SER_hh_tesh_in!R16/SER_summary!R$27)</f>
        <v>60.380101650513254</v>
      </c>
      <c r="S16" s="130">
        <f>IF(SER_hh_tesh_in!S16=0,0,SER_hh_tesh_in!S16/SER_summary!S$27)</f>
        <v>69.511940112720325</v>
      </c>
      <c r="T16" s="130">
        <f>IF(SER_hh_tesh_in!T16=0,0,SER_hh_tesh_in!T16/SER_summary!T$27)</f>
        <v>59.602799365231441</v>
      </c>
      <c r="U16" s="130">
        <f>IF(SER_hh_tesh_in!U16=0,0,SER_hh_tesh_in!U16/SER_summary!U$27)</f>
        <v>77.780213928208852</v>
      </c>
      <c r="V16" s="130">
        <f>IF(SER_hh_tesh_in!V16=0,0,SER_hh_tesh_in!V16/SER_summary!V$27)</f>
        <v>57.224064431600027</v>
      </c>
      <c r="W16" s="130">
        <f>IF(SER_hh_tesh_in!W16=0,0,SER_hh_tesh_in!W16/SER_summary!W$27)</f>
        <v>60.232838877886863</v>
      </c>
      <c r="X16" s="130">
        <f>IF(SER_hh_tesh_in!X16=0,0,SER_hh_tesh_in!X16/SER_summary!X$27)</f>
        <v>52.951979465200139</v>
      </c>
      <c r="Y16" s="130">
        <f>IF(SER_hh_tesh_in!Y16=0,0,SER_hh_tesh_in!Y16/SER_summary!Y$27)</f>
        <v>48.11746260899546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0</v>
      </c>
      <c r="D17" s="132">
        <f>IF(SER_hh_tesh_in!D17=0,0,SER_hh_tesh_in!D17/SER_summary!D$27)</f>
        <v>0</v>
      </c>
      <c r="E17" s="132">
        <f>IF(SER_hh_tesh_in!E17=0,0,SER_hh_tesh_in!E17/SER_summary!E$27)</f>
        <v>0</v>
      </c>
      <c r="F17" s="132">
        <f>IF(SER_hh_tesh_in!F17=0,0,SER_hh_tesh_in!F17/SER_summary!F$27)</f>
        <v>0</v>
      </c>
      <c r="G17" s="132">
        <f>IF(SER_hh_tesh_in!G17=0,0,SER_hh_tesh_in!G17/SER_summary!G$27)</f>
        <v>0</v>
      </c>
      <c r="H17" s="132">
        <f>IF(SER_hh_tesh_in!H17=0,0,SER_hh_tesh_in!H17/SER_summary!H$27)</f>
        <v>0</v>
      </c>
      <c r="I17" s="132">
        <f>IF(SER_hh_tesh_in!I17=0,0,SER_hh_tesh_in!I17/SER_summary!I$27)</f>
        <v>0</v>
      </c>
      <c r="J17" s="132">
        <f>IF(SER_hh_tesh_in!J17=0,0,SER_hh_tesh_in!J17/SER_summary!J$27)</f>
        <v>0</v>
      </c>
      <c r="K17" s="132">
        <f>IF(SER_hh_tesh_in!K17=0,0,SER_hh_tesh_in!K17/SER_summary!K$27)</f>
        <v>0</v>
      </c>
      <c r="L17" s="132">
        <f>IF(SER_hh_tesh_in!L17=0,0,SER_hh_tesh_in!L17/SER_summary!L$27)</f>
        <v>0</v>
      </c>
      <c r="M17" s="132">
        <f>IF(SER_hh_tesh_in!M17=0,0,SER_hh_tesh_in!M17/SER_summary!M$27)</f>
        <v>0</v>
      </c>
      <c r="N17" s="132">
        <f>IF(SER_hh_tesh_in!N17=0,0,SER_hh_tesh_in!N17/SER_summary!N$27)</f>
        <v>0</v>
      </c>
      <c r="O17" s="132">
        <f>IF(SER_hh_tesh_in!O17=0,0,SER_hh_tesh_in!O17/SER_summary!O$27)</f>
        <v>0</v>
      </c>
      <c r="P17" s="132">
        <f>IF(SER_hh_tesh_in!P17=0,0,SER_hh_tesh_in!P17/SER_summary!P$27)</f>
        <v>0</v>
      </c>
      <c r="Q17" s="132">
        <f>IF(SER_hh_tesh_in!Q17=0,0,SER_hh_tesh_in!Q17/SER_summary!Q$27)</f>
        <v>0</v>
      </c>
      <c r="R17" s="132">
        <f>IF(SER_hh_tesh_in!R17=0,0,SER_hh_tesh_in!R17/SER_summary!R$27)</f>
        <v>0</v>
      </c>
      <c r="S17" s="132">
        <f>IF(SER_hh_tesh_in!S17=0,0,SER_hh_tesh_in!S17/SER_summary!S$27)</f>
        <v>0</v>
      </c>
      <c r="T17" s="132">
        <f>IF(SER_hh_tesh_in!T17=0,0,SER_hh_tesh_in!T17/SER_summary!T$27)</f>
        <v>0</v>
      </c>
      <c r="U17" s="132">
        <f>IF(SER_hh_tesh_in!U17=0,0,SER_hh_tesh_in!U17/SER_summary!U$27)</f>
        <v>0</v>
      </c>
      <c r="V17" s="132">
        <f>IF(SER_hh_tesh_in!V17=0,0,SER_hh_tesh_in!V17/SER_summary!V$27)</f>
        <v>0</v>
      </c>
      <c r="W17" s="132">
        <f>IF(SER_hh_tesh_in!W17=0,0,SER_hh_tesh_in!W17/SER_summary!W$27)</f>
        <v>0</v>
      </c>
      <c r="X17" s="132">
        <f>IF(SER_hh_tesh_in!X17=0,0,SER_hh_tesh_in!X17/SER_summary!X$27)</f>
        <v>0</v>
      </c>
      <c r="Y17" s="132">
        <f>IF(SER_hh_tesh_in!Y17=0,0,SER_hh_tesh_in!Y17/SER_summary!Y$27)</f>
        <v>0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86.980784501455958</v>
      </c>
      <c r="D18" s="132">
        <f>IF(SER_hh_tesh_in!D18=0,0,SER_hh_tesh_in!D18/SER_summary!D$27)</f>
        <v>67.666334496862603</v>
      </c>
      <c r="E18" s="132">
        <f>IF(SER_hh_tesh_in!E18=0,0,SER_hh_tesh_in!E18/SER_summary!E$27)</f>
        <v>103.03403927827591</v>
      </c>
      <c r="F18" s="132">
        <f>IF(SER_hh_tesh_in!F18=0,0,SER_hh_tesh_in!F18/SER_summary!F$27)</f>
        <v>53.908478915123744</v>
      </c>
      <c r="G18" s="132">
        <f>IF(SER_hh_tesh_in!G18=0,0,SER_hh_tesh_in!G18/SER_summary!G$27)</f>
        <v>53.278621191981763</v>
      </c>
      <c r="H18" s="132">
        <f>IF(SER_hh_tesh_in!H18=0,0,SER_hh_tesh_in!H18/SER_summary!H$27)</f>
        <v>72.499928325451677</v>
      </c>
      <c r="I18" s="132">
        <f>IF(SER_hh_tesh_in!I18=0,0,SER_hh_tesh_in!I18/SER_summary!I$27)</f>
        <v>75.108774122052907</v>
      </c>
      <c r="J18" s="132">
        <f>IF(SER_hh_tesh_in!J18=0,0,SER_hh_tesh_in!J18/SER_summary!J$27)</f>
        <v>64.618129511066215</v>
      </c>
      <c r="K18" s="132">
        <f>IF(SER_hh_tesh_in!K18=0,0,SER_hh_tesh_in!K18/SER_summary!K$27)</f>
        <v>66.097849216199251</v>
      </c>
      <c r="L18" s="132">
        <f>IF(SER_hh_tesh_in!L18=0,0,SER_hh_tesh_in!L18/SER_summary!L$27)</f>
        <v>53.445167195164622</v>
      </c>
      <c r="M18" s="132">
        <f>IF(SER_hh_tesh_in!M18=0,0,SER_hh_tesh_in!M18/SER_summary!M$27)</f>
        <v>57.357981895620348</v>
      </c>
      <c r="N18" s="132">
        <f>IF(SER_hh_tesh_in!N18=0,0,SER_hh_tesh_in!N18/SER_summary!N$27)</f>
        <v>99.32572255282021</v>
      </c>
      <c r="O18" s="132">
        <f>IF(SER_hh_tesh_in!O18=0,0,SER_hh_tesh_in!O18/SER_summary!O$27)</f>
        <v>69.167329971162914</v>
      </c>
      <c r="P18" s="132">
        <f>IF(SER_hh_tesh_in!P18=0,0,SER_hh_tesh_in!P18/SER_summary!P$27)</f>
        <v>70.378267401506903</v>
      </c>
      <c r="Q18" s="132">
        <f>IF(SER_hh_tesh_in!Q18=0,0,SER_hh_tesh_in!Q18/SER_summary!Q$27)</f>
        <v>74.197491447510259</v>
      </c>
      <c r="R18" s="132">
        <f>IF(SER_hh_tesh_in!R18=0,0,SER_hh_tesh_in!R18/SER_summary!R$27)</f>
        <v>60.380101650513254</v>
      </c>
      <c r="S18" s="132">
        <f>IF(SER_hh_tesh_in!S18=0,0,SER_hh_tesh_in!S18/SER_summary!S$27)</f>
        <v>69.511940112720325</v>
      </c>
      <c r="T18" s="132">
        <f>IF(SER_hh_tesh_in!T18=0,0,SER_hh_tesh_in!T18/SER_summary!T$27)</f>
        <v>59.602799365231441</v>
      </c>
      <c r="U18" s="132">
        <f>IF(SER_hh_tesh_in!U18=0,0,SER_hh_tesh_in!U18/SER_summary!U$27)</f>
        <v>77.780213928208852</v>
      </c>
      <c r="V18" s="132">
        <f>IF(SER_hh_tesh_in!V18=0,0,SER_hh_tesh_in!V18/SER_summary!V$27)</f>
        <v>57.224064431600027</v>
      </c>
      <c r="W18" s="132">
        <f>IF(SER_hh_tesh_in!W18=0,0,SER_hh_tesh_in!W18/SER_summary!W$27)</f>
        <v>60.232838877886863</v>
      </c>
      <c r="X18" s="132">
        <f>IF(SER_hh_tesh_in!X18=0,0,SER_hh_tesh_in!X18/SER_summary!X$27)</f>
        <v>52.951979465200139</v>
      </c>
      <c r="Y18" s="132">
        <f>IF(SER_hh_tesh_in!Y18=0,0,SER_hh_tesh_in!Y18/SER_summary!Y$27)</f>
        <v>48.11746260899546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28.60839518407143</v>
      </c>
      <c r="D19" s="130">
        <f>IF(SER_hh_tesh_in!D19=0,0,SER_hh_tesh_in!D19/SER_summary!D$27)</f>
        <v>29.282020721941777</v>
      </c>
      <c r="E19" s="130">
        <f>IF(SER_hh_tesh_in!E19=0,0,SER_hh_tesh_in!E19/SER_summary!E$27)</f>
        <v>29.437086533487619</v>
      </c>
      <c r="F19" s="130">
        <f>IF(SER_hh_tesh_in!F19=0,0,SER_hh_tesh_in!F19/SER_summary!F$27)</f>
        <v>29.710773974972877</v>
      </c>
      <c r="G19" s="130">
        <f>IF(SER_hh_tesh_in!G19=0,0,SER_hh_tesh_in!G19/SER_summary!G$27)</f>
        <v>28.028497581960302</v>
      </c>
      <c r="H19" s="130">
        <f>IF(SER_hh_tesh_in!H19=0,0,SER_hh_tesh_in!H19/SER_summary!H$27)</f>
        <v>30.351897764560452</v>
      </c>
      <c r="I19" s="130">
        <f>IF(SER_hh_tesh_in!I19=0,0,SER_hh_tesh_in!I19/SER_summary!I$27)</f>
        <v>28.376257627548899</v>
      </c>
      <c r="J19" s="130">
        <f>IF(SER_hh_tesh_in!J19=0,0,SER_hh_tesh_in!J19/SER_summary!J$27)</f>
        <v>27.348953016044167</v>
      </c>
      <c r="K19" s="130">
        <f>IF(SER_hh_tesh_in!K19=0,0,SER_hh_tesh_in!K19/SER_summary!K$27)</f>
        <v>27.720979476071051</v>
      </c>
      <c r="L19" s="130">
        <f>IF(SER_hh_tesh_in!L19=0,0,SER_hh_tesh_in!L19/SER_summary!L$27)</f>
        <v>29.381335125740264</v>
      </c>
      <c r="M19" s="130">
        <f>IF(SER_hh_tesh_in!M19=0,0,SER_hh_tesh_in!M19/SER_summary!M$27)</f>
        <v>29.254672693017721</v>
      </c>
      <c r="N19" s="130">
        <f>IF(SER_hh_tesh_in!N19=0,0,SER_hh_tesh_in!N19/SER_summary!N$27)</f>
        <v>28.318864976247582</v>
      </c>
      <c r="O19" s="130">
        <f>IF(SER_hh_tesh_in!O19=0,0,SER_hh_tesh_in!O19/SER_summary!O$27)</f>
        <v>28.817500810891918</v>
      </c>
      <c r="P19" s="130">
        <f>IF(SER_hh_tesh_in!P19=0,0,SER_hh_tesh_in!P19/SER_summary!P$27)</f>
        <v>28.407757803749686</v>
      </c>
      <c r="Q19" s="130">
        <f>IF(SER_hh_tesh_in!Q19=0,0,SER_hh_tesh_in!Q19/SER_summary!Q$27)</f>
        <v>28.065962152561067</v>
      </c>
      <c r="R19" s="130">
        <f>IF(SER_hh_tesh_in!R19=0,0,SER_hh_tesh_in!R19/SER_summary!R$27)</f>
        <v>27.928478164365952</v>
      </c>
      <c r="S19" s="130">
        <f>IF(SER_hh_tesh_in!S19=0,0,SER_hh_tesh_in!S19/SER_summary!S$27)</f>
        <v>27.44560295531171</v>
      </c>
      <c r="T19" s="130">
        <f>IF(SER_hh_tesh_in!T19=0,0,SER_hh_tesh_in!T19/SER_summary!T$27)</f>
        <v>27.285104902646264</v>
      </c>
      <c r="U19" s="130">
        <f>IF(SER_hh_tesh_in!U19=0,0,SER_hh_tesh_in!U19/SER_summary!U$27)</f>
        <v>27.096573317866998</v>
      </c>
      <c r="V19" s="130">
        <f>IF(SER_hh_tesh_in!V19=0,0,SER_hh_tesh_in!V19/SER_summary!V$27)</f>
        <v>25.671639817331581</v>
      </c>
      <c r="W19" s="130">
        <f>IF(SER_hh_tesh_in!W19=0,0,SER_hh_tesh_in!W19/SER_summary!W$27)</f>
        <v>25.70544643055641</v>
      </c>
      <c r="X19" s="130">
        <f>IF(SER_hh_tesh_in!X19=0,0,SER_hh_tesh_in!X19/SER_summary!X$27)</f>
        <v>25.355565800472096</v>
      </c>
      <c r="Y19" s="130">
        <f>IF(SER_hh_tesh_in!Y19=0,0,SER_hh_tesh_in!Y19/SER_summary!Y$27)</f>
        <v>26.439139273285988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30.192585768450162</v>
      </c>
      <c r="D21" s="132">
        <f>IF(SER_hh_tesh_in!D21=0,0,SER_hh_tesh_in!D21/SER_summary!D$27)</f>
        <v>30.718008374782642</v>
      </c>
      <c r="E21" s="132">
        <f>IF(SER_hh_tesh_in!E21=0,0,SER_hh_tesh_in!E21/SER_summary!E$27)</f>
        <v>26.408739981138474</v>
      </c>
      <c r="F21" s="132">
        <f>IF(SER_hh_tesh_in!F21=0,0,SER_hh_tesh_in!F21/SER_summary!F$27)</f>
        <v>23.084799599923016</v>
      </c>
      <c r="G21" s="132">
        <f>IF(SER_hh_tesh_in!G21=0,0,SER_hh_tesh_in!G21/SER_summary!G$27)</f>
        <v>19.659620011522502</v>
      </c>
      <c r="H21" s="132">
        <f>IF(SER_hh_tesh_in!H21=0,0,SER_hh_tesh_in!H21/SER_summary!H$27)</f>
        <v>44.406087459626946</v>
      </c>
      <c r="I21" s="132">
        <f>IF(SER_hh_tesh_in!I21=0,0,SER_hh_tesh_in!I21/SER_summary!I$27)</f>
        <v>54.167580509532478</v>
      </c>
      <c r="J21" s="132">
        <f>IF(SER_hh_tesh_in!J21=0,0,SER_hh_tesh_in!J21/SER_summary!J$27)</f>
        <v>49.412999898782601</v>
      </c>
      <c r="K21" s="132">
        <f>IF(SER_hh_tesh_in!K21=0,0,SER_hh_tesh_in!K21/SER_summary!K$27)</f>
        <v>45.777279392411039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25.441885019245067</v>
      </c>
      <c r="T21" s="132">
        <f>IF(SER_hh_tesh_in!T21=0,0,SER_hh_tesh_in!T21/SER_summary!T$27)</f>
        <v>30.369932485204195</v>
      </c>
      <c r="U21" s="132">
        <f>IF(SER_hh_tesh_in!U21=0,0,SER_hh_tesh_in!U21/SER_summary!U$27)</f>
        <v>29.178777076780303</v>
      </c>
      <c r="V21" s="132">
        <f>IF(SER_hh_tesh_in!V21=0,0,SER_hh_tesh_in!V21/SER_summary!V$27)</f>
        <v>22.718983750525322</v>
      </c>
      <c r="W21" s="132">
        <f>IF(SER_hh_tesh_in!W21=0,0,SER_hh_tesh_in!W21/SER_summary!W$27)</f>
        <v>25.222825153866623</v>
      </c>
      <c r="X21" s="132">
        <f>IF(SER_hh_tesh_in!X21=0,0,SER_hh_tesh_in!X21/SER_summary!X$27)</f>
        <v>33.504560282338211</v>
      </c>
      <c r="Y21" s="132">
        <f>IF(SER_hh_tesh_in!Y21=0,0,SER_hh_tesh_in!Y21/SER_summary!Y$27)</f>
        <v>23.219437193751496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0</v>
      </c>
      <c r="D22" s="132">
        <f>IF(SER_hh_tesh_in!D22=0,0,SER_hh_tesh_in!D22/SER_summary!D$27)</f>
        <v>0</v>
      </c>
      <c r="E22" s="132">
        <f>IF(SER_hh_tesh_in!E22=0,0,SER_hh_tesh_in!E22/SER_summary!E$27)</f>
        <v>0</v>
      </c>
      <c r="F22" s="132">
        <f>IF(SER_hh_tesh_in!F22=0,0,SER_hh_tesh_in!F22/SER_summary!F$27)</f>
        <v>0</v>
      </c>
      <c r="G22" s="132">
        <f>IF(SER_hh_tesh_in!G22=0,0,SER_hh_tesh_in!G22/SER_summary!G$27)</f>
        <v>0</v>
      </c>
      <c r="H22" s="132">
        <f>IF(SER_hh_tesh_in!H22=0,0,SER_hh_tesh_in!H22/SER_summary!H$27)</f>
        <v>0</v>
      </c>
      <c r="I22" s="132">
        <f>IF(SER_hh_tesh_in!I22=0,0,SER_hh_tesh_in!I22/SER_summary!I$27)</f>
        <v>0</v>
      </c>
      <c r="J22" s="132">
        <f>IF(SER_hh_tesh_in!J22=0,0,SER_hh_tesh_in!J22/SER_summary!J$27)</f>
        <v>0</v>
      </c>
      <c r="K22" s="132">
        <f>IF(SER_hh_tesh_in!K22=0,0,SER_hh_tesh_in!K22/SER_summary!K$27)</f>
        <v>0</v>
      </c>
      <c r="L22" s="132">
        <f>IF(SER_hh_tesh_in!L22=0,0,SER_hh_tesh_in!L22/SER_summary!L$27)</f>
        <v>0</v>
      </c>
      <c r="M22" s="132">
        <f>IF(SER_hh_tesh_in!M22=0,0,SER_hh_tesh_in!M22/SER_summary!M$27)</f>
        <v>0</v>
      </c>
      <c r="N22" s="132">
        <f>IF(SER_hh_tesh_in!N22=0,0,SER_hh_tesh_in!N22/SER_summary!N$27)</f>
        <v>0</v>
      </c>
      <c r="O22" s="132">
        <f>IF(SER_hh_tesh_in!O22=0,0,SER_hh_tesh_in!O22/SER_summary!O$27)</f>
        <v>0</v>
      </c>
      <c r="P22" s="132">
        <f>IF(SER_hh_tesh_in!P22=0,0,SER_hh_tesh_in!P22/SER_summary!P$27)</f>
        <v>0</v>
      </c>
      <c r="Q22" s="132">
        <f>IF(SER_hh_tesh_in!Q22=0,0,SER_hh_tesh_in!Q22/SER_summary!Q$27)</f>
        <v>0</v>
      </c>
      <c r="R22" s="132">
        <f>IF(SER_hh_tesh_in!R22=0,0,SER_hh_tesh_in!R22/SER_summary!R$27)</f>
        <v>0</v>
      </c>
      <c r="S22" s="132">
        <f>IF(SER_hh_tesh_in!S22=0,0,SER_hh_tesh_in!S22/SER_summary!S$27)</f>
        <v>0</v>
      </c>
      <c r="T22" s="132">
        <f>IF(SER_hh_tesh_in!T22=0,0,SER_hh_tesh_in!T22/SER_summary!T$27)</f>
        <v>0</v>
      </c>
      <c r="U22" s="132">
        <f>IF(SER_hh_tesh_in!U22=0,0,SER_hh_tesh_in!U22/SER_summary!U$27)</f>
        <v>0</v>
      </c>
      <c r="V22" s="132">
        <f>IF(SER_hh_tesh_in!V22=0,0,SER_hh_tesh_in!V22/SER_summary!V$27)</f>
        <v>0</v>
      </c>
      <c r="W22" s="132">
        <f>IF(SER_hh_tesh_in!W22=0,0,SER_hh_tesh_in!W22/SER_summary!W$27)</f>
        <v>0</v>
      </c>
      <c r="X22" s="132">
        <f>IF(SER_hh_tesh_in!X22=0,0,SER_hh_tesh_in!X22/SER_summary!X$27)</f>
        <v>0</v>
      </c>
      <c r="Y22" s="132">
        <f>IF(SER_hh_tesh_in!Y22=0,0,SER_hh_tesh_in!Y22/SER_summary!Y$27)</f>
        <v>0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0</v>
      </c>
      <c r="D23" s="132">
        <f>IF(SER_hh_tesh_in!D23=0,0,SER_hh_tesh_in!D23/SER_summary!D$27)</f>
        <v>0</v>
      </c>
      <c r="E23" s="132">
        <f>IF(SER_hh_tesh_in!E23=0,0,SER_hh_tesh_in!E23/SER_summary!E$27)</f>
        <v>0</v>
      </c>
      <c r="F23" s="132">
        <f>IF(SER_hh_tesh_in!F23=0,0,SER_hh_tesh_in!F23/SER_summary!F$27)</f>
        <v>0</v>
      </c>
      <c r="G23" s="132">
        <f>IF(SER_hh_tesh_in!G23=0,0,SER_hh_tesh_in!G23/SER_summary!G$27)</f>
        <v>0</v>
      </c>
      <c r="H23" s="132">
        <f>IF(SER_hh_tesh_in!H23=0,0,SER_hh_tesh_in!H23/SER_summary!H$27)</f>
        <v>0</v>
      </c>
      <c r="I23" s="132">
        <f>IF(SER_hh_tesh_in!I23=0,0,SER_hh_tesh_in!I23/SER_summary!I$27)</f>
        <v>0</v>
      </c>
      <c r="J23" s="132">
        <f>IF(SER_hh_tesh_in!J23=0,0,SER_hh_tesh_in!J23/SER_summary!J$27)</f>
        <v>0</v>
      </c>
      <c r="K23" s="132">
        <f>IF(SER_hh_tesh_in!K23=0,0,SER_hh_tesh_in!K23/SER_summary!K$27)</f>
        <v>0</v>
      </c>
      <c r="L23" s="132">
        <f>IF(SER_hh_tesh_in!L23=0,0,SER_hh_tesh_in!L23/SER_summary!L$27)</f>
        <v>0</v>
      </c>
      <c r="M23" s="132">
        <f>IF(SER_hh_tesh_in!M23=0,0,SER_hh_tesh_in!M23/SER_summary!M$27)</f>
        <v>0</v>
      </c>
      <c r="N23" s="132">
        <f>IF(SER_hh_tesh_in!N23=0,0,SER_hh_tesh_in!N23/SER_summary!N$27)</f>
        <v>0</v>
      </c>
      <c r="O23" s="132">
        <f>IF(SER_hh_tesh_in!O23=0,0,SER_hh_tesh_in!O23/SER_summary!O$27)</f>
        <v>0</v>
      </c>
      <c r="P23" s="132">
        <f>IF(SER_hh_tesh_in!P23=0,0,SER_hh_tesh_in!P23/SER_summary!P$27)</f>
        <v>0</v>
      </c>
      <c r="Q23" s="132">
        <f>IF(SER_hh_tesh_in!Q23=0,0,SER_hh_tesh_in!Q23/SER_summary!Q$27)</f>
        <v>0</v>
      </c>
      <c r="R23" s="132">
        <f>IF(SER_hh_tesh_in!R23=0,0,SER_hh_tesh_in!R23/SER_summary!R$27)</f>
        <v>0</v>
      </c>
      <c r="S23" s="132">
        <f>IF(SER_hh_tesh_in!S23=0,0,SER_hh_tesh_in!S23/SER_summary!S$27)</f>
        <v>0</v>
      </c>
      <c r="T23" s="132">
        <f>IF(SER_hh_tesh_in!T23=0,0,SER_hh_tesh_in!T23/SER_summary!T$27)</f>
        <v>0</v>
      </c>
      <c r="U23" s="132">
        <f>IF(SER_hh_tesh_in!U23=0,0,SER_hh_tesh_in!U23/SER_summary!U$27)</f>
        <v>0</v>
      </c>
      <c r="V23" s="132">
        <f>IF(SER_hh_tesh_in!V23=0,0,SER_hh_tesh_in!V23/SER_summary!V$27)</f>
        <v>0</v>
      </c>
      <c r="W23" s="132">
        <f>IF(SER_hh_tesh_in!W23=0,0,SER_hh_tesh_in!W23/SER_summary!W$27)</f>
        <v>0</v>
      </c>
      <c r="X23" s="132">
        <f>IF(SER_hh_tesh_in!X23=0,0,SER_hh_tesh_in!X23/SER_summary!X$27)</f>
        <v>0</v>
      </c>
      <c r="Y23" s="132">
        <f>IF(SER_hh_tesh_in!Y23=0,0,SER_hh_tesh_in!Y23/SER_summary!Y$27)</f>
        <v>0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0</v>
      </c>
      <c r="D25" s="132">
        <f>IF(SER_hh_tesh_in!D25=0,0,SER_hh_tesh_in!D25/SER_summary!D$27)</f>
        <v>0</v>
      </c>
      <c r="E25" s="132">
        <f>IF(SER_hh_tesh_in!E25=0,0,SER_hh_tesh_in!E25/SER_summary!E$27)</f>
        <v>0</v>
      </c>
      <c r="F25" s="132">
        <f>IF(SER_hh_tesh_in!F25=0,0,SER_hh_tesh_in!F25/SER_summary!F$27)</f>
        <v>0</v>
      </c>
      <c r="G25" s="132">
        <f>IF(SER_hh_tesh_in!G25=0,0,SER_hh_tesh_in!G25/SER_summary!G$27)</f>
        <v>0</v>
      </c>
      <c r="H25" s="132">
        <f>IF(SER_hh_tesh_in!H25=0,0,SER_hh_tesh_in!H25/SER_summary!H$27)</f>
        <v>0</v>
      </c>
      <c r="I25" s="132">
        <f>IF(SER_hh_tesh_in!I25=0,0,SER_hh_tesh_in!I25/SER_summary!I$27)</f>
        <v>0</v>
      </c>
      <c r="J25" s="132">
        <f>IF(SER_hh_tesh_in!J25=0,0,SER_hh_tesh_in!J25/SER_summary!J$27)</f>
        <v>0</v>
      </c>
      <c r="K25" s="132">
        <f>IF(SER_hh_tesh_in!K25=0,0,SER_hh_tesh_in!K25/SER_summary!K$27)</f>
        <v>0</v>
      </c>
      <c r="L25" s="132">
        <f>IF(SER_hh_tesh_in!L25=0,0,SER_hh_tesh_in!L25/SER_summary!L$27)</f>
        <v>0</v>
      </c>
      <c r="M25" s="132">
        <f>IF(SER_hh_tesh_in!M25=0,0,SER_hh_tesh_in!M25/SER_summary!M$27)</f>
        <v>42.474362846414728</v>
      </c>
      <c r="N25" s="132">
        <f>IF(SER_hh_tesh_in!N25=0,0,SER_hh_tesh_in!N25/SER_summary!N$27)</f>
        <v>30.510742636883027</v>
      </c>
      <c r="O25" s="132">
        <f>IF(SER_hh_tesh_in!O25=0,0,SER_hh_tesh_in!O25/SER_summary!O$27)</f>
        <v>30.472817008406064</v>
      </c>
      <c r="P25" s="132">
        <f>IF(SER_hh_tesh_in!P25=0,0,SER_hh_tesh_in!P25/SER_summary!P$27)</f>
        <v>0</v>
      </c>
      <c r="Q25" s="132">
        <f>IF(SER_hh_tesh_in!Q25=0,0,SER_hh_tesh_in!Q25/SER_summary!Q$27)</f>
        <v>0</v>
      </c>
      <c r="R25" s="132">
        <f>IF(SER_hh_tesh_in!R25=0,0,SER_hh_tesh_in!R25/SER_summary!R$27)</f>
        <v>0</v>
      </c>
      <c r="S25" s="132">
        <f>IF(SER_hh_tesh_in!S25=0,0,SER_hh_tesh_in!S25/SER_summary!S$27)</f>
        <v>0</v>
      </c>
      <c r="T25" s="132">
        <f>IF(SER_hh_tesh_in!T25=0,0,SER_hh_tesh_in!T25/SER_summary!T$27)</f>
        <v>0</v>
      </c>
      <c r="U25" s="132">
        <f>IF(SER_hh_tesh_in!U25=0,0,SER_hh_tesh_in!U25/SER_summary!U$27)</f>
        <v>0</v>
      </c>
      <c r="V25" s="132">
        <f>IF(SER_hh_tesh_in!V25=0,0,SER_hh_tesh_in!V25/SER_summary!V$27)</f>
        <v>0</v>
      </c>
      <c r="W25" s="132">
        <f>IF(SER_hh_tesh_in!W25=0,0,SER_hh_tesh_in!W25/SER_summary!W$27)</f>
        <v>0</v>
      </c>
      <c r="X25" s="132">
        <f>IF(SER_hh_tesh_in!X25=0,0,SER_hh_tesh_in!X25/SER_summary!X$27)</f>
        <v>0</v>
      </c>
      <c r="Y25" s="132">
        <f>IF(SER_hh_tesh_in!Y25=0,0,SER_hh_tesh_in!Y25/SER_summary!Y$27)</f>
        <v>0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28.526103775331073</v>
      </c>
      <c r="D26" s="65">
        <f>IF(SER_hh_tesh_in!D26=0,0,SER_hh_tesh_in!D26/SER_summary!D$27)</f>
        <v>29.226500068810548</v>
      </c>
      <c r="E26" s="65">
        <f>IF(SER_hh_tesh_in!E26=0,0,SER_hh_tesh_in!E26/SER_summary!E$27)</f>
        <v>29.63407846465536</v>
      </c>
      <c r="F26" s="65">
        <f>IF(SER_hh_tesh_in!F26=0,0,SER_hh_tesh_in!F26/SER_summary!F$27)</f>
        <v>30.567823480490908</v>
      </c>
      <c r="G26" s="65">
        <f>IF(SER_hh_tesh_in!G26=0,0,SER_hh_tesh_in!G26/SER_summary!G$27)</f>
        <v>30.326891925318282</v>
      </c>
      <c r="H26" s="65">
        <f>IF(SER_hh_tesh_in!H26=0,0,SER_hh_tesh_in!H26/SER_summary!H$27)</f>
        <v>27.917159674384088</v>
      </c>
      <c r="I26" s="65">
        <f>IF(SER_hh_tesh_in!I26=0,0,SER_hh_tesh_in!I26/SER_summary!I$27)</f>
        <v>26.468232981196572</v>
      </c>
      <c r="J26" s="65">
        <f>IF(SER_hh_tesh_in!J26=0,0,SER_hh_tesh_in!J26/SER_summary!J$27)</f>
        <v>26.020134377211377</v>
      </c>
      <c r="K26" s="65">
        <f>IF(SER_hh_tesh_in!K26=0,0,SER_hh_tesh_in!K26/SER_summary!K$27)</f>
        <v>26.541702797162138</v>
      </c>
      <c r="L26" s="65">
        <f>IF(SER_hh_tesh_in!L26=0,0,SER_hh_tesh_in!L26/SER_summary!L$27)</f>
        <v>29.381335125740264</v>
      </c>
      <c r="M26" s="65">
        <f>IF(SER_hh_tesh_in!M26=0,0,SER_hh_tesh_in!M26/SER_summary!M$27)</f>
        <v>29.226712716060906</v>
      </c>
      <c r="N26" s="65">
        <f>IF(SER_hh_tesh_in!N26=0,0,SER_hh_tesh_in!N26/SER_summary!N$27)</f>
        <v>28.317892597933337</v>
      </c>
      <c r="O26" s="65">
        <f>IF(SER_hh_tesh_in!O26=0,0,SER_hh_tesh_in!O26/SER_summary!O$27)</f>
        <v>28.816964346315135</v>
      </c>
      <c r="P26" s="65">
        <f>IF(SER_hh_tesh_in!P26=0,0,SER_hh_tesh_in!P26/SER_summary!P$27)</f>
        <v>28.407757803749686</v>
      </c>
      <c r="Q26" s="65">
        <f>IF(SER_hh_tesh_in!Q26=0,0,SER_hh_tesh_in!Q26/SER_summary!Q$27)</f>
        <v>28.065962152561067</v>
      </c>
      <c r="R26" s="65">
        <f>IF(SER_hh_tesh_in!R26=0,0,SER_hh_tesh_in!R26/SER_summary!R$27)</f>
        <v>27.928478164365952</v>
      </c>
      <c r="S26" s="65">
        <f>IF(SER_hh_tesh_in!S26=0,0,SER_hh_tesh_in!S26/SER_summary!S$27)</f>
        <v>27.501472600179174</v>
      </c>
      <c r="T26" s="65">
        <f>IF(SER_hh_tesh_in!T26=0,0,SER_hh_tesh_in!T26/SER_summary!T$27)</f>
        <v>27.179982283066153</v>
      </c>
      <c r="U26" s="65">
        <f>IF(SER_hh_tesh_in!U26=0,0,SER_hh_tesh_in!U26/SER_summary!U$27)</f>
        <v>27.04518386684892</v>
      </c>
      <c r="V26" s="65">
        <f>IF(SER_hh_tesh_in!V26=0,0,SER_hh_tesh_in!V26/SER_summary!V$27)</f>
        <v>25.75161325929545</v>
      </c>
      <c r="W26" s="65">
        <f>IF(SER_hh_tesh_in!W26=0,0,SER_hh_tesh_in!W26/SER_summary!W$27)</f>
        <v>25.726468450475302</v>
      </c>
      <c r="X26" s="65">
        <f>IF(SER_hh_tesh_in!X26=0,0,SER_hh_tesh_in!X26/SER_summary!X$27)</f>
        <v>25.254630042778391</v>
      </c>
      <c r="Y26" s="65">
        <f>IF(SER_hh_tesh_in!Y26=0,0,SER_hh_tesh_in!Y26/SER_summary!Y$27)</f>
        <v>26.510229341318247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0</v>
      </c>
      <c r="H27" s="145">
        <f>IF(SER_hh_tesh_in!H27=0,0,SER_hh_tesh_in!H27/SER_summary!H$27)</f>
        <v>0</v>
      </c>
      <c r="I27" s="145">
        <f>IF(SER_hh_tesh_in!I27=0,0,SER_hh_tesh_in!I27/SER_summary!I$27)</f>
        <v>0</v>
      </c>
      <c r="J27" s="145">
        <f>IF(SER_hh_tesh_in!J27=0,0,SER_hh_tesh_in!J27/SER_summary!J$27)</f>
        <v>0</v>
      </c>
      <c r="K27" s="145">
        <f>IF(SER_hh_tesh_in!K27=0,0,SER_hh_tesh_in!K27/SER_summary!K$27)</f>
        <v>0</v>
      </c>
      <c r="L27" s="145">
        <f>IF(SER_hh_tesh_in!L27=0,0,SER_hh_tesh_in!L27/SER_summary!L$27)</f>
        <v>0</v>
      </c>
      <c r="M27" s="145">
        <f>IF(SER_hh_tesh_in!M27=0,0,SER_hh_tesh_in!M27/SER_summary!M$27)</f>
        <v>0</v>
      </c>
      <c r="N27" s="145">
        <f>IF(SER_hh_tesh_in!N27=0,0,SER_hh_tesh_in!N27/SER_summary!N$27)</f>
        <v>0</v>
      </c>
      <c r="O27" s="145">
        <f>IF(SER_hh_tesh_in!O27=0,0,SER_hh_tesh_in!O27/SER_summary!O$27)</f>
        <v>0</v>
      </c>
      <c r="P27" s="145">
        <f>IF(SER_hh_tesh_in!P27=0,0,SER_hh_tesh_in!P27/SER_summary!P$27)</f>
        <v>0</v>
      </c>
      <c r="Q27" s="145">
        <f>IF(SER_hh_tesh_in!Q27=0,0,SER_hh_tesh_in!Q27/SER_summary!Q$27)</f>
        <v>0</v>
      </c>
      <c r="R27" s="145">
        <f>IF(SER_hh_tesh_in!R27=0,0,SER_hh_tesh_in!R27/SER_summary!R$27)</f>
        <v>0</v>
      </c>
      <c r="S27" s="145">
        <f>IF(SER_hh_tesh_in!S27=0,0,SER_hh_tesh_in!S27/SER_summary!S$27)</f>
        <v>0</v>
      </c>
      <c r="T27" s="145">
        <f>IF(SER_hh_tesh_in!T27=0,0,SER_hh_tesh_in!T27/SER_summary!T$27)</f>
        <v>0</v>
      </c>
      <c r="U27" s="145">
        <f>IF(SER_hh_tesh_in!U27=0,0,SER_hh_tesh_in!U27/SER_summary!U$27)</f>
        <v>0</v>
      </c>
      <c r="V27" s="145">
        <f>IF(SER_hh_tesh_in!V27=0,0,SER_hh_tesh_in!V27/SER_summary!V$27)</f>
        <v>0</v>
      </c>
      <c r="W27" s="145">
        <f>IF(SER_hh_tesh_in!W27=0,0,SER_hh_tesh_in!W27/SER_summary!W$27)</f>
        <v>0</v>
      </c>
      <c r="X27" s="145">
        <f>IF(SER_hh_tesh_in!X27=0,0,SER_hh_tesh_in!X27/SER_summary!X$27)</f>
        <v>0</v>
      </c>
      <c r="Y27" s="145">
        <f>IF(SER_hh_tesh_in!Y27=0,0,SER_hh_tesh_in!Y27/SER_summary!Y$27)</f>
        <v>0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0</v>
      </c>
      <c r="H28" s="146">
        <f>IF(SER_hh_tesh_in!H28=0,0,SER_hh_tesh_in!H28/SER_summary!H$27)</f>
        <v>0</v>
      </c>
      <c r="I28" s="146">
        <f>IF(SER_hh_tesh_in!I28=0,0,SER_hh_tesh_in!I28/SER_summary!I$27)</f>
        <v>0</v>
      </c>
      <c r="J28" s="146">
        <f>IF(SER_hh_tesh_in!J28=0,0,SER_hh_tesh_in!J28/SER_summary!J$27)</f>
        <v>0</v>
      </c>
      <c r="K28" s="146">
        <f>IF(SER_hh_tesh_in!K28=0,0,SER_hh_tesh_in!K28/SER_summary!K$27)</f>
        <v>0</v>
      </c>
      <c r="L28" s="146">
        <f>IF(SER_hh_tesh_in!L28=0,0,SER_hh_tesh_in!L28/SER_summary!L$27)</f>
        <v>0</v>
      </c>
      <c r="M28" s="146">
        <f>IF(SER_hh_tesh_in!M28=0,0,SER_hh_tesh_in!M28/SER_summary!M$27)</f>
        <v>0</v>
      </c>
      <c r="N28" s="146">
        <f>IF(SER_hh_tesh_in!N28=0,0,SER_hh_tesh_in!N28/SER_summary!N$27)</f>
        <v>0</v>
      </c>
      <c r="O28" s="146">
        <f>IF(SER_hh_tesh_in!O28=0,0,SER_hh_tesh_in!O28/SER_summary!O$27)</f>
        <v>0</v>
      </c>
      <c r="P28" s="146">
        <f>IF(SER_hh_tesh_in!P28=0,0,SER_hh_tesh_in!P28/SER_summary!P$27)</f>
        <v>0</v>
      </c>
      <c r="Q28" s="146">
        <f>IF(SER_hh_tesh_in!Q28=0,0,SER_hh_tesh_in!Q28/SER_summary!Q$27)</f>
        <v>0</v>
      </c>
      <c r="R28" s="146">
        <f>IF(SER_hh_tesh_in!R28=0,0,SER_hh_tesh_in!R28/SER_summary!R$27)</f>
        <v>0</v>
      </c>
      <c r="S28" s="146">
        <f>IF(SER_hh_tesh_in!S28=0,0,SER_hh_tesh_in!S28/SER_summary!S$27)</f>
        <v>0</v>
      </c>
      <c r="T28" s="146">
        <f>IF(SER_hh_tesh_in!T28=0,0,SER_hh_tesh_in!T28/SER_summary!T$27)</f>
        <v>0</v>
      </c>
      <c r="U28" s="146">
        <f>IF(SER_hh_tesh_in!U28=0,0,SER_hh_tesh_in!U28/SER_summary!U$27)</f>
        <v>0</v>
      </c>
      <c r="V28" s="146">
        <f>IF(SER_hh_tesh_in!V28=0,0,SER_hh_tesh_in!V28/SER_summary!V$27)</f>
        <v>0</v>
      </c>
      <c r="W28" s="146">
        <f>IF(SER_hh_tesh_in!W28=0,0,SER_hh_tesh_in!W28/SER_summary!W$27)</f>
        <v>0</v>
      </c>
      <c r="X28" s="146">
        <f>IF(SER_hh_tesh_in!X28=0,0,SER_hh_tesh_in!X28/SER_summary!X$27)</f>
        <v>0</v>
      </c>
      <c r="Y28" s="146">
        <f>IF(SER_hh_tesh_in!Y28=0,0,SER_hh_tesh_in!Y28/SER_summary!Y$27)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46.417546964205272</v>
      </c>
      <c r="D29" s="130">
        <f>IF(SER_hh_tesh_in!D29=0,0,SER_hh_tesh_in!D29/SER_summary!D$27)</f>
        <v>47.739839580874786</v>
      </c>
      <c r="E29" s="130">
        <f>IF(SER_hh_tesh_in!E29=0,0,SER_hh_tesh_in!E29/SER_summary!E$27)</f>
        <v>48.944551722994838</v>
      </c>
      <c r="F29" s="130">
        <f>IF(SER_hh_tesh_in!F29=0,0,SER_hh_tesh_in!F29/SER_summary!F$27)</f>
        <v>49.770140849408079</v>
      </c>
      <c r="G29" s="130">
        <f>IF(SER_hh_tesh_in!G29=0,0,SER_hh_tesh_in!G29/SER_summary!G$27)</f>
        <v>47.829392305156595</v>
      </c>
      <c r="H29" s="130">
        <f>IF(SER_hh_tesh_in!H29=0,0,SER_hh_tesh_in!H29/SER_summary!H$27)</f>
        <v>48.43349361216849</v>
      </c>
      <c r="I29" s="130">
        <f>IF(SER_hh_tesh_in!I29=0,0,SER_hh_tesh_in!I29/SER_summary!I$27)</f>
        <v>46.258987988895861</v>
      </c>
      <c r="J29" s="130">
        <f>IF(SER_hh_tesh_in!J29=0,0,SER_hh_tesh_in!J29/SER_summary!J$27)</f>
        <v>46.354965129828607</v>
      </c>
      <c r="K29" s="130">
        <f>IF(SER_hh_tesh_in!K29=0,0,SER_hh_tesh_in!K29/SER_summary!K$27)</f>
        <v>49.418855728255316</v>
      </c>
      <c r="L29" s="130">
        <f>IF(SER_hh_tesh_in!L29=0,0,SER_hh_tesh_in!L29/SER_summary!L$27)</f>
        <v>48.25498667300586</v>
      </c>
      <c r="M29" s="130">
        <f>IF(SER_hh_tesh_in!M29=0,0,SER_hh_tesh_in!M29/SER_summary!M$27)</f>
        <v>47.605128874848958</v>
      </c>
      <c r="N29" s="130">
        <f>IF(SER_hh_tesh_in!N29=0,0,SER_hh_tesh_in!N29/SER_summary!N$27)</f>
        <v>46.779066418886536</v>
      </c>
      <c r="O29" s="130">
        <f>IF(SER_hh_tesh_in!O29=0,0,SER_hh_tesh_in!O29/SER_summary!O$27)</f>
        <v>46.642810342658336</v>
      </c>
      <c r="P29" s="130">
        <f>IF(SER_hh_tesh_in!P29=0,0,SER_hh_tesh_in!P29/SER_summary!P$27)</f>
        <v>47.134662055645194</v>
      </c>
      <c r="Q29" s="130">
        <f>IF(SER_hh_tesh_in!Q29=0,0,SER_hh_tesh_in!Q29/SER_summary!Q$27)</f>
        <v>47.127270890007402</v>
      </c>
      <c r="R29" s="130">
        <f>IF(SER_hh_tesh_in!R29=0,0,SER_hh_tesh_in!R29/SER_summary!R$27)</f>
        <v>46.85035469732577</v>
      </c>
      <c r="S29" s="130">
        <f>IF(SER_hh_tesh_in!S29=0,0,SER_hh_tesh_in!S29/SER_summary!S$27)</f>
        <v>45.999078881160337</v>
      </c>
      <c r="T29" s="130">
        <f>IF(SER_hh_tesh_in!T29=0,0,SER_hh_tesh_in!T29/SER_summary!T$27)</f>
        <v>48.279524058682782</v>
      </c>
      <c r="U29" s="130">
        <f>IF(SER_hh_tesh_in!U29=0,0,SER_hh_tesh_in!U29/SER_summary!U$27)</f>
        <v>47.519560876224453</v>
      </c>
      <c r="V29" s="130">
        <f>IF(SER_hh_tesh_in!V29=0,0,SER_hh_tesh_in!V29/SER_summary!V$27)</f>
        <v>43.556314675082078</v>
      </c>
      <c r="W29" s="130">
        <f>IF(SER_hh_tesh_in!W29=0,0,SER_hh_tesh_in!W29/SER_summary!W$27)</f>
        <v>45.744506416223089</v>
      </c>
      <c r="X29" s="130">
        <f>IF(SER_hh_tesh_in!X29=0,0,SER_hh_tesh_in!X29/SER_summary!X$27)</f>
        <v>45.987679071829881</v>
      </c>
      <c r="Y29" s="130">
        <f>IF(SER_hh_tesh_in!Y29=0,0,SER_hh_tesh_in!Y29/SER_summary!Y$27)</f>
        <v>47.460423782793541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43.669050637067748</v>
      </c>
      <c r="D30" s="132">
        <f>IF(SER_hh_tesh_in!D30=0,0,SER_hh_tesh_in!D30/SER_summary!D$27)</f>
        <v>51.608111215893629</v>
      </c>
      <c r="E30" s="132">
        <f>IF(SER_hh_tesh_in!E30=0,0,SER_hh_tesh_in!E30/SER_summary!E$27)</f>
        <v>49.554895165937921</v>
      </c>
      <c r="F30" s="132">
        <f>IF(SER_hh_tesh_in!F30=0,0,SER_hh_tesh_in!F30/SER_summary!F$27)</f>
        <v>43.225205115163753</v>
      </c>
      <c r="G30" s="132">
        <f>IF(SER_hh_tesh_in!G30=0,0,SER_hh_tesh_in!G30/SER_summary!G$27)</f>
        <v>37.892410058917633</v>
      </c>
      <c r="H30" s="132">
        <f>IF(SER_hh_tesh_in!H30=0,0,SER_hh_tesh_in!H30/SER_summary!H$27)</f>
        <v>48.488927913383684</v>
      </c>
      <c r="I30" s="132">
        <f>IF(SER_hh_tesh_in!I30=0,0,SER_hh_tesh_in!I30/SER_summary!I$27)</f>
        <v>41.967854572313421</v>
      </c>
      <c r="J30" s="132">
        <f>IF(SER_hh_tesh_in!J30=0,0,SER_hh_tesh_in!J30/SER_summary!J$27)</f>
        <v>46.3627784487513</v>
      </c>
      <c r="K30" s="132">
        <f>IF(SER_hh_tesh_in!K30=0,0,SER_hh_tesh_in!K30/SER_summary!K$27)</f>
        <v>57.339042923655455</v>
      </c>
      <c r="L30" s="132">
        <f>IF(SER_hh_tesh_in!L30=0,0,SER_hh_tesh_in!L30/SER_summary!L$27)</f>
        <v>43.475526919876273</v>
      </c>
      <c r="M30" s="132">
        <f>IF(SER_hh_tesh_in!M30=0,0,SER_hh_tesh_in!M30/SER_summary!M$27)</f>
        <v>48.797748499434988</v>
      </c>
      <c r="N30" s="132">
        <f>IF(SER_hh_tesh_in!N30=0,0,SER_hh_tesh_in!N30/SER_summary!N$27)</f>
        <v>47.201820837339902</v>
      </c>
      <c r="O30" s="132">
        <f>IF(SER_hh_tesh_in!O30=0,0,SER_hh_tesh_in!O30/SER_summary!O$27)</f>
        <v>45.787407769580589</v>
      </c>
      <c r="P30" s="132">
        <f>IF(SER_hh_tesh_in!P30=0,0,SER_hh_tesh_in!P30/SER_summary!P$27)</f>
        <v>45.343425740087248</v>
      </c>
      <c r="Q30" s="132">
        <f>IF(SER_hh_tesh_in!Q30=0,0,SER_hh_tesh_in!Q30/SER_summary!Q$27)</f>
        <v>50.157240143846785</v>
      </c>
      <c r="R30" s="132">
        <f>IF(SER_hh_tesh_in!R30=0,0,SER_hh_tesh_in!R30/SER_summary!R$27)</f>
        <v>41.015903382522843</v>
      </c>
      <c r="S30" s="132">
        <f>IF(SER_hh_tesh_in!S30=0,0,SER_hh_tesh_in!S30/SER_summary!S$27)</f>
        <v>44.358598771501555</v>
      </c>
      <c r="T30" s="132">
        <f>IF(SER_hh_tesh_in!T30=0,0,SER_hh_tesh_in!T30/SER_summary!T$27)</f>
        <v>52.082142661156929</v>
      </c>
      <c r="U30" s="132">
        <f>IF(SER_hh_tesh_in!U30=0,0,SER_hh_tesh_in!U30/SER_summary!U$27)</f>
        <v>53.455844409925945</v>
      </c>
      <c r="V30" s="132">
        <f>IF(SER_hh_tesh_in!V30=0,0,SER_hh_tesh_in!V30/SER_summary!V$27)</f>
        <v>34.476478468612932</v>
      </c>
      <c r="W30" s="132">
        <f>IF(SER_hh_tesh_in!W30=0,0,SER_hh_tesh_in!W30/SER_summary!W$27)</f>
        <v>37.004619298649502</v>
      </c>
      <c r="X30" s="132">
        <f>IF(SER_hh_tesh_in!X30=0,0,SER_hh_tesh_in!X30/SER_summary!X$27)</f>
        <v>45.18425724468532</v>
      </c>
      <c r="Y30" s="132">
        <f>IF(SER_hh_tesh_in!Y30=0,0,SER_hh_tesh_in!Y30/SER_summary!Y$27)</f>
        <v>49.277267592604197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0</v>
      </c>
      <c r="D31" s="132">
        <f>IF(SER_hh_tesh_in!D31=0,0,SER_hh_tesh_in!D31/SER_summary!D$27)</f>
        <v>0</v>
      </c>
      <c r="E31" s="132">
        <f>IF(SER_hh_tesh_in!E31=0,0,SER_hh_tesh_in!E31/SER_summary!E$27)</f>
        <v>0</v>
      </c>
      <c r="F31" s="132">
        <f>IF(SER_hh_tesh_in!F31=0,0,SER_hh_tesh_in!F31/SER_summary!F$27)</f>
        <v>0</v>
      </c>
      <c r="G31" s="132">
        <f>IF(SER_hh_tesh_in!G31=0,0,SER_hh_tesh_in!G31/SER_summary!G$27)</f>
        <v>0</v>
      </c>
      <c r="H31" s="132">
        <f>IF(SER_hh_tesh_in!H31=0,0,SER_hh_tesh_in!H31/SER_summary!H$27)</f>
        <v>0</v>
      </c>
      <c r="I31" s="132">
        <f>IF(SER_hh_tesh_in!I31=0,0,SER_hh_tesh_in!I31/SER_summary!I$27)</f>
        <v>0</v>
      </c>
      <c r="J31" s="132">
        <f>IF(SER_hh_tesh_in!J31=0,0,SER_hh_tesh_in!J31/SER_summary!J$27)</f>
        <v>0</v>
      </c>
      <c r="K31" s="132">
        <f>IF(SER_hh_tesh_in!K31=0,0,SER_hh_tesh_in!K31/SER_summary!K$27)</f>
        <v>0</v>
      </c>
      <c r="L31" s="132">
        <f>IF(SER_hh_tesh_in!L31=0,0,SER_hh_tesh_in!L31/SER_summary!L$27)</f>
        <v>0</v>
      </c>
      <c r="M31" s="132">
        <f>IF(SER_hh_tesh_in!M31=0,0,SER_hh_tesh_in!M31/SER_summary!M$27)</f>
        <v>0</v>
      </c>
      <c r="N31" s="132">
        <f>IF(SER_hh_tesh_in!N31=0,0,SER_hh_tesh_in!N31/SER_summary!N$27)</f>
        <v>0</v>
      </c>
      <c r="O31" s="132">
        <f>IF(SER_hh_tesh_in!O31=0,0,SER_hh_tesh_in!O31/SER_summary!O$27)</f>
        <v>0</v>
      </c>
      <c r="P31" s="132">
        <f>IF(SER_hh_tesh_in!P31=0,0,SER_hh_tesh_in!P31/SER_summary!P$27)</f>
        <v>0</v>
      </c>
      <c r="Q31" s="132">
        <f>IF(SER_hh_tesh_in!Q31=0,0,SER_hh_tesh_in!Q31/SER_summary!Q$27)</f>
        <v>0</v>
      </c>
      <c r="R31" s="132">
        <f>IF(SER_hh_tesh_in!R31=0,0,SER_hh_tesh_in!R31/SER_summary!R$27)</f>
        <v>0</v>
      </c>
      <c r="S31" s="132">
        <f>IF(SER_hh_tesh_in!S31=0,0,SER_hh_tesh_in!S31/SER_summary!S$27)</f>
        <v>0</v>
      </c>
      <c r="T31" s="132">
        <f>IF(SER_hh_tesh_in!T31=0,0,SER_hh_tesh_in!T31/SER_summary!T$27)</f>
        <v>0</v>
      </c>
      <c r="U31" s="132">
        <f>IF(SER_hh_tesh_in!U31=0,0,SER_hh_tesh_in!U31/SER_summary!U$27)</f>
        <v>0</v>
      </c>
      <c r="V31" s="132">
        <f>IF(SER_hh_tesh_in!V31=0,0,SER_hh_tesh_in!V31/SER_summary!V$27)</f>
        <v>0</v>
      </c>
      <c r="W31" s="132">
        <f>IF(SER_hh_tesh_in!W31=0,0,SER_hh_tesh_in!W31/SER_summary!W$27)</f>
        <v>0</v>
      </c>
      <c r="X31" s="132">
        <f>IF(SER_hh_tesh_in!X31=0,0,SER_hh_tesh_in!X31/SER_summary!X$27)</f>
        <v>0</v>
      </c>
      <c r="Y31" s="132">
        <f>IF(SER_hh_tesh_in!Y31=0,0,SER_hh_tesh_in!Y31/SER_summary!Y$27)</f>
        <v>0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46.578907631307366</v>
      </c>
      <c r="D33" s="68">
        <f>IF(SER_hh_tesh_in!D33=0,0,SER_hh_tesh_in!D33/SER_summary!D$27)</f>
        <v>47.424208484113088</v>
      </c>
      <c r="E33" s="68">
        <f>IF(SER_hh_tesh_in!E33=0,0,SER_hh_tesh_in!E33/SER_summary!E$27)</f>
        <v>48.909017903827426</v>
      </c>
      <c r="F33" s="68">
        <f>IF(SER_hh_tesh_in!F33=0,0,SER_hh_tesh_in!F33/SER_summary!F$27)</f>
        <v>50.526024899668073</v>
      </c>
      <c r="G33" s="68">
        <f>IF(SER_hh_tesh_in!G33=0,0,SER_hh_tesh_in!G33/SER_summary!G$27)</f>
        <v>49.506191207156355</v>
      </c>
      <c r="H33" s="68">
        <f>IF(SER_hh_tesh_in!H33=0,0,SER_hh_tesh_in!H33/SER_summary!H$27)</f>
        <v>48.409539946659223</v>
      </c>
      <c r="I33" s="68">
        <f>IF(SER_hh_tesh_in!I33=0,0,SER_hh_tesh_in!I33/SER_summary!I$27)</f>
        <v>48.841637603968564</v>
      </c>
      <c r="J33" s="68">
        <f>IF(SER_hh_tesh_in!J33=0,0,SER_hh_tesh_in!J33/SER_summary!J$27)</f>
        <v>46.351126154426645</v>
      </c>
      <c r="K33" s="68">
        <f>IF(SER_hh_tesh_in!K33=0,0,SER_hh_tesh_in!K33/SER_summary!K$27)</f>
        <v>43.737803856238997</v>
      </c>
      <c r="L33" s="68">
        <f>IF(SER_hh_tesh_in!L33=0,0,SER_hh_tesh_in!L33/SER_summary!L$27)</f>
        <v>48.861996676933288</v>
      </c>
      <c r="M33" s="68">
        <f>IF(SER_hh_tesh_in!M33=0,0,SER_hh_tesh_in!M33/SER_summary!M$27)</f>
        <v>47.342552121040207</v>
      </c>
      <c r="N33" s="68">
        <f>IF(SER_hh_tesh_in!N33=0,0,SER_hh_tesh_in!N33/SER_summary!N$27)</f>
        <v>46.751242981921266</v>
      </c>
      <c r="O33" s="68">
        <f>IF(SER_hh_tesh_in!O33=0,0,SER_hh_tesh_in!O33/SER_summary!O$27)</f>
        <v>46.794646613977321</v>
      </c>
      <c r="P33" s="68">
        <f>IF(SER_hh_tesh_in!P33=0,0,SER_hh_tesh_in!P33/SER_summary!P$27)</f>
        <v>47.435293740117729</v>
      </c>
      <c r="Q33" s="68">
        <f>IF(SER_hh_tesh_in!Q33=0,0,SER_hh_tesh_in!Q33/SER_summary!Q$27)</f>
        <v>46.137633059467021</v>
      </c>
      <c r="R33" s="68">
        <f>IF(SER_hh_tesh_in!R33=0,0,SER_hh_tesh_in!R33/SER_summary!R$27)</f>
        <v>48.989196356683834</v>
      </c>
      <c r="S33" s="68">
        <f>IF(SER_hh_tesh_in!S33=0,0,SER_hh_tesh_in!S33/SER_summary!S$27)</f>
        <v>47.367451725420786</v>
      </c>
      <c r="T33" s="68">
        <f>IF(SER_hh_tesh_in!T33=0,0,SER_hh_tesh_in!T33/SER_summary!T$27)</f>
        <v>45.066395289355746</v>
      </c>
      <c r="U33" s="68">
        <f>IF(SER_hh_tesh_in!U33=0,0,SER_hh_tesh_in!U33/SER_summary!U$27)</f>
        <v>44.995406497570315</v>
      </c>
      <c r="V33" s="68">
        <f>IF(SER_hh_tesh_in!V33=0,0,SER_hh_tesh_in!V33/SER_summary!V$27)</f>
        <v>47.421906069422619</v>
      </c>
      <c r="W33" s="68">
        <f>IF(SER_hh_tesh_in!W33=0,0,SER_hh_tesh_in!W33/SER_summary!W$27)</f>
        <v>48.646522985627968</v>
      </c>
      <c r="X33" s="68">
        <f>IF(SER_hh_tesh_in!X33=0,0,SER_hh_tesh_in!X33/SER_summary!X$27)</f>
        <v>46.350835473963507</v>
      </c>
      <c r="Y33" s="68">
        <f>IF(SER_hh_tesh_in!Y33=0,0,SER_hh_tesh_in!Y33/SER_summary!Y$27)</f>
        <v>46.560343043236067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16.449408745009048</v>
      </c>
      <c r="D3" s="125">
        <f>IF(SER_hh_emih_in!D3=0,0,SER_hh_emih_in!D3/SER_summary!D$27)</f>
        <v>19.996883468911903</v>
      </c>
      <c r="E3" s="125">
        <f>IF(SER_hh_emih_in!E3=0,0,SER_hh_emih_in!E3/SER_summary!E$27)</f>
        <v>16.176037048237983</v>
      </c>
      <c r="F3" s="125">
        <f>IF(SER_hh_emih_in!F3=0,0,SER_hh_emih_in!F3/SER_summary!F$27)</f>
        <v>6.9719524076576995</v>
      </c>
      <c r="G3" s="125">
        <f>IF(SER_hh_emih_in!G3=0,0,SER_hh_emih_in!G3/SER_summary!G$27)</f>
        <v>7.9625218473390627</v>
      </c>
      <c r="H3" s="125">
        <f>IF(SER_hh_emih_in!H3=0,0,SER_hh_emih_in!H3/SER_summary!H$27)</f>
        <v>27.370832573620994</v>
      </c>
      <c r="I3" s="125">
        <f>IF(SER_hh_emih_in!I3=0,0,SER_hh_emih_in!I3/SER_summary!I$27)</f>
        <v>30.541656618529366</v>
      </c>
      <c r="J3" s="125">
        <f>IF(SER_hh_emih_in!J3=0,0,SER_hh_emih_in!J3/SER_summary!J$27)</f>
        <v>27.156534938957599</v>
      </c>
      <c r="K3" s="125">
        <f>IF(SER_hh_emih_in!K3=0,0,SER_hh_emih_in!K3/SER_summary!K$27)</f>
        <v>11.619096564642206</v>
      </c>
      <c r="L3" s="125">
        <f>IF(SER_hh_emih_in!L3=0,0,SER_hh_emih_in!L3/SER_summary!L$27)</f>
        <v>4.6579232142590037</v>
      </c>
      <c r="M3" s="125">
        <f>IF(SER_hh_emih_in!M3=0,0,SER_hh_emih_in!M3/SER_summary!M$27)</f>
        <v>11.617648905074612</v>
      </c>
      <c r="N3" s="125">
        <f>IF(SER_hh_emih_in!N3=0,0,SER_hh_emih_in!N3/SER_summary!N$27)</f>
        <v>24.121446189044729</v>
      </c>
      <c r="O3" s="125">
        <f>IF(SER_hh_emih_in!O3=0,0,SER_hh_emih_in!O3/SER_summary!O$27)</f>
        <v>24.159464246974167</v>
      </c>
      <c r="P3" s="125">
        <f>IF(SER_hh_emih_in!P3=0,0,SER_hh_emih_in!P3/SER_summary!P$27)</f>
        <v>29.804251191429376</v>
      </c>
      <c r="Q3" s="125">
        <f>IF(SER_hh_emih_in!Q3=0,0,SER_hh_emih_in!Q3/SER_summary!Q$27)</f>
        <v>23.026932539725962</v>
      </c>
      <c r="R3" s="125">
        <f>IF(SER_hh_emih_in!R3=0,0,SER_hh_emih_in!R3/SER_summary!R$27)</f>
        <v>7.2859151707309975</v>
      </c>
      <c r="S3" s="125">
        <f>IF(SER_hh_emih_in!S3=0,0,SER_hh_emih_in!S3/SER_summary!S$27)</f>
        <v>9.2764138663898965</v>
      </c>
      <c r="T3" s="125">
        <f>IF(SER_hh_emih_in!T3=0,0,SER_hh_emih_in!T3/SER_summary!T$27)</f>
        <v>11.329136800421841</v>
      </c>
      <c r="U3" s="125">
        <f>IF(SER_hh_emih_in!U3=0,0,SER_hh_emih_in!U3/SER_summary!U$27)</f>
        <v>8.0718842542529394</v>
      </c>
      <c r="V3" s="125">
        <f>IF(SER_hh_emih_in!V3=0,0,SER_hh_emih_in!V3/SER_summary!V$27)</f>
        <v>4.9745980493646487</v>
      </c>
      <c r="W3" s="125">
        <f>IF(SER_hh_emih_in!W3=0,0,SER_hh_emih_in!W3/SER_summary!W$27)</f>
        <v>6.1352939747087483</v>
      </c>
      <c r="X3" s="125">
        <f>IF(SER_hh_emih_in!X3=0,0,SER_hh_emih_in!X3/SER_summary!X$27)</f>
        <v>7.1964564926718815</v>
      </c>
      <c r="Y3" s="125">
        <f>IF(SER_hh_emih_in!Y3=0,0,SER_hh_emih_in!Y3/SER_summary!Y$27)</f>
        <v>6.547348541203541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14.707691514754593</v>
      </c>
      <c r="D4" s="130">
        <f>IF(SER_hh_emih_in!D4=0,0,SER_hh_emih_in!D4/SER_summary!D$27)</f>
        <v>17.834351930356629</v>
      </c>
      <c r="E4" s="130">
        <f>IF(SER_hh_emih_in!E4=0,0,SER_hh_emih_in!E4/SER_summary!E$27)</f>
        <v>14.258831532901347</v>
      </c>
      <c r="F4" s="130">
        <f>IF(SER_hh_emih_in!F4=0,0,SER_hh_emih_in!F4/SER_summary!F$27)</f>
        <v>3.8357712641438146</v>
      </c>
      <c r="G4" s="130">
        <f>IF(SER_hh_emih_in!G4=0,0,SER_hh_emih_in!G4/SER_summary!G$27)</f>
        <v>3.6432712806465211</v>
      </c>
      <c r="H4" s="130">
        <f>IF(SER_hh_emih_in!H4=0,0,SER_hh_emih_in!H4/SER_summary!H$27)</f>
        <v>18.210856351542667</v>
      </c>
      <c r="I4" s="130">
        <f>IF(SER_hh_emih_in!I4=0,0,SER_hh_emih_in!I4/SER_summary!I$27)</f>
        <v>22.333164956832729</v>
      </c>
      <c r="J4" s="130">
        <f>IF(SER_hh_emih_in!J4=0,0,SER_hh_emih_in!J4/SER_summary!J$27)</f>
        <v>19.619375937581697</v>
      </c>
      <c r="K4" s="130">
        <f>IF(SER_hh_emih_in!K4=0,0,SER_hh_emih_in!K4/SER_summary!K$27)</f>
        <v>0.60208756122332574</v>
      </c>
      <c r="L4" s="130">
        <f>IF(SER_hh_emih_in!L4=0,0,SER_hh_emih_in!L4/SER_summary!L$27)</f>
        <v>2.6836770562220238</v>
      </c>
      <c r="M4" s="130">
        <f>IF(SER_hh_emih_in!M4=0,0,SER_hh_emih_in!M4/SER_summary!M$27)</f>
        <v>8.0735019754832731</v>
      </c>
      <c r="N4" s="130">
        <f>IF(SER_hh_emih_in!N4=0,0,SER_hh_emih_in!N4/SER_summary!N$27)</f>
        <v>22.948968293220521</v>
      </c>
      <c r="O4" s="130">
        <f>IF(SER_hh_emih_in!O4=0,0,SER_hh_emih_in!O4/SER_summary!O$27)</f>
        <v>21.384026798688325</v>
      </c>
      <c r="P4" s="130">
        <f>IF(SER_hh_emih_in!P4=0,0,SER_hh_emih_in!P4/SER_summary!P$27)</f>
        <v>27.186649383380416</v>
      </c>
      <c r="Q4" s="130">
        <f>IF(SER_hh_emih_in!Q4=0,0,SER_hh_emih_in!Q4/SER_summary!Q$27)</f>
        <v>18.087535440475218</v>
      </c>
      <c r="R4" s="130">
        <f>IF(SER_hh_emih_in!R4=0,0,SER_hh_emih_in!R4/SER_summary!R$27)</f>
        <v>2.9333887359239488</v>
      </c>
      <c r="S4" s="130">
        <f>IF(SER_hh_emih_in!S4=0,0,SER_hh_emih_in!S4/SER_summary!S$27)</f>
        <v>1.1611037690308288</v>
      </c>
      <c r="T4" s="130">
        <f>IF(SER_hh_emih_in!T4=0,0,SER_hh_emih_in!T4/SER_summary!T$27)</f>
        <v>1.8262238881306654</v>
      </c>
      <c r="U4" s="130">
        <f>IF(SER_hh_emih_in!U4=0,0,SER_hh_emih_in!U4/SER_summary!U$27)</f>
        <v>1.8010229995065505</v>
      </c>
      <c r="V4" s="130">
        <f>IF(SER_hh_emih_in!V4=0,0,SER_hh_emih_in!V4/SER_summary!V$27)</f>
        <v>0.91820402601385065</v>
      </c>
      <c r="W4" s="130">
        <f>IF(SER_hh_emih_in!W4=0,0,SER_hh_emih_in!W4/SER_summary!W$27)</f>
        <v>2.3395553914772491</v>
      </c>
      <c r="X4" s="130">
        <f>IF(SER_hh_emih_in!X4=0,0,SER_hh_emih_in!X4/SER_summary!X$27)</f>
        <v>1.8294258725463048</v>
      </c>
      <c r="Y4" s="130">
        <f>IF(SER_hh_emih_in!Y4=0,0,SER_hh_emih_in!Y4/SER_summary!Y$27)</f>
        <v>0.31016033268348842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27.156556746462591</v>
      </c>
      <c r="D6" s="132">
        <f>IF(SER_hh_emih_in!D6=0,0,SER_hh_emih_in!D6/SER_summary!D$27)</f>
        <v>27.38726100156919</v>
      </c>
      <c r="E6" s="132">
        <f>IF(SER_hh_emih_in!E6=0,0,SER_hh_emih_in!E6/SER_summary!E$27)</f>
        <v>30.584288865414386</v>
      </c>
      <c r="F6" s="132">
        <f>IF(SER_hh_emih_in!F6=0,0,SER_hh_emih_in!F6/SER_summary!F$27)</f>
        <v>31.701231821487173</v>
      </c>
      <c r="G6" s="132">
        <f>IF(SER_hh_emih_in!G6=0,0,SER_hh_emih_in!G6/SER_summary!G$27)</f>
        <v>27.147785685997665</v>
      </c>
      <c r="H6" s="132">
        <f>IF(SER_hh_emih_in!H6=0,0,SER_hh_emih_in!H6/SER_summary!H$27)</f>
        <v>30.89072817725474</v>
      </c>
      <c r="I6" s="132">
        <f>IF(SER_hh_emih_in!I6=0,0,SER_hh_emih_in!I6/SER_summary!I$27)</f>
        <v>34.186987445912941</v>
      </c>
      <c r="J6" s="132">
        <f>IF(SER_hh_emih_in!J6=0,0,SER_hh_emih_in!J6/SER_summary!J$27)</f>
        <v>18.055048429981117</v>
      </c>
      <c r="K6" s="132">
        <f>IF(SER_hh_emih_in!K6=0,0,SER_hh_emih_in!K6/SER_summary!K$27)</f>
        <v>9.2479961660658745</v>
      </c>
      <c r="L6" s="132">
        <f>IF(SER_hh_emih_in!L6=0,0,SER_hh_emih_in!L6/SER_summary!L$27)</f>
        <v>41.021074586043973</v>
      </c>
      <c r="M6" s="132">
        <f>IF(SER_hh_emih_in!M6=0,0,SER_hh_emih_in!M6/SER_summary!M$27)</f>
        <v>30.462513353443068</v>
      </c>
      <c r="N6" s="132">
        <f>IF(SER_hh_emih_in!N6=0,0,SER_hh_emih_in!N6/SER_summary!N$27)</f>
        <v>35.980283910127831</v>
      </c>
      <c r="O6" s="132">
        <f>IF(SER_hh_emih_in!O6=0,0,SER_hh_emih_in!O6/SER_summary!O$27)</f>
        <v>0</v>
      </c>
      <c r="P6" s="132">
        <f>IF(SER_hh_emih_in!P6=0,0,SER_hh_emih_in!P6/SER_summary!P$27)</f>
        <v>25.252950078207057</v>
      </c>
      <c r="Q6" s="132">
        <f>IF(SER_hh_emih_in!Q6=0,0,SER_hh_emih_in!Q6/SER_summary!Q$27)</f>
        <v>28.128399965911658</v>
      </c>
      <c r="R6" s="132">
        <f>IF(SER_hh_emih_in!R6=0,0,SER_hh_emih_in!R6/SER_summary!R$27)</f>
        <v>22.227415465086672</v>
      </c>
      <c r="S6" s="132">
        <f>IF(SER_hh_emih_in!S6=0,0,SER_hh_emih_in!S6/SER_summary!S$27)</f>
        <v>22.960083471904348</v>
      </c>
      <c r="T6" s="132">
        <f>IF(SER_hh_emih_in!T6=0,0,SER_hh_emih_in!T6/SER_summary!T$27)</f>
        <v>25.146808541004113</v>
      </c>
      <c r="U6" s="132">
        <f>IF(SER_hh_emih_in!U6=0,0,SER_hh_emih_in!U6/SER_summary!U$27)</f>
        <v>21.187859928191617</v>
      </c>
      <c r="V6" s="132">
        <f>IF(SER_hh_emih_in!V6=0,0,SER_hh_emih_in!V6/SER_summary!V$27)</f>
        <v>14.16313486837662</v>
      </c>
      <c r="W6" s="132">
        <f>IF(SER_hh_emih_in!W6=0,0,SER_hh_emih_in!W6/SER_summary!W$27)</f>
        <v>11.433635615172664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28.25888284044256</v>
      </c>
      <c r="D7" s="132">
        <f>IF(SER_hh_emih_in!D7=0,0,SER_hh_emih_in!D7/SER_summary!D$27)</f>
        <v>32.18304113339115</v>
      </c>
      <c r="E7" s="132">
        <f>IF(SER_hh_emih_in!E7=0,0,SER_hh_emih_in!E7/SER_summary!E$27)</f>
        <v>39.305998825174136</v>
      </c>
      <c r="F7" s="132">
        <f>IF(SER_hh_emih_in!F7=0,0,SER_hh_emih_in!F7/SER_summary!F$27)</f>
        <v>43.943662735023139</v>
      </c>
      <c r="G7" s="132">
        <f>IF(SER_hh_emih_in!G7=0,0,SER_hh_emih_in!G7/SER_summary!G$27)</f>
        <v>39.154311914445856</v>
      </c>
      <c r="H7" s="132">
        <f>IF(SER_hh_emih_in!H7=0,0,SER_hh_emih_in!H7/SER_summary!H$27)</f>
        <v>30.648872683960903</v>
      </c>
      <c r="I7" s="132">
        <f>IF(SER_hh_emih_in!I7=0,0,SER_hh_emih_in!I7/SER_summary!I$27)</f>
        <v>33.508322625862164</v>
      </c>
      <c r="J7" s="132">
        <f>IF(SER_hh_emih_in!J7=0,0,SER_hh_emih_in!J7/SER_summary!J$27)</f>
        <v>30.661565378690643</v>
      </c>
      <c r="K7" s="132">
        <f>IF(SER_hh_emih_in!K7=0,0,SER_hh_emih_in!K7/SER_summary!K$27)</f>
        <v>0</v>
      </c>
      <c r="L7" s="132">
        <f>IF(SER_hh_emih_in!L7=0,0,SER_hh_emih_in!L7/SER_summary!L$27)</f>
        <v>0</v>
      </c>
      <c r="M7" s="132">
        <f>IF(SER_hh_emih_in!M7=0,0,SER_hh_emih_in!M7/SER_summary!M$27)</f>
        <v>22.209698451103659</v>
      </c>
      <c r="N7" s="132">
        <f>IF(SER_hh_emih_in!N7=0,0,SER_hh_emih_in!N7/SER_summary!N$27)</f>
        <v>35.616132827886453</v>
      </c>
      <c r="O7" s="132">
        <f>IF(SER_hh_emih_in!O7=0,0,SER_hh_emih_in!O7/SER_summary!O$27)</f>
        <v>43.29124499413544</v>
      </c>
      <c r="P7" s="132">
        <f>IF(SER_hh_emih_in!P7=0,0,SER_hh_emih_in!P7/SER_summary!P$27)</f>
        <v>40.664278206507518</v>
      </c>
      <c r="Q7" s="132">
        <f>IF(SER_hh_emih_in!Q7=0,0,SER_hh_emih_in!Q7/SER_summary!Q$27)</f>
        <v>44.509988137628071</v>
      </c>
      <c r="R7" s="132">
        <f>IF(SER_hh_emih_in!R7=0,0,SER_hh_emih_in!R7/SER_summary!R$27)</f>
        <v>40.461386136726475</v>
      </c>
      <c r="S7" s="132">
        <f>IF(SER_hh_emih_in!S7=0,0,SER_hh_emih_in!S7/SER_summary!S$27)</f>
        <v>0</v>
      </c>
      <c r="T7" s="132">
        <f>IF(SER_hh_emih_in!T7=0,0,SER_hh_emih_in!T7/SER_summary!T$27)</f>
        <v>0</v>
      </c>
      <c r="U7" s="132">
        <f>IF(SER_hh_emih_in!U7=0,0,SER_hh_emih_in!U7/SER_summary!U$27)</f>
        <v>0</v>
      </c>
      <c r="V7" s="132">
        <f>IF(SER_hh_emih_in!V7=0,0,SER_hh_emih_in!V7/SER_summary!V$27)</f>
        <v>0</v>
      </c>
      <c r="W7" s="132">
        <f>IF(SER_hh_emih_in!W7=0,0,SER_hh_emih_in!W7/SER_summary!W$27)</f>
        <v>12.442836424280911</v>
      </c>
      <c r="X7" s="132">
        <f>IF(SER_hh_emih_in!X7=0,0,SER_hh_emih_in!X7/SER_summary!X$27)</f>
        <v>9.8775239429919761</v>
      </c>
      <c r="Y7" s="132">
        <f>IF(SER_hh_emih_in!Y7=0,0,SER_hh_emih_in!Y7/SER_summary!Y$27)</f>
        <v>8.6728002037060286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0</v>
      </c>
      <c r="S8" s="132">
        <f>IF(SER_hh_emih_in!S8=0,0,SER_hh_emih_in!S8/SER_summary!S$27)</f>
        <v>0</v>
      </c>
      <c r="T8" s="132">
        <f>IF(SER_hh_emih_in!T8=0,0,SER_hh_emih_in!T8/SER_summary!T$27)</f>
        <v>0</v>
      </c>
      <c r="U8" s="132">
        <f>IF(SER_hh_emih_in!U8=0,0,SER_hh_emih_in!U8/SER_summary!U$27)</f>
        <v>0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0</v>
      </c>
      <c r="D9" s="132">
        <f>IF(SER_hh_emih_in!D9=0,0,SER_hh_emih_in!D9/SER_summary!D$27)</f>
        <v>0</v>
      </c>
      <c r="E9" s="132">
        <f>IF(SER_hh_emih_in!E9=0,0,SER_hh_emih_in!E9/SER_summary!E$27)</f>
        <v>0</v>
      </c>
      <c r="F9" s="132">
        <f>IF(SER_hh_emih_in!F9=0,0,SER_hh_emih_in!F9/SER_summary!F$27)</f>
        <v>0</v>
      </c>
      <c r="G9" s="132">
        <f>IF(SER_hh_emih_in!G9=0,0,SER_hh_emih_in!G9/SER_summary!G$27)</f>
        <v>0</v>
      </c>
      <c r="H9" s="132">
        <f>IF(SER_hh_emih_in!H9=0,0,SER_hh_emih_in!H9/SER_summary!H$27)</f>
        <v>0</v>
      </c>
      <c r="I9" s="132">
        <f>IF(SER_hh_emih_in!I9=0,0,SER_hh_emih_in!I9/SER_summary!I$27)</f>
        <v>0</v>
      </c>
      <c r="J9" s="132">
        <f>IF(SER_hh_emih_in!J9=0,0,SER_hh_emih_in!J9/SER_summary!J$27)</f>
        <v>0</v>
      </c>
      <c r="K9" s="132">
        <f>IF(SER_hh_emih_in!K9=0,0,SER_hh_emih_in!K9/SER_summary!K$27)</f>
        <v>0</v>
      </c>
      <c r="L9" s="132">
        <f>IF(SER_hh_emih_in!L9=0,0,SER_hh_emih_in!L9/SER_summary!L$27)</f>
        <v>0</v>
      </c>
      <c r="M9" s="132">
        <f>IF(SER_hh_emih_in!M9=0,0,SER_hh_emih_in!M9/SER_summary!M$27)</f>
        <v>0</v>
      </c>
      <c r="N9" s="132">
        <f>IF(SER_hh_emih_in!N9=0,0,SER_hh_emih_in!N9/SER_summary!N$27)</f>
        <v>0</v>
      </c>
      <c r="O9" s="132">
        <f>IF(SER_hh_emih_in!O9=0,0,SER_hh_emih_in!O9/SER_summary!O$27)</f>
        <v>0</v>
      </c>
      <c r="P9" s="132">
        <f>IF(SER_hh_emih_in!P9=0,0,SER_hh_emih_in!P9/SER_summary!P$27)</f>
        <v>0</v>
      </c>
      <c r="Q9" s="132">
        <f>IF(SER_hh_emih_in!Q9=0,0,SER_hh_emih_in!Q9/SER_summary!Q$27)</f>
        <v>0</v>
      </c>
      <c r="R9" s="132">
        <f>IF(SER_hh_emih_in!R9=0,0,SER_hh_emih_in!R9/SER_summary!R$27)</f>
        <v>0</v>
      </c>
      <c r="S9" s="132">
        <f>IF(SER_hh_emih_in!S9=0,0,SER_hh_emih_in!S9/SER_summary!S$27)</f>
        <v>0</v>
      </c>
      <c r="T9" s="132">
        <f>IF(SER_hh_emih_in!T9=0,0,SER_hh_emih_in!T9/SER_summary!T$27)</f>
        <v>0</v>
      </c>
      <c r="U9" s="132">
        <f>IF(SER_hh_emih_in!U9=0,0,SER_hh_emih_in!U9/SER_summary!U$27)</f>
        <v>0</v>
      </c>
      <c r="V9" s="132">
        <f>IF(SER_hh_emih_in!V9=0,0,SER_hh_emih_in!V9/SER_summary!V$27)</f>
        <v>0</v>
      </c>
      <c r="W9" s="132">
        <f>IF(SER_hh_emih_in!W9=0,0,SER_hh_emih_in!W9/SER_summary!W$27)</f>
        <v>0</v>
      </c>
      <c r="X9" s="132">
        <f>IF(SER_hh_emih_in!X9=0,0,SER_hh_emih_in!X9/SER_summary!X$27)</f>
        <v>0</v>
      </c>
      <c r="Y9" s="132">
        <f>IF(SER_hh_emih_in!Y9=0,0,SER_hh_emih_in!Y9/SER_summary!Y$27)</f>
        <v>0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0</v>
      </c>
      <c r="D16" s="130">
        <f>IF(SER_hh_emih_in!D16=0,0,SER_hh_emih_in!D16/SER_summary!D$27)</f>
        <v>0</v>
      </c>
      <c r="E16" s="130">
        <f>IF(SER_hh_emih_in!E16=0,0,SER_hh_emih_in!E16/SER_summary!E$27)</f>
        <v>0</v>
      </c>
      <c r="F16" s="130">
        <f>IF(SER_hh_emih_in!F16=0,0,SER_hh_emih_in!F16/SER_summary!F$27)</f>
        <v>0</v>
      </c>
      <c r="G16" s="130">
        <f>IF(SER_hh_emih_in!G16=0,0,SER_hh_emih_in!G16/SER_summary!G$27)</f>
        <v>0</v>
      </c>
      <c r="H16" s="130">
        <f>IF(SER_hh_emih_in!H16=0,0,SER_hh_emih_in!H16/SER_summary!H$27)</f>
        <v>0</v>
      </c>
      <c r="I16" s="130">
        <f>IF(SER_hh_emih_in!I16=0,0,SER_hh_emih_in!I16/SER_summary!I$27)</f>
        <v>0</v>
      </c>
      <c r="J16" s="130">
        <f>IF(SER_hh_emih_in!J16=0,0,SER_hh_emih_in!J16/SER_summary!J$27)</f>
        <v>0</v>
      </c>
      <c r="K16" s="130">
        <f>IF(SER_hh_emih_in!K16=0,0,SER_hh_emih_in!K16/SER_summary!K$27)</f>
        <v>0</v>
      </c>
      <c r="L16" s="130">
        <f>IF(SER_hh_emih_in!L16=0,0,SER_hh_emih_in!L16/SER_summary!L$27)</f>
        <v>0</v>
      </c>
      <c r="M16" s="130">
        <f>IF(SER_hh_emih_in!M16=0,0,SER_hh_emih_in!M16/SER_summary!M$27)</f>
        <v>0</v>
      </c>
      <c r="N16" s="130">
        <f>IF(SER_hh_emih_in!N16=0,0,SER_hh_emih_in!N16/SER_summary!N$27)</f>
        <v>0</v>
      </c>
      <c r="O16" s="130">
        <f>IF(SER_hh_emih_in!O16=0,0,SER_hh_emih_in!O16/SER_summary!O$27)</f>
        <v>0</v>
      </c>
      <c r="P16" s="130">
        <f>IF(SER_hh_emih_in!P16=0,0,SER_hh_emih_in!P16/SER_summary!P$27)</f>
        <v>0</v>
      </c>
      <c r="Q16" s="130">
        <f>IF(SER_hh_emih_in!Q16=0,0,SER_hh_emih_in!Q16/SER_summary!Q$27)</f>
        <v>0</v>
      </c>
      <c r="R16" s="130">
        <f>IF(SER_hh_emih_in!R16=0,0,SER_hh_emih_in!R16/SER_summary!R$27)</f>
        <v>0</v>
      </c>
      <c r="S16" s="130">
        <f>IF(SER_hh_emih_in!S16=0,0,SER_hh_emih_in!S16/SER_summary!S$27)</f>
        <v>0</v>
      </c>
      <c r="T16" s="130">
        <f>IF(SER_hh_emih_in!T16=0,0,SER_hh_emih_in!T16/SER_summary!T$27)</f>
        <v>0</v>
      </c>
      <c r="U16" s="130">
        <f>IF(SER_hh_emih_in!U16=0,0,SER_hh_emih_in!U16/SER_summary!U$27)</f>
        <v>0</v>
      </c>
      <c r="V16" s="130">
        <f>IF(SER_hh_emih_in!V16=0,0,SER_hh_emih_in!V16/SER_summary!V$27)</f>
        <v>0</v>
      </c>
      <c r="W16" s="130">
        <f>IF(SER_hh_emih_in!W16=0,0,SER_hh_emih_in!W16/SER_summary!W$27)</f>
        <v>0</v>
      </c>
      <c r="X16" s="130">
        <f>IF(SER_hh_emih_in!X16=0,0,SER_hh_emih_in!X16/SER_summary!X$27)</f>
        <v>0</v>
      </c>
      <c r="Y16" s="130">
        <f>IF(SER_hh_emih_in!Y16=0,0,SER_hh_emih_in!Y16/SER_summary!Y$27)</f>
        <v>0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0</v>
      </c>
      <c r="D17" s="132">
        <f>IF(SER_hh_emih_in!D17=0,0,SER_hh_emih_in!D17/SER_summary!D$27)</f>
        <v>0</v>
      </c>
      <c r="E17" s="132">
        <f>IF(SER_hh_emih_in!E17=0,0,SER_hh_emih_in!E17/SER_summary!E$27)</f>
        <v>0</v>
      </c>
      <c r="F17" s="132">
        <f>IF(SER_hh_emih_in!F17=0,0,SER_hh_emih_in!F17/SER_summary!F$27)</f>
        <v>0</v>
      </c>
      <c r="G17" s="132">
        <f>IF(SER_hh_emih_in!G17=0,0,SER_hh_emih_in!G17/SER_summary!G$27)</f>
        <v>0</v>
      </c>
      <c r="H17" s="132">
        <f>IF(SER_hh_emih_in!H17=0,0,SER_hh_emih_in!H17/SER_summary!H$27)</f>
        <v>0</v>
      </c>
      <c r="I17" s="132">
        <f>IF(SER_hh_emih_in!I17=0,0,SER_hh_emih_in!I17/SER_summary!I$27)</f>
        <v>0</v>
      </c>
      <c r="J17" s="132">
        <f>IF(SER_hh_emih_in!J17=0,0,SER_hh_emih_in!J17/SER_summary!J$27)</f>
        <v>0</v>
      </c>
      <c r="K17" s="132">
        <f>IF(SER_hh_emih_in!K17=0,0,SER_hh_emih_in!K17/SER_summary!K$27)</f>
        <v>0</v>
      </c>
      <c r="L17" s="132">
        <f>IF(SER_hh_emih_in!L17=0,0,SER_hh_emih_in!L17/SER_summary!L$27)</f>
        <v>0</v>
      </c>
      <c r="M17" s="132">
        <f>IF(SER_hh_emih_in!M17=0,0,SER_hh_emih_in!M17/SER_summary!M$27)</f>
        <v>0</v>
      </c>
      <c r="N17" s="132">
        <f>IF(SER_hh_emih_in!N17=0,0,SER_hh_emih_in!N17/SER_summary!N$27)</f>
        <v>0</v>
      </c>
      <c r="O17" s="132">
        <f>IF(SER_hh_emih_in!O17=0,0,SER_hh_emih_in!O17/SER_summary!O$27)</f>
        <v>0</v>
      </c>
      <c r="P17" s="132">
        <f>IF(SER_hh_emih_in!P17=0,0,SER_hh_emih_in!P17/SER_summary!P$27)</f>
        <v>0</v>
      </c>
      <c r="Q17" s="132">
        <f>IF(SER_hh_emih_in!Q17=0,0,SER_hh_emih_in!Q17/SER_summary!Q$27)</f>
        <v>0</v>
      </c>
      <c r="R17" s="132">
        <f>IF(SER_hh_emih_in!R17=0,0,SER_hh_emih_in!R17/SER_summary!R$27)</f>
        <v>0</v>
      </c>
      <c r="S17" s="132">
        <f>IF(SER_hh_emih_in!S17=0,0,SER_hh_emih_in!S17/SER_summary!S$27)</f>
        <v>0</v>
      </c>
      <c r="T17" s="132">
        <f>IF(SER_hh_emih_in!T17=0,0,SER_hh_emih_in!T17/SER_summary!T$27)</f>
        <v>0</v>
      </c>
      <c r="U17" s="132">
        <f>IF(SER_hh_emih_in!U17=0,0,SER_hh_emih_in!U17/SER_summary!U$27)</f>
        <v>0</v>
      </c>
      <c r="V17" s="132">
        <f>IF(SER_hh_emih_in!V17=0,0,SER_hh_emih_in!V17/SER_summary!V$27)</f>
        <v>0</v>
      </c>
      <c r="W17" s="132">
        <f>IF(SER_hh_emih_in!W17=0,0,SER_hh_emih_in!W17/SER_summary!W$27)</f>
        <v>0</v>
      </c>
      <c r="X17" s="132">
        <f>IF(SER_hh_emih_in!X17=0,0,SER_hh_emih_in!X17/SER_summary!X$27)</f>
        <v>0</v>
      </c>
      <c r="Y17" s="132">
        <f>IF(SER_hh_emih_in!Y17=0,0,SER_hh_emih_in!Y17/SER_summary!Y$27)</f>
        <v>0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0.75275199991882891</v>
      </c>
      <c r="D19" s="130">
        <f>IF(SER_hh_emih_in!D19=0,0,SER_hh_emih_in!D19/SER_summary!D$27)</f>
        <v>0.57490806432222652</v>
      </c>
      <c r="E19" s="130">
        <f>IF(SER_hh_emih_in!E19=0,0,SER_hh_emih_in!E19/SER_summary!E$27)</f>
        <v>0.80710881326786643</v>
      </c>
      <c r="F19" s="130">
        <f>IF(SER_hh_emih_in!F19=0,0,SER_hh_emih_in!F19/SER_summary!F$27)</f>
        <v>1.3166690293993464</v>
      </c>
      <c r="G19" s="130">
        <f>IF(SER_hh_emih_in!G19=0,0,SER_hh_emih_in!G19/SER_summary!G$27)</f>
        <v>2.0982595813177536</v>
      </c>
      <c r="H19" s="130">
        <f>IF(SER_hh_emih_in!H19=0,0,SER_hh_emih_in!H19/SER_summary!H$27)</f>
        <v>3.2293451073292516</v>
      </c>
      <c r="I19" s="130">
        <f>IF(SER_hh_emih_in!I19=0,0,SER_hh_emih_in!I19/SER_summary!I$27)</f>
        <v>1.8261188160771684</v>
      </c>
      <c r="J19" s="130">
        <f>IF(SER_hh_emih_in!J19=0,0,SER_hh_emih_in!J19/SER_summary!J$27)</f>
        <v>1.3637560133273794</v>
      </c>
      <c r="K19" s="130">
        <f>IF(SER_hh_emih_in!K19=0,0,SER_hh_emih_in!K19/SER_summary!K$27)</f>
        <v>1.351863913187372</v>
      </c>
      <c r="L19" s="130">
        <f>IF(SER_hh_emih_in!L19=0,0,SER_hh_emih_in!L19/SER_summary!L$27)</f>
        <v>0</v>
      </c>
      <c r="M19" s="130">
        <f>IF(SER_hh_emih_in!M19=0,0,SER_hh_emih_in!M19/SER_summary!M$27)</f>
        <v>0</v>
      </c>
      <c r="N19" s="130">
        <f>IF(SER_hh_emih_in!N19=0,0,SER_hh_emih_in!N19/SER_summary!N$27)</f>
        <v>0</v>
      </c>
      <c r="O19" s="130">
        <f>IF(SER_hh_emih_in!O19=0,0,SER_hh_emih_in!O19/SER_summary!O$27)</f>
        <v>0</v>
      </c>
      <c r="P19" s="130">
        <f>IF(SER_hh_emih_in!P19=0,0,SER_hh_emih_in!P19/SER_summary!P$27)</f>
        <v>0</v>
      </c>
      <c r="Q19" s="130">
        <f>IF(SER_hh_emih_in!Q19=0,0,SER_hh_emih_in!Q19/SER_summary!Q$27)</f>
        <v>0</v>
      </c>
      <c r="R19" s="130">
        <f>IF(SER_hh_emih_in!R19=0,0,SER_hh_emih_in!R19/SER_summary!R$27)</f>
        <v>0</v>
      </c>
      <c r="S19" s="130">
        <f>IF(SER_hh_emih_in!S19=0,0,SER_hh_emih_in!S19/SER_summary!S$27)</f>
        <v>0.25665282102088288</v>
      </c>
      <c r="T19" s="130">
        <f>IF(SER_hh_emih_in!T19=0,0,SER_hh_emih_in!T19/SER_summary!T$27)</f>
        <v>0.36397202706518755</v>
      </c>
      <c r="U19" s="130">
        <f>IF(SER_hh_emih_in!U19=0,0,SER_hh_emih_in!U19/SER_summary!U$27)</f>
        <v>0.25087443429857664</v>
      </c>
      <c r="V19" s="130">
        <f>IF(SER_hh_emih_in!V19=0,0,SER_hh_emih_in!V19/SER_summary!V$27)</f>
        <v>0.210805453144181</v>
      </c>
      <c r="W19" s="130">
        <f>IF(SER_hh_emih_in!W19=0,0,SER_hh_emih_in!W19/SER_summary!W$27)</f>
        <v>0.36720444075232905</v>
      </c>
      <c r="X19" s="130">
        <f>IF(SER_hh_emih_in!X19=0,0,SER_hh_emih_in!X19/SER_summary!X$27)</f>
        <v>0.14235618211327844</v>
      </c>
      <c r="Y19" s="130">
        <f>IF(SER_hh_emih_in!Y19=0,0,SER_hh_emih_in!Y19/SER_summary!Y$27)</f>
        <v>0.1738146233338301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15.243968627479889</v>
      </c>
      <c r="D21" s="132">
        <f>IF(SER_hh_emih_in!D21=0,0,SER_hh_emih_in!D21/SER_summary!D$27)</f>
        <v>15.444345567769393</v>
      </c>
      <c r="E21" s="132">
        <f>IF(SER_hh_emih_in!E21=0,0,SER_hh_emih_in!E21/SER_summary!E$27)</f>
        <v>13.214749966595615</v>
      </c>
      <c r="F21" s="132">
        <f>IF(SER_hh_emih_in!F21=0,0,SER_hh_emih_in!F21/SER_summary!F$27)</f>
        <v>11.496028789893748</v>
      </c>
      <c r="G21" s="132">
        <f>IF(SER_hh_emih_in!G21=0,0,SER_hh_emih_in!G21/SER_summary!G$27)</f>
        <v>9.7384095833365283</v>
      </c>
      <c r="H21" s="132">
        <f>IF(SER_hh_emih_in!H21=0,0,SER_hh_emih_in!H21/SER_summary!H$27)</f>
        <v>21.870294173827286</v>
      </c>
      <c r="I21" s="132">
        <f>IF(SER_hh_emih_in!I21=0,0,SER_hh_emih_in!I21/SER_summary!I$27)</f>
        <v>26.510296819936595</v>
      </c>
      <c r="J21" s="132">
        <f>IF(SER_hh_emih_in!J21=0,0,SER_hh_emih_in!J21/SER_summary!J$27)</f>
        <v>24.007912059409286</v>
      </c>
      <c r="K21" s="132">
        <f>IF(SER_hh_emih_in!K21=0,0,SER_hh_emih_in!K21/SER_summary!K$27)</f>
        <v>22.050704735828315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9.4612909038583162</v>
      </c>
      <c r="T21" s="132">
        <f>IF(SER_hh_emih_in!T21=0,0,SER_hh_emih_in!T21/SER_summary!T$27)</f>
        <v>11.044746087443468</v>
      </c>
      <c r="U21" s="132">
        <f>IF(SER_hh_emih_in!U21=0,0,SER_hh_emih_in!U21/SER_summary!U$27)</f>
        <v>10.415833969048107</v>
      </c>
      <c r="V21" s="132">
        <f>IF(SER_hh_emih_in!V21=0,0,SER_hh_emih_in!V21/SER_summary!V$27)</f>
        <v>7.9938392310726583</v>
      </c>
      <c r="W21" s="132">
        <f>IF(SER_hh_emih_in!W21=0,0,SER_hh_emih_in!W21/SER_summary!W$27)</f>
        <v>8.7974445739936975</v>
      </c>
      <c r="X21" s="132">
        <f>IF(SER_hh_emih_in!X21=0,0,SER_hh_emih_in!X21/SER_summary!X$27)</f>
        <v>11.63540650448668</v>
      </c>
      <c r="Y21" s="132">
        <f>IF(SER_hh_emih_in!Y21=0,0,SER_hh_emih_in!Y21/SER_summary!Y$27)</f>
        <v>8.0459593503231215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0</v>
      </c>
      <c r="D22" s="132">
        <f>IF(SER_hh_emih_in!D22=0,0,SER_hh_emih_in!D22/SER_summary!D$27)</f>
        <v>0</v>
      </c>
      <c r="E22" s="132">
        <f>IF(SER_hh_emih_in!E22=0,0,SER_hh_emih_in!E22/SER_summary!E$27)</f>
        <v>0</v>
      </c>
      <c r="F22" s="132">
        <f>IF(SER_hh_emih_in!F22=0,0,SER_hh_emih_in!F22/SER_summary!F$27)</f>
        <v>0</v>
      </c>
      <c r="G22" s="132">
        <f>IF(SER_hh_emih_in!G22=0,0,SER_hh_emih_in!G22/SER_summary!G$27)</f>
        <v>0</v>
      </c>
      <c r="H22" s="132">
        <f>IF(SER_hh_emih_in!H22=0,0,SER_hh_emih_in!H22/SER_summary!H$27)</f>
        <v>0</v>
      </c>
      <c r="I22" s="132">
        <f>IF(SER_hh_emih_in!I22=0,0,SER_hh_emih_in!I22/SER_summary!I$27)</f>
        <v>0</v>
      </c>
      <c r="J22" s="132">
        <f>IF(SER_hh_emih_in!J22=0,0,SER_hh_emih_in!J22/SER_summary!J$27)</f>
        <v>0</v>
      </c>
      <c r="K22" s="132">
        <f>IF(SER_hh_emih_in!K22=0,0,SER_hh_emih_in!K22/SER_summary!K$27)</f>
        <v>0</v>
      </c>
      <c r="L22" s="132">
        <f>IF(SER_hh_emih_in!L22=0,0,SER_hh_emih_in!L22/SER_summary!L$27)</f>
        <v>0</v>
      </c>
      <c r="M22" s="132">
        <f>IF(SER_hh_emih_in!M22=0,0,SER_hh_emih_in!M22/SER_summary!M$27)</f>
        <v>0</v>
      </c>
      <c r="N22" s="132">
        <f>IF(SER_hh_emih_in!N22=0,0,SER_hh_emih_in!N22/SER_summary!N$27)</f>
        <v>0</v>
      </c>
      <c r="O22" s="132">
        <f>IF(SER_hh_emih_in!O22=0,0,SER_hh_emih_in!O22/SER_summary!O$27)</f>
        <v>0</v>
      </c>
      <c r="P22" s="132">
        <f>IF(SER_hh_emih_in!P22=0,0,SER_hh_emih_in!P22/SER_summary!P$27)</f>
        <v>0</v>
      </c>
      <c r="Q22" s="132">
        <f>IF(SER_hh_emih_in!Q22=0,0,SER_hh_emih_in!Q22/SER_summary!Q$27)</f>
        <v>0</v>
      </c>
      <c r="R22" s="132">
        <f>IF(SER_hh_emih_in!R22=0,0,SER_hh_emih_in!R22/SER_summary!R$27)</f>
        <v>0</v>
      </c>
      <c r="S22" s="132">
        <f>IF(SER_hh_emih_in!S22=0,0,SER_hh_emih_in!S22/SER_summary!S$27)</f>
        <v>0</v>
      </c>
      <c r="T22" s="132">
        <f>IF(SER_hh_emih_in!T22=0,0,SER_hh_emih_in!T22/SER_summary!T$27)</f>
        <v>0</v>
      </c>
      <c r="U22" s="132">
        <f>IF(SER_hh_emih_in!U22=0,0,SER_hh_emih_in!U22/SER_summary!U$27)</f>
        <v>0</v>
      </c>
      <c r="V22" s="132">
        <f>IF(SER_hh_emih_in!V22=0,0,SER_hh_emih_in!V22/SER_summary!V$27)</f>
        <v>0</v>
      </c>
      <c r="W22" s="132">
        <f>IF(SER_hh_emih_in!W22=0,0,SER_hh_emih_in!W22/SER_summary!W$27)</f>
        <v>0</v>
      </c>
      <c r="X22" s="132">
        <f>IF(SER_hh_emih_in!X22=0,0,SER_hh_emih_in!X22/SER_summary!X$27)</f>
        <v>0</v>
      </c>
      <c r="Y22" s="132">
        <f>IF(SER_hh_emih_in!Y22=0,0,SER_hh_emih_in!Y22/SER_summary!Y$27)</f>
        <v>0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0</v>
      </c>
      <c r="D23" s="132">
        <f>IF(SER_hh_emih_in!D23=0,0,SER_hh_emih_in!D23/SER_summary!D$27)</f>
        <v>0</v>
      </c>
      <c r="E23" s="132">
        <f>IF(SER_hh_emih_in!E23=0,0,SER_hh_emih_in!E23/SER_summary!E$27)</f>
        <v>0</v>
      </c>
      <c r="F23" s="132">
        <f>IF(SER_hh_emih_in!F23=0,0,SER_hh_emih_in!F23/SER_summary!F$27)</f>
        <v>0</v>
      </c>
      <c r="G23" s="132">
        <f>IF(SER_hh_emih_in!G23=0,0,SER_hh_emih_in!G23/SER_summary!G$27)</f>
        <v>0</v>
      </c>
      <c r="H23" s="132">
        <f>IF(SER_hh_emih_in!H23=0,0,SER_hh_emih_in!H23/SER_summary!H$27)</f>
        <v>0</v>
      </c>
      <c r="I23" s="132">
        <f>IF(SER_hh_emih_in!I23=0,0,SER_hh_emih_in!I23/SER_summary!I$27)</f>
        <v>0</v>
      </c>
      <c r="J23" s="132">
        <f>IF(SER_hh_emih_in!J23=0,0,SER_hh_emih_in!J23/SER_summary!J$27)</f>
        <v>0</v>
      </c>
      <c r="K23" s="132">
        <f>IF(SER_hh_emih_in!K23=0,0,SER_hh_emih_in!K23/SER_summary!K$27)</f>
        <v>0</v>
      </c>
      <c r="L23" s="132">
        <f>IF(SER_hh_emih_in!L23=0,0,SER_hh_emih_in!L23/SER_summary!L$27)</f>
        <v>0</v>
      </c>
      <c r="M23" s="132">
        <f>IF(SER_hh_emih_in!M23=0,0,SER_hh_emih_in!M23/SER_summary!M$27)</f>
        <v>0</v>
      </c>
      <c r="N23" s="132">
        <f>IF(SER_hh_emih_in!N23=0,0,SER_hh_emih_in!N23/SER_summary!N$27)</f>
        <v>0</v>
      </c>
      <c r="O23" s="132">
        <f>IF(SER_hh_emih_in!O23=0,0,SER_hh_emih_in!O23/SER_summary!O$27)</f>
        <v>0</v>
      </c>
      <c r="P23" s="132">
        <f>IF(SER_hh_emih_in!P23=0,0,SER_hh_emih_in!P23/SER_summary!P$27)</f>
        <v>0</v>
      </c>
      <c r="Q23" s="132">
        <f>IF(SER_hh_emih_in!Q23=0,0,SER_hh_emih_in!Q23/SER_summary!Q$27)</f>
        <v>0</v>
      </c>
      <c r="R23" s="132">
        <f>IF(SER_hh_emih_in!R23=0,0,SER_hh_emih_in!R23/SER_summary!R$27)</f>
        <v>0</v>
      </c>
      <c r="S23" s="132">
        <f>IF(SER_hh_emih_in!S23=0,0,SER_hh_emih_in!S23/SER_summary!S$27)</f>
        <v>0</v>
      </c>
      <c r="T23" s="132">
        <f>IF(SER_hh_emih_in!T23=0,0,SER_hh_emih_in!T23/SER_summary!T$27)</f>
        <v>0</v>
      </c>
      <c r="U23" s="132">
        <f>IF(SER_hh_emih_in!U23=0,0,SER_hh_emih_in!U23/SER_summary!U$27)</f>
        <v>0</v>
      </c>
      <c r="V23" s="132">
        <f>IF(SER_hh_emih_in!V23=0,0,SER_hh_emih_in!V23/SER_summary!V$27)</f>
        <v>0</v>
      </c>
      <c r="W23" s="132">
        <f>IF(SER_hh_emih_in!W23=0,0,SER_hh_emih_in!W23/SER_summary!W$27)</f>
        <v>0</v>
      </c>
      <c r="X23" s="132">
        <f>IF(SER_hh_emih_in!X23=0,0,SER_hh_emih_in!X23/SER_summary!X$27)</f>
        <v>0</v>
      </c>
      <c r="Y23" s="132">
        <f>IF(SER_hh_emih_in!Y23=0,0,SER_hh_emih_in!Y23/SER_summary!Y$27)</f>
        <v>0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0.988965230335625</v>
      </c>
      <c r="D29" s="130">
        <f>IF(SER_hh_emih_in!D29=0,0,SER_hh_emih_in!D29/SER_summary!D$27)</f>
        <v>1.587623474233046</v>
      </c>
      <c r="E29" s="130">
        <f>IF(SER_hh_emih_in!E29=0,0,SER_hh_emih_in!E29/SER_summary!E$27)</f>
        <v>1.1100967020687758</v>
      </c>
      <c r="F29" s="130">
        <f>IF(SER_hh_emih_in!F29=0,0,SER_hh_emih_in!F29/SER_summary!F$27)</f>
        <v>1.8195121141145383</v>
      </c>
      <c r="G29" s="130">
        <f>IF(SER_hh_emih_in!G29=0,0,SER_hh_emih_in!G29/SER_summary!G$27)</f>
        <v>2.2209909853747889</v>
      </c>
      <c r="H29" s="130">
        <f>IF(SER_hh_emih_in!H29=0,0,SER_hh_emih_in!H29/SER_summary!H$27)</f>
        <v>5.9306311147490804</v>
      </c>
      <c r="I29" s="130">
        <f>IF(SER_hh_emih_in!I29=0,0,SER_hh_emih_in!I29/SER_summary!I$27)</f>
        <v>6.3823728456194688</v>
      </c>
      <c r="J29" s="130">
        <f>IF(SER_hh_emih_in!J29=0,0,SER_hh_emih_in!J29/SER_summary!J$27)</f>
        <v>6.1734029880485224</v>
      </c>
      <c r="K29" s="130">
        <f>IF(SER_hh_emih_in!K29=0,0,SER_hh_emih_in!K29/SER_summary!K$27)</f>
        <v>9.6651450902315119</v>
      </c>
      <c r="L29" s="130">
        <f>IF(SER_hh_emih_in!L29=0,0,SER_hh_emih_in!L29/SER_summary!L$27)</f>
        <v>1.9742461580369792</v>
      </c>
      <c r="M29" s="130">
        <f>IF(SER_hh_emih_in!M29=0,0,SER_hh_emih_in!M29/SER_summary!M$27)</f>
        <v>3.5441469295913426</v>
      </c>
      <c r="N29" s="130">
        <f>IF(SER_hh_emih_in!N29=0,0,SER_hh_emih_in!N29/SER_summary!N$27)</f>
        <v>1.172477895824213</v>
      </c>
      <c r="O29" s="130">
        <f>IF(SER_hh_emih_in!O29=0,0,SER_hh_emih_in!O29/SER_summary!O$27)</f>
        <v>2.7754374482858446</v>
      </c>
      <c r="P29" s="130">
        <f>IF(SER_hh_emih_in!P29=0,0,SER_hh_emih_in!P29/SER_summary!P$27)</f>
        <v>2.6176018080489665</v>
      </c>
      <c r="Q29" s="130">
        <f>IF(SER_hh_emih_in!Q29=0,0,SER_hh_emih_in!Q29/SER_summary!Q$27)</f>
        <v>4.9393970992507423</v>
      </c>
      <c r="R29" s="130">
        <f>IF(SER_hh_emih_in!R29=0,0,SER_hh_emih_in!R29/SER_summary!R$27)</f>
        <v>4.3525264348070491</v>
      </c>
      <c r="S29" s="130">
        <f>IF(SER_hh_emih_in!S29=0,0,SER_hh_emih_in!S29/SER_summary!S$27)</f>
        <v>7.8586572763381861</v>
      </c>
      <c r="T29" s="130">
        <f>IF(SER_hh_emih_in!T29=0,0,SER_hh_emih_in!T29/SER_summary!T$27)</f>
        <v>9.1389408852259884</v>
      </c>
      <c r="U29" s="130">
        <f>IF(SER_hh_emih_in!U29=0,0,SER_hh_emih_in!U29/SER_summary!U$27)</f>
        <v>6.0199868204478122</v>
      </c>
      <c r="V29" s="130">
        <f>IF(SER_hh_emih_in!V29=0,0,SER_hh_emih_in!V29/SER_summary!V$27)</f>
        <v>3.8455885702066177</v>
      </c>
      <c r="W29" s="130">
        <f>IF(SER_hh_emih_in!W29=0,0,SER_hh_emih_in!W29/SER_summary!W$27)</f>
        <v>3.4285341424791707</v>
      </c>
      <c r="X29" s="130">
        <f>IF(SER_hh_emih_in!X29=0,0,SER_hh_emih_in!X29/SER_summary!X$27)</f>
        <v>5.2246744380122987</v>
      </c>
      <c r="Y29" s="130">
        <f>IF(SER_hh_emih_in!Y29=0,0,SER_hh_emih_in!Y29/SER_summary!Y$27)</f>
        <v>6.0633735851862216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17.83425567230174</v>
      </c>
      <c r="D30" s="132">
        <f>IF(SER_hh_emih_in!D30=0,0,SER_hh_emih_in!D30/SER_summary!D$27)</f>
        <v>21.045018247670882</v>
      </c>
      <c r="E30" s="132">
        <f>IF(SER_hh_emih_in!E30=0,0,SER_hh_emih_in!E30/SER_summary!E$27)</f>
        <v>20.177572673286864</v>
      </c>
      <c r="F30" s="132">
        <f>IF(SER_hh_emih_in!F30=0,0,SER_hh_emih_in!F30/SER_summary!F$27)</f>
        <v>17.574031409054886</v>
      </c>
      <c r="G30" s="132">
        <f>IF(SER_hh_emih_in!G30=0,0,SER_hh_emih_in!G30/SER_summary!G$27)</f>
        <v>15.382943777928112</v>
      </c>
      <c r="H30" s="132">
        <f>IF(SER_hh_emih_in!H30=0,0,SER_hh_emih_in!H30/SER_summary!H$27)</f>
        <v>19.655478006512499</v>
      </c>
      <c r="I30" s="132">
        <f>IF(SER_hh_emih_in!I30=0,0,SER_hh_emih_in!I30/SER_summary!I$27)</f>
        <v>16.986836275380906</v>
      </c>
      <c r="J30" s="132">
        <f>IF(SER_hh_emih_in!J30=0,0,SER_hh_emih_in!J30/SER_summary!J$27)</f>
        <v>18.737892554522233</v>
      </c>
      <c r="K30" s="132">
        <f>IF(SER_hh_emih_in!K30=0,0,SER_hh_emih_in!K30/SER_summary!K$27)</f>
        <v>23.139719889029628</v>
      </c>
      <c r="L30" s="132">
        <f>IF(SER_hh_emih_in!L30=0,0,SER_hh_emih_in!L30/SER_summary!L$27)</f>
        <v>17.519014768203981</v>
      </c>
      <c r="M30" s="132">
        <f>IF(SER_hh_emih_in!M30=0,0,SER_hh_emih_in!M30/SER_summary!M$27)</f>
        <v>19.641608412131802</v>
      </c>
      <c r="N30" s="132">
        <f>IF(SER_hh_emih_in!N30=0,0,SER_hh_emih_in!N30/SER_summary!N$27)</f>
        <v>18.98732268358744</v>
      </c>
      <c r="O30" s="132">
        <f>IF(SER_hh_emih_in!O30=0,0,SER_hh_emih_in!O30/SER_summary!O$27)</f>
        <v>18.411466402740285</v>
      </c>
      <c r="P30" s="132">
        <f>IF(SER_hh_emih_in!P30=0,0,SER_hh_emih_in!P30/SER_summary!P$27)</f>
        <v>18.213906723393912</v>
      </c>
      <c r="Q30" s="132">
        <f>IF(SER_hh_emih_in!Q30=0,0,SER_hh_emih_in!Q30/SER_summary!Q$27)</f>
        <v>20.062324781856628</v>
      </c>
      <c r="R30" s="132">
        <f>IF(SER_hh_emih_in!R30=0,0,SER_hh_emih_in!R30/SER_summary!R$27)</f>
        <v>16.225590281850415</v>
      </c>
      <c r="S30" s="132">
        <f>IF(SER_hh_emih_in!S30=0,0,SER_hh_emih_in!S30/SER_summary!S$27)</f>
        <v>17.280044878798044</v>
      </c>
      <c r="T30" s="132">
        <f>IF(SER_hh_emih_in!T30=0,0,SER_hh_emih_in!T30/SER_summary!T$27)</f>
        <v>19.95453811519646</v>
      </c>
      <c r="U30" s="132">
        <f>IF(SER_hh_emih_in!U30=0,0,SER_hh_emih_in!U30/SER_summary!U$27)</f>
        <v>20.177737605238814</v>
      </c>
      <c r="V30" s="132">
        <f>IF(SER_hh_emih_in!V30=0,0,SER_hh_emih_in!V30/SER_summary!V$27)</f>
        <v>12.878440409143076</v>
      </c>
      <c r="W30" s="132">
        <f>IF(SER_hh_emih_in!W30=0,0,SER_hh_emih_in!W30/SER_summary!W$27)</f>
        <v>13.754113155337778</v>
      </c>
      <c r="X30" s="132">
        <f>IF(SER_hh_emih_in!X30=0,0,SER_hh_emih_in!X30/SER_summary!X$27)</f>
        <v>16.783378782921062</v>
      </c>
      <c r="Y30" s="132">
        <f>IF(SER_hh_emih_in!Y30=0,0,SER_hh_emih_in!Y30/SER_summary!Y$27)</f>
        <v>18.302500899732681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0</v>
      </c>
      <c r="D31" s="132">
        <f>IF(SER_hh_emih_in!D31=0,0,SER_hh_emih_in!D31/SER_summary!D$27)</f>
        <v>0</v>
      </c>
      <c r="E31" s="132">
        <f>IF(SER_hh_emih_in!E31=0,0,SER_hh_emih_in!E31/SER_summary!E$27)</f>
        <v>0</v>
      </c>
      <c r="F31" s="132">
        <f>IF(SER_hh_emih_in!F31=0,0,SER_hh_emih_in!F31/SER_summary!F$27)</f>
        <v>0</v>
      </c>
      <c r="G31" s="132">
        <f>IF(SER_hh_emih_in!G31=0,0,SER_hh_emih_in!G31/SER_summary!G$27)</f>
        <v>0</v>
      </c>
      <c r="H31" s="132">
        <f>IF(SER_hh_emih_in!H31=0,0,SER_hh_emih_in!H31/SER_summary!H$27)</f>
        <v>0</v>
      </c>
      <c r="I31" s="132">
        <f>IF(SER_hh_emih_in!I31=0,0,SER_hh_emih_in!I31/SER_summary!I$27)</f>
        <v>0</v>
      </c>
      <c r="J31" s="132">
        <f>IF(SER_hh_emih_in!J31=0,0,SER_hh_emih_in!J31/SER_summary!J$27)</f>
        <v>0</v>
      </c>
      <c r="K31" s="132">
        <f>IF(SER_hh_emih_in!K31=0,0,SER_hh_emih_in!K31/SER_summary!K$27)</f>
        <v>0</v>
      </c>
      <c r="L31" s="132">
        <f>IF(SER_hh_emih_in!L31=0,0,SER_hh_emih_in!L31/SER_summary!L$27)</f>
        <v>0</v>
      </c>
      <c r="M31" s="132">
        <f>IF(SER_hh_emih_in!M31=0,0,SER_hh_emih_in!M31/SER_summary!M$27)</f>
        <v>0</v>
      </c>
      <c r="N31" s="132">
        <f>IF(SER_hh_emih_in!N31=0,0,SER_hh_emih_in!N31/SER_summary!N$27)</f>
        <v>0</v>
      </c>
      <c r="O31" s="132">
        <f>IF(SER_hh_emih_in!O31=0,0,SER_hh_emih_in!O31/SER_summary!O$27)</f>
        <v>0</v>
      </c>
      <c r="P31" s="132">
        <f>IF(SER_hh_emih_in!P31=0,0,SER_hh_emih_in!P31/SER_summary!P$27)</f>
        <v>0</v>
      </c>
      <c r="Q31" s="132">
        <f>IF(SER_hh_emih_in!Q31=0,0,SER_hh_emih_in!Q31/SER_summary!Q$27)</f>
        <v>0</v>
      </c>
      <c r="R31" s="132">
        <f>IF(SER_hh_emih_in!R31=0,0,SER_hh_emih_in!R31/SER_summary!R$27)</f>
        <v>0</v>
      </c>
      <c r="S31" s="132">
        <f>IF(SER_hh_emih_in!S31=0,0,SER_hh_emih_in!S31/SER_summary!S$27)</f>
        <v>0</v>
      </c>
      <c r="T31" s="132">
        <f>IF(SER_hh_emih_in!T31=0,0,SER_hh_emih_in!T31/SER_summary!T$27)</f>
        <v>0</v>
      </c>
      <c r="U31" s="132">
        <f>IF(SER_hh_emih_in!U31=0,0,SER_hh_emih_in!U31/SER_summary!U$27)</f>
        <v>0</v>
      </c>
      <c r="V31" s="132">
        <f>IF(SER_hh_emih_in!V31=0,0,SER_hh_emih_in!V31/SER_summary!V$27)</f>
        <v>0</v>
      </c>
      <c r="W31" s="132">
        <f>IF(SER_hh_emih_in!W31=0,0,SER_hh_emih_in!W31/SER_summary!W$27)</f>
        <v>0</v>
      </c>
      <c r="X31" s="132">
        <f>IF(SER_hh_emih_in!X31=0,0,SER_hh_emih_in!X31/SER_summary!X$27)</f>
        <v>0</v>
      </c>
      <c r="Y31" s="132">
        <f>IF(SER_hh_emih_in!Y31=0,0,SER_hh_emih_in!Y31/SER_summary!Y$27)</f>
        <v>0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13.843017923716005</v>
      </c>
      <c r="C3" s="179">
        <f t="shared" ref="C3:W3" si="1">SUM(C4:C9)</f>
        <v>14.753579617096461</v>
      </c>
      <c r="D3" s="179">
        <f t="shared" si="1"/>
        <v>15.485667923776019</v>
      </c>
      <c r="E3" s="179">
        <f t="shared" si="1"/>
        <v>16.143807636989123</v>
      </c>
      <c r="F3" s="179">
        <f t="shared" si="1"/>
        <v>16.760725894724153</v>
      </c>
      <c r="G3" s="179">
        <f t="shared" si="1"/>
        <v>17.596299599641782</v>
      </c>
      <c r="H3" s="179">
        <f t="shared" si="1"/>
        <v>18.27336753639705</v>
      </c>
      <c r="I3" s="179">
        <f t="shared" si="1"/>
        <v>18.881343362712343</v>
      </c>
      <c r="J3" s="179">
        <f t="shared" si="1"/>
        <v>19.716715018199011</v>
      </c>
      <c r="K3" s="179">
        <f t="shared" si="1"/>
        <v>20.162597477397526</v>
      </c>
      <c r="L3" s="179">
        <f t="shared" si="1"/>
        <v>20.595213538946098</v>
      </c>
      <c r="M3" s="179">
        <f t="shared" si="1"/>
        <v>20.958207634423282</v>
      </c>
      <c r="N3" s="179">
        <f t="shared" si="1"/>
        <v>21.557220638854375</v>
      </c>
      <c r="O3" s="179">
        <f t="shared" si="1"/>
        <v>22.100310097890436</v>
      </c>
      <c r="P3" s="179">
        <f t="shared" si="1"/>
        <v>22.779267752327371</v>
      </c>
      <c r="Q3" s="179">
        <f t="shared" si="1"/>
        <v>23.729246902251244</v>
      </c>
      <c r="R3" s="179">
        <f t="shared" si="1"/>
        <v>24.01862430045141</v>
      </c>
      <c r="S3" s="179">
        <f t="shared" si="1"/>
        <v>24.199907156141066</v>
      </c>
      <c r="T3" s="179">
        <f t="shared" si="1"/>
        <v>24.466399768406497</v>
      </c>
      <c r="U3" s="179">
        <f t="shared" si="1"/>
        <v>24.853147604265867</v>
      </c>
      <c r="V3" s="179">
        <f t="shared" si="1"/>
        <v>23.484480170870818</v>
      </c>
      <c r="W3" s="179">
        <f t="shared" si="1"/>
        <v>23.844905707445641</v>
      </c>
      <c r="X3" s="179">
        <f t="shared" ref="X3:Y3" si="2">SUM(X4:X9)</f>
        <v>24.154446997407661</v>
      </c>
      <c r="Y3" s="179">
        <f t="shared" si="2"/>
        <v>24.616089592706576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0.49562233665560984</v>
      </c>
      <c r="C4" s="180">
        <f t="shared" ref="C4:R9" si="4">C12*C44/11630</f>
        <v>0.52935684758573665</v>
      </c>
      <c r="D4" s="180">
        <f t="shared" si="4"/>
        <v>0.55106496267990379</v>
      </c>
      <c r="E4" s="180">
        <f t="shared" si="4"/>
        <v>0.56923375387858521</v>
      </c>
      <c r="F4" s="180">
        <f t="shared" si="4"/>
        <v>0.58246662850823161</v>
      </c>
      <c r="G4" s="180">
        <f t="shared" si="4"/>
        <v>0.61073309991498181</v>
      </c>
      <c r="H4" s="180">
        <f t="shared" si="4"/>
        <v>0.63559463118602377</v>
      </c>
      <c r="I4" s="180">
        <f t="shared" si="4"/>
        <v>0.65853710104512186</v>
      </c>
      <c r="J4" s="180">
        <f t="shared" si="4"/>
        <v>0.70293109329153414</v>
      </c>
      <c r="K4" s="180">
        <f t="shared" si="4"/>
        <v>0.71835094497217433</v>
      </c>
      <c r="L4" s="180">
        <f t="shared" si="4"/>
        <v>0.73364503769922607</v>
      </c>
      <c r="M4" s="180">
        <f t="shared" si="4"/>
        <v>0.75737746183307075</v>
      </c>
      <c r="N4" s="180">
        <f t="shared" si="4"/>
        <v>0.79284227151314557</v>
      </c>
      <c r="O4" s="180">
        <f t="shared" si="4"/>
        <v>0.81756534712340723</v>
      </c>
      <c r="P4" s="180">
        <f t="shared" si="4"/>
        <v>0.85246781082002088</v>
      </c>
      <c r="Q4" s="180">
        <f t="shared" si="4"/>
        <v>0.89017003345649293</v>
      </c>
      <c r="R4" s="180">
        <f t="shared" si="4"/>
        <v>0.92335152864655334</v>
      </c>
      <c r="S4" s="180">
        <f t="shared" ref="D4:W9" si="5">S12*S44/11630</f>
        <v>0.95826186869993779</v>
      </c>
      <c r="T4" s="180">
        <f t="shared" si="5"/>
        <v>0.992530341162562</v>
      </c>
      <c r="U4" s="180">
        <f t="shared" si="5"/>
        <v>1.0224540660380312</v>
      </c>
      <c r="V4" s="180">
        <f t="shared" si="5"/>
        <v>1.0550605295856481</v>
      </c>
      <c r="W4" s="180">
        <f t="shared" si="5"/>
        <v>1.0873592246256432</v>
      </c>
      <c r="X4" s="180">
        <f t="shared" ref="X4:Y4" si="6">X12*X44/11630</f>
        <v>1.1114148022388375</v>
      </c>
      <c r="Y4" s="180">
        <f t="shared" si="6"/>
        <v>1.1264588130423585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2.0555239242509518</v>
      </c>
      <c r="C5" s="180">
        <f t="shared" si="4"/>
        <v>2.0740109228608414</v>
      </c>
      <c r="D5" s="180">
        <f t="shared" si="5"/>
        <v>2.0885046786909363</v>
      </c>
      <c r="E5" s="180">
        <f t="shared" si="5"/>
        <v>2.1092171615439175</v>
      </c>
      <c r="F5" s="180">
        <f t="shared" si="5"/>
        <v>2.1246881730221707</v>
      </c>
      <c r="G5" s="180">
        <f t="shared" si="5"/>
        <v>2.1330704054076515</v>
      </c>
      <c r="H5" s="180">
        <f t="shared" si="5"/>
        <v>2.1388677652862045</v>
      </c>
      <c r="I5" s="180">
        <f t="shared" si="5"/>
        <v>2.143342761615926</v>
      </c>
      <c r="J5" s="180">
        <f t="shared" si="5"/>
        <v>2.1777476928013577</v>
      </c>
      <c r="K5" s="180">
        <f t="shared" si="5"/>
        <v>2.2113567245285535</v>
      </c>
      <c r="L5" s="180">
        <f t="shared" si="5"/>
        <v>2.2379974731164238</v>
      </c>
      <c r="M5" s="180">
        <f t="shared" si="5"/>
        <v>2.2671747352257943</v>
      </c>
      <c r="N5" s="180">
        <f t="shared" si="5"/>
        <v>2.3106039556333764</v>
      </c>
      <c r="O5" s="180">
        <f t="shared" si="5"/>
        <v>2.3574059403266543</v>
      </c>
      <c r="P5" s="180">
        <f t="shared" si="5"/>
        <v>2.4071661293867859</v>
      </c>
      <c r="Q5" s="180">
        <f t="shared" si="5"/>
        <v>2.4684538295078315</v>
      </c>
      <c r="R5" s="180">
        <f t="shared" si="5"/>
        <v>2.4863046114253256</v>
      </c>
      <c r="S5" s="180">
        <f t="shared" si="5"/>
        <v>2.5119606433763519</v>
      </c>
      <c r="T5" s="180">
        <f t="shared" si="5"/>
        <v>2.5371139893066257</v>
      </c>
      <c r="U5" s="180">
        <f t="shared" si="5"/>
        <v>2.545305198897764</v>
      </c>
      <c r="V5" s="180">
        <f t="shared" si="5"/>
        <v>2.5071869854451712</v>
      </c>
      <c r="W5" s="180">
        <f t="shared" si="5"/>
        <v>2.4718725660483019</v>
      </c>
      <c r="X5" s="180">
        <f t="shared" ref="X5:Y5" si="7">X13*X45/11630</f>
        <v>2.4419390883963743</v>
      </c>
      <c r="Y5" s="180">
        <f t="shared" si="7"/>
        <v>2.4834373111814418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3.5213669665843601</v>
      </c>
      <c r="C6" s="180">
        <f t="shared" si="4"/>
        <v>3.6991047283872578</v>
      </c>
      <c r="D6" s="180">
        <f t="shared" si="5"/>
        <v>3.8241642860726293</v>
      </c>
      <c r="E6" s="180">
        <f t="shared" si="5"/>
        <v>3.8893331396221451</v>
      </c>
      <c r="F6" s="180">
        <f t="shared" si="5"/>
        <v>3.9087254928440984</v>
      </c>
      <c r="G6" s="180">
        <f t="shared" si="5"/>
        <v>4.0440843899241052</v>
      </c>
      <c r="H6" s="180">
        <f t="shared" si="5"/>
        <v>4.1345694763365852</v>
      </c>
      <c r="I6" s="180">
        <f t="shared" si="5"/>
        <v>4.2597010766694039</v>
      </c>
      <c r="J6" s="180">
        <f t="shared" si="5"/>
        <v>4.5021441275496787</v>
      </c>
      <c r="K6" s="180">
        <f t="shared" si="5"/>
        <v>4.5723360073191035</v>
      </c>
      <c r="L6" s="180">
        <f t="shared" si="5"/>
        <v>4.6894271023682466</v>
      </c>
      <c r="M6" s="180">
        <f t="shared" si="5"/>
        <v>4.8178586406641957</v>
      </c>
      <c r="N6" s="180">
        <f t="shared" si="5"/>
        <v>5.0656148096984337</v>
      </c>
      <c r="O6" s="180">
        <f t="shared" si="5"/>
        <v>5.1923358428513255</v>
      </c>
      <c r="P6" s="180">
        <f t="shared" si="5"/>
        <v>5.3339708242770927</v>
      </c>
      <c r="Q6" s="180">
        <f t="shared" si="5"/>
        <v>5.5235941566384534</v>
      </c>
      <c r="R6" s="180">
        <f t="shared" si="5"/>
        <v>5.4672907494623564</v>
      </c>
      <c r="S6" s="180">
        <f t="shared" si="5"/>
        <v>5.261616800107614</v>
      </c>
      <c r="T6" s="180">
        <f t="shared" si="5"/>
        <v>5.1036474103990983</v>
      </c>
      <c r="U6" s="180">
        <f t="shared" si="5"/>
        <v>5.0187470986456129</v>
      </c>
      <c r="V6" s="180">
        <f t="shared" si="5"/>
        <v>4.1391674208650322</v>
      </c>
      <c r="W6" s="180">
        <f t="shared" si="5"/>
        <v>4.1216969459990684</v>
      </c>
      <c r="X6" s="180">
        <f t="shared" ref="X6:Y6" si="8">X14*X46/11630</f>
        <v>4.0823265146140235</v>
      </c>
      <c r="Y6" s="180">
        <f t="shared" si="8"/>
        <v>3.9495884034941851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5.2744823602775348</v>
      </c>
      <c r="C7" s="180">
        <f t="shared" si="4"/>
        <v>5.4796191242166907</v>
      </c>
      <c r="D7" s="180">
        <f t="shared" si="5"/>
        <v>5.5808709115620081</v>
      </c>
      <c r="E7" s="180">
        <f t="shared" si="5"/>
        <v>5.675914373046747</v>
      </c>
      <c r="F7" s="180">
        <f t="shared" si="5"/>
        <v>5.7575340376194504</v>
      </c>
      <c r="G7" s="180">
        <f t="shared" si="5"/>
        <v>5.8496712263555688</v>
      </c>
      <c r="H7" s="180">
        <f t="shared" si="5"/>
        <v>5.9290910832324535</v>
      </c>
      <c r="I7" s="180">
        <f t="shared" si="5"/>
        <v>5.992688313065238</v>
      </c>
      <c r="J7" s="180">
        <f t="shared" si="5"/>
        <v>6.0709302913462517</v>
      </c>
      <c r="K7" s="180">
        <f t="shared" si="5"/>
        <v>6.1455362971284062</v>
      </c>
      <c r="L7" s="180">
        <f t="shared" si="5"/>
        <v>6.2077191217659378</v>
      </c>
      <c r="M7" s="180">
        <f t="shared" si="5"/>
        <v>6.2151110518075248</v>
      </c>
      <c r="N7" s="180">
        <f t="shared" si="5"/>
        <v>6.2621231417230767</v>
      </c>
      <c r="O7" s="180">
        <f t="shared" si="5"/>
        <v>6.3446160637299354</v>
      </c>
      <c r="P7" s="180">
        <f t="shared" si="5"/>
        <v>6.4464361547296214</v>
      </c>
      <c r="Q7" s="180">
        <f t="shared" si="5"/>
        <v>6.5818970421110814</v>
      </c>
      <c r="R7" s="180">
        <f t="shared" si="5"/>
        <v>6.620635305706565</v>
      </c>
      <c r="S7" s="180">
        <f t="shared" si="5"/>
        <v>6.6523453201087657</v>
      </c>
      <c r="T7" s="180">
        <f t="shared" si="5"/>
        <v>6.6795861833014891</v>
      </c>
      <c r="U7" s="180">
        <f t="shared" si="5"/>
        <v>6.7040101393607019</v>
      </c>
      <c r="V7" s="180">
        <f t="shared" si="5"/>
        <v>6.7243218685495068</v>
      </c>
      <c r="W7" s="180">
        <f t="shared" si="5"/>
        <v>6.7248141544517743</v>
      </c>
      <c r="X7" s="180">
        <f t="shared" ref="X7:Y7" si="9">X15*X47/11630</f>
        <v>6.7298370116080468</v>
      </c>
      <c r="Y7" s="180">
        <f t="shared" si="9"/>
        <v>6.9159408943644278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0.97625412549686219</v>
      </c>
      <c r="C8" s="55">
        <f t="shared" si="4"/>
        <v>1.0691760221178179</v>
      </c>
      <c r="D8" s="55">
        <f t="shared" si="5"/>
        <v>1.1565083284219477</v>
      </c>
      <c r="E8" s="55">
        <f t="shared" si="5"/>
        <v>1.2348436565595269</v>
      </c>
      <c r="F8" s="55">
        <f t="shared" si="5"/>
        <v>1.3204027136601733</v>
      </c>
      <c r="G8" s="55">
        <f t="shared" si="5"/>
        <v>1.4614358177106139</v>
      </c>
      <c r="H8" s="55">
        <f t="shared" si="5"/>
        <v>1.5719994816029905</v>
      </c>
      <c r="I8" s="55">
        <f t="shared" si="5"/>
        <v>1.6826757970216892</v>
      </c>
      <c r="J8" s="55">
        <f t="shared" si="5"/>
        <v>1.8406986651751136</v>
      </c>
      <c r="K8" s="55">
        <f t="shared" si="5"/>
        <v>1.8966295722480417</v>
      </c>
      <c r="L8" s="55">
        <f t="shared" si="5"/>
        <v>1.9337597323023079</v>
      </c>
      <c r="M8" s="55">
        <f t="shared" si="5"/>
        <v>1.9876051021040564</v>
      </c>
      <c r="N8" s="55">
        <f t="shared" si="5"/>
        <v>2.0721295075257089</v>
      </c>
      <c r="O8" s="55">
        <f t="shared" si="5"/>
        <v>2.1194829823019194</v>
      </c>
      <c r="P8" s="55">
        <f t="shared" si="5"/>
        <v>2.1826142522656582</v>
      </c>
      <c r="Q8" s="55">
        <f t="shared" si="5"/>
        <v>2.2235951753074579</v>
      </c>
      <c r="R8" s="55">
        <f t="shared" si="5"/>
        <v>2.2654394734085663</v>
      </c>
      <c r="S8" s="55">
        <f t="shared" si="5"/>
        <v>2.3119387264440849</v>
      </c>
      <c r="T8" s="55">
        <f t="shared" si="5"/>
        <v>2.3801889888584649</v>
      </c>
      <c r="U8" s="55">
        <f t="shared" si="5"/>
        <v>2.4845504493950066</v>
      </c>
      <c r="V8" s="55">
        <f t="shared" si="5"/>
        <v>2.2204799204558414</v>
      </c>
      <c r="W8" s="55">
        <f t="shared" si="5"/>
        <v>2.3699587195905023</v>
      </c>
      <c r="X8" s="55">
        <f t="shared" ref="X8:Y8" si="10">X16*X48/11630</f>
        <v>2.5118191973645079</v>
      </c>
      <c r="Y8" s="55">
        <f t="shared" si="10"/>
        <v>2.5832010531589851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1.5197682104506873</v>
      </c>
      <c r="C9" s="63">
        <f t="shared" si="4"/>
        <v>1.9023119719281174</v>
      </c>
      <c r="D9" s="63">
        <f t="shared" si="5"/>
        <v>2.2845547563485944</v>
      </c>
      <c r="E9" s="63">
        <f t="shared" si="5"/>
        <v>2.6652655523382034</v>
      </c>
      <c r="F9" s="63">
        <f t="shared" si="5"/>
        <v>3.0669088490700278</v>
      </c>
      <c r="G9" s="63">
        <f t="shared" si="5"/>
        <v>3.4973046603288607</v>
      </c>
      <c r="H9" s="63">
        <f t="shared" si="5"/>
        <v>3.8632450987527909</v>
      </c>
      <c r="I9" s="63">
        <f t="shared" si="5"/>
        <v>4.1443983132949658</v>
      </c>
      <c r="J9" s="63">
        <f t="shared" si="5"/>
        <v>4.4222631480350767</v>
      </c>
      <c r="K9" s="63">
        <f t="shared" si="5"/>
        <v>4.6183879312012461</v>
      </c>
      <c r="L9" s="63">
        <f t="shared" si="5"/>
        <v>4.7926650716939534</v>
      </c>
      <c r="M9" s="63">
        <f t="shared" si="5"/>
        <v>4.9130806427886382</v>
      </c>
      <c r="N9" s="63">
        <f t="shared" si="5"/>
        <v>5.0539069527606344</v>
      </c>
      <c r="O9" s="63">
        <f t="shared" si="5"/>
        <v>5.268903921557194</v>
      </c>
      <c r="P9" s="63">
        <f t="shared" si="5"/>
        <v>5.5566125808481939</v>
      </c>
      <c r="Q9" s="63">
        <f t="shared" si="5"/>
        <v>6.0415366652299269</v>
      </c>
      <c r="R9" s="63">
        <f t="shared" si="5"/>
        <v>6.2556026318020459</v>
      </c>
      <c r="S9" s="63">
        <f t="shared" si="5"/>
        <v>6.5037837974043091</v>
      </c>
      <c r="T9" s="63">
        <f t="shared" si="5"/>
        <v>6.773332855378257</v>
      </c>
      <c r="U9" s="63">
        <f t="shared" si="5"/>
        <v>7.07808065192875</v>
      </c>
      <c r="V9" s="63">
        <f t="shared" si="5"/>
        <v>6.8382634459696217</v>
      </c>
      <c r="W9" s="63">
        <f t="shared" si="5"/>
        <v>7.0692040967303482</v>
      </c>
      <c r="X9" s="63">
        <f t="shared" ref="X9:Y9" si="11">X17*X49/11630</f>
        <v>7.277110383185871</v>
      </c>
      <c r="Y9" s="63">
        <f t="shared" si="11"/>
        <v>7.5574631174651801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54.633541241460748</v>
      </c>
      <c r="C11" s="179">
        <f t="shared" ref="C11:W11" si="13">SUM(C12:C17)</f>
        <v>59.131894688064946</v>
      </c>
      <c r="D11" s="179">
        <f t="shared" si="13"/>
        <v>62.920641343381043</v>
      </c>
      <c r="E11" s="179">
        <f t="shared" si="13"/>
        <v>66.231701425626696</v>
      </c>
      <c r="F11" s="179">
        <f t="shared" si="13"/>
        <v>69.551232042772739</v>
      </c>
      <c r="G11" s="179">
        <f t="shared" si="13"/>
        <v>74.428324218958437</v>
      </c>
      <c r="H11" s="179">
        <f t="shared" si="13"/>
        <v>78.210140181187953</v>
      </c>
      <c r="I11" s="179">
        <f t="shared" si="13"/>
        <v>81.627491631146142</v>
      </c>
      <c r="J11" s="179">
        <f t="shared" si="13"/>
        <v>86.457165025426036</v>
      </c>
      <c r="K11" s="179">
        <f t="shared" si="13"/>
        <v>88.354668027087911</v>
      </c>
      <c r="L11" s="179">
        <f t="shared" si="13"/>
        <v>90.012992917680592</v>
      </c>
      <c r="M11" s="179">
        <f t="shared" si="13"/>
        <v>91.761908880713918</v>
      </c>
      <c r="N11" s="179">
        <f t="shared" si="13"/>
        <v>94.776076597168014</v>
      </c>
      <c r="O11" s="179">
        <f t="shared" si="13"/>
        <v>97.201108516678516</v>
      </c>
      <c r="P11" s="179">
        <f t="shared" si="13"/>
        <v>100.32803829415717</v>
      </c>
      <c r="Q11" s="179">
        <f t="shared" si="13"/>
        <v>104.70377874404498</v>
      </c>
      <c r="R11" s="179">
        <f t="shared" si="13"/>
        <v>106.73294369573986</v>
      </c>
      <c r="S11" s="179">
        <f t="shared" si="13"/>
        <v>108.5379576574272</v>
      </c>
      <c r="T11" s="179">
        <f t="shared" si="13"/>
        <v>109.82332794412527</v>
      </c>
      <c r="U11" s="179">
        <f t="shared" si="13"/>
        <v>110.59764739788474</v>
      </c>
      <c r="V11" s="179">
        <f t="shared" si="13"/>
        <v>110.4106579772226</v>
      </c>
      <c r="W11" s="179">
        <f t="shared" si="13"/>
        <v>110.42305848589137</v>
      </c>
      <c r="X11" s="179">
        <f t="shared" ref="X11:Y11" si="14">SUM(X12:X17)</f>
        <v>110.69154587730608</v>
      </c>
      <c r="Y11" s="179">
        <f t="shared" si="14"/>
        <v>111.72141017465464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0.6580008875918657</v>
      </c>
      <c r="C12" s="180">
        <f t="shared" ref="C12:W12" si="15">C20*C52</f>
        <v>0.70278768692033322</v>
      </c>
      <c r="D12" s="180">
        <f t="shared" si="15"/>
        <v>0.73160793561270321</v>
      </c>
      <c r="E12" s="180">
        <f t="shared" si="15"/>
        <v>0.75572928739816769</v>
      </c>
      <c r="F12" s="180">
        <f t="shared" si="15"/>
        <v>0.77329759013136246</v>
      </c>
      <c r="G12" s="180">
        <f t="shared" si="15"/>
        <v>0.81082488036657974</v>
      </c>
      <c r="H12" s="180">
        <f t="shared" si="15"/>
        <v>0.84383168501066874</v>
      </c>
      <c r="I12" s="180">
        <f t="shared" si="15"/>
        <v>0.87429069465237108</v>
      </c>
      <c r="J12" s="180">
        <f t="shared" si="15"/>
        <v>0.93322929394755061</v>
      </c>
      <c r="K12" s="180">
        <f t="shared" si="15"/>
        <v>0.95370108333634529</v>
      </c>
      <c r="L12" s="180">
        <f t="shared" si="15"/>
        <v>0.97400591192260244</v>
      </c>
      <c r="M12" s="180">
        <f t="shared" si="15"/>
        <v>1.0055136850592024</v>
      </c>
      <c r="N12" s="180">
        <f t="shared" si="15"/>
        <v>1.0525976732531832</v>
      </c>
      <c r="O12" s="180">
        <f t="shared" si="15"/>
        <v>1.0854206606216017</v>
      </c>
      <c r="P12" s="180">
        <f t="shared" si="15"/>
        <v>1.1317580639083153</v>
      </c>
      <c r="Q12" s="180">
        <f t="shared" si="15"/>
        <v>1.1818124987555954</v>
      </c>
      <c r="R12" s="180">
        <f t="shared" si="15"/>
        <v>1.2258651002465086</v>
      </c>
      <c r="S12" s="180">
        <f t="shared" si="15"/>
        <v>1.2722129603858763</v>
      </c>
      <c r="T12" s="180">
        <f t="shared" si="15"/>
        <v>1.3177086606986981</v>
      </c>
      <c r="U12" s="180">
        <f t="shared" si="15"/>
        <v>1.357436163016245</v>
      </c>
      <c r="V12" s="180">
        <f t="shared" si="15"/>
        <v>1.4007253377946447</v>
      </c>
      <c r="W12" s="180">
        <f t="shared" si="15"/>
        <v>1.4436059112324464</v>
      </c>
      <c r="X12" s="180">
        <f t="shared" ref="X12:Y12" si="16">X20*X52</f>
        <v>1.4755427111915158</v>
      </c>
      <c r="Y12" s="180">
        <f t="shared" si="16"/>
        <v>1.4955155246213048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6.5065155692730672</v>
      </c>
      <c r="C13" s="180">
        <f t="shared" ref="C13:W13" si="17">C21*C53/1000</f>
        <v>6.5578165785705442</v>
      </c>
      <c r="D13" s="180">
        <f t="shared" si="17"/>
        <v>6.5979672005796326</v>
      </c>
      <c r="E13" s="180">
        <f t="shared" si="17"/>
        <v>6.6490977914229159</v>
      </c>
      <c r="F13" s="180">
        <f t="shared" si="17"/>
        <v>6.6870473953644751</v>
      </c>
      <c r="G13" s="180">
        <f t="shared" si="17"/>
        <v>6.7070417731664751</v>
      </c>
      <c r="H13" s="180">
        <f t="shared" si="17"/>
        <v>6.7209344734467864</v>
      </c>
      <c r="I13" s="180">
        <f t="shared" si="17"/>
        <v>6.7218952152891749</v>
      </c>
      <c r="J13" s="180">
        <f t="shared" si="17"/>
        <v>6.8227135738530196</v>
      </c>
      <c r="K13" s="180">
        <f t="shared" si="17"/>
        <v>6.9244912964154457</v>
      </c>
      <c r="L13" s="180">
        <f t="shared" si="17"/>
        <v>7.0090038684839246</v>
      </c>
      <c r="M13" s="180">
        <f t="shared" si="17"/>
        <v>7.1226058932135103</v>
      </c>
      <c r="N13" s="180">
        <f t="shared" si="17"/>
        <v>7.2843499433544663</v>
      </c>
      <c r="O13" s="180">
        <f t="shared" si="17"/>
        <v>7.4349501208577538</v>
      </c>
      <c r="P13" s="180">
        <f t="shared" si="17"/>
        <v>7.6172576420804763</v>
      </c>
      <c r="Q13" s="180">
        <f t="shared" si="17"/>
        <v>7.8446742611889864</v>
      </c>
      <c r="R13" s="180">
        <f t="shared" si="17"/>
        <v>7.9876668477604067</v>
      </c>
      <c r="S13" s="180">
        <f t="shared" si="17"/>
        <v>8.0815831993239211</v>
      </c>
      <c r="T13" s="180">
        <f t="shared" si="17"/>
        <v>8.1271609666517808</v>
      </c>
      <c r="U13" s="180">
        <f t="shared" si="17"/>
        <v>8.1103664662226365</v>
      </c>
      <c r="V13" s="180">
        <f t="shared" si="17"/>
        <v>8.0439311533298543</v>
      </c>
      <c r="W13" s="180">
        <f t="shared" si="17"/>
        <v>7.9497013745015144</v>
      </c>
      <c r="X13" s="180">
        <f t="shared" ref="X13:Y13" si="18">X21*X53/1000</f>
        <v>7.8569577408262266</v>
      </c>
      <c r="Y13" s="180">
        <f t="shared" si="18"/>
        <v>7.9940660604073219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18.296927884280464</v>
      </c>
      <c r="C14" s="180">
        <f t="shared" ref="C14:W14" si="19">C22*C54</f>
        <v>19.127140272685754</v>
      </c>
      <c r="D14" s="180">
        <f t="shared" si="19"/>
        <v>19.633431797060314</v>
      </c>
      <c r="E14" s="180">
        <f t="shared" si="19"/>
        <v>19.833429193165184</v>
      </c>
      <c r="F14" s="180">
        <f t="shared" si="19"/>
        <v>19.877513084931724</v>
      </c>
      <c r="G14" s="180">
        <f t="shared" si="19"/>
        <v>20.434572550678823</v>
      </c>
      <c r="H14" s="180">
        <f t="shared" si="19"/>
        <v>20.784903486061065</v>
      </c>
      <c r="I14" s="180">
        <f t="shared" si="19"/>
        <v>21.305225396368058</v>
      </c>
      <c r="J14" s="180">
        <f t="shared" si="19"/>
        <v>22.409963609064587</v>
      </c>
      <c r="K14" s="180">
        <f t="shared" si="19"/>
        <v>22.62464920562546</v>
      </c>
      <c r="L14" s="180">
        <f t="shared" si="19"/>
        <v>23.100640037314367</v>
      </c>
      <c r="M14" s="180">
        <f t="shared" si="19"/>
        <v>23.653978043977911</v>
      </c>
      <c r="N14" s="180">
        <f t="shared" si="19"/>
        <v>24.747166870219292</v>
      </c>
      <c r="O14" s="180">
        <f t="shared" si="19"/>
        <v>25.213277886176275</v>
      </c>
      <c r="P14" s="180">
        <f t="shared" si="19"/>
        <v>25.683424981657424</v>
      </c>
      <c r="Q14" s="180">
        <f t="shared" si="19"/>
        <v>26.447477842719032</v>
      </c>
      <c r="R14" s="180">
        <f t="shared" si="19"/>
        <v>26.19555272970851</v>
      </c>
      <c r="S14" s="180">
        <f t="shared" si="19"/>
        <v>25.626573324768948</v>
      </c>
      <c r="T14" s="180">
        <f t="shared" si="19"/>
        <v>24.662078473284303</v>
      </c>
      <c r="U14" s="180">
        <f t="shared" si="19"/>
        <v>23.494799890290238</v>
      </c>
      <c r="V14" s="180">
        <f t="shared" si="19"/>
        <v>22.06093514432958</v>
      </c>
      <c r="W14" s="180">
        <f t="shared" si="19"/>
        <v>20.960759885561792</v>
      </c>
      <c r="X14" s="180">
        <f t="shared" ref="X14:Y14" si="20">X22*X54</f>
        <v>20.243101174963329</v>
      </c>
      <c r="Y14" s="180">
        <f t="shared" si="20"/>
        <v>19.343824995521334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7.0025376541127544</v>
      </c>
      <c r="C15" s="180">
        <f t="shared" ref="C15:W15" si="21">C23*C55/1000</f>
        <v>7.2748824674246722</v>
      </c>
      <c r="D15" s="180">
        <f t="shared" si="21"/>
        <v>7.4093069293911169</v>
      </c>
      <c r="E15" s="180">
        <f t="shared" si="21"/>
        <v>7.5354890591933446</v>
      </c>
      <c r="F15" s="180">
        <f t="shared" si="21"/>
        <v>7.6438494129582439</v>
      </c>
      <c r="G15" s="180">
        <f t="shared" si="21"/>
        <v>7.7661731007437558</v>
      </c>
      <c r="H15" s="180">
        <f t="shared" si="21"/>
        <v>7.8716129335608942</v>
      </c>
      <c r="I15" s="180">
        <f t="shared" si="21"/>
        <v>7.9560462421174316</v>
      </c>
      <c r="J15" s="180">
        <f t="shared" si="21"/>
        <v>8.0599222931914269</v>
      </c>
      <c r="K15" s="180">
        <f t="shared" si="21"/>
        <v>8.1589711342012947</v>
      </c>
      <c r="L15" s="180">
        <f t="shared" si="21"/>
        <v>8.241526642253179</v>
      </c>
      <c r="M15" s="180">
        <f t="shared" si="21"/>
        <v>8.2513403575937829</v>
      </c>
      <c r="N15" s="180">
        <f t="shared" si="21"/>
        <v>8.313754810301301</v>
      </c>
      <c r="O15" s="180">
        <f t="shared" si="21"/>
        <v>8.4232745229656576</v>
      </c>
      <c r="P15" s="180">
        <f t="shared" si="21"/>
        <v>8.5584534793956095</v>
      </c>
      <c r="Q15" s="180">
        <f t="shared" si="21"/>
        <v>8.7382948173232773</v>
      </c>
      <c r="R15" s="180">
        <f t="shared" si="21"/>
        <v>8.7897247266401113</v>
      </c>
      <c r="S15" s="180">
        <f t="shared" si="21"/>
        <v>8.8318237526101537</v>
      </c>
      <c r="T15" s="180">
        <f t="shared" si="21"/>
        <v>8.8679894191548332</v>
      </c>
      <c r="U15" s="180">
        <f t="shared" si="21"/>
        <v>8.9004152877585589</v>
      </c>
      <c r="V15" s="180">
        <f t="shared" si="21"/>
        <v>8.9273816588162962</v>
      </c>
      <c r="W15" s="180">
        <f t="shared" si="21"/>
        <v>8.9280352301682822</v>
      </c>
      <c r="X15" s="180">
        <f t="shared" ref="X15:Y15" si="22">X23*X55/1000</f>
        <v>8.9347037037673065</v>
      </c>
      <c r="Y15" s="180">
        <f t="shared" si="22"/>
        <v>9.1817799773354238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14.636980207420764</v>
      </c>
      <c r="C16" s="55">
        <f t="shared" ref="C16:W16" si="23">C24*C56</f>
        <v>15.953948273977055</v>
      </c>
      <c r="D16" s="55">
        <f t="shared" si="23"/>
        <v>17.182181636316749</v>
      </c>
      <c r="E16" s="55">
        <f t="shared" si="23"/>
        <v>18.272728898105207</v>
      </c>
      <c r="F16" s="55">
        <f t="shared" si="23"/>
        <v>19.466532978348166</v>
      </c>
      <c r="G16" s="55">
        <f t="shared" si="23"/>
        <v>21.471569325476732</v>
      </c>
      <c r="H16" s="55">
        <f t="shared" si="23"/>
        <v>23.02157344152663</v>
      </c>
      <c r="I16" s="55">
        <f t="shared" si="23"/>
        <v>24.56781908767443</v>
      </c>
      <c r="J16" s="55">
        <f t="shared" si="23"/>
        <v>26.79832658975474</v>
      </c>
      <c r="K16" s="55">
        <f t="shared" si="23"/>
        <v>27.538066297976975</v>
      </c>
      <c r="L16" s="55">
        <f t="shared" si="23"/>
        <v>28.00526045653989</v>
      </c>
      <c r="M16" s="55">
        <f t="shared" si="23"/>
        <v>28.738288252697654</v>
      </c>
      <c r="N16" s="55">
        <f t="shared" si="23"/>
        <v>29.913983010804099</v>
      </c>
      <c r="O16" s="55">
        <f t="shared" si="23"/>
        <v>30.552290598338391</v>
      </c>
      <c r="P16" s="55">
        <f t="shared" si="23"/>
        <v>31.417723665441166</v>
      </c>
      <c r="Q16" s="55">
        <f t="shared" si="23"/>
        <v>31.964100899602865</v>
      </c>
      <c r="R16" s="55">
        <f t="shared" si="23"/>
        <v>32.919595831114378</v>
      </c>
      <c r="S16" s="55">
        <f t="shared" si="23"/>
        <v>33.947432170237789</v>
      </c>
      <c r="T16" s="55">
        <f t="shared" si="23"/>
        <v>34.974848756176492</v>
      </c>
      <c r="U16" s="55">
        <f t="shared" si="23"/>
        <v>35.897396462731599</v>
      </c>
      <c r="V16" s="55">
        <f t="shared" si="23"/>
        <v>36.525525095996244</v>
      </c>
      <c r="W16" s="55">
        <f t="shared" si="23"/>
        <v>37.197216379003308</v>
      </c>
      <c r="X16" s="55">
        <f t="shared" ref="X16:Y16" si="24">X24*X56</f>
        <v>37.75194623680725</v>
      </c>
      <c r="Y16" s="55">
        <f t="shared" si="24"/>
        <v>38.018681228035426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7.5325790387818357</v>
      </c>
      <c r="C17" s="63">
        <f t="shared" ref="C17:W17" si="25">C25*C57/1000</f>
        <v>9.5153194084865884</v>
      </c>
      <c r="D17" s="63">
        <f t="shared" si="25"/>
        <v>11.366145844420531</v>
      </c>
      <c r="E17" s="63">
        <f t="shared" si="25"/>
        <v>13.185227196341875</v>
      </c>
      <c r="F17" s="63">
        <f t="shared" si="25"/>
        <v>15.102991581038765</v>
      </c>
      <c r="G17" s="63">
        <f t="shared" si="25"/>
        <v>17.238142588526067</v>
      </c>
      <c r="H17" s="63">
        <f t="shared" si="25"/>
        <v>18.967284161581901</v>
      </c>
      <c r="I17" s="63">
        <f t="shared" si="25"/>
        <v>20.20221499504467</v>
      </c>
      <c r="J17" s="63">
        <f t="shared" si="25"/>
        <v>21.433009665614723</v>
      </c>
      <c r="K17" s="63">
        <f t="shared" si="25"/>
        <v>22.154789009532387</v>
      </c>
      <c r="L17" s="63">
        <f t="shared" si="25"/>
        <v>22.682556001166628</v>
      </c>
      <c r="M17" s="63">
        <f t="shared" si="25"/>
        <v>22.990182648171857</v>
      </c>
      <c r="N17" s="63">
        <f t="shared" si="25"/>
        <v>23.464224289235673</v>
      </c>
      <c r="O17" s="63">
        <f t="shared" si="25"/>
        <v>24.491894727718837</v>
      </c>
      <c r="P17" s="63">
        <f t="shared" si="25"/>
        <v>25.919420461674179</v>
      </c>
      <c r="Q17" s="63">
        <f t="shared" si="25"/>
        <v>28.527418424455224</v>
      </c>
      <c r="R17" s="63">
        <f t="shared" si="25"/>
        <v>29.614538460269952</v>
      </c>
      <c r="S17" s="63">
        <f t="shared" si="25"/>
        <v>30.778332250100508</v>
      </c>
      <c r="T17" s="63">
        <f t="shared" si="25"/>
        <v>31.873541668159159</v>
      </c>
      <c r="U17" s="63">
        <f t="shared" si="25"/>
        <v>32.83723312786546</v>
      </c>
      <c r="V17" s="63">
        <f t="shared" si="25"/>
        <v>33.452159586955979</v>
      </c>
      <c r="W17" s="63">
        <f t="shared" si="25"/>
        <v>33.943739705424044</v>
      </c>
      <c r="X17" s="63">
        <f t="shared" ref="X17:Y17" si="26">X25*X57/1000</f>
        <v>34.42929430975046</v>
      </c>
      <c r="Y17" s="63">
        <f t="shared" si="26"/>
        <v>35.687542388733824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0.81921241562048031</v>
      </c>
      <c r="C20" s="181">
        <v>0.88608784534280771</v>
      </c>
      <c r="D20" s="181">
        <v>0.93213056677672201</v>
      </c>
      <c r="E20" s="181">
        <v>0.97268842297944724</v>
      </c>
      <c r="F20" s="181">
        <v>1.0048050994853135</v>
      </c>
      <c r="G20" s="181">
        <v>1.0678183202054001</v>
      </c>
      <c r="H20" s="181">
        <v>1.1258460387706435</v>
      </c>
      <c r="I20" s="181">
        <v>1.1817116589140391</v>
      </c>
      <c r="J20" s="181">
        <v>1.284085768404601</v>
      </c>
      <c r="K20" s="181">
        <v>1.3285065366286448</v>
      </c>
      <c r="L20" s="181">
        <v>1.3748263347707776</v>
      </c>
      <c r="M20" s="181">
        <v>1.4423825232438281</v>
      </c>
      <c r="N20" s="181">
        <v>1.5403238131763723</v>
      </c>
      <c r="O20" s="181">
        <v>1.617957287439074</v>
      </c>
      <c r="P20" s="181">
        <v>1.7242296646148811</v>
      </c>
      <c r="Q20" s="181">
        <v>1.8436436476980373</v>
      </c>
      <c r="R20" s="181">
        <v>1.9537370700248207</v>
      </c>
      <c r="S20" s="181">
        <v>2.0707674450866937</v>
      </c>
      <c r="T20" s="181">
        <v>2.188867469574336</v>
      </c>
      <c r="U20" s="181">
        <v>2.3053774471552599</v>
      </c>
      <c r="V20" s="181">
        <v>2.4211614822646048</v>
      </c>
      <c r="W20" s="181">
        <v>2.5341807777045395</v>
      </c>
      <c r="X20" s="181">
        <v>2.6228038753422092</v>
      </c>
      <c r="Y20" s="181">
        <v>2.6980770291377358</v>
      </c>
      <c r="DA20" s="190" t="s">
        <v>922</v>
      </c>
    </row>
    <row r="21" spans="1:105" ht="12" customHeight="1" x14ac:dyDescent="0.25">
      <c r="A21" s="131" t="s">
        <v>156</v>
      </c>
      <c r="B21" s="181">
        <v>32.178558983597426</v>
      </c>
      <c r="C21" s="181">
        <v>32.740863346257335</v>
      </c>
      <c r="D21" s="181">
        <v>33.308378335010985</v>
      </c>
      <c r="E21" s="181">
        <v>34.011951764746328</v>
      </c>
      <c r="F21" s="181">
        <v>34.711538239767343</v>
      </c>
      <c r="G21" s="181">
        <v>35.421706618415612</v>
      </c>
      <c r="H21" s="181">
        <v>36.227299435474997</v>
      </c>
      <c r="I21" s="181">
        <v>37.096019924553218</v>
      </c>
      <c r="J21" s="181">
        <v>38.171026659458995</v>
      </c>
      <c r="K21" s="181">
        <v>39.350652747031894</v>
      </c>
      <c r="L21" s="181">
        <v>40.51269274979277</v>
      </c>
      <c r="M21" s="181">
        <v>42.001197421358775</v>
      </c>
      <c r="N21" s="181">
        <v>43.933856677627539</v>
      </c>
      <c r="O21" s="181">
        <v>46.037097502796627</v>
      </c>
      <c r="P21" s="181">
        <v>48.665996028125534</v>
      </c>
      <c r="Q21" s="181">
        <v>51.919272282700135</v>
      </c>
      <c r="R21" s="181">
        <v>54.976581288116158</v>
      </c>
      <c r="S21" s="181">
        <v>58.028055033918456</v>
      </c>
      <c r="T21" s="181">
        <v>61.103606160532813</v>
      </c>
      <c r="U21" s="181">
        <v>64.140025162215792</v>
      </c>
      <c r="V21" s="181">
        <v>67.066303268423155</v>
      </c>
      <c r="W21" s="181">
        <v>69.806752319558456</v>
      </c>
      <c r="X21" s="181">
        <v>72.229956140618398</v>
      </c>
      <c r="Y21" s="181">
        <v>76.666772540558071</v>
      </c>
      <c r="DA21" s="190" t="s">
        <v>923</v>
      </c>
    </row>
    <row r="22" spans="1:105" ht="12" customHeight="1" x14ac:dyDescent="0.25">
      <c r="A22" s="131" t="s">
        <v>160</v>
      </c>
      <c r="B22" s="181">
        <v>0.3535420141464643</v>
      </c>
      <c r="C22" s="181">
        <v>0.37514877670949182</v>
      </c>
      <c r="D22" s="181">
        <v>0.39253965827983367</v>
      </c>
      <c r="E22" s="181">
        <v>0.40538215896566315</v>
      </c>
      <c r="F22" s="181">
        <v>0.41703496663691048</v>
      </c>
      <c r="G22" s="181">
        <v>0.44306922660297465</v>
      </c>
      <c r="H22" s="181">
        <v>0.46639630450374137</v>
      </c>
      <c r="I22" s="181">
        <v>0.49271325799728294</v>
      </c>
      <c r="J22" s="181">
        <v>0.53371055515170285</v>
      </c>
      <c r="K22" s="181">
        <v>0.55218482803463398</v>
      </c>
      <c r="L22" s="181">
        <v>0.57935676388392932</v>
      </c>
      <c r="M22" s="181">
        <v>0.6136194481097621</v>
      </c>
      <c r="N22" s="181">
        <v>0.66908738173038818</v>
      </c>
      <c r="O22" s="181">
        <v>0.71557866671553594</v>
      </c>
      <c r="P22" s="181">
        <v>0.77409586088339999</v>
      </c>
      <c r="Q22" s="181">
        <v>0.8433832750760456</v>
      </c>
      <c r="R22" s="181">
        <v>0.89009583424898142</v>
      </c>
      <c r="S22" s="181">
        <v>0.93994540667329973</v>
      </c>
      <c r="T22" s="181">
        <v>0.9894895597551131</v>
      </c>
      <c r="U22" s="181">
        <v>1.0369863695078823</v>
      </c>
      <c r="V22" s="181">
        <v>1.0817905732310071</v>
      </c>
      <c r="W22" s="181">
        <v>1.1212809743750849</v>
      </c>
      <c r="X22" s="181">
        <v>1.1548388609746731</v>
      </c>
      <c r="Y22" s="181">
        <v>1.1850843789932763</v>
      </c>
      <c r="DA22" s="190" t="s">
        <v>924</v>
      </c>
    </row>
    <row r="23" spans="1:105" ht="12" customHeight="1" x14ac:dyDescent="0.25">
      <c r="A23" s="131" t="s">
        <v>172</v>
      </c>
      <c r="B23" s="181">
        <v>9.2676396191369115</v>
      </c>
      <c r="C23" s="181">
        <v>9.7738542981105727</v>
      </c>
      <c r="D23" s="181">
        <v>10.117508238360395</v>
      </c>
      <c r="E23" s="181">
        <v>10.475460544985815</v>
      </c>
      <c r="F23" s="181">
        <v>10.835739355004074</v>
      </c>
      <c r="G23" s="181">
        <v>11.250503861667125</v>
      </c>
      <c r="H23" s="181">
        <v>11.658746294023489</v>
      </c>
      <c r="I23" s="181">
        <v>12.060765073347305</v>
      </c>
      <c r="J23" s="181">
        <v>12.541260033922111</v>
      </c>
      <c r="K23" s="181">
        <v>13.067898990058398</v>
      </c>
      <c r="L23" s="181">
        <v>13.627777833639312</v>
      </c>
      <c r="M23" s="181">
        <v>14.047980860941292</v>
      </c>
      <c r="N23" s="181">
        <v>14.500152306628033</v>
      </c>
      <c r="O23" s="181">
        <v>15.080050654269199</v>
      </c>
      <c r="P23" s="181">
        <v>15.751357037796264</v>
      </c>
      <c r="Q23" s="181">
        <v>16.554483681121326</v>
      </c>
      <c r="R23" s="181">
        <v>17.092167137016116</v>
      </c>
      <c r="S23" s="181">
        <v>17.61802764067825</v>
      </c>
      <c r="T23" s="181">
        <v>18.145960893717898</v>
      </c>
      <c r="U23" s="181">
        <v>18.659318477141177</v>
      </c>
      <c r="V23" s="181">
        <v>19.14153994033153</v>
      </c>
      <c r="W23" s="181">
        <v>19.573490041391754</v>
      </c>
      <c r="X23" s="181">
        <v>20.003086739866184</v>
      </c>
      <c r="Y23" s="181">
        <v>21.048106374738811</v>
      </c>
      <c r="DA23" s="190" t="s">
        <v>925</v>
      </c>
    </row>
    <row r="24" spans="1:105" ht="12" customHeight="1" x14ac:dyDescent="0.25">
      <c r="A24" s="60" t="s">
        <v>159</v>
      </c>
      <c r="B24" s="36">
        <v>0.27578118980299632</v>
      </c>
      <c r="C24" s="36">
        <v>0.30273792257963861</v>
      </c>
      <c r="D24" s="36">
        <v>0.32837443133821842</v>
      </c>
      <c r="E24" s="36">
        <v>0.35165159119679201</v>
      </c>
      <c r="F24" s="36">
        <v>0.37759307388226043</v>
      </c>
      <c r="G24" s="36">
        <v>0.42142015181760129</v>
      </c>
      <c r="H24" s="36">
        <v>0.45648279474949482</v>
      </c>
      <c r="I24" s="36">
        <v>0.49233621546538303</v>
      </c>
      <c r="J24" s="36">
        <v>0.54448502770802631</v>
      </c>
      <c r="K24" s="36">
        <v>0.56490600941527502</v>
      </c>
      <c r="L24" s="36">
        <v>0.58041904650978138</v>
      </c>
      <c r="M24" s="36">
        <v>0.6040299279952871</v>
      </c>
      <c r="N24" s="36">
        <v>0.64088322039693402</v>
      </c>
      <c r="O24" s="36">
        <v>0.66715123333950643</v>
      </c>
      <c r="P24" s="36">
        <v>0.70256822734245017</v>
      </c>
      <c r="Q24" s="36">
        <v>0.73346516462391487</v>
      </c>
      <c r="R24" s="36">
        <v>0.77335320229980142</v>
      </c>
      <c r="S24" s="36">
        <v>0.81575834885667198</v>
      </c>
      <c r="T24" s="36">
        <v>0.85828101949397262</v>
      </c>
      <c r="U24" s="36">
        <v>0.89983361417684304</v>
      </c>
      <c r="V24" s="36">
        <v>0.94065921754897108</v>
      </c>
      <c r="W24" s="36">
        <v>0.97973487449120622</v>
      </c>
      <c r="X24" s="36">
        <v>1.0161772212532543</v>
      </c>
      <c r="Y24" s="36">
        <v>1.0503292979381595</v>
      </c>
      <c r="DA24" s="89" t="s">
        <v>926</v>
      </c>
    </row>
    <row r="25" spans="1:105" ht="12" customHeight="1" x14ac:dyDescent="0.25">
      <c r="A25" s="62" t="s">
        <v>157</v>
      </c>
      <c r="B25" s="38">
        <v>19.993363604675459</v>
      </c>
      <c r="C25" s="38">
        <v>25.985476323585559</v>
      </c>
      <c r="D25" s="38">
        <v>31.965906549201126</v>
      </c>
      <c r="E25" s="38">
        <v>38.208525822889968</v>
      </c>
      <c r="F25" s="38">
        <v>45.261679481905546</v>
      </c>
      <c r="G25" s="38">
        <v>53.561419161384059</v>
      </c>
      <c r="H25" s="38">
        <v>62.084120244654315</v>
      </c>
      <c r="I25" s="38">
        <v>69.244790321432859</v>
      </c>
      <c r="J25" s="38">
        <v>77.084703535222303</v>
      </c>
      <c r="K25" s="38">
        <v>83.871420031765282</v>
      </c>
      <c r="L25" s="38">
        <v>91.117436872431085</v>
      </c>
      <c r="M25" s="38">
        <v>100.33098478759266</v>
      </c>
      <c r="N25" s="38">
        <v>109.74414091270151</v>
      </c>
      <c r="O25" s="38">
        <v>121.85652367610712</v>
      </c>
      <c r="P25" s="38">
        <v>134.54682847894847</v>
      </c>
      <c r="Q25" s="38">
        <v>152.33179593232413</v>
      </c>
      <c r="R25" s="38">
        <v>161.48425162066218</v>
      </c>
      <c r="S25" s="38">
        <v>170.62814886920683</v>
      </c>
      <c r="T25" s="38">
        <v>179.77302160889485</v>
      </c>
      <c r="U25" s="38">
        <v>188.79055452503871</v>
      </c>
      <c r="V25" s="38">
        <v>197.41595872060432</v>
      </c>
      <c r="W25" s="38">
        <v>205.51275996205018</v>
      </c>
      <c r="X25" s="38">
        <v>213.12309834249447</v>
      </c>
      <c r="Y25" s="38">
        <v>225.94511625028716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0.10240739782730046</v>
      </c>
      <c r="D28" s="182">
        <v>8.2579732373310177E-2</v>
      </c>
      <c r="E28" s="182">
        <v>7.8128338210410431E-2</v>
      </c>
      <c r="F28" s="182">
        <v>7.0749861925197055E-2</v>
      </c>
      <c r="G28" s="182">
        <v>0.10273916874862377</v>
      </c>
      <c r="H28" s="182">
        <v>9.8877338642814783E-2</v>
      </c>
      <c r="I28" s="182">
        <v>9.787069600170395E-2</v>
      </c>
      <c r="J28" s="182">
        <v>0.1455673238830506</v>
      </c>
      <c r="K28" s="182">
        <v>8.8835728355260102E-2</v>
      </c>
      <c r="L28" s="182">
        <v>9.1991061816377728E-2</v>
      </c>
      <c r="M28" s="182">
        <v>0.1145192909826569</v>
      </c>
      <c r="N28" s="182">
        <v>0.14623277170670779</v>
      </c>
      <c r="O28" s="182">
        <v>0.12729090929837295</v>
      </c>
      <c r="P28" s="182">
        <v>0.1573344022727714</v>
      </c>
      <c r="Q28" s="182">
        <v>0.17192032790604173</v>
      </c>
      <c r="R28" s="182">
        <v>0.16408494031739407</v>
      </c>
      <c r="S28" s="182">
        <v>0.17254907522589358</v>
      </c>
      <c r="T28" s="182">
        <v>0.1751891040804483</v>
      </c>
      <c r="U28" s="182">
        <v>0.21891737540822431</v>
      </c>
      <c r="V28" s="182">
        <v>0.19836376748265483</v>
      </c>
      <c r="W28" s="182">
        <v>0.19114763365034504</v>
      </c>
      <c r="X28" s="182">
        <v>0.15937295956286679</v>
      </c>
      <c r="Y28" s="182">
        <v>0.17801232254415034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4.5989253383571125</v>
      </c>
      <c r="D29" s="182">
        <v>4.7778918360530724</v>
      </c>
      <c r="E29" s="182">
        <v>5.09518544954188</v>
      </c>
      <c r="F29" s="182">
        <v>5.2802349138607951</v>
      </c>
      <c r="G29" s="182">
        <v>5.4879902867797696</v>
      </c>
      <c r="H29" s="182">
        <v>5.7890755031053089</v>
      </c>
      <c r="I29" s="182">
        <v>6.066716596855283</v>
      </c>
      <c r="J29" s="182">
        <v>5.6739320732628897</v>
      </c>
      <c r="K29" s="182">
        <v>5.9575179236259714</v>
      </c>
      <c r="L29" s="182">
        <v>6.2572254523027553</v>
      </c>
      <c r="M29" s="182">
        <v>6.7687395854268004</v>
      </c>
      <c r="N29" s="182">
        <v>7.4206495430485333</v>
      </c>
      <c r="O29" s="182">
        <v>7.8923163282743971</v>
      </c>
      <c r="P29" s="182">
        <v>8.6956151221841935</v>
      </c>
      <c r="Q29" s="182">
        <v>8.9272083278374907</v>
      </c>
      <c r="R29" s="182">
        <v>9.0148269290419947</v>
      </c>
      <c r="S29" s="182">
        <v>9.3086991981050531</v>
      </c>
      <c r="T29" s="182">
        <v>9.8442907120411576</v>
      </c>
      <c r="U29" s="182">
        <v>10.457068544731513</v>
      </c>
      <c r="V29" s="182">
        <v>10.81859443448176</v>
      </c>
      <c r="W29" s="182">
        <v>11.436064173319494</v>
      </c>
      <c r="X29" s="182">
        <v>11.350412148897433</v>
      </c>
      <c r="Y29" s="182">
        <v>13.451643328981667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7.6818039123031423E-2</v>
      </c>
      <c r="D30" s="182">
        <v>7.4036456111892357E-2</v>
      </c>
      <c r="E30" s="182">
        <v>7.0959633906886255E-2</v>
      </c>
      <c r="F30" s="182">
        <v>7.1279728241300466E-2</v>
      </c>
      <c r="G30" s="182">
        <v>8.7210189672439709E-2</v>
      </c>
      <c r="H30" s="182">
        <v>8.6092257448191101E-2</v>
      </c>
      <c r="I30" s="182">
        <v>0.103134992616573</v>
      </c>
      <c r="J30" s="182">
        <v>0.11503375326631227</v>
      </c>
      <c r="K30" s="182">
        <v>8.9433906789817386E-2</v>
      </c>
      <c r="L30" s="182">
        <v>9.8451664090595803E-2</v>
      </c>
      <c r="M30" s="182">
        <v>0.12147287389827249</v>
      </c>
      <c r="N30" s="182">
        <v>0.14156019106881712</v>
      </c>
      <c r="O30" s="182">
        <v>0.14962627760172076</v>
      </c>
      <c r="P30" s="182">
        <v>0.17355094743417632</v>
      </c>
      <c r="Q30" s="182">
        <v>0.15872132098246305</v>
      </c>
      <c r="R30" s="182">
        <v>0.14516422326353162</v>
      </c>
      <c r="S30" s="182">
        <v>0.17132244632259086</v>
      </c>
      <c r="T30" s="182">
        <v>0.19110434415063049</v>
      </c>
      <c r="U30" s="182">
        <v>0.19712308735448991</v>
      </c>
      <c r="V30" s="182">
        <v>0.2183551511573012</v>
      </c>
      <c r="W30" s="182">
        <v>0.19821172212654081</v>
      </c>
      <c r="X30" s="182">
        <v>0.17872210986311987</v>
      </c>
      <c r="Y30" s="182">
        <v>0.20156796434119406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1.3484865193075546</v>
      </c>
      <c r="D31" s="182">
        <v>1.2036675506119892</v>
      </c>
      <c r="E31" s="182">
        <v>1.2360814029453984</v>
      </c>
      <c r="F31" s="182">
        <v>1.2569049802471408</v>
      </c>
      <c r="G31" s="182">
        <v>1.3302773765911962</v>
      </c>
      <c r="H31" s="182">
        <v>1.3430398349239354</v>
      </c>
      <c r="I31" s="182">
        <v>1.3565069274977049</v>
      </c>
      <c r="J31" s="182">
        <v>1.4550886238670682</v>
      </c>
      <c r="K31" s="182">
        <v>1.5217616408407917</v>
      </c>
      <c r="L31" s="182">
        <v>1.5759629768065349</v>
      </c>
      <c r="M31" s="182">
        <v>1.7686895466095347</v>
      </c>
      <c r="N31" s="182">
        <v>1.6558389962987299</v>
      </c>
      <c r="O31" s="182">
        <v>1.815979750586564</v>
      </c>
      <c r="P31" s="182">
        <v>1.9282113637742064</v>
      </c>
      <c r="Q31" s="182">
        <v>2.1334040199162576</v>
      </c>
      <c r="R31" s="182">
        <v>1.8807232908187252</v>
      </c>
      <c r="S31" s="182">
        <v>1.8823674311598388</v>
      </c>
      <c r="T31" s="182">
        <v>1.9830218769067187</v>
      </c>
      <c r="U31" s="182">
        <v>2.0351192242640721</v>
      </c>
      <c r="V31" s="182">
        <v>2.0581844399968894</v>
      </c>
      <c r="W31" s="182">
        <v>2.2006396476697567</v>
      </c>
      <c r="X31" s="182">
        <v>2.0854356947731603</v>
      </c>
      <c r="Y31" s="182">
        <v>2.8609993854591913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3.4811657979574417E-2</v>
      </c>
      <c r="D32" s="41">
        <v>3.4375360289225387E-2</v>
      </c>
      <c r="E32" s="41">
        <v>3.299940725135081E-2</v>
      </c>
      <c r="F32" s="41">
        <v>3.6757788928330037E-2</v>
      </c>
      <c r="G32" s="41">
        <v>5.5860559085623374E-2</v>
      </c>
      <c r="H32" s="41">
        <v>4.8450269478596597E-2</v>
      </c>
      <c r="I32" s="41">
        <v>5.0747576639320224E-2</v>
      </c>
      <c r="J32" s="41">
        <v>6.8719029517350372E-2</v>
      </c>
      <c r="K32" s="41">
        <v>3.8855869991118119E-2</v>
      </c>
      <c r="L32" s="41">
        <v>3.6022430568633412E-2</v>
      </c>
      <c r="M32" s="41">
        <v>4.6428227281119949E-2</v>
      </c>
      <c r="N32" s="41">
        <v>6.2238307800245529E-2</v>
      </c>
      <c r="O32" s="41">
        <v>5.4509641594707392E-2</v>
      </c>
      <c r="P32" s="41">
        <v>6.6836694814672248E-2</v>
      </c>
      <c r="Q32" s="41">
        <v>6.5852343404047109E-2</v>
      </c>
      <c r="R32" s="41">
        <v>7.4699695655460974E-2</v>
      </c>
      <c r="S32" s="41">
        <v>7.6780506846095942E-2</v>
      </c>
      <c r="T32" s="41">
        <v>7.5522077888651507E-2</v>
      </c>
      <c r="U32" s="41">
        <v>7.8310383611200463E-2</v>
      </c>
      <c r="V32" s="41">
        <v>9.6686162457751412E-2</v>
      </c>
      <c r="W32" s="41">
        <v>8.7525926420831679E-2</v>
      </c>
      <c r="X32" s="41">
        <v>8.7189923401368219E-2</v>
      </c>
      <c r="Y32" s="41">
        <v>0.10287110620225559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9.9907854398451921</v>
      </c>
      <c r="D33" s="42">
        <v>9.9791029465506575</v>
      </c>
      <c r="E33" s="42">
        <v>10.241291994623936</v>
      </c>
      <c r="F33" s="42">
        <v>11.051826379950668</v>
      </c>
      <c r="G33" s="42">
        <v>12.298412400413604</v>
      </c>
      <c r="H33" s="42">
        <v>18.513486523115446</v>
      </c>
      <c r="I33" s="42">
        <v>17.139773023329198</v>
      </c>
      <c r="J33" s="42">
        <v>18.08120520841338</v>
      </c>
      <c r="K33" s="42">
        <v>17.838542876493648</v>
      </c>
      <c r="L33" s="42">
        <v>19.544429241079399</v>
      </c>
      <c r="M33" s="42">
        <v>27.727034438277016</v>
      </c>
      <c r="N33" s="42">
        <v>26.552929148438054</v>
      </c>
      <c r="O33" s="42">
        <v>30.193587971818985</v>
      </c>
      <c r="P33" s="42">
        <v>30.528847679335001</v>
      </c>
      <c r="Q33" s="42">
        <v>37.329396694455056</v>
      </c>
      <c r="R33" s="42">
        <v>36.879490126615067</v>
      </c>
      <c r="S33" s="42">
        <v>35.696826396982715</v>
      </c>
      <c r="T33" s="42">
        <v>39.338460711507025</v>
      </c>
      <c r="U33" s="42">
        <v>39.546380595478865</v>
      </c>
      <c r="V33" s="42">
        <v>45.954800890020664</v>
      </c>
      <c r="W33" s="42">
        <v>44.976291368060942</v>
      </c>
      <c r="X33" s="42">
        <v>43.307164777427005</v>
      </c>
      <c r="Y33" s="42">
        <v>52.16047861929971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3.5531968104973055E-2</v>
      </c>
      <c r="D36" s="182">
        <v>3.6537010939395875E-2</v>
      </c>
      <c r="E36" s="182">
        <v>3.7570482007685202E-2</v>
      </c>
      <c r="F36" s="182">
        <v>3.8633185419330918E-2</v>
      </c>
      <c r="G36" s="182">
        <v>3.9725948028537017E-2</v>
      </c>
      <c r="H36" s="182">
        <v>4.0849620077571425E-2</v>
      </c>
      <c r="I36" s="182">
        <v>4.2005075858308372E-2</v>
      </c>
      <c r="J36" s="182">
        <v>4.3193214392488688E-2</v>
      </c>
      <c r="K36" s="182">
        <v>4.4414960131216263E-2</v>
      </c>
      <c r="L36" s="182">
        <v>4.56712636742449E-2</v>
      </c>
      <c r="M36" s="182">
        <v>4.6963102509606447E-2</v>
      </c>
      <c r="N36" s="182">
        <v>4.8291481774163536E-2</v>
      </c>
      <c r="O36" s="182">
        <v>4.9657435035671327E-2</v>
      </c>
      <c r="P36" s="182">
        <v>5.1062025096964225E-2</v>
      </c>
      <c r="Q36" s="182">
        <v>5.250634482288552E-2</v>
      </c>
      <c r="R36" s="182">
        <v>5.3991517990610527E-2</v>
      </c>
      <c r="S36" s="182">
        <v>5.5518700164020274E-2</v>
      </c>
      <c r="T36" s="182">
        <v>5.7089079592806069E-2</v>
      </c>
      <c r="U36" s="182">
        <v>0.10240739782730035</v>
      </c>
      <c r="V36" s="182">
        <v>8.2579732373309955E-2</v>
      </c>
      <c r="W36" s="182">
        <v>7.812833821041032E-2</v>
      </c>
      <c r="X36" s="182">
        <v>7.0749861925197166E-2</v>
      </c>
      <c r="Y36" s="182">
        <v>0.10273916874862365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4.036620975697204</v>
      </c>
      <c r="D37" s="182">
        <v>4.2103768472994219</v>
      </c>
      <c r="E37" s="182">
        <v>4.3916120198065371</v>
      </c>
      <c r="F37" s="182">
        <v>4.5806484388397806</v>
      </c>
      <c r="G37" s="182">
        <v>4.7778219081315001</v>
      </c>
      <c r="H37" s="182">
        <v>4.9834826860459245</v>
      </c>
      <c r="I37" s="182">
        <v>5.1979961077770582</v>
      </c>
      <c r="J37" s="182">
        <v>4.5989253383571125</v>
      </c>
      <c r="K37" s="182">
        <v>4.7778918360530724</v>
      </c>
      <c r="L37" s="182">
        <v>5.09518544954188</v>
      </c>
      <c r="M37" s="182">
        <v>5.2802349138607951</v>
      </c>
      <c r="N37" s="182">
        <v>5.4879902867797696</v>
      </c>
      <c r="O37" s="182">
        <v>5.7890755031053089</v>
      </c>
      <c r="P37" s="182">
        <v>6.0667165968552865</v>
      </c>
      <c r="Q37" s="182">
        <v>5.6739320732628897</v>
      </c>
      <c r="R37" s="182">
        <v>5.9575179236259714</v>
      </c>
      <c r="S37" s="182">
        <v>6.2572254523027553</v>
      </c>
      <c r="T37" s="182">
        <v>6.7687395854268075</v>
      </c>
      <c r="U37" s="182">
        <v>7.4206495430485262</v>
      </c>
      <c r="V37" s="182">
        <v>7.8923163282744042</v>
      </c>
      <c r="W37" s="182">
        <v>8.6956151221841935</v>
      </c>
      <c r="X37" s="182">
        <v>8.9272083278374907</v>
      </c>
      <c r="Y37" s="182">
        <v>9.0148269290419876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5.5211276560003908E-2</v>
      </c>
      <c r="D38" s="182">
        <v>5.6645574541550503E-2</v>
      </c>
      <c r="E38" s="182">
        <v>5.8117133221056771E-2</v>
      </c>
      <c r="F38" s="182">
        <v>5.9626920570053143E-2</v>
      </c>
      <c r="G38" s="182">
        <v>6.1175929706375531E-2</v>
      </c>
      <c r="H38" s="182">
        <v>6.2765179547424443E-2</v>
      </c>
      <c r="I38" s="182">
        <v>7.6818039123031423E-2</v>
      </c>
      <c r="J38" s="182">
        <v>7.4036456111892357E-2</v>
      </c>
      <c r="K38" s="182">
        <v>7.095963390688631E-2</v>
      </c>
      <c r="L38" s="182">
        <v>7.1279728241300466E-2</v>
      </c>
      <c r="M38" s="182">
        <v>8.7210189672439764E-2</v>
      </c>
      <c r="N38" s="182">
        <v>8.6092257448191045E-2</v>
      </c>
      <c r="O38" s="182">
        <v>0.103134992616573</v>
      </c>
      <c r="P38" s="182">
        <v>0.11503375326631227</v>
      </c>
      <c r="Q38" s="182">
        <v>8.9433906789817441E-2</v>
      </c>
      <c r="R38" s="182">
        <v>9.8451664090595803E-2</v>
      </c>
      <c r="S38" s="182">
        <v>0.12147287389827266</v>
      </c>
      <c r="T38" s="182">
        <v>0.14156019106881701</v>
      </c>
      <c r="U38" s="182">
        <v>0.14962627760172076</v>
      </c>
      <c r="V38" s="182">
        <v>0.17355094743417632</v>
      </c>
      <c r="W38" s="182">
        <v>0.15872132098246294</v>
      </c>
      <c r="X38" s="182">
        <v>0.14516422326353151</v>
      </c>
      <c r="Y38" s="182">
        <v>0.17132244632259086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0.84227184033389335</v>
      </c>
      <c r="D39" s="182">
        <v>0.8600136103621665</v>
      </c>
      <c r="E39" s="182">
        <v>0.87812909631997904</v>
      </c>
      <c r="F39" s="182">
        <v>0.89662617022888114</v>
      </c>
      <c r="G39" s="182">
        <v>0.91551286992814518</v>
      </c>
      <c r="H39" s="182">
        <v>0.93479740256757182</v>
      </c>
      <c r="I39" s="182">
        <v>0.95448814817388872</v>
      </c>
      <c r="J39" s="182">
        <v>0.97459366329226249</v>
      </c>
      <c r="K39" s="182">
        <v>0.99512268470450493</v>
      </c>
      <c r="L39" s="182">
        <v>1.0160841332256201</v>
      </c>
      <c r="M39" s="182">
        <v>1.3484865193075546</v>
      </c>
      <c r="N39" s="182">
        <v>1.2036675506119892</v>
      </c>
      <c r="O39" s="182">
        <v>1.2360814029453966</v>
      </c>
      <c r="P39" s="182">
        <v>1.256904980247139</v>
      </c>
      <c r="Q39" s="182">
        <v>1.3302773765911979</v>
      </c>
      <c r="R39" s="182">
        <v>1.3430398349239354</v>
      </c>
      <c r="S39" s="182">
        <v>1.3565069274977049</v>
      </c>
      <c r="T39" s="182">
        <v>1.4550886238670699</v>
      </c>
      <c r="U39" s="182">
        <v>1.5217616408407935</v>
      </c>
      <c r="V39" s="182">
        <v>1.5759629768065366</v>
      </c>
      <c r="W39" s="182">
        <v>1.7686895466095329</v>
      </c>
      <c r="X39" s="182">
        <v>1.6558389962987299</v>
      </c>
      <c r="Y39" s="182">
        <v>1.815979750586564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7.8549252029321281E-3</v>
      </c>
      <c r="D40" s="41">
        <v>8.738851530645575E-3</v>
      </c>
      <c r="E40" s="41">
        <v>9.7222473927772168E-3</v>
      </c>
      <c r="F40" s="41">
        <v>1.0816306242861617E-2</v>
      </c>
      <c r="G40" s="41">
        <v>1.2033481150282521E-2</v>
      </c>
      <c r="H40" s="41">
        <v>1.3387626546703058E-2</v>
      </c>
      <c r="I40" s="41">
        <v>1.4894155923432073E-2</v>
      </c>
      <c r="J40" s="41">
        <v>1.6570217274707089E-2</v>
      </c>
      <c r="K40" s="41">
        <v>1.8434888283869411E-2</v>
      </c>
      <c r="L40" s="41">
        <v>2.0509393474127058E-2</v>
      </c>
      <c r="M40" s="41">
        <v>2.281734579561423E-2</v>
      </c>
      <c r="N40" s="41">
        <v>2.5385015398598609E-2</v>
      </c>
      <c r="O40" s="41">
        <v>2.8241628652134976E-2</v>
      </c>
      <c r="P40" s="41">
        <v>3.1419700811728513E-2</v>
      </c>
      <c r="Q40" s="41">
        <v>3.4955406122582411E-2</v>
      </c>
      <c r="R40" s="41">
        <v>3.4811657979574417E-2</v>
      </c>
      <c r="S40" s="41">
        <v>3.4375360289225387E-2</v>
      </c>
      <c r="T40" s="41">
        <v>3.2999407251350865E-2</v>
      </c>
      <c r="U40" s="41">
        <v>3.6757788928330037E-2</v>
      </c>
      <c r="V40" s="41">
        <v>5.5860559085623374E-2</v>
      </c>
      <c r="W40" s="41">
        <v>4.8450269478596653E-2</v>
      </c>
      <c r="X40" s="41">
        <v>5.0747576639320169E-2</v>
      </c>
      <c r="Y40" s="41">
        <v>6.8719029517350316E-2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3.9986727209350903</v>
      </c>
      <c r="D41" s="42">
        <v>3.9986727209350867</v>
      </c>
      <c r="E41" s="42">
        <v>3.9986727209350903</v>
      </c>
      <c r="F41" s="42">
        <v>3.9986727209350903</v>
      </c>
      <c r="G41" s="42">
        <v>3.9986727209350903</v>
      </c>
      <c r="H41" s="42">
        <v>9.9907854398451832</v>
      </c>
      <c r="I41" s="42">
        <v>9.979102946550654</v>
      </c>
      <c r="J41" s="42">
        <v>10.241291994623936</v>
      </c>
      <c r="K41" s="42">
        <v>11.051826379950668</v>
      </c>
      <c r="L41" s="42">
        <v>12.298412400413596</v>
      </c>
      <c r="M41" s="42">
        <v>18.513486523115446</v>
      </c>
      <c r="N41" s="42">
        <v>17.139773023329198</v>
      </c>
      <c r="O41" s="42">
        <v>18.081205208413365</v>
      </c>
      <c r="P41" s="42">
        <v>17.838542876493648</v>
      </c>
      <c r="Q41" s="42">
        <v>19.544429241079399</v>
      </c>
      <c r="R41" s="42">
        <v>27.72703443827703</v>
      </c>
      <c r="S41" s="42">
        <v>26.552929148438068</v>
      </c>
      <c r="T41" s="42">
        <v>30.193587971818999</v>
      </c>
      <c r="U41" s="42">
        <v>30.528847679335001</v>
      </c>
      <c r="V41" s="42">
        <v>37.329396694455056</v>
      </c>
      <c r="W41" s="42">
        <v>36.879490126615082</v>
      </c>
      <c r="X41" s="42">
        <v>35.696826396982715</v>
      </c>
      <c r="Y41" s="42">
        <v>39.338460711507054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8759.9999999999982</v>
      </c>
      <c r="C44" s="184">
        <v>8759.9999999999964</v>
      </c>
      <c r="D44" s="184">
        <v>8760.0000000000018</v>
      </c>
      <c r="E44" s="184">
        <v>8759.9999999999964</v>
      </c>
      <c r="F44" s="184">
        <v>8759.9999999999982</v>
      </c>
      <c r="G44" s="184">
        <v>8760</v>
      </c>
      <c r="H44" s="184">
        <v>8759.9999999999982</v>
      </c>
      <c r="I44" s="184">
        <v>8759.9999999999964</v>
      </c>
      <c r="J44" s="184">
        <v>8759.9999999999982</v>
      </c>
      <c r="K44" s="184">
        <v>8760.0000000000018</v>
      </c>
      <c r="L44" s="184">
        <v>8760.0000000000018</v>
      </c>
      <c r="M44" s="184">
        <v>8760</v>
      </c>
      <c r="N44" s="184">
        <v>8759.9999999999982</v>
      </c>
      <c r="O44" s="184">
        <v>8759.9999999999964</v>
      </c>
      <c r="P44" s="184">
        <v>8760</v>
      </c>
      <c r="Q44" s="184">
        <v>8759.9999999999982</v>
      </c>
      <c r="R44" s="184">
        <v>8760</v>
      </c>
      <c r="S44" s="184">
        <v>8760</v>
      </c>
      <c r="T44" s="184">
        <v>8760</v>
      </c>
      <c r="U44" s="184">
        <v>8759.9999999999982</v>
      </c>
      <c r="V44" s="184">
        <v>8760</v>
      </c>
      <c r="W44" s="184">
        <v>8760</v>
      </c>
      <c r="X44" s="184">
        <v>8760</v>
      </c>
      <c r="Y44" s="184">
        <v>8760</v>
      </c>
      <c r="DA44" s="193" t="s">
        <v>940</v>
      </c>
    </row>
    <row r="45" spans="1:105" ht="12" customHeight="1" x14ac:dyDescent="0.25">
      <c r="A45" s="131" t="s">
        <v>6</v>
      </c>
      <c r="B45" s="184">
        <v>3674.1237279033226</v>
      </c>
      <c r="C45" s="184">
        <v>3678.1673814563082</v>
      </c>
      <c r="D45" s="184">
        <v>3681.3322459441401</v>
      </c>
      <c r="E45" s="184">
        <v>3689.2517388447473</v>
      </c>
      <c r="F45" s="184">
        <v>3695.221820825906</v>
      </c>
      <c r="G45" s="184">
        <v>3698.7407643920214</v>
      </c>
      <c r="H45" s="184">
        <v>3701.127009726903</v>
      </c>
      <c r="I45" s="184">
        <v>3708.340508030496</v>
      </c>
      <c r="J45" s="184">
        <v>3712.1894966164687</v>
      </c>
      <c r="K45" s="184">
        <v>3714.0748114710436</v>
      </c>
      <c r="L45" s="184">
        <v>3713.4963970242393</v>
      </c>
      <c r="M45" s="184">
        <v>3701.9094648770269</v>
      </c>
      <c r="N45" s="184">
        <v>3689.0490178237342</v>
      </c>
      <c r="O45" s="184">
        <v>3687.5339632858213</v>
      </c>
      <c r="P45" s="184">
        <v>3675.2520920537017</v>
      </c>
      <c r="Q45" s="184">
        <v>3659.5678904358874</v>
      </c>
      <c r="R45" s="184">
        <v>3620.0461513970085</v>
      </c>
      <c r="S45" s="184">
        <v>3614.8984130870458</v>
      </c>
      <c r="T45" s="184">
        <v>3630.6203133801305</v>
      </c>
      <c r="U45" s="184">
        <v>3649.8843284658547</v>
      </c>
      <c r="V45" s="184">
        <v>3624.917230756866</v>
      </c>
      <c r="W45" s="184">
        <v>3616.2211118206164</v>
      </c>
      <c r="X45" s="184">
        <v>3614.5990006385546</v>
      </c>
      <c r="Y45" s="184">
        <v>3612.9768894564932</v>
      </c>
      <c r="DA45" s="193" t="s">
        <v>941</v>
      </c>
    </row>
    <row r="46" spans="1:105" ht="12" customHeight="1" x14ac:dyDescent="0.25">
      <c r="A46" s="131" t="s">
        <v>5</v>
      </c>
      <c r="B46" s="184">
        <v>2238.2718060861298</v>
      </c>
      <c r="C46" s="184">
        <v>2249.1908031112607</v>
      </c>
      <c r="D46" s="184">
        <v>2265.2703361662866</v>
      </c>
      <c r="E46" s="184">
        <v>2280.6416365654668</v>
      </c>
      <c r="F46" s="184">
        <v>2286.9298230389268</v>
      </c>
      <c r="G46" s="184">
        <v>2301.6239433525589</v>
      </c>
      <c r="H46" s="184">
        <v>2313.4600091860734</v>
      </c>
      <c r="I46" s="184">
        <v>2325.2663419421228</v>
      </c>
      <c r="J46" s="184">
        <v>2336.4578861798659</v>
      </c>
      <c r="K46" s="184">
        <v>2350.3687187290961</v>
      </c>
      <c r="L46" s="184">
        <v>2360.8885776518591</v>
      </c>
      <c r="M46" s="184">
        <v>2368.8064598161641</v>
      </c>
      <c r="N46" s="184">
        <v>2380.5997892909809</v>
      </c>
      <c r="O46" s="184">
        <v>2395.0422521408577</v>
      </c>
      <c r="P46" s="184">
        <v>2415.3352105743706</v>
      </c>
      <c r="Q46" s="184">
        <v>2428.9423900355118</v>
      </c>
      <c r="R46" s="184">
        <v>2427.3048204909833</v>
      </c>
      <c r="S46" s="184">
        <v>2387.8574247812849</v>
      </c>
      <c r="T46" s="184">
        <v>2406.7484598769515</v>
      </c>
      <c r="U46" s="184">
        <v>2484.2956326421149</v>
      </c>
      <c r="V46" s="184">
        <v>2182.0705600067722</v>
      </c>
      <c r="W46" s="184">
        <v>2286.9082868979394</v>
      </c>
      <c r="X46" s="184">
        <v>2345.3648210621614</v>
      </c>
      <c r="Y46" s="184">
        <v>2374.5930881442723</v>
      </c>
      <c r="DA46" s="193" t="s">
        <v>942</v>
      </c>
    </row>
    <row r="47" spans="1:105" ht="12" customHeight="1" x14ac:dyDescent="0.25">
      <c r="A47" s="131" t="s">
        <v>171</v>
      </c>
      <c r="B47" s="184">
        <v>8760</v>
      </c>
      <c r="C47" s="184">
        <v>8759.9999999999982</v>
      </c>
      <c r="D47" s="184">
        <v>8759.9999999999964</v>
      </c>
      <c r="E47" s="184">
        <v>8759.9999999999945</v>
      </c>
      <c r="F47" s="184">
        <v>8759.9999999999982</v>
      </c>
      <c r="G47" s="184">
        <v>8759.9999999999964</v>
      </c>
      <c r="H47" s="184">
        <v>8760</v>
      </c>
      <c r="I47" s="184">
        <v>8760.0000000000018</v>
      </c>
      <c r="J47" s="184">
        <v>8760</v>
      </c>
      <c r="K47" s="184">
        <v>8760.0000000000018</v>
      </c>
      <c r="L47" s="184">
        <v>8760</v>
      </c>
      <c r="M47" s="184">
        <v>8759.9999999999964</v>
      </c>
      <c r="N47" s="184">
        <v>8759.9999999999982</v>
      </c>
      <c r="O47" s="184">
        <v>8759.9999999999982</v>
      </c>
      <c r="P47" s="184">
        <v>8759.9999999999945</v>
      </c>
      <c r="Q47" s="184">
        <v>8759.9999999999964</v>
      </c>
      <c r="R47" s="184">
        <v>8759.9999999999982</v>
      </c>
      <c r="S47" s="184">
        <v>8760</v>
      </c>
      <c r="T47" s="184">
        <v>8759.9999999999982</v>
      </c>
      <c r="U47" s="184">
        <v>8759.9999999999982</v>
      </c>
      <c r="V47" s="184">
        <v>8760.0000000000018</v>
      </c>
      <c r="W47" s="184">
        <v>8759.9999999999982</v>
      </c>
      <c r="X47" s="184">
        <v>8759.9999999999982</v>
      </c>
      <c r="Y47" s="184">
        <v>8759.9999999999982</v>
      </c>
      <c r="DA47" s="193" t="s">
        <v>943</v>
      </c>
    </row>
    <row r="48" spans="1:105" ht="12" customHeight="1" x14ac:dyDescent="0.25">
      <c r="A48" s="60" t="s">
        <v>4</v>
      </c>
      <c r="B48" s="44">
        <v>775.69521299019425</v>
      </c>
      <c r="C48" s="44">
        <v>779.40061755825809</v>
      </c>
      <c r="D48" s="44">
        <v>782.79884034740644</v>
      </c>
      <c r="E48" s="44">
        <v>785.93798473508173</v>
      </c>
      <c r="F48" s="44">
        <v>788.85560037567984</v>
      </c>
      <c r="G48" s="44">
        <v>791.58157013737821</v>
      </c>
      <c r="H48" s="44">
        <v>794.14007115885568</v>
      </c>
      <c r="I48" s="44">
        <v>796.55094534541695</v>
      </c>
      <c r="J48" s="44">
        <v>798.8306808743348</v>
      </c>
      <c r="K48" s="44">
        <v>800.99313025712172</v>
      </c>
      <c r="L48" s="44">
        <v>803.05004560041436</v>
      </c>
      <c r="M48" s="44">
        <v>804.35713965323941</v>
      </c>
      <c r="N48" s="44">
        <v>805.6053974430672</v>
      </c>
      <c r="O48" s="44">
        <v>806.79996823255885</v>
      </c>
      <c r="P48" s="44">
        <v>807.94535034284661</v>
      </c>
      <c r="Q48" s="44">
        <v>809.04549669804828</v>
      </c>
      <c r="R48" s="44">
        <v>800.34582474549597</v>
      </c>
      <c r="S48" s="44">
        <v>792.04362950661334</v>
      </c>
      <c r="T48" s="44">
        <v>791.47155527114126</v>
      </c>
      <c r="U48" s="44">
        <v>804.94198949672659</v>
      </c>
      <c r="V48" s="44">
        <v>707.01739145516524</v>
      </c>
      <c r="W48" s="44">
        <v>740.98608960416186</v>
      </c>
      <c r="X48" s="44">
        <v>773.80003356933616</v>
      </c>
      <c r="Y48" s="44">
        <v>790.20700555192332</v>
      </c>
      <c r="DA48" s="95" t="s">
        <v>944</v>
      </c>
    </row>
    <row r="49" spans="1:105" ht="12" customHeight="1" x14ac:dyDescent="0.25">
      <c r="A49" s="62" t="s">
        <v>3</v>
      </c>
      <c r="B49" s="185">
        <v>2346.4611783748196</v>
      </c>
      <c r="C49" s="185">
        <v>2325.0809861192888</v>
      </c>
      <c r="D49" s="185">
        <v>2337.5885000962448</v>
      </c>
      <c r="E49" s="185">
        <v>2350.8914872770006</v>
      </c>
      <c r="F49" s="185">
        <v>2361.6612459391445</v>
      </c>
      <c r="G49" s="185">
        <v>2359.5148369811932</v>
      </c>
      <c r="H49" s="185">
        <v>2368.7914471961894</v>
      </c>
      <c r="I49" s="185">
        <v>2385.8449380646184</v>
      </c>
      <c r="J49" s="185">
        <v>2399.6126168952969</v>
      </c>
      <c r="K49" s="185">
        <v>2424.3901224588626</v>
      </c>
      <c r="L49" s="185">
        <v>2457.3374702980514</v>
      </c>
      <c r="M49" s="185">
        <v>2485.3707667335771</v>
      </c>
      <c r="N49" s="185">
        <v>2504.9597692249467</v>
      </c>
      <c r="O49" s="185">
        <v>2501.9441447443096</v>
      </c>
      <c r="P49" s="185">
        <v>2493.2426406223112</v>
      </c>
      <c r="Q49" s="185">
        <v>2463.0013964527125</v>
      </c>
      <c r="R49" s="185">
        <v>2456.6534678722328</v>
      </c>
      <c r="S49" s="185">
        <v>2457.5407448714218</v>
      </c>
      <c r="T49" s="185">
        <v>2471.4498918311974</v>
      </c>
      <c r="U49" s="185">
        <v>2506.8518307066738</v>
      </c>
      <c r="V49" s="185">
        <v>2377.3952073228029</v>
      </c>
      <c r="W49" s="185">
        <v>2422.0915066655552</v>
      </c>
      <c r="X49" s="185">
        <v>2458.162313611042</v>
      </c>
      <c r="Y49" s="185">
        <v>2462.8565088266491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0.80321156643297298</v>
      </c>
      <c r="C52" s="180">
        <v>0.79313545560309573</v>
      </c>
      <c r="D52" s="180">
        <v>0.78487709950611351</v>
      </c>
      <c r="E52" s="180">
        <v>0.77694898956778902</v>
      </c>
      <c r="F52" s="180">
        <v>0.76959958754933167</v>
      </c>
      <c r="G52" s="180">
        <v>0.75932849720223339</v>
      </c>
      <c r="H52" s="180">
        <v>0.74950895233604276</v>
      </c>
      <c r="I52" s="180">
        <v>0.73985112024351229</v>
      </c>
      <c r="J52" s="180">
        <v>0.72676554550326622</v>
      </c>
      <c r="K52" s="180">
        <v>0.71787458852596653</v>
      </c>
      <c r="L52" s="180">
        <v>0.70845741552150054</v>
      </c>
      <c r="M52" s="180">
        <v>0.69711998644982542</v>
      </c>
      <c r="N52" s="180">
        <v>0.68336129341698182</v>
      </c>
      <c r="O52" s="180">
        <v>0.67085866175096687</v>
      </c>
      <c r="P52" s="180">
        <v>0.65638475380314343</v>
      </c>
      <c r="Q52" s="180">
        <v>0.64102002587712625</v>
      </c>
      <c r="R52" s="180">
        <v>0.62744630229641651</v>
      </c>
      <c r="S52" s="180">
        <v>0.61436785835341079</v>
      </c>
      <c r="T52" s="180">
        <v>0.60200477142407793</v>
      </c>
      <c r="U52" s="180">
        <v>0.58881297927645859</v>
      </c>
      <c r="V52" s="180">
        <v>0.57853445466367359</v>
      </c>
      <c r="W52" s="180">
        <v>0.5696538794442535</v>
      </c>
      <c r="X52" s="180">
        <v>0.56258217591622062</v>
      </c>
      <c r="Y52" s="180">
        <v>0.55428941000222243</v>
      </c>
      <c r="DA52" s="189" t="s">
        <v>946</v>
      </c>
    </row>
    <row r="53" spans="1:105" ht="12" customHeight="1" x14ac:dyDescent="0.25">
      <c r="A53" s="131" t="s">
        <v>100</v>
      </c>
      <c r="B53" s="180">
        <v>202.20034006462728</v>
      </c>
      <c r="C53" s="180">
        <v>200.29455268839695</v>
      </c>
      <c r="D53" s="180">
        <v>198.08731407510166</v>
      </c>
      <c r="E53" s="180">
        <v>195.4929795682811</v>
      </c>
      <c r="F53" s="180">
        <v>192.64624198369424</v>
      </c>
      <c r="G53" s="180">
        <v>189.34835199836218</v>
      </c>
      <c r="H53" s="180">
        <v>185.5212665083564</v>
      </c>
      <c r="I53" s="180">
        <v>181.20259879524349</v>
      </c>
      <c r="J53" s="180">
        <v>178.74063578958814</v>
      </c>
      <c r="K53" s="180">
        <v>175.96890554598843</v>
      </c>
      <c r="L53" s="180">
        <v>173.00760311766186</v>
      </c>
      <c r="M53" s="180">
        <v>169.58101983995979</v>
      </c>
      <c r="N53" s="180">
        <v>165.80265185468863</v>
      </c>
      <c r="O53" s="180">
        <v>161.4991066803484</v>
      </c>
      <c r="P53" s="180">
        <v>156.52114954512049</v>
      </c>
      <c r="Q53" s="180">
        <v>151.0936867233959</v>
      </c>
      <c r="R53" s="180">
        <v>145.29217096820526</v>
      </c>
      <c r="S53" s="180">
        <v>139.27027529356428</v>
      </c>
      <c r="T53" s="180">
        <v>133.00624099500632</v>
      </c>
      <c r="U53" s="180">
        <v>126.44782171055908</v>
      </c>
      <c r="V53" s="180">
        <v>119.93998120241078</v>
      </c>
      <c r="W53" s="180">
        <v>113.88155314989733</v>
      </c>
      <c r="X53" s="180">
        <v>108.77699725485337</v>
      </c>
      <c r="Y53" s="180">
        <v>104.27028288139194</v>
      </c>
      <c r="DA53" s="189" t="s">
        <v>947</v>
      </c>
    </row>
    <row r="54" spans="1:105" ht="12" customHeight="1" x14ac:dyDescent="0.25">
      <c r="A54" s="131" t="s">
        <v>140</v>
      </c>
      <c r="B54" s="180">
        <v>51.753192413223253</v>
      </c>
      <c r="C54" s="180">
        <v>50.985479522161562</v>
      </c>
      <c r="D54" s="180">
        <v>50.016428615383454</v>
      </c>
      <c r="E54" s="180">
        <v>48.925264110710714</v>
      </c>
      <c r="F54" s="180">
        <v>47.663900332458184</v>
      </c>
      <c r="G54" s="180">
        <v>46.120496129580737</v>
      </c>
      <c r="H54" s="180">
        <v>44.564897460276363</v>
      </c>
      <c r="I54" s="180">
        <v>43.240617236416128</v>
      </c>
      <c r="J54" s="180">
        <v>41.988983340782418</v>
      </c>
      <c r="K54" s="180">
        <v>40.972964226765036</v>
      </c>
      <c r="L54" s="180">
        <v>39.872909884491214</v>
      </c>
      <c r="M54" s="180">
        <v>38.548286102800915</v>
      </c>
      <c r="N54" s="180">
        <v>36.986449820976112</v>
      </c>
      <c r="O54" s="180">
        <v>35.234809335364538</v>
      </c>
      <c r="P54" s="180">
        <v>33.178610401491412</v>
      </c>
      <c r="Q54" s="180">
        <v>31.358788612845487</v>
      </c>
      <c r="R54" s="180">
        <v>29.430036319416114</v>
      </c>
      <c r="S54" s="180">
        <v>27.263895480342583</v>
      </c>
      <c r="T54" s="180">
        <v>24.92404111811738</v>
      </c>
      <c r="U54" s="180">
        <v>22.656806859901209</v>
      </c>
      <c r="V54" s="180">
        <v>20.392981497740095</v>
      </c>
      <c r="W54" s="180">
        <v>18.693583824735541</v>
      </c>
      <c r="X54" s="180">
        <v>17.528940061714188</v>
      </c>
      <c r="Y54" s="180">
        <v>16.322740674342381</v>
      </c>
      <c r="DA54" s="189" t="s">
        <v>948</v>
      </c>
    </row>
    <row r="55" spans="1:105" ht="12" customHeight="1" x14ac:dyDescent="0.25">
      <c r="A55" s="131" t="s">
        <v>173</v>
      </c>
      <c r="B55" s="180">
        <v>755.59019792408537</v>
      </c>
      <c r="C55" s="180">
        <v>744.32074036861923</v>
      </c>
      <c r="D55" s="180">
        <v>732.32526772736685</v>
      </c>
      <c r="E55" s="180">
        <v>719.3468035923521</v>
      </c>
      <c r="F55" s="180">
        <v>705.42942779702639</v>
      </c>
      <c r="G55" s="180">
        <v>690.29558108990739</v>
      </c>
      <c r="H55" s="180">
        <v>675.16804423439964</v>
      </c>
      <c r="I55" s="180">
        <v>659.66347853829279</v>
      </c>
      <c r="J55" s="180">
        <v>642.67244849326312</v>
      </c>
      <c r="K55" s="180">
        <v>624.35217324593316</v>
      </c>
      <c r="L55" s="180">
        <v>604.7593923867388</v>
      </c>
      <c r="M55" s="180">
        <v>587.36842249946642</v>
      </c>
      <c r="N55" s="180">
        <v>573.35637822928777</v>
      </c>
      <c r="O55" s="180">
        <v>558.57070483917823</v>
      </c>
      <c r="P55" s="180">
        <v>543.34705631134648</v>
      </c>
      <c r="Q55" s="180">
        <v>527.85064068705435</v>
      </c>
      <c r="R55" s="180">
        <v>514.25455041358714</v>
      </c>
      <c r="S55" s="180">
        <v>501.29469272816686</v>
      </c>
      <c r="T55" s="180">
        <v>488.70321451122032</v>
      </c>
      <c r="U55" s="180">
        <v>476.99573265026368</v>
      </c>
      <c r="V55" s="180">
        <v>466.38785001859543</v>
      </c>
      <c r="W55" s="180">
        <v>456.12893823678377</v>
      </c>
      <c r="X55" s="180">
        <v>446.66624806262666</v>
      </c>
      <c r="Y55" s="180">
        <v>436.22831497825712</v>
      </c>
      <c r="DA55" s="189" t="s">
        <v>949</v>
      </c>
    </row>
    <row r="56" spans="1:105" ht="12" customHeight="1" x14ac:dyDescent="0.25">
      <c r="A56" s="60" t="s">
        <v>99</v>
      </c>
      <c r="B56" s="55">
        <v>53.074614036862556</v>
      </c>
      <c r="C56" s="55">
        <v>52.698876103902016</v>
      </c>
      <c r="D56" s="55">
        <v>52.324968074689956</v>
      </c>
      <c r="E56" s="55">
        <v>51.962594100361635</v>
      </c>
      <c r="F56" s="55">
        <v>51.554263901615272</v>
      </c>
      <c r="G56" s="55">
        <v>50.95050446180381</v>
      </c>
      <c r="H56" s="55">
        <v>50.432510724002718</v>
      </c>
      <c r="I56" s="55">
        <v>49.900491403931333</v>
      </c>
      <c r="J56" s="55">
        <v>49.217747460495879</v>
      </c>
      <c r="K56" s="55">
        <v>48.748049833070773</v>
      </c>
      <c r="L56" s="55">
        <v>48.250071435358969</v>
      </c>
      <c r="M56" s="55">
        <v>47.577589984782811</v>
      </c>
      <c r="N56" s="55">
        <v>46.676183833111956</v>
      </c>
      <c r="O56" s="55">
        <v>45.795149692529527</v>
      </c>
      <c r="P56" s="55">
        <v>44.718395228720389</v>
      </c>
      <c r="Q56" s="55">
        <v>43.579576019799788</v>
      </c>
      <c r="R56" s="55">
        <v>42.567349217948447</v>
      </c>
      <c r="S56" s="55">
        <v>41.614569091222776</v>
      </c>
      <c r="T56" s="55">
        <v>40.749880239454725</v>
      </c>
      <c r="U56" s="55">
        <v>39.893371282389914</v>
      </c>
      <c r="V56" s="55">
        <v>38.829710499376155</v>
      </c>
      <c r="W56" s="55">
        <v>37.96661458878912</v>
      </c>
      <c r="X56" s="55">
        <v>37.150947145073438</v>
      </c>
      <c r="Y56" s="55">
        <v>36.196915865022227</v>
      </c>
      <c r="DA56" s="101" t="s">
        <v>950</v>
      </c>
    </row>
    <row r="57" spans="1:105" ht="12" customHeight="1" x14ac:dyDescent="0.25">
      <c r="A57" s="62" t="s">
        <v>98</v>
      </c>
      <c r="B57" s="63">
        <v>376.7539663521319</v>
      </c>
      <c r="C57" s="63">
        <v>366.1783717179764</v>
      </c>
      <c r="D57" s="63">
        <v>355.57089009586019</v>
      </c>
      <c r="E57" s="63">
        <v>345.08599618472766</v>
      </c>
      <c r="F57" s="63">
        <v>333.6816431453135</v>
      </c>
      <c r="G57" s="63">
        <v>321.83879475983287</v>
      </c>
      <c r="H57" s="63">
        <v>305.50942957454663</v>
      </c>
      <c r="I57" s="63">
        <v>291.75068479905002</v>
      </c>
      <c r="J57" s="63">
        <v>278.04491270854197</v>
      </c>
      <c r="K57" s="63">
        <v>264.15182908720908</v>
      </c>
      <c r="L57" s="63">
        <v>248.93759942922151</v>
      </c>
      <c r="M57" s="63">
        <v>229.1433966968788</v>
      </c>
      <c r="N57" s="63">
        <v>213.80844657484565</v>
      </c>
      <c r="O57" s="63">
        <v>200.98960637362299</v>
      </c>
      <c r="P57" s="63">
        <v>192.64237406926017</v>
      </c>
      <c r="Q57" s="63">
        <v>187.27159520346621</v>
      </c>
      <c r="R57" s="63">
        <v>183.38963807961025</v>
      </c>
      <c r="S57" s="63">
        <v>180.38250109419701</v>
      </c>
      <c r="T57" s="63">
        <v>177.29880369648365</v>
      </c>
      <c r="U57" s="63">
        <v>173.93472470313847</v>
      </c>
      <c r="V57" s="63">
        <v>169.45012856989752</v>
      </c>
      <c r="W57" s="63">
        <v>165.16609339338379</v>
      </c>
      <c r="X57" s="63">
        <v>161.54651737664622</v>
      </c>
      <c r="Y57" s="63">
        <v>157.94783698356866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0.7160272465097387</v>
      </c>
      <c r="D60" s="180">
        <v>0.70437620479114782</v>
      </c>
      <c r="E60" s="180">
        <v>0.69498979159477381</v>
      </c>
      <c r="F60" s="180">
        <v>0.68691192869794993</v>
      </c>
      <c r="G60" s="180">
        <v>0.6758438093765835</v>
      </c>
      <c r="H60" s="180">
        <v>0.66564991410769259</v>
      </c>
      <c r="I60" s="180">
        <v>0.65594682619680622</v>
      </c>
      <c r="J60" s="180">
        <v>0.64322051260535484</v>
      </c>
      <c r="K60" s="180">
        <v>0.63202497608072505</v>
      </c>
      <c r="L60" s="180">
        <v>0.6195005764448589</v>
      </c>
      <c r="M60" s="180">
        <v>0.60451893889543662</v>
      </c>
      <c r="N60" s="180">
        <v>0.58722996160809771</v>
      </c>
      <c r="O60" s="180">
        <v>0.57119879140806085</v>
      </c>
      <c r="P60" s="180">
        <v>0.55519334098746631</v>
      </c>
      <c r="Q60" s="180">
        <v>0.53645859941905538</v>
      </c>
      <c r="R60" s="180">
        <v>0.53276804721474436</v>
      </c>
      <c r="S60" s="180">
        <v>0.52704497051274646</v>
      </c>
      <c r="T60" s="180">
        <v>0.52143830427277815</v>
      </c>
      <c r="U60" s="180">
        <v>0.51642309887572901</v>
      </c>
      <c r="V60" s="180">
        <v>0.51146625488978104</v>
      </c>
      <c r="W60" s="180">
        <v>0.5083974573604424</v>
      </c>
      <c r="X60" s="180">
        <v>0.50532865983110364</v>
      </c>
      <c r="Y60" s="180">
        <v>0.502259862301765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188.63257815039032</v>
      </c>
      <c r="D61" s="180">
        <v>186.58652872931287</v>
      </c>
      <c r="E61" s="180">
        <v>184.31439718538761</v>
      </c>
      <c r="F61" s="180">
        <v>182.59761009127052</v>
      </c>
      <c r="G61" s="180">
        <v>179.6780863059835</v>
      </c>
      <c r="H61" s="180">
        <v>176.46247549492324</v>
      </c>
      <c r="I61" s="180">
        <v>173.40472489432418</v>
      </c>
      <c r="J61" s="180">
        <v>170.66215974320809</v>
      </c>
      <c r="K61" s="180">
        <v>166.72513412954208</v>
      </c>
      <c r="L61" s="180">
        <v>163.59145352063953</v>
      </c>
      <c r="M61" s="180">
        <v>159.2261435262611</v>
      </c>
      <c r="N61" s="180">
        <v>154.67859462661337</v>
      </c>
      <c r="O61" s="180">
        <v>148.51847326608009</v>
      </c>
      <c r="P61" s="180">
        <v>141.94566185010817</v>
      </c>
      <c r="Q61" s="180">
        <v>133.94356634863783</v>
      </c>
      <c r="R61" s="180">
        <v>126.04352478543515</v>
      </c>
      <c r="S61" s="180">
        <v>120.05382648303417</v>
      </c>
      <c r="T61" s="180">
        <v>114.1106150669532</v>
      </c>
      <c r="U61" s="180">
        <v>108.15852810643158</v>
      </c>
      <c r="V61" s="180">
        <v>102.20546351116202</v>
      </c>
      <c r="W61" s="180">
        <v>99.691209108787447</v>
      </c>
      <c r="X61" s="180">
        <v>97.176954706412857</v>
      </c>
      <c r="Y61" s="180">
        <v>94.662700304038282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48.003987731174121</v>
      </c>
      <c r="D62" s="180">
        <v>46.434973032546083</v>
      </c>
      <c r="E62" s="180">
        <v>45.205201853329349</v>
      </c>
      <c r="F62" s="180">
        <v>43.911045429925387</v>
      </c>
      <c r="G62" s="180">
        <v>42.691216942457302</v>
      </c>
      <c r="H62" s="180">
        <v>41.799686243750727</v>
      </c>
      <c r="I62" s="180">
        <v>40.799868319626661</v>
      </c>
      <c r="J62" s="180">
        <v>39.489444851555923</v>
      </c>
      <c r="K62" s="180">
        <v>38.267702861323379</v>
      </c>
      <c r="L62" s="180">
        <v>36.626686303719147</v>
      </c>
      <c r="M62" s="180">
        <v>35.204955611273583</v>
      </c>
      <c r="N62" s="180">
        <v>33.143627033613839</v>
      </c>
      <c r="O62" s="180">
        <v>31.2378628191247</v>
      </c>
      <c r="P62" s="180">
        <v>28.883542413733579</v>
      </c>
      <c r="Q62" s="180">
        <v>26.376311675759023</v>
      </c>
      <c r="R62" s="180">
        <v>23.105094549542926</v>
      </c>
      <c r="S62" s="180">
        <v>21.640291790148694</v>
      </c>
      <c r="T62" s="180">
        <v>19.504126610379032</v>
      </c>
      <c r="U62" s="180">
        <v>17.789527335063216</v>
      </c>
      <c r="V62" s="180">
        <v>16.390276969558709</v>
      </c>
      <c r="W62" s="180">
        <v>15.570763121080773</v>
      </c>
      <c r="X62" s="180">
        <v>14.751249272602836</v>
      </c>
      <c r="Y62" s="180">
        <v>13.9317354241249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673.90896893973695</v>
      </c>
      <c r="D63" s="180">
        <v>651.54395467308393</v>
      </c>
      <c r="E63" s="180">
        <v>638.86396608818006</v>
      </c>
      <c r="F63" s="180">
        <v>625.22013321765667</v>
      </c>
      <c r="G63" s="180">
        <v>611.95977072286837</v>
      </c>
      <c r="H63" s="180">
        <v>604.42256896130425</v>
      </c>
      <c r="I63" s="180">
        <v>593.90422637764345</v>
      </c>
      <c r="J63" s="180">
        <v>577.46961678762977</v>
      </c>
      <c r="K63" s="180">
        <v>559.18993123938151</v>
      </c>
      <c r="L63" s="180">
        <v>539.54231913896911</v>
      </c>
      <c r="M63" s="180">
        <v>519.35110769277583</v>
      </c>
      <c r="N63" s="180">
        <v>511.31587710969256</v>
      </c>
      <c r="O63" s="180">
        <v>495.16388047138128</v>
      </c>
      <c r="P63" s="180">
        <v>477.65575544541736</v>
      </c>
      <c r="Q63" s="180">
        <v>465.88342715471634</v>
      </c>
      <c r="R63" s="180">
        <v>458.96889817489028</v>
      </c>
      <c r="S63" s="180">
        <v>450.35533939255544</v>
      </c>
      <c r="T63" s="180">
        <v>441.96947435011202</v>
      </c>
      <c r="U63" s="180">
        <v>434.06776633818981</v>
      </c>
      <c r="V63" s="180">
        <v>426.23249568557264</v>
      </c>
      <c r="W63" s="180">
        <v>417.70784577186117</v>
      </c>
      <c r="X63" s="180">
        <v>409.1831958581497</v>
      </c>
      <c r="Y63" s="180">
        <v>400.65854594443829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49.807027031222638</v>
      </c>
      <c r="D64" s="55">
        <v>49.222597820582102</v>
      </c>
      <c r="E64" s="55">
        <v>48.684262038229221</v>
      </c>
      <c r="F64" s="55">
        <v>48.095258472546661</v>
      </c>
      <c r="G64" s="55">
        <v>47.326929017079436</v>
      </c>
      <c r="H64" s="55">
        <v>46.657062018704302</v>
      </c>
      <c r="I64" s="55">
        <v>46.046479022965791</v>
      </c>
      <c r="J64" s="55">
        <v>45.256247218350609</v>
      </c>
      <c r="K64" s="55">
        <v>44.218911816773783</v>
      </c>
      <c r="L64" s="55">
        <v>43.187599414432803</v>
      </c>
      <c r="M64" s="55">
        <v>41.872148291049832</v>
      </c>
      <c r="N64" s="55">
        <v>40.537648626380587</v>
      </c>
      <c r="O64" s="55">
        <v>39.208130259037951</v>
      </c>
      <c r="P64" s="55">
        <v>37.898665813182888</v>
      </c>
      <c r="Q64" s="55">
        <v>36.469801961093822</v>
      </c>
      <c r="R64" s="55">
        <v>36.00229020886578</v>
      </c>
      <c r="S64" s="55">
        <v>35.424106785716752</v>
      </c>
      <c r="T64" s="55">
        <v>34.87679959697585</v>
      </c>
      <c r="U64" s="55">
        <v>34.355891797185087</v>
      </c>
      <c r="V64" s="55">
        <v>33.839768430089414</v>
      </c>
      <c r="W64" s="55">
        <v>33.50137074578852</v>
      </c>
      <c r="X64" s="55">
        <v>33.162973061487627</v>
      </c>
      <c r="Y64" s="55">
        <v>32.824575377186733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349.2474338949657</v>
      </c>
      <c r="D65" s="63">
        <v>336.43727914950472</v>
      </c>
      <c r="E65" s="63">
        <v>324.72437671179102</v>
      </c>
      <c r="F65" s="63">
        <v>309.83839907812074</v>
      </c>
      <c r="G65" s="63">
        <v>296.1086924618981</v>
      </c>
      <c r="H65" s="63">
        <v>281.87007044844898</v>
      </c>
      <c r="I65" s="63">
        <v>267.93079878610183</v>
      </c>
      <c r="J65" s="63">
        <v>251.99602447560463</v>
      </c>
      <c r="K65" s="63">
        <v>232.42142394008573</v>
      </c>
      <c r="L65" s="63">
        <v>213.33105998891952</v>
      </c>
      <c r="M65" s="63">
        <v>199.30095336461761</v>
      </c>
      <c r="N65" s="63">
        <v>190.80059641988348</v>
      </c>
      <c r="O65" s="63">
        <v>184.94199079429654</v>
      </c>
      <c r="P65" s="63">
        <v>182.56782335413959</v>
      </c>
      <c r="Q65" s="63">
        <v>181.55749542734176</v>
      </c>
      <c r="R65" s="63">
        <v>179.31767523446237</v>
      </c>
      <c r="S65" s="63">
        <v>174.52835831294092</v>
      </c>
      <c r="T65" s="63">
        <v>169.78985872814812</v>
      </c>
      <c r="U65" s="63">
        <v>165.30657500372971</v>
      </c>
      <c r="V65" s="63">
        <v>160.86150055226904</v>
      </c>
      <c r="W65" s="63">
        <v>157.96599354232819</v>
      </c>
      <c r="X65" s="63">
        <v>155.07048653238735</v>
      </c>
      <c r="Y65" s="63">
        <v>152.17497952244651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370.57433869163572</v>
      </c>
      <c r="C68" s="187">
        <f>1000000*C20/SER_summary!C$8</f>
        <v>382.58137976073982</v>
      </c>
      <c r="D68" s="187">
        <f>1000000*D20/SER_summary!D$8</f>
        <v>393.09507593127671</v>
      </c>
      <c r="E68" s="187">
        <f>1000000*E20/SER_summary!E$8</f>
        <v>404.65468185678657</v>
      </c>
      <c r="F68" s="187">
        <f>1000000*F20/SER_summary!F$8</f>
        <v>414.97934160918049</v>
      </c>
      <c r="G68" s="187">
        <f>1000000*G20/SER_summary!G$8</f>
        <v>423.64447793746524</v>
      </c>
      <c r="H68" s="187">
        <f>1000000*H20/SER_summary!H$8</f>
        <v>433.38177748307919</v>
      </c>
      <c r="I68" s="187">
        <f>1000000*I20/SER_summary!I$8</f>
        <v>439.94486177455769</v>
      </c>
      <c r="J68" s="187">
        <f>1000000*J20/SER_summary!J$8</f>
        <v>449.3207068252101</v>
      </c>
      <c r="K68" s="187">
        <f>1000000*K20/SER_summary!K$8</f>
        <v>460.86187912526685</v>
      </c>
      <c r="L68" s="187">
        <f>1000000*L20/SER_summary!L$8</f>
        <v>470.20701570606963</v>
      </c>
      <c r="M68" s="187">
        <f>1000000*M20/SER_summary!M$8</f>
        <v>481.45876385100581</v>
      </c>
      <c r="N68" s="187">
        <f>1000000*N20/SER_summary!N$8</f>
        <v>492.77248941134502</v>
      </c>
      <c r="O68" s="187">
        <f>1000000*O20/SER_summary!O$8</f>
        <v>504.94773951800971</v>
      </c>
      <c r="P68" s="187">
        <f>1000000*P20/SER_summary!P$8</f>
        <v>520.42012294226674</v>
      </c>
      <c r="Q68" s="187">
        <f>1000000*Q20/SER_summary!Q$8</f>
        <v>539.3091716993963</v>
      </c>
      <c r="R68" s="187">
        <f>1000000*R20/SER_summary!R$8</f>
        <v>553.79912074521621</v>
      </c>
      <c r="S68" s="187">
        <f>1000000*S20/SER_summary!S$8</f>
        <v>568.33587957776024</v>
      </c>
      <c r="T68" s="187">
        <f>1000000*T20/SER_summary!T$8</f>
        <v>582.67188404027354</v>
      </c>
      <c r="U68" s="187">
        <f>1000000*U20/SER_summary!U$8</f>
        <v>596.6569830451175</v>
      </c>
      <c r="V68" s="187">
        <f>1000000*V20/SER_summary!V$8</f>
        <v>610.01169161153234</v>
      </c>
      <c r="W68" s="187">
        <f>1000000*W20/SER_summary!W$8</f>
        <v>622.51133385712524</v>
      </c>
      <c r="X68" s="187">
        <f>1000000*X20/SER_summary!X$8</f>
        <v>628.85687744659378</v>
      </c>
      <c r="Y68" s="187">
        <f>1000000*Y20/SER_summary!Y$8</f>
        <v>632.05386432781904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8.2772511976822213E-2</v>
      </c>
      <c r="C69" s="187">
        <f>1000*C21/SER_summary!C$3</f>
        <v>8.3647441580566237E-2</v>
      </c>
      <c r="D69" s="187">
        <f>1000*D21/SER_summary!D$3</f>
        <v>8.4401717852455746E-2</v>
      </c>
      <c r="E69" s="187">
        <f>1000*E21/SER_summary!E$3</f>
        <v>8.5608593503952543E-2</v>
      </c>
      <c r="F69" s="187">
        <f>1000*F21/SER_summary!F$3</f>
        <v>8.6807709162714963E-2</v>
      </c>
      <c r="G69" s="187">
        <f>1000*G21/SER_summary!G$3</f>
        <v>8.796752316651836E-2</v>
      </c>
      <c r="H69" s="187">
        <f>1000*H21/SER_summary!H$3</f>
        <v>8.94503429279455E-2</v>
      </c>
      <c r="I69" s="187">
        <f>1000*I21/SER_summary!I$3</f>
        <v>9.145600746655265E-2</v>
      </c>
      <c r="J69" s="187">
        <f>1000*J21/SER_summary!J$3</f>
        <v>9.3594976999006929E-2</v>
      </c>
      <c r="K69" s="187">
        <f>1000*K21/SER_summary!K$3</f>
        <v>9.5760922275621149E-2</v>
      </c>
      <c r="L69" s="187">
        <f>1000*L21/SER_summary!L$3</f>
        <v>9.7850364226953243E-2</v>
      </c>
      <c r="M69" s="187">
        <f>1000*M21/SER_summary!M$3</f>
        <v>0.10121038731474515</v>
      </c>
      <c r="N69" s="187">
        <f>1000*N21/SER_summary!N$3</f>
        <v>0.10521920142362169</v>
      </c>
      <c r="O69" s="187">
        <f>1000*O21/SER_summary!O$3</f>
        <v>0.10923138750355102</v>
      </c>
      <c r="P69" s="187">
        <f>1000*P21/SER_summary!P$3</f>
        <v>0.11366416920030441</v>
      </c>
      <c r="Q69" s="187">
        <f>1000*Q21/SER_summary!Q$3</f>
        <v>0.11831969162315865</v>
      </c>
      <c r="R69" s="187">
        <f>1000*R21/SER_summary!R$3</f>
        <v>0.12226935467238127</v>
      </c>
      <c r="S69" s="187">
        <f>1000*S21/SER_summary!S$3</f>
        <v>0.12631957558404017</v>
      </c>
      <c r="T69" s="187">
        <f>1000*T21/SER_summary!T$3</f>
        <v>0.12868332956474077</v>
      </c>
      <c r="U69" s="187">
        <f>1000*U21/SER_summary!U$3</f>
        <v>0.13010991618566681</v>
      </c>
      <c r="V69" s="187">
        <f>1000*V21/SER_summary!V$3</f>
        <v>0.13026250744078072</v>
      </c>
      <c r="W69" s="187">
        <f>1000*W21/SER_summary!W$3</f>
        <v>0.1352516392725763</v>
      </c>
      <c r="X69" s="187">
        <f>1000*X21/SER_summary!X$3</f>
        <v>0.13885729802069768</v>
      </c>
      <c r="Y69" s="187">
        <f>1000*Y21/SER_summary!Y$3</f>
        <v>0.14143830108340003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159.92628479977787</v>
      </c>
      <c r="C70" s="187">
        <f>1000000*C22/SER_summary!C$8</f>
        <v>161.97596814291529</v>
      </c>
      <c r="D70" s="187">
        <f>1000000*D22/SER_summary!D$8</f>
        <v>165.54055008745379</v>
      </c>
      <c r="E70" s="187">
        <f>1000000*E22/SER_summary!E$8</f>
        <v>168.64577051734258</v>
      </c>
      <c r="F70" s="187">
        <f>1000000*F22/SER_summary!F$8</f>
        <v>172.23329775260675</v>
      </c>
      <c r="G70" s="187">
        <f>1000000*G22/SER_summary!G$8</f>
        <v>175.78255368222929</v>
      </c>
      <c r="H70" s="187">
        <f>1000000*H22/SER_summary!H$8</f>
        <v>179.53401486235384</v>
      </c>
      <c r="I70" s="187">
        <f>1000000*I22/SER_summary!I$8</f>
        <v>183.43448213357672</v>
      </c>
      <c r="J70" s="187">
        <f>1000000*J22/SER_summary!J$8</f>
        <v>186.75326039847351</v>
      </c>
      <c r="K70" s="187">
        <f>1000000*K22/SER_summary!K$8</f>
        <v>191.55414780141078</v>
      </c>
      <c r="L70" s="187">
        <f>1000000*L22/SER_summary!L$8</f>
        <v>198.14692815031663</v>
      </c>
      <c r="M70" s="187">
        <f>1000000*M22/SER_summary!M$8</f>
        <v>204.82254616996696</v>
      </c>
      <c r="N70" s="187">
        <f>1000000*N22/SER_summary!N$8</f>
        <v>214.05100142488649</v>
      </c>
      <c r="O70" s="187">
        <f>1000000*O22/SER_summary!O$8</f>
        <v>223.32470270413577</v>
      </c>
      <c r="P70" s="187">
        <f>1000000*P22/SER_summary!P$8</f>
        <v>233.64350547815178</v>
      </c>
      <c r="Q70" s="187">
        <f>1000000*Q22/SER_summary!Q$8</f>
        <v>246.70946366143059</v>
      </c>
      <c r="R70" s="187">
        <f>1000000*R22/SER_summary!R$8</f>
        <v>252.30328990983585</v>
      </c>
      <c r="S70" s="187">
        <f>1000000*S22/SER_summary!S$8</f>
        <v>257.97426008615884</v>
      </c>
      <c r="T70" s="187">
        <f>1000000*T22/SER_summary!T$8</f>
        <v>263.40002491462513</v>
      </c>
      <c r="U70" s="187">
        <f>1000000*U22/SER_summary!U$8</f>
        <v>268.38345254611716</v>
      </c>
      <c r="V70" s="187">
        <f>1000000*V22/SER_summary!V$8</f>
        <v>272.55716001595306</v>
      </c>
      <c r="W70" s="187">
        <f>1000000*W22/SER_summary!W$8</f>
        <v>275.43816965540577</v>
      </c>
      <c r="X70" s="187">
        <f>1000000*X22/SER_summary!X$8</f>
        <v>276.8900743566881</v>
      </c>
      <c r="Y70" s="187">
        <f>1000000*Y22/SER_summary!Y$8</f>
        <v>277.618894200591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2.3839035544223827E-2</v>
      </c>
      <c r="C71" s="187">
        <f>1000*C23/SER_summary!C$3</f>
        <v>2.4970566529413981E-2</v>
      </c>
      <c r="D71" s="187">
        <f>1000*D23/SER_summary!D$3</f>
        <v>2.5637245593743162E-2</v>
      </c>
      <c r="E71" s="187">
        <f>1000*E23/SER_summary!E$3</f>
        <v>2.6366891549338065E-2</v>
      </c>
      <c r="F71" s="187">
        <f>1000*F23/SER_summary!F$3</f>
        <v>2.709835859174194E-2</v>
      </c>
      <c r="G71" s="187">
        <f>1000*G23/SER_summary!G$3</f>
        <v>2.7939900517714656E-2</v>
      </c>
      <c r="H71" s="187">
        <f>1000*H23/SER_summary!H$3</f>
        <v>2.8787098965734455E-2</v>
      </c>
      <c r="I71" s="187">
        <f>1000*I23/SER_summary!I$3</f>
        <v>2.9734441129904407E-2</v>
      </c>
      <c r="J71" s="187">
        <f>1000*J23/SER_summary!J$3</f>
        <v>3.0751044630931635E-2</v>
      </c>
      <c r="K71" s="187">
        <f>1000*K23/SER_summary!K$3</f>
        <v>3.1801100417248845E-2</v>
      </c>
      <c r="L71" s="187">
        <f>1000*L23/SER_summary!L$3</f>
        <v>3.29151911195147E-2</v>
      </c>
      <c r="M71" s="187">
        <f>1000*M23/SER_summary!M$3</f>
        <v>3.3851453558868531E-2</v>
      </c>
      <c r="N71" s="187">
        <f>1000*N23/SER_summary!N$3</f>
        <v>3.4727077511526955E-2</v>
      </c>
      <c r="O71" s="187">
        <f>1000*O23/SER_summary!O$3</f>
        <v>3.5780163084555734E-2</v>
      </c>
      <c r="P71" s="187">
        <f>1000*P23/SER_summary!P$3</f>
        <v>3.678882705788606E-2</v>
      </c>
      <c r="Q71" s="187">
        <f>1000*Q23/SER_summary!Q$3</f>
        <v>3.7726287715776539E-2</v>
      </c>
      <c r="R71" s="187">
        <f>1000*R23/SER_summary!R$3</f>
        <v>3.8013426750622428E-2</v>
      </c>
      <c r="S71" s="187">
        <f>1000*S23/SER_summary!S$3</f>
        <v>3.8352169013721363E-2</v>
      </c>
      <c r="T71" s="187">
        <f>1000*T23/SER_summary!T$3</f>
        <v>3.8215136760020599E-2</v>
      </c>
      <c r="U71" s="187">
        <f>1000*U23/SER_summary!U$3</f>
        <v>3.7850973039104313E-2</v>
      </c>
      <c r="V71" s="187">
        <f>1000*V23/SER_summary!V$3</f>
        <v>3.7178506453917182E-2</v>
      </c>
      <c r="W71" s="187">
        <f>1000*W23/SER_summary!W$3</f>
        <v>3.7923933235924925E-2</v>
      </c>
      <c r="X71" s="187">
        <f>1000*X23/SER_summary!X$3</f>
        <v>3.8454606996632251E-2</v>
      </c>
      <c r="Y71" s="187">
        <f>1000*Y23/SER_summary!Y$3</f>
        <v>3.8830490811268333E-2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124.75083395486919</v>
      </c>
      <c r="C72" s="187">
        <f>1000000*C24/SER_summary!C$8</f>
        <v>130.71152339484945</v>
      </c>
      <c r="D72" s="187">
        <f>1000000*D24/SER_summary!D$8</f>
        <v>138.48099893038543</v>
      </c>
      <c r="E72" s="187">
        <f>1000000*E24/SER_summary!E$8</f>
        <v>146.29295404205439</v>
      </c>
      <c r="F72" s="187">
        <f>1000000*F24/SER_summary!F$8</f>
        <v>155.943998767631</v>
      </c>
      <c r="G72" s="187">
        <f>1000000*G24/SER_summary!G$8</f>
        <v>167.19353548340831</v>
      </c>
      <c r="H72" s="187">
        <f>1000000*H24/SER_summary!H$8</f>
        <v>175.71792071587305</v>
      </c>
      <c r="I72" s="187">
        <f>1000000*I24/SER_summary!I$8</f>
        <v>183.29411123740374</v>
      </c>
      <c r="J72" s="187">
        <f>1000000*J24/SER_summary!J$8</f>
        <v>190.52340858000116</v>
      </c>
      <c r="K72" s="187">
        <f>1000000*K24/SER_summary!K$8</f>
        <v>195.96715398100656</v>
      </c>
      <c r="L72" s="187">
        <f>1000000*L24/SER_summary!L$8</f>
        <v>198.5102414872128</v>
      </c>
      <c r="M72" s="187">
        <f>1000000*M24/SER_summary!M$8</f>
        <v>201.62162101603747</v>
      </c>
      <c r="N72" s="187">
        <f>1000000*N24/SER_summary!N$8</f>
        <v>205.02807087407896</v>
      </c>
      <c r="O72" s="187">
        <f>1000000*O24/SER_summary!O$8</f>
        <v>208.21100149352458</v>
      </c>
      <c r="P72" s="187">
        <f>1000000*P24/SER_summary!P$8</f>
        <v>212.0544906241098</v>
      </c>
      <c r="Q72" s="187">
        <f>1000000*Q24/SER_summary!Q$8</f>
        <v>214.55582856132983</v>
      </c>
      <c r="R72" s="187">
        <f>1000000*R24/SER_summary!R$8</f>
        <v>219.21185303285787</v>
      </c>
      <c r="S72" s="187">
        <f>1000000*S24/SER_summary!S$8</f>
        <v>223.89029720377323</v>
      </c>
      <c r="T72" s="187">
        <f>1000000*T24/SER_summary!T$8</f>
        <v>228.47258941712553</v>
      </c>
      <c r="U72" s="187">
        <f>1000000*U24/SER_summary!U$8</f>
        <v>232.88681432181178</v>
      </c>
      <c r="V72" s="187">
        <f>1000000*V24/SER_summary!V$8</f>
        <v>236.99911167854816</v>
      </c>
      <c r="W72" s="187">
        <f>1000000*W24/SER_summary!W$8</f>
        <v>240.66793849581151</v>
      </c>
      <c r="X72" s="187">
        <f>1000000*X24/SER_summary!X$8</f>
        <v>243.64385011681466</v>
      </c>
      <c r="Y72" s="187">
        <f>1000000*Y24/SER_summary!Y$8</f>
        <v>246.05105206751634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5.1428683592342449E-2</v>
      </c>
      <c r="C73" s="52">
        <f>1000*C25/SER_summary!C$3</f>
        <v>6.6388555174394334E-2</v>
      </c>
      <c r="D73" s="52">
        <f>1000*D25/SER_summary!D$3</f>
        <v>8.0999963382418771E-2</v>
      </c>
      <c r="E73" s="52">
        <f>1000*E25/SER_summary!E$3</f>
        <v>9.6171433447328869E-2</v>
      </c>
      <c r="F73" s="52">
        <f>1000*F25/SER_summary!F$3</f>
        <v>0.113191834989898</v>
      </c>
      <c r="G73" s="52">
        <f>1000*G25/SER_summary!G$3</f>
        <v>0.13301632898910284</v>
      </c>
      <c r="H73" s="52">
        <f>1000*H25/SER_summary!H$3</f>
        <v>0.15329450256581947</v>
      </c>
      <c r="I73" s="52">
        <f>1000*I25/SER_summary!I$3</f>
        <v>0.17071513530391516</v>
      </c>
      <c r="J73" s="52">
        <f>1000*J25/SER_summary!J$3</f>
        <v>0.18901092492796617</v>
      </c>
      <c r="K73" s="52">
        <f>1000*K25/SER_summary!K$3</f>
        <v>0.20410346396131004</v>
      </c>
      <c r="L73" s="52">
        <f>1000*L25/SER_summary!L$3</f>
        <v>0.2200760744406309</v>
      </c>
      <c r="M73" s="52">
        <f>1000*M25/SER_summary!M$3</f>
        <v>0.24176781743032383</v>
      </c>
      <c r="N73" s="52">
        <f>1000*N25/SER_summary!N$3</f>
        <v>0.2628312591012763</v>
      </c>
      <c r="O73" s="52">
        <f>1000*O25/SER_summary!O$3</f>
        <v>0.28912676687951311</v>
      </c>
      <c r="P73" s="52">
        <f>1000*P25/SER_summary!P$3</f>
        <v>0.31424721007985051</v>
      </c>
      <c r="Q73" s="52">
        <f>1000*Q25/SER_summary!Q$3</f>
        <v>0.34715145892212745</v>
      </c>
      <c r="R73" s="52">
        <f>1000*R25/SER_summary!R$3</f>
        <v>0.35914519915189469</v>
      </c>
      <c r="S73" s="52">
        <f>1000*S25/SER_summary!S$3</f>
        <v>0.37143542610983804</v>
      </c>
      <c r="T73" s="52">
        <f>1000*T25/SER_summary!T$3</f>
        <v>0.37859943856290657</v>
      </c>
      <c r="U73" s="52">
        <f>1000*U25/SER_summary!U$3</f>
        <v>0.38296715917673912</v>
      </c>
      <c r="V73" s="52">
        <f>1000*V25/SER_summary!V$3</f>
        <v>0.38343991749250633</v>
      </c>
      <c r="W73" s="52">
        <f>1000*W25/SER_summary!W$3</f>
        <v>0.39818408323962257</v>
      </c>
      <c r="X73" s="52">
        <f>1000*X25/SER_summary!X$3</f>
        <v>0.40971501524969428</v>
      </c>
      <c r="Y73" s="52">
        <f>1000*Y25/SER_summary!Y$3</f>
        <v>0.41683368585296798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0.49562233665560984</v>
      </c>
      <c r="C3" s="198">
        <f>'SER_se-appl'!C4</f>
        <v>0.52935684758573665</v>
      </c>
      <c r="D3" s="198">
        <f>'SER_se-appl'!D4</f>
        <v>0.55106496267990379</v>
      </c>
      <c r="E3" s="198">
        <f>'SER_se-appl'!E4</f>
        <v>0.56923375387858521</v>
      </c>
      <c r="F3" s="198">
        <f>'SER_se-appl'!F4</f>
        <v>0.58246662850823161</v>
      </c>
      <c r="G3" s="198">
        <f>'SER_se-appl'!G4</f>
        <v>0.61073309991498181</v>
      </c>
      <c r="H3" s="198">
        <f>'SER_se-appl'!H4</f>
        <v>0.63559463118602377</v>
      </c>
      <c r="I3" s="198">
        <f>'SER_se-appl'!I4</f>
        <v>0.65853710104512186</v>
      </c>
      <c r="J3" s="198">
        <f>'SER_se-appl'!J4</f>
        <v>0.70293109329153414</v>
      </c>
      <c r="K3" s="198">
        <f>'SER_se-appl'!K4</f>
        <v>0.71835094497217433</v>
      </c>
      <c r="L3" s="198">
        <f>'SER_se-appl'!L4</f>
        <v>0.73364503769922607</v>
      </c>
      <c r="M3" s="198">
        <f>'SER_se-appl'!M4</f>
        <v>0.75737746183307075</v>
      </c>
      <c r="N3" s="198">
        <f>'SER_se-appl'!N4</f>
        <v>0.79284227151314557</v>
      </c>
      <c r="O3" s="198">
        <f>'SER_se-appl'!O4</f>
        <v>0.81756534712340723</v>
      </c>
      <c r="P3" s="198">
        <f>'SER_se-appl'!P4</f>
        <v>0.85246781082002088</v>
      </c>
      <c r="Q3" s="198">
        <f>'SER_se-appl'!Q4</f>
        <v>0.89017003345649293</v>
      </c>
      <c r="R3" s="198">
        <f>'SER_se-appl'!R4</f>
        <v>0.92335152864655334</v>
      </c>
      <c r="S3" s="198">
        <f>'SER_se-appl'!S4</f>
        <v>0.95826186869993779</v>
      </c>
      <c r="T3" s="198">
        <f>'SER_se-appl'!T4</f>
        <v>0.992530341162562</v>
      </c>
      <c r="U3" s="198">
        <f>'SER_se-appl'!U4</f>
        <v>1.0224540660380312</v>
      </c>
      <c r="V3" s="198">
        <f>'SER_se-appl'!V4</f>
        <v>1.0550605295856481</v>
      </c>
      <c r="W3" s="198">
        <f>'SER_se-appl'!W4</f>
        <v>1.0873592246256432</v>
      </c>
      <c r="X3" s="198">
        <f>'SER_se-appl'!X4</f>
        <v>1.1114148022388375</v>
      </c>
      <c r="Y3" s="198">
        <f>'SER_se-appl'!Y4</f>
        <v>1.1264588130423585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0.6580008875918657</v>
      </c>
      <c r="C5" s="59">
        <f>'SER_se-appl'!C12</f>
        <v>0.70278768692033322</v>
      </c>
      <c r="D5" s="59">
        <f>'SER_se-appl'!D12</f>
        <v>0.73160793561270321</v>
      </c>
      <c r="E5" s="59">
        <f>'SER_se-appl'!E12</f>
        <v>0.75572928739816769</v>
      </c>
      <c r="F5" s="59">
        <f>'SER_se-appl'!F12</f>
        <v>0.77329759013136246</v>
      </c>
      <c r="G5" s="59">
        <f>'SER_se-appl'!G12</f>
        <v>0.81082488036657974</v>
      </c>
      <c r="H5" s="59">
        <f>'SER_se-appl'!H12</f>
        <v>0.84383168501066874</v>
      </c>
      <c r="I5" s="59">
        <f>'SER_se-appl'!I12</f>
        <v>0.87429069465237108</v>
      </c>
      <c r="J5" s="59">
        <f>'SER_se-appl'!J12</f>
        <v>0.93322929394755061</v>
      </c>
      <c r="K5" s="59">
        <f>'SER_se-appl'!K12</f>
        <v>0.95370108333634529</v>
      </c>
      <c r="L5" s="59">
        <f>'SER_se-appl'!L12</f>
        <v>0.97400591192260244</v>
      </c>
      <c r="M5" s="59">
        <f>'SER_se-appl'!M12</f>
        <v>1.0055136850592024</v>
      </c>
      <c r="N5" s="59">
        <f>'SER_se-appl'!N12</f>
        <v>1.0525976732531832</v>
      </c>
      <c r="O5" s="59">
        <f>'SER_se-appl'!O12</f>
        <v>1.0854206606216017</v>
      </c>
      <c r="P5" s="59">
        <f>'SER_se-appl'!P12</f>
        <v>1.1317580639083153</v>
      </c>
      <c r="Q5" s="59">
        <f>'SER_se-appl'!Q12</f>
        <v>1.1818124987555954</v>
      </c>
      <c r="R5" s="59">
        <f>'SER_se-appl'!R12</f>
        <v>1.2258651002465086</v>
      </c>
      <c r="S5" s="59">
        <f>'SER_se-appl'!S12</f>
        <v>1.2722129603858763</v>
      </c>
      <c r="T5" s="59">
        <f>'SER_se-appl'!T12</f>
        <v>1.3177086606986981</v>
      </c>
      <c r="U5" s="59">
        <f>'SER_se-appl'!U12</f>
        <v>1.357436163016245</v>
      </c>
      <c r="V5" s="59">
        <f>'SER_se-appl'!V12</f>
        <v>1.4007253377946447</v>
      </c>
      <c r="W5" s="59">
        <f>'SER_se-appl'!W12</f>
        <v>1.4436059112324464</v>
      </c>
      <c r="X5" s="59">
        <f>'SER_se-appl'!X12</f>
        <v>1.4755427111915158</v>
      </c>
      <c r="Y5" s="59">
        <f>'SER_se-appl'!Y12</f>
        <v>1.4955155246213048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370.57433869163572</v>
      </c>
      <c r="C6" s="201">
        <f>'SER_se-appl'!C68</f>
        <v>382.58137976073982</v>
      </c>
      <c r="D6" s="201">
        <f>'SER_se-appl'!D68</f>
        <v>393.09507593127671</v>
      </c>
      <c r="E6" s="201">
        <f>'SER_se-appl'!E68</f>
        <v>404.65468185678657</v>
      </c>
      <c r="F6" s="201">
        <f>'SER_se-appl'!F68</f>
        <v>414.97934160918049</v>
      </c>
      <c r="G6" s="201">
        <f>'SER_se-appl'!G68</f>
        <v>423.64447793746524</v>
      </c>
      <c r="H6" s="201">
        <f>'SER_se-appl'!H68</f>
        <v>433.38177748307919</v>
      </c>
      <c r="I6" s="201">
        <f>'SER_se-appl'!I68</f>
        <v>439.94486177455769</v>
      </c>
      <c r="J6" s="201">
        <f>'SER_se-appl'!J68</f>
        <v>449.3207068252101</v>
      </c>
      <c r="K6" s="201">
        <f>'SER_se-appl'!K68</f>
        <v>460.86187912526685</v>
      </c>
      <c r="L6" s="201">
        <f>'SER_se-appl'!L68</f>
        <v>470.20701570606963</v>
      </c>
      <c r="M6" s="201">
        <f>'SER_se-appl'!M68</f>
        <v>481.45876385100581</v>
      </c>
      <c r="N6" s="201">
        <f>'SER_se-appl'!N68</f>
        <v>492.77248941134502</v>
      </c>
      <c r="O6" s="201">
        <f>'SER_se-appl'!O68</f>
        <v>504.94773951800971</v>
      </c>
      <c r="P6" s="201">
        <f>'SER_se-appl'!P68</f>
        <v>520.42012294226674</v>
      </c>
      <c r="Q6" s="201">
        <f>'SER_se-appl'!Q68</f>
        <v>539.3091716993963</v>
      </c>
      <c r="R6" s="201">
        <f>'SER_se-appl'!R68</f>
        <v>553.79912074521621</v>
      </c>
      <c r="S6" s="201">
        <f>'SER_se-appl'!S68</f>
        <v>568.33587957776024</v>
      </c>
      <c r="T6" s="201">
        <f>'SER_se-appl'!T68</f>
        <v>582.67188404027354</v>
      </c>
      <c r="U6" s="201">
        <f>'SER_se-appl'!U68</f>
        <v>596.6569830451175</v>
      </c>
      <c r="V6" s="201">
        <f>'SER_se-appl'!V68</f>
        <v>610.01169161153234</v>
      </c>
      <c r="W6" s="201">
        <f>'SER_se-appl'!W68</f>
        <v>622.51133385712524</v>
      </c>
      <c r="X6" s="201">
        <f>'SER_se-appl'!X68</f>
        <v>628.85687744659378</v>
      </c>
      <c r="Y6" s="201">
        <f>'SER_se-appl'!Y68</f>
        <v>632.05386432781904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0.81921241562048031</v>
      </c>
      <c r="C8" s="34">
        <f>'SER_se-appl'!C20</f>
        <v>0.88608784534280771</v>
      </c>
      <c r="D8" s="34">
        <f>'SER_se-appl'!D20</f>
        <v>0.93213056677672201</v>
      </c>
      <c r="E8" s="34">
        <f>'SER_se-appl'!E20</f>
        <v>0.97268842297944724</v>
      </c>
      <c r="F8" s="34">
        <f>'SER_se-appl'!F20</f>
        <v>1.0048050994853135</v>
      </c>
      <c r="G8" s="34">
        <f>'SER_se-appl'!G20</f>
        <v>1.0678183202054001</v>
      </c>
      <c r="H8" s="34">
        <f>'SER_se-appl'!H20</f>
        <v>1.1258460387706435</v>
      </c>
      <c r="I8" s="34">
        <f>'SER_se-appl'!I20</f>
        <v>1.1817116589140391</v>
      </c>
      <c r="J8" s="34">
        <f>'SER_se-appl'!J20</f>
        <v>1.284085768404601</v>
      </c>
      <c r="K8" s="34">
        <f>'SER_se-appl'!K20</f>
        <v>1.3285065366286448</v>
      </c>
      <c r="L8" s="34">
        <f>'SER_se-appl'!L20</f>
        <v>1.3748263347707776</v>
      </c>
      <c r="M8" s="34">
        <f>'SER_se-appl'!M20</f>
        <v>1.4423825232438281</v>
      </c>
      <c r="N8" s="34">
        <f>'SER_se-appl'!N20</f>
        <v>1.5403238131763723</v>
      </c>
      <c r="O8" s="34">
        <f>'SER_se-appl'!O20</f>
        <v>1.617957287439074</v>
      </c>
      <c r="P8" s="34">
        <f>'SER_se-appl'!P20</f>
        <v>1.7242296646148811</v>
      </c>
      <c r="Q8" s="34">
        <f>'SER_se-appl'!Q20</f>
        <v>1.8436436476980373</v>
      </c>
      <c r="R8" s="34">
        <f>'SER_se-appl'!R20</f>
        <v>1.9537370700248207</v>
      </c>
      <c r="S8" s="34">
        <f>'SER_se-appl'!S20</f>
        <v>2.0707674450866937</v>
      </c>
      <c r="T8" s="34">
        <f>'SER_se-appl'!T20</f>
        <v>2.188867469574336</v>
      </c>
      <c r="U8" s="34">
        <f>'SER_se-appl'!U20</f>
        <v>2.3053774471552599</v>
      </c>
      <c r="V8" s="34">
        <f>'SER_se-appl'!V20</f>
        <v>2.4211614822646048</v>
      </c>
      <c r="W8" s="34">
        <f>'SER_se-appl'!W20</f>
        <v>2.5341807777045395</v>
      </c>
      <c r="X8" s="34">
        <f>'SER_se-appl'!X20</f>
        <v>2.6228038753422092</v>
      </c>
      <c r="Y8" s="34">
        <f>'SER_se-appl'!Y20</f>
        <v>2.6980770291377358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0.10240739782730046</v>
      </c>
      <c r="D9" s="36">
        <f>'SER_se-appl'!D28</f>
        <v>8.2579732373310177E-2</v>
      </c>
      <c r="E9" s="36">
        <f>'SER_se-appl'!E28</f>
        <v>7.8128338210410431E-2</v>
      </c>
      <c r="F9" s="36">
        <f>'SER_se-appl'!F28</f>
        <v>7.0749861925197055E-2</v>
      </c>
      <c r="G9" s="36">
        <f>'SER_se-appl'!G28</f>
        <v>0.10273916874862377</v>
      </c>
      <c r="H9" s="36">
        <f>'SER_se-appl'!H28</f>
        <v>9.8877338642814783E-2</v>
      </c>
      <c r="I9" s="36">
        <f>'SER_se-appl'!I28</f>
        <v>9.787069600170395E-2</v>
      </c>
      <c r="J9" s="36">
        <f>'SER_se-appl'!J28</f>
        <v>0.1455673238830506</v>
      </c>
      <c r="K9" s="36">
        <f>'SER_se-appl'!K28</f>
        <v>8.8835728355260102E-2</v>
      </c>
      <c r="L9" s="36">
        <f>'SER_se-appl'!L28</f>
        <v>9.1991061816377728E-2</v>
      </c>
      <c r="M9" s="36">
        <f>'SER_se-appl'!M28</f>
        <v>0.1145192909826569</v>
      </c>
      <c r="N9" s="36">
        <f>'SER_se-appl'!N28</f>
        <v>0.14623277170670779</v>
      </c>
      <c r="O9" s="36">
        <f>'SER_se-appl'!O28</f>
        <v>0.12729090929837295</v>
      </c>
      <c r="P9" s="36">
        <f>'SER_se-appl'!P28</f>
        <v>0.1573344022727714</v>
      </c>
      <c r="Q9" s="36">
        <f>'SER_se-appl'!Q28</f>
        <v>0.17192032790604173</v>
      </c>
      <c r="R9" s="36">
        <f>'SER_se-appl'!R28</f>
        <v>0.16408494031739407</v>
      </c>
      <c r="S9" s="36">
        <f>'SER_se-appl'!S28</f>
        <v>0.17254907522589358</v>
      </c>
      <c r="T9" s="36">
        <f>'SER_se-appl'!T28</f>
        <v>0.1751891040804483</v>
      </c>
      <c r="U9" s="36">
        <f>'SER_se-appl'!U28</f>
        <v>0.21891737540822431</v>
      </c>
      <c r="V9" s="36">
        <f>'SER_se-appl'!V28</f>
        <v>0.19836376748265483</v>
      </c>
      <c r="W9" s="36">
        <f>'SER_se-appl'!W28</f>
        <v>0.19114763365034504</v>
      </c>
      <c r="X9" s="36">
        <f>'SER_se-appl'!X28</f>
        <v>0.15937295956286679</v>
      </c>
      <c r="Y9" s="36">
        <f>'SER_se-appl'!Y28</f>
        <v>0.17801232254415034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3.5531968104973055E-2</v>
      </c>
      <c r="D10" s="38">
        <f>'SER_se-appl'!D36</f>
        <v>3.6537010939395875E-2</v>
      </c>
      <c r="E10" s="38">
        <f>'SER_se-appl'!E36</f>
        <v>3.7570482007685202E-2</v>
      </c>
      <c r="F10" s="38">
        <f>'SER_se-appl'!F36</f>
        <v>3.8633185419330918E-2</v>
      </c>
      <c r="G10" s="38">
        <f>'SER_se-appl'!G36</f>
        <v>3.9725948028537017E-2</v>
      </c>
      <c r="H10" s="38">
        <f>'SER_se-appl'!H36</f>
        <v>4.0849620077571425E-2</v>
      </c>
      <c r="I10" s="38">
        <f>'SER_se-appl'!I36</f>
        <v>4.2005075858308372E-2</v>
      </c>
      <c r="J10" s="38">
        <f>'SER_se-appl'!J36</f>
        <v>4.3193214392488688E-2</v>
      </c>
      <c r="K10" s="38">
        <f>'SER_se-appl'!K36</f>
        <v>4.4414960131216263E-2</v>
      </c>
      <c r="L10" s="38">
        <f>'SER_se-appl'!L36</f>
        <v>4.56712636742449E-2</v>
      </c>
      <c r="M10" s="38">
        <f>'SER_se-appl'!M36</f>
        <v>4.6963102509606447E-2</v>
      </c>
      <c r="N10" s="38">
        <f>'SER_se-appl'!N36</f>
        <v>4.8291481774163536E-2</v>
      </c>
      <c r="O10" s="38">
        <f>'SER_se-appl'!O36</f>
        <v>4.9657435035671327E-2</v>
      </c>
      <c r="P10" s="38">
        <f>'SER_se-appl'!P36</f>
        <v>5.1062025096964225E-2</v>
      </c>
      <c r="Q10" s="38">
        <f>'SER_se-appl'!Q36</f>
        <v>5.250634482288552E-2</v>
      </c>
      <c r="R10" s="38">
        <f>'SER_se-appl'!R36</f>
        <v>5.3991517990610527E-2</v>
      </c>
      <c r="S10" s="38">
        <f>'SER_se-appl'!S36</f>
        <v>5.5518700164020274E-2</v>
      </c>
      <c r="T10" s="38">
        <f>'SER_se-appl'!T36</f>
        <v>5.7089079592806069E-2</v>
      </c>
      <c r="U10" s="38">
        <f>'SER_se-appl'!U36</f>
        <v>0.10240739782730035</v>
      </c>
      <c r="V10" s="38">
        <f>'SER_se-appl'!V36</f>
        <v>8.2579732373309955E-2</v>
      </c>
      <c r="W10" s="38">
        <f>'SER_se-appl'!W36</f>
        <v>7.812833821041032E-2</v>
      </c>
      <c r="X10" s="38">
        <f>'SER_se-appl'!X36</f>
        <v>7.0749861925197166E-2</v>
      </c>
      <c r="Y10" s="38">
        <f>'SER_se-appl'!Y36</f>
        <v>0.10273916874862365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8759.9999999999982</v>
      </c>
      <c r="C12" s="204">
        <f>'SER_se-appl'!C44</f>
        <v>8759.9999999999964</v>
      </c>
      <c r="D12" s="204">
        <f>'SER_se-appl'!D44</f>
        <v>8760.0000000000018</v>
      </c>
      <c r="E12" s="204">
        <f>'SER_se-appl'!E44</f>
        <v>8759.9999999999964</v>
      </c>
      <c r="F12" s="204">
        <f>'SER_se-appl'!F44</f>
        <v>8759.9999999999982</v>
      </c>
      <c r="G12" s="204">
        <f>'SER_se-appl'!G44</f>
        <v>8760</v>
      </c>
      <c r="H12" s="204">
        <f>'SER_se-appl'!H44</f>
        <v>8759.9999999999982</v>
      </c>
      <c r="I12" s="204">
        <f>'SER_se-appl'!I44</f>
        <v>8759.9999999999964</v>
      </c>
      <c r="J12" s="204">
        <f>'SER_se-appl'!J44</f>
        <v>8759.9999999999982</v>
      </c>
      <c r="K12" s="204">
        <f>'SER_se-appl'!K44</f>
        <v>8760.0000000000018</v>
      </c>
      <c r="L12" s="204">
        <f>'SER_se-appl'!L44</f>
        <v>8760.0000000000018</v>
      </c>
      <c r="M12" s="204">
        <f>'SER_se-appl'!M44</f>
        <v>8760</v>
      </c>
      <c r="N12" s="204">
        <f>'SER_se-appl'!N44</f>
        <v>8759.9999999999982</v>
      </c>
      <c r="O12" s="204">
        <f>'SER_se-appl'!O44</f>
        <v>8759.9999999999964</v>
      </c>
      <c r="P12" s="204">
        <f>'SER_se-appl'!P44</f>
        <v>8760</v>
      </c>
      <c r="Q12" s="204">
        <f>'SER_se-appl'!Q44</f>
        <v>8759.9999999999982</v>
      </c>
      <c r="R12" s="204">
        <f>'SER_se-appl'!R44</f>
        <v>8760</v>
      </c>
      <c r="S12" s="204">
        <f>'SER_se-appl'!S44</f>
        <v>8760</v>
      </c>
      <c r="T12" s="204">
        <f>'SER_se-appl'!T44</f>
        <v>8760</v>
      </c>
      <c r="U12" s="204">
        <f>'SER_se-appl'!U44</f>
        <v>8759.9999999999982</v>
      </c>
      <c r="V12" s="204">
        <f>'SER_se-appl'!V44</f>
        <v>8760</v>
      </c>
      <c r="W12" s="204">
        <f>'SER_se-appl'!W44</f>
        <v>8760</v>
      </c>
      <c r="X12" s="204">
        <f>'SER_se-appl'!X44</f>
        <v>8760</v>
      </c>
      <c r="Y12" s="204">
        <f>'SER_se-appl'!Y44</f>
        <v>8760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0.80321156643297298</v>
      </c>
      <c r="C14" s="59">
        <f>'SER_se-appl'!C52</f>
        <v>0.79313545560309573</v>
      </c>
      <c r="D14" s="59">
        <f>'SER_se-appl'!D52</f>
        <v>0.78487709950611351</v>
      </c>
      <c r="E14" s="59">
        <f>'SER_se-appl'!E52</f>
        <v>0.77694898956778902</v>
      </c>
      <c r="F14" s="59">
        <f>'SER_se-appl'!F52</f>
        <v>0.76959958754933167</v>
      </c>
      <c r="G14" s="59">
        <f>'SER_se-appl'!G52</f>
        <v>0.75932849720223339</v>
      </c>
      <c r="H14" s="59">
        <f>'SER_se-appl'!H52</f>
        <v>0.74950895233604276</v>
      </c>
      <c r="I14" s="59">
        <f>'SER_se-appl'!I52</f>
        <v>0.73985112024351229</v>
      </c>
      <c r="J14" s="59">
        <f>'SER_se-appl'!J52</f>
        <v>0.72676554550326622</v>
      </c>
      <c r="K14" s="59">
        <f>'SER_se-appl'!K52</f>
        <v>0.71787458852596653</v>
      </c>
      <c r="L14" s="59">
        <f>'SER_se-appl'!L52</f>
        <v>0.70845741552150054</v>
      </c>
      <c r="M14" s="59">
        <f>'SER_se-appl'!M52</f>
        <v>0.69711998644982542</v>
      </c>
      <c r="N14" s="59">
        <f>'SER_se-appl'!N52</f>
        <v>0.68336129341698182</v>
      </c>
      <c r="O14" s="59">
        <f>'SER_se-appl'!O52</f>
        <v>0.67085866175096687</v>
      </c>
      <c r="P14" s="59">
        <f>'SER_se-appl'!P52</f>
        <v>0.65638475380314343</v>
      </c>
      <c r="Q14" s="59">
        <f>'SER_se-appl'!Q52</f>
        <v>0.64102002587712625</v>
      </c>
      <c r="R14" s="59">
        <f>'SER_se-appl'!R52</f>
        <v>0.62744630229641651</v>
      </c>
      <c r="S14" s="59">
        <f>'SER_se-appl'!S52</f>
        <v>0.61436785835341079</v>
      </c>
      <c r="T14" s="59">
        <f>'SER_se-appl'!T52</f>
        <v>0.60200477142407793</v>
      </c>
      <c r="U14" s="59">
        <f>'SER_se-appl'!U52</f>
        <v>0.58881297927645859</v>
      </c>
      <c r="V14" s="59">
        <f>'SER_se-appl'!V52</f>
        <v>0.57853445466367359</v>
      </c>
      <c r="W14" s="59">
        <f>'SER_se-appl'!W52</f>
        <v>0.5696538794442535</v>
      </c>
      <c r="X14" s="59">
        <f>'SER_se-appl'!X52</f>
        <v>0.56258217591622062</v>
      </c>
      <c r="Y14" s="59">
        <f>'SER_se-appl'!Y52</f>
        <v>0.55428941000222243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0.7160272465097387</v>
      </c>
      <c r="D15" s="63">
        <f>'SER_se-appl'!D60</f>
        <v>0.70437620479114782</v>
      </c>
      <c r="E15" s="63">
        <f>'SER_se-appl'!E60</f>
        <v>0.69498979159477381</v>
      </c>
      <c r="F15" s="63">
        <f>'SER_se-appl'!F60</f>
        <v>0.68691192869794993</v>
      </c>
      <c r="G15" s="63">
        <f>'SER_se-appl'!G60</f>
        <v>0.6758438093765835</v>
      </c>
      <c r="H15" s="63">
        <f>'SER_se-appl'!H60</f>
        <v>0.66564991410769259</v>
      </c>
      <c r="I15" s="63">
        <f>'SER_se-appl'!I60</f>
        <v>0.65594682619680622</v>
      </c>
      <c r="J15" s="63">
        <f>'SER_se-appl'!J60</f>
        <v>0.64322051260535484</v>
      </c>
      <c r="K15" s="63">
        <f>'SER_se-appl'!K60</f>
        <v>0.63202497608072505</v>
      </c>
      <c r="L15" s="63">
        <f>'SER_se-appl'!L60</f>
        <v>0.6195005764448589</v>
      </c>
      <c r="M15" s="63">
        <f>'SER_se-appl'!M60</f>
        <v>0.60451893889543662</v>
      </c>
      <c r="N15" s="63">
        <f>'SER_se-appl'!N60</f>
        <v>0.58722996160809771</v>
      </c>
      <c r="O15" s="63">
        <f>'SER_se-appl'!O60</f>
        <v>0.57119879140806085</v>
      </c>
      <c r="P15" s="63">
        <f>'SER_se-appl'!P60</f>
        <v>0.55519334098746631</v>
      </c>
      <c r="Q15" s="63">
        <f>'SER_se-appl'!Q60</f>
        <v>0.53645859941905538</v>
      </c>
      <c r="R15" s="63">
        <f>'SER_se-appl'!R60</f>
        <v>0.53276804721474436</v>
      </c>
      <c r="S15" s="63">
        <f>'SER_se-appl'!S60</f>
        <v>0.52704497051274646</v>
      </c>
      <c r="T15" s="63">
        <f>'SER_se-appl'!T60</f>
        <v>0.52143830427277815</v>
      </c>
      <c r="U15" s="63">
        <f>'SER_se-appl'!U60</f>
        <v>0.51642309887572901</v>
      </c>
      <c r="V15" s="63">
        <f>'SER_se-appl'!V60</f>
        <v>0.51146625488978104</v>
      </c>
      <c r="W15" s="63">
        <f>'SER_se-appl'!W60</f>
        <v>0.5083974573604424</v>
      </c>
      <c r="X15" s="63">
        <f>'SER_se-appl'!X60</f>
        <v>0.50532865983110364</v>
      </c>
      <c r="Y15" s="63">
        <f>'SER_se-appl'!Y60</f>
        <v>0.502259862301765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2.0555239242509518</v>
      </c>
      <c r="C3" s="198">
        <f>'SER_se-appl'!C5</f>
        <v>2.0740109228608414</v>
      </c>
      <c r="D3" s="198">
        <f>'SER_se-appl'!D5</f>
        <v>2.0885046786909363</v>
      </c>
      <c r="E3" s="198">
        <f>'SER_se-appl'!E5</f>
        <v>2.1092171615439175</v>
      </c>
      <c r="F3" s="198">
        <f>'SER_se-appl'!F5</f>
        <v>2.1246881730221707</v>
      </c>
      <c r="G3" s="198">
        <f>'SER_se-appl'!G5</f>
        <v>2.1330704054076515</v>
      </c>
      <c r="H3" s="198">
        <f>'SER_se-appl'!H5</f>
        <v>2.1388677652862045</v>
      </c>
      <c r="I3" s="198">
        <f>'SER_se-appl'!I5</f>
        <v>2.143342761615926</v>
      </c>
      <c r="J3" s="198">
        <f>'SER_se-appl'!J5</f>
        <v>2.1777476928013577</v>
      </c>
      <c r="K3" s="198">
        <f>'SER_se-appl'!K5</f>
        <v>2.2113567245285535</v>
      </c>
      <c r="L3" s="198">
        <f>'SER_se-appl'!L5</f>
        <v>2.2379974731164238</v>
      </c>
      <c r="M3" s="198">
        <f>'SER_se-appl'!M5</f>
        <v>2.2671747352257943</v>
      </c>
      <c r="N3" s="198">
        <f>'SER_se-appl'!N5</f>
        <v>2.3106039556333764</v>
      </c>
      <c r="O3" s="198">
        <f>'SER_se-appl'!O5</f>
        <v>2.3574059403266543</v>
      </c>
      <c r="P3" s="198">
        <f>'SER_se-appl'!P5</f>
        <v>2.4071661293867859</v>
      </c>
      <c r="Q3" s="198">
        <f>'SER_se-appl'!Q5</f>
        <v>2.4684538295078315</v>
      </c>
      <c r="R3" s="198">
        <f>'SER_se-appl'!R5</f>
        <v>2.4863046114253256</v>
      </c>
      <c r="S3" s="198">
        <f>'SER_se-appl'!S5</f>
        <v>2.5119606433763519</v>
      </c>
      <c r="T3" s="198">
        <f>'SER_se-appl'!T5</f>
        <v>2.5371139893066257</v>
      </c>
      <c r="U3" s="198">
        <f>'SER_se-appl'!U5</f>
        <v>2.545305198897764</v>
      </c>
      <c r="V3" s="198">
        <f>'SER_se-appl'!V5</f>
        <v>2.5071869854451712</v>
      </c>
      <c r="W3" s="198">
        <f>'SER_se-appl'!W5</f>
        <v>2.4718725660483019</v>
      </c>
      <c r="X3" s="198">
        <f>'SER_se-appl'!X5</f>
        <v>2.4419390883963743</v>
      </c>
      <c r="Y3" s="198">
        <f>'SER_se-appl'!Y5</f>
        <v>2.4834373111814418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6.5065155692730672</v>
      </c>
      <c r="C5" s="59">
        <f>'SER_se-appl'!C13</f>
        <v>6.5578165785705442</v>
      </c>
      <c r="D5" s="59">
        <f>'SER_se-appl'!D13</f>
        <v>6.5979672005796326</v>
      </c>
      <c r="E5" s="59">
        <f>'SER_se-appl'!E13</f>
        <v>6.6490977914229159</v>
      </c>
      <c r="F5" s="59">
        <f>'SER_se-appl'!F13</f>
        <v>6.6870473953644751</v>
      </c>
      <c r="G5" s="59">
        <f>'SER_se-appl'!G13</f>
        <v>6.7070417731664751</v>
      </c>
      <c r="H5" s="59">
        <f>'SER_se-appl'!H13</f>
        <v>6.7209344734467864</v>
      </c>
      <c r="I5" s="59">
        <f>'SER_se-appl'!I13</f>
        <v>6.7218952152891749</v>
      </c>
      <c r="J5" s="59">
        <f>'SER_se-appl'!J13</f>
        <v>6.8227135738530196</v>
      </c>
      <c r="K5" s="59">
        <f>'SER_se-appl'!K13</f>
        <v>6.9244912964154457</v>
      </c>
      <c r="L5" s="59">
        <f>'SER_se-appl'!L13</f>
        <v>7.0090038684839246</v>
      </c>
      <c r="M5" s="59">
        <f>'SER_se-appl'!M13</f>
        <v>7.1226058932135103</v>
      </c>
      <c r="N5" s="59">
        <f>'SER_se-appl'!N13</f>
        <v>7.2843499433544663</v>
      </c>
      <c r="O5" s="59">
        <f>'SER_se-appl'!O13</f>
        <v>7.4349501208577538</v>
      </c>
      <c r="P5" s="59">
        <f>'SER_se-appl'!P13</f>
        <v>7.6172576420804763</v>
      </c>
      <c r="Q5" s="59">
        <f>'SER_se-appl'!Q13</f>
        <v>7.8446742611889864</v>
      </c>
      <c r="R5" s="59">
        <f>'SER_se-appl'!R13</f>
        <v>7.9876668477604067</v>
      </c>
      <c r="S5" s="59">
        <f>'SER_se-appl'!S13</f>
        <v>8.0815831993239211</v>
      </c>
      <c r="T5" s="59">
        <f>'SER_se-appl'!T13</f>
        <v>8.1271609666517808</v>
      </c>
      <c r="U5" s="59">
        <f>'SER_se-appl'!U13</f>
        <v>8.1103664662226365</v>
      </c>
      <c r="V5" s="59">
        <f>'SER_se-appl'!V13</f>
        <v>8.0439311533298543</v>
      </c>
      <c r="W5" s="59">
        <f>'SER_se-appl'!W13</f>
        <v>7.9497013745015144</v>
      </c>
      <c r="X5" s="59">
        <f>'SER_se-appl'!X13</f>
        <v>7.8569577408262266</v>
      </c>
      <c r="Y5" s="59">
        <f>'SER_se-appl'!Y13</f>
        <v>7.9940660604073219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8.2772511976822213E-2</v>
      </c>
      <c r="C6" s="201">
        <f>'SER_se-appl'!C69</f>
        <v>8.3647441580566237E-2</v>
      </c>
      <c r="D6" s="201">
        <f>'SER_se-appl'!D69</f>
        <v>8.4401717852455746E-2</v>
      </c>
      <c r="E6" s="201">
        <f>'SER_se-appl'!E69</f>
        <v>8.5608593503952543E-2</v>
      </c>
      <c r="F6" s="201">
        <f>'SER_se-appl'!F69</f>
        <v>8.6807709162714963E-2</v>
      </c>
      <c r="G6" s="201">
        <f>'SER_se-appl'!G69</f>
        <v>8.796752316651836E-2</v>
      </c>
      <c r="H6" s="201">
        <f>'SER_se-appl'!H69</f>
        <v>8.94503429279455E-2</v>
      </c>
      <c r="I6" s="201">
        <f>'SER_se-appl'!I69</f>
        <v>9.145600746655265E-2</v>
      </c>
      <c r="J6" s="201">
        <f>'SER_se-appl'!J69</f>
        <v>9.3594976999006929E-2</v>
      </c>
      <c r="K6" s="201">
        <f>'SER_se-appl'!K69</f>
        <v>9.5760922275621149E-2</v>
      </c>
      <c r="L6" s="201">
        <f>'SER_se-appl'!L69</f>
        <v>9.7850364226953243E-2</v>
      </c>
      <c r="M6" s="201">
        <f>'SER_se-appl'!M69</f>
        <v>0.10121038731474515</v>
      </c>
      <c r="N6" s="201">
        <f>'SER_se-appl'!N69</f>
        <v>0.10521920142362169</v>
      </c>
      <c r="O6" s="201">
        <f>'SER_se-appl'!O69</f>
        <v>0.10923138750355102</v>
      </c>
      <c r="P6" s="201">
        <f>'SER_se-appl'!P69</f>
        <v>0.11366416920030441</v>
      </c>
      <c r="Q6" s="201">
        <f>'SER_se-appl'!Q69</f>
        <v>0.11831969162315865</v>
      </c>
      <c r="R6" s="201">
        <f>'SER_se-appl'!R69</f>
        <v>0.12226935467238127</v>
      </c>
      <c r="S6" s="201">
        <f>'SER_se-appl'!S69</f>
        <v>0.12631957558404017</v>
      </c>
      <c r="T6" s="201">
        <f>'SER_se-appl'!T69</f>
        <v>0.12868332956474077</v>
      </c>
      <c r="U6" s="201">
        <f>'SER_se-appl'!U69</f>
        <v>0.13010991618566681</v>
      </c>
      <c r="V6" s="201">
        <f>'SER_se-appl'!V69</f>
        <v>0.13026250744078072</v>
      </c>
      <c r="W6" s="201">
        <f>'SER_se-appl'!W69</f>
        <v>0.1352516392725763</v>
      </c>
      <c r="X6" s="201">
        <f>'SER_se-appl'!X69</f>
        <v>0.13885729802069768</v>
      </c>
      <c r="Y6" s="201">
        <f>'SER_se-appl'!Y69</f>
        <v>0.14143830108340003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32.178558983597426</v>
      </c>
      <c r="C8" s="34">
        <f>'SER_se-appl'!C21</f>
        <v>32.740863346257335</v>
      </c>
      <c r="D8" s="34">
        <f>'SER_se-appl'!D21</f>
        <v>33.308378335010985</v>
      </c>
      <c r="E8" s="34">
        <f>'SER_se-appl'!E21</f>
        <v>34.011951764746328</v>
      </c>
      <c r="F8" s="34">
        <f>'SER_se-appl'!F21</f>
        <v>34.711538239767343</v>
      </c>
      <c r="G8" s="34">
        <f>'SER_se-appl'!G21</f>
        <v>35.421706618415612</v>
      </c>
      <c r="H8" s="34">
        <f>'SER_se-appl'!H21</f>
        <v>36.227299435474997</v>
      </c>
      <c r="I8" s="34">
        <f>'SER_se-appl'!I21</f>
        <v>37.096019924553218</v>
      </c>
      <c r="J8" s="34">
        <f>'SER_se-appl'!J21</f>
        <v>38.171026659458995</v>
      </c>
      <c r="K8" s="34">
        <f>'SER_se-appl'!K21</f>
        <v>39.350652747031894</v>
      </c>
      <c r="L8" s="34">
        <f>'SER_se-appl'!L21</f>
        <v>40.51269274979277</v>
      </c>
      <c r="M8" s="34">
        <f>'SER_se-appl'!M21</f>
        <v>42.001197421358775</v>
      </c>
      <c r="N8" s="34">
        <f>'SER_se-appl'!N21</f>
        <v>43.933856677627539</v>
      </c>
      <c r="O8" s="34">
        <f>'SER_se-appl'!O21</f>
        <v>46.037097502796627</v>
      </c>
      <c r="P8" s="34">
        <f>'SER_se-appl'!P21</f>
        <v>48.665996028125534</v>
      </c>
      <c r="Q8" s="34">
        <f>'SER_se-appl'!Q21</f>
        <v>51.919272282700135</v>
      </c>
      <c r="R8" s="34">
        <f>'SER_se-appl'!R21</f>
        <v>54.976581288116158</v>
      </c>
      <c r="S8" s="34">
        <f>'SER_se-appl'!S21</f>
        <v>58.028055033918456</v>
      </c>
      <c r="T8" s="34">
        <f>'SER_se-appl'!T21</f>
        <v>61.103606160532813</v>
      </c>
      <c r="U8" s="34">
        <f>'SER_se-appl'!U21</f>
        <v>64.140025162215792</v>
      </c>
      <c r="V8" s="34">
        <f>'SER_se-appl'!V21</f>
        <v>67.066303268423155</v>
      </c>
      <c r="W8" s="34">
        <f>'SER_se-appl'!W21</f>
        <v>69.806752319558456</v>
      </c>
      <c r="X8" s="34">
        <f>'SER_se-appl'!X21</f>
        <v>72.229956140618398</v>
      </c>
      <c r="Y8" s="34">
        <f>'SER_se-appl'!Y21</f>
        <v>76.666772540558071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4.5989253383571125</v>
      </c>
      <c r="D9" s="36">
        <f>'SER_se-appl'!D29</f>
        <v>4.7778918360530724</v>
      </c>
      <c r="E9" s="36">
        <f>'SER_se-appl'!E29</f>
        <v>5.09518544954188</v>
      </c>
      <c r="F9" s="36">
        <f>'SER_se-appl'!F29</f>
        <v>5.2802349138607951</v>
      </c>
      <c r="G9" s="36">
        <f>'SER_se-appl'!G29</f>
        <v>5.4879902867797696</v>
      </c>
      <c r="H9" s="36">
        <f>'SER_se-appl'!H29</f>
        <v>5.7890755031053089</v>
      </c>
      <c r="I9" s="36">
        <f>'SER_se-appl'!I29</f>
        <v>6.066716596855283</v>
      </c>
      <c r="J9" s="36">
        <f>'SER_se-appl'!J29</f>
        <v>5.6739320732628897</v>
      </c>
      <c r="K9" s="36">
        <f>'SER_se-appl'!K29</f>
        <v>5.9575179236259714</v>
      </c>
      <c r="L9" s="36">
        <f>'SER_se-appl'!L29</f>
        <v>6.2572254523027553</v>
      </c>
      <c r="M9" s="36">
        <f>'SER_se-appl'!M29</f>
        <v>6.7687395854268004</v>
      </c>
      <c r="N9" s="36">
        <f>'SER_se-appl'!N29</f>
        <v>7.4206495430485333</v>
      </c>
      <c r="O9" s="36">
        <f>'SER_se-appl'!O29</f>
        <v>7.8923163282743971</v>
      </c>
      <c r="P9" s="36">
        <f>'SER_se-appl'!P29</f>
        <v>8.6956151221841935</v>
      </c>
      <c r="Q9" s="36">
        <f>'SER_se-appl'!Q29</f>
        <v>8.9272083278374907</v>
      </c>
      <c r="R9" s="36">
        <f>'SER_se-appl'!R29</f>
        <v>9.0148269290419947</v>
      </c>
      <c r="S9" s="36">
        <f>'SER_se-appl'!S29</f>
        <v>9.3086991981050531</v>
      </c>
      <c r="T9" s="36">
        <f>'SER_se-appl'!T29</f>
        <v>9.8442907120411576</v>
      </c>
      <c r="U9" s="36">
        <f>'SER_se-appl'!U29</f>
        <v>10.457068544731513</v>
      </c>
      <c r="V9" s="36">
        <f>'SER_se-appl'!V29</f>
        <v>10.81859443448176</v>
      </c>
      <c r="W9" s="36">
        <f>'SER_se-appl'!W29</f>
        <v>11.436064173319494</v>
      </c>
      <c r="X9" s="36">
        <f>'SER_se-appl'!X29</f>
        <v>11.350412148897433</v>
      </c>
      <c r="Y9" s="36">
        <f>'SER_se-appl'!Y29</f>
        <v>13.451643328981667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4.036620975697204</v>
      </c>
      <c r="D10" s="38">
        <f>'SER_se-appl'!D37</f>
        <v>4.2103768472994219</v>
      </c>
      <c r="E10" s="38">
        <f>'SER_se-appl'!E37</f>
        <v>4.3916120198065371</v>
      </c>
      <c r="F10" s="38">
        <f>'SER_se-appl'!F37</f>
        <v>4.5806484388397806</v>
      </c>
      <c r="G10" s="38">
        <f>'SER_se-appl'!G37</f>
        <v>4.7778219081315001</v>
      </c>
      <c r="H10" s="38">
        <f>'SER_se-appl'!H37</f>
        <v>4.9834826860459245</v>
      </c>
      <c r="I10" s="38">
        <f>'SER_se-appl'!I37</f>
        <v>5.1979961077770582</v>
      </c>
      <c r="J10" s="38">
        <f>'SER_se-appl'!J37</f>
        <v>4.5989253383571125</v>
      </c>
      <c r="K10" s="38">
        <f>'SER_se-appl'!K37</f>
        <v>4.7778918360530724</v>
      </c>
      <c r="L10" s="38">
        <f>'SER_se-appl'!L37</f>
        <v>5.09518544954188</v>
      </c>
      <c r="M10" s="38">
        <f>'SER_se-appl'!M37</f>
        <v>5.2802349138607951</v>
      </c>
      <c r="N10" s="38">
        <f>'SER_se-appl'!N37</f>
        <v>5.4879902867797696</v>
      </c>
      <c r="O10" s="38">
        <f>'SER_se-appl'!O37</f>
        <v>5.7890755031053089</v>
      </c>
      <c r="P10" s="38">
        <f>'SER_se-appl'!P37</f>
        <v>6.0667165968552865</v>
      </c>
      <c r="Q10" s="38">
        <f>'SER_se-appl'!Q37</f>
        <v>5.6739320732628897</v>
      </c>
      <c r="R10" s="38">
        <f>'SER_se-appl'!R37</f>
        <v>5.9575179236259714</v>
      </c>
      <c r="S10" s="38">
        <f>'SER_se-appl'!S37</f>
        <v>6.2572254523027553</v>
      </c>
      <c r="T10" s="38">
        <f>'SER_se-appl'!T37</f>
        <v>6.7687395854268075</v>
      </c>
      <c r="U10" s="38">
        <f>'SER_se-appl'!U37</f>
        <v>7.4206495430485262</v>
      </c>
      <c r="V10" s="38">
        <f>'SER_se-appl'!V37</f>
        <v>7.8923163282744042</v>
      </c>
      <c r="W10" s="38">
        <f>'SER_se-appl'!W37</f>
        <v>8.6956151221841935</v>
      </c>
      <c r="X10" s="38">
        <f>'SER_se-appl'!X37</f>
        <v>8.9272083278374907</v>
      </c>
      <c r="Y10" s="38">
        <f>'SER_se-appl'!Y37</f>
        <v>9.0148269290419876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3674.1237279033226</v>
      </c>
      <c r="C12" s="204">
        <f>'SER_se-appl'!C45</f>
        <v>3678.1673814563082</v>
      </c>
      <c r="D12" s="204">
        <f>'SER_se-appl'!D45</f>
        <v>3681.3322459441401</v>
      </c>
      <c r="E12" s="204">
        <f>'SER_se-appl'!E45</f>
        <v>3689.2517388447473</v>
      </c>
      <c r="F12" s="204">
        <f>'SER_se-appl'!F45</f>
        <v>3695.221820825906</v>
      </c>
      <c r="G12" s="204">
        <f>'SER_se-appl'!G45</f>
        <v>3698.7407643920214</v>
      </c>
      <c r="H12" s="204">
        <f>'SER_se-appl'!H45</f>
        <v>3701.127009726903</v>
      </c>
      <c r="I12" s="204">
        <f>'SER_se-appl'!I45</f>
        <v>3708.340508030496</v>
      </c>
      <c r="J12" s="204">
        <f>'SER_se-appl'!J45</f>
        <v>3712.1894966164687</v>
      </c>
      <c r="K12" s="204">
        <f>'SER_se-appl'!K45</f>
        <v>3714.0748114710436</v>
      </c>
      <c r="L12" s="204">
        <f>'SER_se-appl'!L45</f>
        <v>3713.4963970242393</v>
      </c>
      <c r="M12" s="204">
        <f>'SER_se-appl'!M45</f>
        <v>3701.9094648770269</v>
      </c>
      <c r="N12" s="204">
        <f>'SER_se-appl'!N45</f>
        <v>3689.0490178237342</v>
      </c>
      <c r="O12" s="204">
        <f>'SER_se-appl'!O45</f>
        <v>3687.5339632858213</v>
      </c>
      <c r="P12" s="204">
        <f>'SER_se-appl'!P45</f>
        <v>3675.2520920537017</v>
      </c>
      <c r="Q12" s="204">
        <f>'SER_se-appl'!Q45</f>
        <v>3659.5678904358874</v>
      </c>
      <c r="R12" s="204">
        <f>'SER_se-appl'!R45</f>
        <v>3620.0461513970085</v>
      </c>
      <c r="S12" s="204">
        <f>'SER_se-appl'!S45</f>
        <v>3614.8984130870458</v>
      </c>
      <c r="T12" s="204">
        <f>'SER_se-appl'!T45</f>
        <v>3630.6203133801305</v>
      </c>
      <c r="U12" s="204">
        <f>'SER_se-appl'!U45</f>
        <v>3649.8843284658547</v>
      </c>
      <c r="V12" s="204">
        <f>'SER_se-appl'!V45</f>
        <v>3624.917230756866</v>
      </c>
      <c r="W12" s="204">
        <f>'SER_se-appl'!W45</f>
        <v>3616.2211118206164</v>
      </c>
      <c r="X12" s="204">
        <f>'SER_se-appl'!X45</f>
        <v>3614.5990006385546</v>
      </c>
      <c r="Y12" s="204">
        <f>'SER_se-appl'!Y45</f>
        <v>3612.9768894564932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202.20034006462728</v>
      </c>
      <c r="C14" s="59">
        <f>'SER_se-appl'!C53</f>
        <v>200.29455268839695</v>
      </c>
      <c r="D14" s="59">
        <f>'SER_se-appl'!D53</f>
        <v>198.08731407510166</v>
      </c>
      <c r="E14" s="59">
        <f>'SER_se-appl'!E53</f>
        <v>195.4929795682811</v>
      </c>
      <c r="F14" s="59">
        <f>'SER_se-appl'!F53</f>
        <v>192.64624198369424</v>
      </c>
      <c r="G14" s="59">
        <f>'SER_se-appl'!G53</f>
        <v>189.34835199836218</v>
      </c>
      <c r="H14" s="59">
        <f>'SER_se-appl'!H53</f>
        <v>185.5212665083564</v>
      </c>
      <c r="I14" s="59">
        <f>'SER_se-appl'!I53</f>
        <v>181.20259879524349</v>
      </c>
      <c r="J14" s="59">
        <f>'SER_se-appl'!J53</f>
        <v>178.74063578958814</v>
      </c>
      <c r="K14" s="59">
        <f>'SER_se-appl'!K53</f>
        <v>175.96890554598843</v>
      </c>
      <c r="L14" s="59">
        <f>'SER_se-appl'!L53</f>
        <v>173.00760311766186</v>
      </c>
      <c r="M14" s="59">
        <f>'SER_se-appl'!M53</f>
        <v>169.58101983995979</v>
      </c>
      <c r="N14" s="59">
        <f>'SER_se-appl'!N53</f>
        <v>165.80265185468863</v>
      </c>
      <c r="O14" s="59">
        <f>'SER_se-appl'!O53</f>
        <v>161.4991066803484</v>
      </c>
      <c r="P14" s="59">
        <f>'SER_se-appl'!P53</f>
        <v>156.52114954512049</v>
      </c>
      <c r="Q14" s="59">
        <f>'SER_se-appl'!Q53</f>
        <v>151.0936867233959</v>
      </c>
      <c r="R14" s="59">
        <f>'SER_se-appl'!R53</f>
        <v>145.29217096820526</v>
      </c>
      <c r="S14" s="59">
        <f>'SER_se-appl'!S53</f>
        <v>139.27027529356428</v>
      </c>
      <c r="T14" s="59">
        <f>'SER_se-appl'!T53</f>
        <v>133.00624099500632</v>
      </c>
      <c r="U14" s="59">
        <f>'SER_se-appl'!U53</f>
        <v>126.44782171055908</v>
      </c>
      <c r="V14" s="59">
        <f>'SER_se-appl'!V53</f>
        <v>119.93998120241078</v>
      </c>
      <c r="W14" s="59">
        <f>'SER_se-appl'!W53</f>
        <v>113.88155314989733</v>
      </c>
      <c r="X14" s="59">
        <f>'SER_se-appl'!X53</f>
        <v>108.77699725485337</v>
      </c>
      <c r="Y14" s="59">
        <f>'SER_se-appl'!Y53</f>
        <v>104.27028288139194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188.63257815039032</v>
      </c>
      <c r="D15" s="63">
        <f>'SER_se-appl'!D61</f>
        <v>186.58652872931287</v>
      </c>
      <c r="E15" s="63">
        <f>'SER_se-appl'!E61</f>
        <v>184.31439718538761</v>
      </c>
      <c r="F15" s="63">
        <f>'SER_se-appl'!F61</f>
        <v>182.59761009127052</v>
      </c>
      <c r="G15" s="63">
        <f>'SER_se-appl'!G61</f>
        <v>179.6780863059835</v>
      </c>
      <c r="H15" s="63">
        <f>'SER_se-appl'!H61</f>
        <v>176.46247549492324</v>
      </c>
      <c r="I15" s="63">
        <f>'SER_se-appl'!I61</f>
        <v>173.40472489432418</v>
      </c>
      <c r="J15" s="63">
        <f>'SER_se-appl'!J61</f>
        <v>170.66215974320809</v>
      </c>
      <c r="K15" s="63">
        <f>'SER_se-appl'!K61</f>
        <v>166.72513412954208</v>
      </c>
      <c r="L15" s="63">
        <f>'SER_se-appl'!L61</f>
        <v>163.59145352063953</v>
      </c>
      <c r="M15" s="63">
        <f>'SER_se-appl'!M61</f>
        <v>159.2261435262611</v>
      </c>
      <c r="N15" s="63">
        <f>'SER_se-appl'!N61</f>
        <v>154.67859462661337</v>
      </c>
      <c r="O15" s="63">
        <f>'SER_se-appl'!O61</f>
        <v>148.51847326608009</v>
      </c>
      <c r="P15" s="63">
        <f>'SER_se-appl'!P61</f>
        <v>141.94566185010817</v>
      </c>
      <c r="Q15" s="63">
        <f>'SER_se-appl'!Q61</f>
        <v>133.94356634863783</v>
      </c>
      <c r="R15" s="63">
        <f>'SER_se-appl'!R61</f>
        <v>126.04352478543515</v>
      </c>
      <c r="S15" s="63">
        <f>'SER_se-appl'!S61</f>
        <v>120.05382648303417</v>
      </c>
      <c r="T15" s="63">
        <f>'SER_se-appl'!T61</f>
        <v>114.1106150669532</v>
      </c>
      <c r="U15" s="63">
        <f>'SER_se-appl'!U61</f>
        <v>108.15852810643158</v>
      </c>
      <c r="V15" s="63">
        <f>'SER_se-appl'!V61</f>
        <v>102.20546351116202</v>
      </c>
      <c r="W15" s="63">
        <f>'SER_se-appl'!W61</f>
        <v>99.691209108787447</v>
      </c>
      <c r="X15" s="63">
        <f>'SER_se-appl'!X61</f>
        <v>97.176954706412857</v>
      </c>
      <c r="Y15" s="63">
        <f>'SER_se-appl'!Y61</f>
        <v>94.662700304038282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3.5213669665843601</v>
      </c>
      <c r="C3" s="198">
        <f>'SER_se-appl'!C6</f>
        <v>3.6991047283872578</v>
      </c>
      <c r="D3" s="198">
        <f>'SER_se-appl'!D6</f>
        <v>3.8241642860726293</v>
      </c>
      <c r="E3" s="198">
        <f>'SER_se-appl'!E6</f>
        <v>3.8893331396221451</v>
      </c>
      <c r="F3" s="198">
        <f>'SER_se-appl'!F6</f>
        <v>3.9087254928440984</v>
      </c>
      <c r="G3" s="198">
        <f>'SER_se-appl'!G6</f>
        <v>4.0440843899241052</v>
      </c>
      <c r="H3" s="198">
        <f>'SER_se-appl'!H6</f>
        <v>4.1345694763365852</v>
      </c>
      <c r="I3" s="198">
        <f>'SER_se-appl'!I6</f>
        <v>4.2597010766694039</v>
      </c>
      <c r="J3" s="198">
        <f>'SER_se-appl'!J6</f>
        <v>4.5021441275496787</v>
      </c>
      <c r="K3" s="198">
        <f>'SER_se-appl'!K6</f>
        <v>4.5723360073191035</v>
      </c>
      <c r="L3" s="198">
        <f>'SER_se-appl'!L6</f>
        <v>4.6894271023682466</v>
      </c>
      <c r="M3" s="198">
        <f>'SER_se-appl'!M6</f>
        <v>4.8178586406641957</v>
      </c>
      <c r="N3" s="198">
        <f>'SER_se-appl'!N6</f>
        <v>5.0656148096984337</v>
      </c>
      <c r="O3" s="198">
        <f>'SER_se-appl'!O6</f>
        <v>5.1923358428513255</v>
      </c>
      <c r="P3" s="198">
        <f>'SER_se-appl'!P6</f>
        <v>5.3339708242770927</v>
      </c>
      <c r="Q3" s="198">
        <f>'SER_se-appl'!Q6</f>
        <v>5.5235941566384534</v>
      </c>
      <c r="R3" s="198">
        <f>'SER_se-appl'!R6</f>
        <v>5.4672907494623564</v>
      </c>
      <c r="S3" s="198">
        <f>'SER_se-appl'!S6</f>
        <v>5.261616800107614</v>
      </c>
      <c r="T3" s="198">
        <f>'SER_se-appl'!T6</f>
        <v>5.1036474103990983</v>
      </c>
      <c r="U3" s="198">
        <f>'SER_se-appl'!U6</f>
        <v>5.0187470986456129</v>
      </c>
      <c r="V3" s="198">
        <f>'SER_se-appl'!V6</f>
        <v>4.1391674208650322</v>
      </c>
      <c r="W3" s="198">
        <f>'SER_se-appl'!W6</f>
        <v>4.1216969459990684</v>
      </c>
      <c r="X3" s="198">
        <f>'SER_se-appl'!X6</f>
        <v>4.0823265146140235</v>
      </c>
      <c r="Y3" s="198">
        <f>'SER_se-appl'!Y6</f>
        <v>3.9495884034941851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18.296927884280464</v>
      </c>
      <c r="C5" s="59">
        <f>'SER_se-appl'!C14</f>
        <v>19.127140272685754</v>
      </c>
      <c r="D5" s="59">
        <f>'SER_se-appl'!D14</f>
        <v>19.633431797060314</v>
      </c>
      <c r="E5" s="59">
        <f>'SER_se-appl'!E14</f>
        <v>19.833429193165184</v>
      </c>
      <c r="F5" s="59">
        <f>'SER_se-appl'!F14</f>
        <v>19.877513084931724</v>
      </c>
      <c r="G5" s="59">
        <f>'SER_se-appl'!G14</f>
        <v>20.434572550678823</v>
      </c>
      <c r="H5" s="59">
        <f>'SER_se-appl'!H14</f>
        <v>20.784903486061065</v>
      </c>
      <c r="I5" s="59">
        <f>'SER_se-appl'!I14</f>
        <v>21.305225396368058</v>
      </c>
      <c r="J5" s="59">
        <f>'SER_se-appl'!J14</f>
        <v>22.409963609064587</v>
      </c>
      <c r="K5" s="59">
        <f>'SER_se-appl'!K14</f>
        <v>22.62464920562546</v>
      </c>
      <c r="L5" s="59">
        <f>'SER_se-appl'!L14</f>
        <v>23.100640037314367</v>
      </c>
      <c r="M5" s="59">
        <f>'SER_se-appl'!M14</f>
        <v>23.653978043977911</v>
      </c>
      <c r="N5" s="59">
        <f>'SER_se-appl'!N14</f>
        <v>24.747166870219292</v>
      </c>
      <c r="O5" s="59">
        <f>'SER_se-appl'!O14</f>
        <v>25.213277886176275</v>
      </c>
      <c r="P5" s="59">
        <f>'SER_se-appl'!P14</f>
        <v>25.683424981657424</v>
      </c>
      <c r="Q5" s="59">
        <f>'SER_se-appl'!Q14</f>
        <v>26.447477842719032</v>
      </c>
      <c r="R5" s="59">
        <f>'SER_se-appl'!R14</f>
        <v>26.19555272970851</v>
      </c>
      <c r="S5" s="59">
        <f>'SER_se-appl'!S14</f>
        <v>25.626573324768948</v>
      </c>
      <c r="T5" s="59">
        <f>'SER_se-appl'!T14</f>
        <v>24.662078473284303</v>
      </c>
      <c r="U5" s="59">
        <f>'SER_se-appl'!U14</f>
        <v>23.494799890290238</v>
      </c>
      <c r="V5" s="59">
        <f>'SER_se-appl'!V14</f>
        <v>22.06093514432958</v>
      </c>
      <c r="W5" s="59">
        <f>'SER_se-appl'!W14</f>
        <v>20.960759885561792</v>
      </c>
      <c r="X5" s="59">
        <f>'SER_se-appl'!X14</f>
        <v>20.243101174963329</v>
      </c>
      <c r="Y5" s="59">
        <f>'SER_se-appl'!Y14</f>
        <v>19.343824995521334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159.92628479977787</v>
      </c>
      <c r="C6" s="201">
        <f>'SER_se-appl'!C70</f>
        <v>161.97596814291529</v>
      </c>
      <c r="D6" s="201">
        <f>'SER_se-appl'!D70</f>
        <v>165.54055008745379</v>
      </c>
      <c r="E6" s="201">
        <f>'SER_se-appl'!E70</f>
        <v>168.64577051734258</v>
      </c>
      <c r="F6" s="201">
        <f>'SER_se-appl'!F70</f>
        <v>172.23329775260675</v>
      </c>
      <c r="G6" s="201">
        <f>'SER_se-appl'!G70</f>
        <v>175.78255368222929</v>
      </c>
      <c r="H6" s="201">
        <f>'SER_se-appl'!H70</f>
        <v>179.53401486235384</v>
      </c>
      <c r="I6" s="201">
        <f>'SER_se-appl'!I70</f>
        <v>183.43448213357672</v>
      </c>
      <c r="J6" s="201">
        <f>'SER_se-appl'!J70</f>
        <v>186.75326039847351</v>
      </c>
      <c r="K6" s="201">
        <f>'SER_se-appl'!K70</f>
        <v>191.55414780141078</v>
      </c>
      <c r="L6" s="201">
        <f>'SER_se-appl'!L70</f>
        <v>198.14692815031663</v>
      </c>
      <c r="M6" s="201">
        <f>'SER_se-appl'!M70</f>
        <v>204.82254616996696</v>
      </c>
      <c r="N6" s="201">
        <f>'SER_se-appl'!N70</f>
        <v>214.05100142488649</v>
      </c>
      <c r="O6" s="201">
        <f>'SER_se-appl'!O70</f>
        <v>223.32470270413577</v>
      </c>
      <c r="P6" s="201">
        <f>'SER_se-appl'!P70</f>
        <v>233.64350547815178</v>
      </c>
      <c r="Q6" s="201">
        <f>'SER_se-appl'!Q70</f>
        <v>246.70946366143059</v>
      </c>
      <c r="R6" s="201">
        <f>'SER_se-appl'!R70</f>
        <v>252.30328990983585</v>
      </c>
      <c r="S6" s="201">
        <f>'SER_se-appl'!S70</f>
        <v>257.97426008615884</v>
      </c>
      <c r="T6" s="201">
        <f>'SER_se-appl'!T70</f>
        <v>263.40002491462513</v>
      </c>
      <c r="U6" s="201">
        <f>'SER_se-appl'!U70</f>
        <v>268.38345254611716</v>
      </c>
      <c r="V6" s="201">
        <f>'SER_se-appl'!V70</f>
        <v>272.55716001595306</v>
      </c>
      <c r="W6" s="201">
        <f>'SER_se-appl'!W70</f>
        <v>275.43816965540577</v>
      </c>
      <c r="X6" s="201">
        <f>'SER_se-appl'!X70</f>
        <v>276.8900743566881</v>
      </c>
      <c r="Y6" s="201">
        <f>'SER_se-appl'!Y70</f>
        <v>277.618894200591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0.3535420141464643</v>
      </c>
      <c r="C8" s="34">
        <f>'SER_se-appl'!C22</f>
        <v>0.37514877670949182</v>
      </c>
      <c r="D8" s="34">
        <f>'SER_se-appl'!D22</f>
        <v>0.39253965827983367</v>
      </c>
      <c r="E8" s="34">
        <f>'SER_se-appl'!E22</f>
        <v>0.40538215896566315</v>
      </c>
      <c r="F8" s="34">
        <f>'SER_se-appl'!F22</f>
        <v>0.41703496663691048</v>
      </c>
      <c r="G8" s="34">
        <f>'SER_se-appl'!G22</f>
        <v>0.44306922660297465</v>
      </c>
      <c r="H8" s="34">
        <f>'SER_se-appl'!H22</f>
        <v>0.46639630450374137</v>
      </c>
      <c r="I8" s="34">
        <f>'SER_se-appl'!I22</f>
        <v>0.49271325799728294</v>
      </c>
      <c r="J8" s="34">
        <f>'SER_se-appl'!J22</f>
        <v>0.53371055515170285</v>
      </c>
      <c r="K8" s="34">
        <f>'SER_se-appl'!K22</f>
        <v>0.55218482803463398</v>
      </c>
      <c r="L8" s="34">
        <f>'SER_se-appl'!L22</f>
        <v>0.57935676388392932</v>
      </c>
      <c r="M8" s="34">
        <f>'SER_se-appl'!M22</f>
        <v>0.6136194481097621</v>
      </c>
      <c r="N8" s="34">
        <f>'SER_se-appl'!N22</f>
        <v>0.66908738173038818</v>
      </c>
      <c r="O8" s="34">
        <f>'SER_se-appl'!O22</f>
        <v>0.71557866671553594</v>
      </c>
      <c r="P8" s="34">
        <f>'SER_se-appl'!P22</f>
        <v>0.77409586088339999</v>
      </c>
      <c r="Q8" s="34">
        <f>'SER_se-appl'!Q22</f>
        <v>0.8433832750760456</v>
      </c>
      <c r="R8" s="34">
        <f>'SER_se-appl'!R22</f>
        <v>0.89009583424898142</v>
      </c>
      <c r="S8" s="34">
        <f>'SER_se-appl'!S22</f>
        <v>0.93994540667329973</v>
      </c>
      <c r="T8" s="34">
        <f>'SER_se-appl'!T22</f>
        <v>0.9894895597551131</v>
      </c>
      <c r="U8" s="34">
        <f>'SER_se-appl'!U22</f>
        <v>1.0369863695078823</v>
      </c>
      <c r="V8" s="34">
        <f>'SER_se-appl'!V22</f>
        <v>1.0817905732310071</v>
      </c>
      <c r="W8" s="34">
        <f>'SER_se-appl'!W22</f>
        <v>1.1212809743750849</v>
      </c>
      <c r="X8" s="34">
        <f>'SER_se-appl'!X22</f>
        <v>1.1548388609746731</v>
      </c>
      <c r="Y8" s="34">
        <f>'SER_se-appl'!Y22</f>
        <v>1.1850843789932763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7.6818039123031423E-2</v>
      </c>
      <c r="D9" s="36">
        <f>'SER_se-appl'!D30</f>
        <v>7.4036456111892357E-2</v>
      </c>
      <c r="E9" s="36">
        <f>'SER_se-appl'!E30</f>
        <v>7.0959633906886255E-2</v>
      </c>
      <c r="F9" s="36">
        <f>'SER_se-appl'!F30</f>
        <v>7.1279728241300466E-2</v>
      </c>
      <c r="G9" s="36">
        <f>'SER_se-appl'!G30</f>
        <v>8.7210189672439709E-2</v>
      </c>
      <c r="H9" s="36">
        <f>'SER_se-appl'!H30</f>
        <v>8.6092257448191101E-2</v>
      </c>
      <c r="I9" s="36">
        <f>'SER_se-appl'!I30</f>
        <v>0.103134992616573</v>
      </c>
      <c r="J9" s="36">
        <f>'SER_se-appl'!J30</f>
        <v>0.11503375326631227</v>
      </c>
      <c r="K9" s="36">
        <f>'SER_se-appl'!K30</f>
        <v>8.9433906789817386E-2</v>
      </c>
      <c r="L9" s="36">
        <f>'SER_se-appl'!L30</f>
        <v>9.8451664090595803E-2</v>
      </c>
      <c r="M9" s="36">
        <f>'SER_se-appl'!M30</f>
        <v>0.12147287389827249</v>
      </c>
      <c r="N9" s="36">
        <f>'SER_se-appl'!N30</f>
        <v>0.14156019106881712</v>
      </c>
      <c r="O9" s="36">
        <f>'SER_se-appl'!O30</f>
        <v>0.14962627760172076</v>
      </c>
      <c r="P9" s="36">
        <f>'SER_se-appl'!P30</f>
        <v>0.17355094743417632</v>
      </c>
      <c r="Q9" s="36">
        <f>'SER_se-appl'!Q30</f>
        <v>0.15872132098246305</v>
      </c>
      <c r="R9" s="36">
        <f>'SER_se-appl'!R30</f>
        <v>0.14516422326353162</v>
      </c>
      <c r="S9" s="36">
        <f>'SER_se-appl'!S30</f>
        <v>0.17132244632259086</v>
      </c>
      <c r="T9" s="36">
        <f>'SER_se-appl'!T30</f>
        <v>0.19110434415063049</v>
      </c>
      <c r="U9" s="36">
        <f>'SER_se-appl'!U30</f>
        <v>0.19712308735448991</v>
      </c>
      <c r="V9" s="36">
        <f>'SER_se-appl'!V30</f>
        <v>0.2183551511573012</v>
      </c>
      <c r="W9" s="36">
        <f>'SER_se-appl'!W30</f>
        <v>0.19821172212654081</v>
      </c>
      <c r="X9" s="36">
        <f>'SER_se-appl'!X30</f>
        <v>0.17872210986311987</v>
      </c>
      <c r="Y9" s="36">
        <f>'SER_se-appl'!Y30</f>
        <v>0.20156796434119406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5.5211276560003908E-2</v>
      </c>
      <c r="D10" s="38">
        <f>'SER_se-appl'!D38</f>
        <v>5.6645574541550503E-2</v>
      </c>
      <c r="E10" s="38">
        <f>'SER_se-appl'!E38</f>
        <v>5.8117133221056771E-2</v>
      </c>
      <c r="F10" s="38">
        <f>'SER_se-appl'!F38</f>
        <v>5.9626920570053143E-2</v>
      </c>
      <c r="G10" s="38">
        <f>'SER_se-appl'!G38</f>
        <v>6.1175929706375531E-2</v>
      </c>
      <c r="H10" s="38">
        <f>'SER_se-appl'!H38</f>
        <v>6.2765179547424443E-2</v>
      </c>
      <c r="I10" s="38">
        <f>'SER_se-appl'!I38</f>
        <v>7.6818039123031423E-2</v>
      </c>
      <c r="J10" s="38">
        <f>'SER_se-appl'!J38</f>
        <v>7.4036456111892357E-2</v>
      </c>
      <c r="K10" s="38">
        <f>'SER_se-appl'!K38</f>
        <v>7.095963390688631E-2</v>
      </c>
      <c r="L10" s="38">
        <f>'SER_se-appl'!L38</f>
        <v>7.1279728241300466E-2</v>
      </c>
      <c r="M10" s="38">
        <f>'SER_se-appl'!M38</f>
        <v>8.7210189672439764E-2</v>
      </c>
      <c r="N10" s="38">
        <f>'SER_se-appl'!N38</f>
        <v>8.6092257448191045E-2</v>
      </c>
      <c r="O10" s="38">
        <f>'SER_se-appl'!O38</f>
        <v>0.103134992616573</v>
      </c>
      <c r="P10" s="38">
        <f>'SER_se-appl'!P38</f>
        <v>0.11503375326631227</v>
      </c>
      <c r="Q10" s="38">
        <f>'SER_se-appl'!Q38</f>
        <v>8.9433906789817441E-2</v>
      </c>
      <c r="R10" s="38">
        <f>'SER_se-appl'!R38</f>
        <v>9.8451664090595803E-2</v>
      </c>
      <c r="S10" s="38">
        <f>'SER_se-appl'!S38</f>
        <v>0.12147287389827266</v>
      </c>
      <c r="T10" s="38">
        <f>'SER_se-appl'!T38</f>
        <v>0.14156019106881701</v>
      </c>
      <c r="U10" s="38">
        <f>'SER_se-appl'!U38</f>
        <v>0.14962627760172076</v>
      </c>
      <c r="V10" s="38">
        <f>'SER_se-appl'!V38</f>
        <v>0.17355094743417632</v>
      </c>
      <c r="W10" s="38">
        <f>'SER_se-appl'!W38</f>
        <v>0.15872132098246294</v>
      </c>
      <c r="X10" s="38">
        <f>'SER_se-appl'!X38</f>
        <v>0.14516422326353151</v>
      </c>
      <c r="Y10" s="38">
        <f>'SER_se-appl'!Y38</f>
        <v>0.17132244632259086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2238.2718060861298</v>
      </c>
      <c r="C12" s="204">
        <f>'SER_se-appl'!C46</f>
        <v>2249.1908031112607</v>
      </c>
      <c r="D12" s="204">
        <f>'SER_se-appl'!D46</f>
        <v>2265.2703361662866</v>
      </c>
      <c r="E12" s="204">
        <f>'SER_se-appl'!E46</f>
        <v>2280.6416365654668</v>
      </c>
      <c r="F12" s="204">
        <f>'SER_se-appl'!F46</f>
        <v>2286.9298230389268</v>
      </c>
      <c r="G12" s="204">
        <f>'SER_se-appl'!G46</f>
        <v>2301.6239433525589</v>
      </c>
      <c r="H12" s="204">
        <f>'SER_se-appl'!H46</f>
        <v>2313.4600091860734</v>
      </c>
      <c r="I12" s="204">
        <f>'SER_se-appl'!I46</f>
        <v>2325.2663419421228</v>
      </c>
      <c r="J12" s="204">
        <f>'SER_se-appl'!J46</f>
        <v>2336.4578861798659</v>
      </c>
      <c r="K12" s="204">
        <f>'SER_se-appl'!K46</f>
        <v>2350.3687187290961</v>
      </c>
      <c r="L12" s="204">
        <f>'SER_se-appl'!L46</f>
        <v>2360.8885776518591</v>
      </c>
      <c r="M12" s="204">
        <f>'SER_se-appl'!M46</f>
        <v>2368.8064598161641</v>
      </c>
      <c r="N12" s="204">
        <f>'SER_se-appl'!N46</f>
        <v>2380.5997892909809</v>
      </c>
      <c r="O12" s="204">
        <f>'SER_se-appl'!O46</f>
        <v>2395.0422521408577</v>
      </c>
      <c r="P12" s="204">
        <f>'SER_se-appl'!P46</f>
        <v>2415.3352105743706</v>
      </c>
      <c r="Q12" s="204">
        <f>'SER_se-appl'!Q46</f>
        <v>2428.9423900355118</v>
      </c>
      <c r="R12" s="204">
        <f>'SER_se-appl'!R46</f>
        <v>2427.3048204909833</v>
      </c>
      <c r="S12" s="204">
        <f>'SER_se-appl'!S46</f>
        <v>2387.8574247812849</v>
      </c>
      <c r="T12" s="204">
        <f>'SER_se-appl'!T46</f>
        <v>2406.7484598769515</v>
      </c>
      <c r="U12" s="204">
        <f>'SER_se-appl'!U46</f>
        <v>2484.2956326421149</v>
      </c>
      <c r="V12" s="204">
        <f>'SER_se-appl'!V46</f>
        <v>2182.0705600067722</v>
      </c>
      <c r="W12" s="204">
        <f>'SER_se-appl'!W46</f>
        <v>2286.9082868979394</v>
      </c>
      <c r="X12" s="204">
        <f>'SER_se-appl'!X46</f>
        <v>2345.3648210621614</v>
      </c>
      <c r="Y12" s="204">
        <f>'SER_se-appl'!Y46</f>
        <v>2374.5930881442723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51.753192413223253</v>
      </c>
      <c r="C14" s="59">
        <f>'SER_se-appl'!C54</f>
        <v>50.985479522161562</v>
      </c>
      <c r="D14" s="59">
        <f>'SER_se-appl'!D54</f>
        <v>50.016428615383454</v>
      </c>
      <c r="E14" s="59">
        <f>'SER_se-appl'!E54</f>
        <v>48.925264110710714</v>
      </c>
      <c r="F14" s="59">
        <f>'SER_se-appl'!F54</f>
        <v>47.663900332458184</v>
      </c>
      <c r="G14" s="59">
        <f>'SER_se-appl'!G54</f>
        <v>46.120496129580737</v>
      </c>
      <c r="H14" s="59">
        <f>'SER_se-appl'!H54</f>
        <v>44.564897460276363</v>
      </c>
      <c r="I14" s="59">
        <f>'SER_se-appl'!I54</f>
        <v>43.240617236416128</v>
      </c>
      <c r="J14" s="59">
        <f>'SER_se-appl'!J54</f>
        <v>41.988983340782418</v>
      </c>
      <c r="K14" s="59">
        <f>'SER_se-appl'!K54</f>
        <v>40.972964226765036</v>
      </c>
      <c r="L14" s="59">
        <f>'SER_se-appl'!L54</f>
        <v>39.872909884491214</v>
      </c>
      <c r="M14" s="59">
        <f>'SER_se-appl'!M54</f>
        <v>38.548286102800915</v>
      </c>
      <c r="N14" s="59">
        <f>'SER_se-appl'!N54</f>
        <v>36.986449820976112</v>
      </c>
      <c r="O14" s="59">
        <f>'SER_se-appl'!O54</f>
        <v>35.234809335364538</v>
      </c>
      <c r="P14" s="59">
        <f>'SER_se-appl'!P54</f>
        <v>33.178610401491412</v>
      </c>
      <c r="Q14" s="59">
        <f>'SER_se-appl'!Q54</f>
        <v>31.358788612845487</v>
      </c>
      <c r="R14" s="59">
        <f>'SER_se-appl'!R54</f>
        <v>29.430036319416114</v>
      </c>
      <c r="S14" s="59">
        <f>'SER_se-appl'!S54</f>
        <v>27.263895480342583</v>
      </c>
      <c r="T14" s="59">
        <f>'SER_se-appl'!T54</f>
        <v>24.92404111811738</v>
      </c>
      <c r="U14" s="59">
        <f>'SER_se-appl'!U54</f>
        <v>22.656806859901209</v>
      </c>
      <c r="V14" s="59">
        <f>'SER_se-appl'!V54</f>
        <v>20.392981497740095</v>
      </c>
      <c r="W14" s="59">
        <f>'SER_se-appl'!W54</f>
        <v>18.693583824735541</v>
      </c>
      <c r="X14" s="59">
        <f>'SER_se-appl'!X54</f>
        <v>17.528940061714188</v>
      </c>
      <c r="Y14" s="59">
        <f>'SER_se-appl'!Y54</f>
        <v>16.322740674342381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48.003987731174121</v>
      </c>
      <c r="D15" s="63">
        <f>'SER_se-appl'!D62</f>
        <v>46.434973032546083</v>
      </c>
      <c r="E15" s="63">
        <f>'SER_se-appl'!E62</f>
        <v>45.205201853329349</v>
      </c>
      <c r="F15" s="63">
        <f>'SER_se-appl'!F62</f>
        <v>43.911045429925387</v>
      </c>
      <c r="G15" s="63">
        <f>'SER_se-appl'!G62</f>
        <v>42.691216942457302</v>
      </c>
      <c r="H15" s="63">
        <f>'SER_se-appl'!H62</f>
        <v>41.799686243750727</v>
      </c>
      <c r="I15" s="63">
        <f>'SER_se-appl'!I62</f>
        <v>40.799868319626661</v>
      </c>
      <c r="J15" s="63">
        <f>'SER_se-appl'!J62</f>
        <v>39.489444851555923</v>
      </c>
      <c r="K15" s="63">
        <f>'SER_se-appl'!K62</f>
        <v>38.267702861323379</v>
      </c>
      <c r="L15" s="63">
        <f>'SER_se-appl'!L62</f>
        <v>36.626686303719147</v>
      </c>
      <c r="M15" s="63">
        <f>'SER_se-appl'!M62</f>
        <v>35.204955611273583</v>
      </c>
      <c r="N15" s="63">
        <f>'SER_se-appl'!N62</f>
        <v>33.143627033613839</v>
      </c>
      <c r="O15" s="63">
        <f>'SER_se-appl'!O62</f>
        <v>31.2378628191247</v>
      </c>
      <c r="P15" s="63">
        <f>'SER_se-appl'!P62</f>
        <v>28.883542413733579</v>
      </c>
      <c r="Q15" s="63">
        <f>'SER_se-appl'!Q62</f>
        <v>26.376311675759023</v>
      </c>
      <c r="R15" s="63">
        <f>'SER_se-appl'!R62</f>
        <v>23.105094549542926</v>
      </c>
      <c r="S15" s="63">
        <f>'SER_se-appl'!S62</f>
        <v>21.640291790148694</v>
      </c>
      <c r="T15" s="63">
        <f>'SER_se-appl'!T62</f>
        <v>19.504126610379032</v>
      </c>
      <c r="U15" s="63">
        <f>'SER_se-appl'!U62</f>
        <v>17.789527335063216</v>
      </c>
      <c r="V15" s="63">
        <f>'SER_se-appl'!V62</f>
        <v>16.390276969558709</v>
      </c>
      <c r="W15" s="63">
        <f>'SER_se-appl'!W62</f>
        <v>15.570763121080773</v>
      </c>
      <c r="X15" s="63">
        <f>'SER_se-appl'!X62</f>
        <v>14.751249272602836</v>
      </c>
      <c r="Y15" s="63">
        <f>'SER_se-appl'!Y62</f>
        <v>13.9317354241249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5.2744823602775348</v>
      </c>
      <c r="C3" s="198">
        <f>'SER_se-appl'!C7</f>
        <v>5.4796191242166907</v>
      </c>
      <c r="D3" s="198">
        <f>'SER_se-appl'!D7</f>
        <v>5.5808709115620081</v>
      </c>
      <c r="E3" s="198">
        <f>'SER_se-appl'!E7</f>
        <v>5.675914373046747</v>
      </c>
      <c r="F3" s="198">
        <f>'SER_se-appl'!F7</f>
        <v>5.7575340376194504</v>
      </c>
      <c r="G3" s="198">
        <f>'SER_se-appl'!G7</f>
        <v>5.8496712263555688</v>
      </c>
      <c r="H3" s="198">
        <f>'SER_se-appl'!H7</f>
        <v>5.9290910832324535</v>
      </c>
      <c r="I3" s="198">
        <f>'SER_se-appl'!I7</f>
        <v>5.992688313065238</v>
      </c>
      <c r="J3" s="198">
        <f>'SER_se-appl'!J7</f>
        <v>6.0709302913462517</v>
      </c>
      <c r="K3" s="198">
        <f>'SER_se-appl'!K7</f>
        <v>6.1455362971284062</v>
      </c>
      <c r="L3" s="198">
        <f>'SER_se-appl'!L7</f>
        <v>6.2077191217659378</v>
      </c>
      <c r="M3" s="198">
        <f>'SER_se-appl'!M7</f>
        <v>6.2151110518075248</v>
      </c>
      <c r="N3" s="198">
        <f>'SER_se-appl'!N7</f>
        <v>6.2621231417230767</v>
      </c>
      <c r="O3" s="198">
        <f>'SER_se-appl'!O7</f>
        <v>6.3446160637299354</v>
      </c>
      <c r="P3" s="198">
        <f>'SER_se-appl'!P7</f>
        <v>6.4464361547296214</v>
      </c>
      <c r="Q3" s="198">
        <f>'SER_se-appl'!Q7</f>
        <v>6.5818970421110814</v>
      </c>
      <c r="R3" s="198">
        <f>'SER_se-appl'!R7</f>
        <v>6.620635305706565</v>
      </c>
      <c r="S3" s="198">
        <f>'SER_se-appl'!S7</f>
        <v>6.6523453201087657</v>
      </c>
      <c r="T3" s="198">
        <f>'SER_se-appl'!T7</f>
        <v>6.6795861833014891</v>
      </c>
      <c r="U3" s="198">
        <f>'SER_se-appl'!U7</f>
        <v>6.7040101393607019</v>
      </c>
      <c r="V3" s="198">
        <f>'SER_se-appl'!V7</f>
        <v>6.7243218685495068</v>
      </c>
      <c r="W3" s="198">
        <f>'SER_se-appl'!W7</f>
        <v>6.7248141544517743</v>
      </c>
      <c r="X3" s="198">
        <f>'SER_se-appl'!X7</f>
        <v>6.7298370116080468</v>
      </c>
      <c r="Y3" s="198">
        <f>'SER_se-appl'!Y7</f>
        <v>6.9159408943644278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7.0025376541127544</v>
      </c>
      <c r="C5" s="59">
        <f>'SER_se-appl'!C15</f>
        <v>7.2748824674246722</v>
      </c>
      <c r="D5" s="59">
        <f>'SER_se-appl'!D15</f>
        <v>7.4093069293911169</v>
      </c>
      <c r="E5" s="59">
        <f>'SER_se-appl'!E15</f>
        <v>7.5354890591933446</v>
      </c>
      <c r="F5" s="59">
        <f>'SER_se-appl'!F15</f>
        <v>7.6438494129582439</v>
      </c>
      <c r="G5" s="59">
        <f>'SER_se-appl'!G15</f>
        <v>7.7661731007437558</v>
      </c>
      <c r="H5" s="59">
        <f>'SER_se-appl'!H15</f>
        <v>7.8716129335608942</v>
      </c>
      <c r="I5" s="59">
        <f>'SER_se-appl'!I15</f>
        <v>7.9560462421174316</v>
      </c>
      <c r="J5" s="59">
        <f>'SER_se-appl'!J15</f>
        <v>8.0599222931914269</v>
      </c>
      <c r="K5" s="59">
        <f>'SER_se-appl'!K15</f>
        <v>8.1589711342012947</v>
      </c>
      <c r="L5" s="59">
        <f>'SER_se-appl'!L15</f>
        <v>8.241526642253179</v>
      </c>
      <c r="M5" s="59">
        <f>'SER_se-appl'!M15</f>
        <v>8.2513403575937829</v>
      </c>
      <c r="N5" s="59">
        <f>'SER_se-appl'!N15</f>
        <v>8.313754810301301</v>
      </c>
      <c r="O5" s="59">
        <f>'SER_se-appl'!O15</f>
        <v>8.4232745229656576</v>
      </c>
      <c r="P5" s="59">
        <f>'SER_se-appl'!P15</f>
        <v>8.5584534793956095</v>
      </c>
      <c r="Q5" s="59">
        <f>'SER_se-appl'!Q15</f>
        <v>8.7382948173232773</v>
      </c>
      <c r="R5" s="59">
        <f>'SER_se-appl'!R15</f>
        <v>8.7897247266401113</v>
      </c>
      <c r="S5" s="59">
        <f>'SER_se-appl'!S15</f>
        <v>8.8318237526101537</v>
      </c>
      <c r="T5" s="59">
        <f>'SER_se-appl'!T15</f>
        <v>8.8679894191548332</v>
      </c>
      <c r="U5" s="59">
        <f>'SER_se-appl'!U15</f>
        <v>8.9004152877585589</v>
      </c>
      <c r="V5" s="59">
        <f>'SER_se-appl'!V15</f>
        <v>8.9273816588162962</v>
      </c>
      <c r="W5" s="59">
        <f>'SER_se-appl'!W15</f>
        <v>8.9280352301682822</v>
      </c>
      <c r="X5" s="59">
        <f>'SER_se-appl'!X15</f>
        <v>8.9347037037673065</v>
      </c>
      <c r="Y5" s="59">
        <f>'SER_se-appl'!Y15</f>
        <v>9.1817799773354238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2.3839035544223827E-2</v>
      </c>
      <c r="C6" s="201">
        <f>'SER_se-appl'!C71</f>
        <v>2.4970566529413981E-2</v>
      </c>
      <c r="D6" s="201">
        <f>'SER_se-appl'!D71</f>
        <v>2.5637245593743162E-2</v>
      </c>
      <c r="E6" s="201">
        <f>'SER_se-appl'!E71</f>
        <v>2.6366891549338065E-2</v>
      </c>
      <c r="F6" s="201">
        <f>'SER_se-appl'!F71</f>
        <v>2.709835859174194E-2</v>
      </c>
      <c r="G6" s="201">
        <f>'SER_se-appl'!G71</f>
        <v>2.7939900517714656E-2</v>
      </c>
      <c r="H6" s="201">
        <f>'SER_se-appl'!H71</f>
        <v>2.8787098965734455E-2</v>
      </c>
      <c r="I6" s="201">
        <f>'SER_se-appl'!I71</f>
        <v>2.9734441129904407E-2</v>
      </c>
      <c r="J6" s="201">
        <f>'SER_se-appl'!J71</f>
        <v>3.0751044630931635E-2</v>
      </c>
      <c r="K6" s="201">
        <f>'SER_se-appl'!K71</f>
        <v>3.1801100417248845E-2</v>
      </c>
      <c r="L6" s="201">
        <f>'SER_se-appl'!L71</f>
        <v>3.29151911195147E-2</v>
      </c>
      <c r="M6" s="201">
        <f>'SER_se-appl'!M71</f>
        <v>3.3851453558868531E-2</v>
      </c>
      <c r="N6" s="201">
        <f>'SER_se-appl'!N71</f>
        <v>3.4727077511526955E-2</v>
      </c>
      <c r="O6" s="201">
        <f>'SER_se-appl'!O71</f>
        <v>3.5780163084555734E-2</v>
      </c>
      <c r="P6" s="201">
        <f>'SER_se-appl'!P71</f>
        <v>3.678882705788606E-2</v>
      </c>
      <c r="Q6" s="201">
        <f>'SER_se-appl'!Q71</f>
        <v>3.7726287715776539E-2</v>
      </c>
      <c r="R6" s="201">
        <f>'SER_se-appl'!R71</f>
        <v>3.8013426750622428E-2</v>
      </c>
      <c r="S6" s="201">
        <f>'SER_se-appl'!S71</f>
        <v>3.8352169013721363E-2</v>
      </c>
      <c r="T6" s="201">
        <f>'SER_se-appl'!T71</f>
        <v>3.8215136760020599E-2</v>
      </c>
      <c r="U6" s="201">
        <f>'SER_se-appl'!U71</f>
        <v>3.7850973039104313E-2</v>
      </c>
      <c r="V6" s="201">
        <f>'SER_se-appl'!V71</f>
        <v>3.7178506453917182E-2</v>
      </c>
      <c r="W6" s="201">
        <f>'SER_se-appl'!W71</f>
        <v>3.7923933235924925E-2</v>
      </c>
      <c r="X6" s="201">
        <f>'SER_se-appl'!X71</f>
        <v>3.8454606996632251E-2</v>
      </c>
      <c r="Y6" s="201">
        <f>'SER_se-appl'!Y71</f>
        <v>3.8830490811268333E-2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9.2676396191369115</v>
      </c>
      <c r="C8" s="34">
        <f>'SER_se-appl'!C23</f>
        <v>9.7738542981105727</v>
      </c>
      <c r="D8" s="34">
        <f>'SER_se-appl'!D23</f>
        <v>10.117508238360395</v>
      </c>
      <c r="E8" s="34">
        <f>'SER_se-appl'!E23</f>
        <v>10.475460544985815</v>
      </c>
      <c r="F8" s="34">
        <f>'SER_se-appl'!F23</f>
        <v>10.835739355004074</v>
      </c>
      <c r="G8" s="34">
        <f>'SER_se-appl'!G23</f>
        <v>11.250503861667125</v>
      </c>
      <c r="H8" s="34">
        <f>'SER_se-appl'!H23</f>
        <v>11.658746294023489</v>
      </c>
      <c r="I8" s="34">
        <f>'SER_se-appl'!I23</f>
        <v>12.060765073347305</v>
      </c>
      <c r="J8" s="34">
        <f>'SER_se-appl'!J23</f>
        <v>12.541260033922111</v>
      </c>
      <c r="K8" s="34">
        <f>'SER_se-appl'!K23</f>
        <v>13.067898990058398</v>
      </c>
      <c r="L8" s="34">
        <f>'SER_se-appl'!L23</f>
        <v>13.627777833639312</v>
      </c>
      <c r="M8" s="34">
        <f>'SER_se-appl'!M23</f>
        <v>14.047980860941292</v>
      </c>
      <c r="N8" s="34">
        <f>'SER_se-appl'!N23</f>
        <v>14.500152306628033</v>
      </c>
      <c r="O8" s="34">
        <f>'SER_se-appl'!O23</f>
        <v>15.080050654269199</v>
      </c>
      <c r="P8" s="34">
        <f>'SER_se-appl'!P23</f>
        <v>15.751357037796264</v>
      </c>
      <c r="Q8" s="34">
        <f>'SER_se-appl'!Q23</f>
        <v>16.554483681121326</v>
      </c>
      <c r="R8" s="34">
        <f>'SER_se-appl'!R23</f>
        <v>17.092167137016116</v>
      </c>
      <c r="S8" s="34">
        <f>'SER_se-appl'!S23</f>
        <v>17.61802764067825</v>
      </c>
      <c r="T8" s="34">
        <f>'SER_se-appl'!T23</f>
        <v>18.145960893717898</v>
      </c>
      <c r="U8" s="34">
        <f>'SER_se-appl'!U23</f>
        <v>18.659318477141177</v>
      </c>
      <c r="V8" s="34">
        <f>'SER_se-appl'!V23</f>
        <v>19.14153994033153</v>
      </c>
      <c r="W8" s="34">
        <f>'SER_se-appl'!W23</f>
        <v>19.573490041391754</v>
      </c>
      <c r="X8" s="34">
        <f>'SER_se-appl'!X23</f>
        <v>20.003086739866184</v>
      </c>
      <c r="Y8" s="34">
        <f>'SER_se-appl'!Y23</f>
        <v>21.048106374738811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1.3484865193075546</v>
      </c>
      <c r="D9" s="36">
        <f>'SER_se-appl'!D31</f>
        <v>1.2036675506119892</v>
      </c>
      <c r="E9" s="36">
        <f>'SER_se-appl'!E31</f>
        <v>1.2360814029453984</v>
      </c>
      <c r="F9" s="36">
        <f>'SER_se-appl'!F31</f>
        <v>1.2569049802471408</v>
      </c>
      <c r="G9" s="36">
        <f>'SER_se-appl'!G31</f>
        <v>1.3302773765911962</v>
      </c>
      <c r="H9" s="36">
        <f>'SER_se-appl'!H31</f>
        <v>1.3430398349239354</v>
      </c>
      <c r="I9" s="36">
        <f>'SER_se-appl'!I31</f>
        <v>1.3565069274977049</v>
      </c>
      <c r="J9" s="36">
        <f>'SER_se-appl'!J31</f>
        <v>1.4550886238670682</v>
      </c>
      <c r="K9" s="36">
        <f>'SER_se-appl'!K31</f>
        <v>1.5217616408407917</v>
      </c>
      <c r="L9" s="36">
        <f>'SER_se-appl'!L31</f>
        <v>1.5759629768065349</v>
      </c>
      <c r="M9" s="36">
        <f>'SER_se-appl'!M31</f>
        <v>1.7686895466095347</v>
      </c>
      <c r="N9" s="36">
        <f>'SER_se-appl'!N31</f>
        <v>1.6558389962987299</v>
      </c>
      <c r="O9" s="36">
        <f>'SER_se-appl'!O31</f>
        <v>1.815979750586564</v>
      </c>
      <c r="P9" s="36">
        <f>'SER_se-appl'!P31</f>
        <v>1.9282113637742064</v>
      </c>
      <c r="Q9" s="36">
        <f>'SER_se-appl'!Q31</f>
        <v>2.1334040199162576</v>
      </c>
      <c r="R9" s="36">
        <f>'SER_se-appl'!R31</f>
        <v>1.8807232908187252</v>
      </c>
      <c r="S9" s="36">
        <f>'SER_se-appl'!S31</f>
        <v>1.8823674311598388</v>
      </c>
      <c r="T9" s="36">
        <f>'SER_se-appl'!T31</f>
        <v>1.9830218769067187</v>
      </c>
      <c r="U9" s="36">
        <f>'SER_se-appl'!U31</f>
        <v>2.0351192242640721</v>
      </c>
      <c r="V9" s="36">
        <f>'SER_se-appl'!V31</f>
        <v>2.0581844399968894</v>
      </c>
      <c r="W9" s="36">
        <f>'SER_se-appl'!W31</f>
        <v>2.2006396476697567</v>
      </c>
      <c r="X9" s="36">
        <f>'SER_se-appl'!X31</f>
        <v>2.0854356947731603</v>
      </c>
      <c r="Y9" s="36">
        <f>'SER_se-appl'!Y31</f>
        <v>2.8609993854591913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0.84227184033389335</v>
      </c>
      <c r="D10" s="38">
        <f>'SER_se-appl'!D39</f>
        <v>0.8600136103621665</v>
      </c>
      <c r="E10" s="38">
        <f>'SER_se-appl'!E39</f>
        <v>0.87812909631997904</v>
      </c>
      <c r="F10" s="38">
        <f>'SER_se-appl'!F39</f>
        <v>0.89662617022888114</v>
      </c>
      <c r="G10" s="38">
        <f>'SER_se-appl'!G39</f>
        <v>0.91551286992814518</v>
      </c>
      <c r="H10" s="38">
        <f>'SER_se-appl'!H39</f>
        <v>0.93479740256757182</v>
      </c>
      <c r="I10" s="38">
        <f>'SER_se-appl'!I39</f>
        <v>0.95448814817388872</v>
      </c>
      <c r="J10" s="38">
        <f>'SER_se-appl'!J39</f>
        <v>0.97459366329226249</v>
      </c>
      <c r="K10" s="38">
        <f>'SER_se-appl'!K39</f>
        <v>0.99512268470450493</v>
      </c>
      <c r="L10" s="38">
        <f>'SER_se-appl'!L39</f>
        <v>1.0160841332256201</v>
      </c>
      <c r="M10" s="38">
        <f>'SER_se-appl'!M39</f>
        <v>1.3484865193075546</v>
      </c>
      <c r="N10" s="38">
        <f>'SER_se-appl'!N39</f>
        <v>1.2036675506119892</v>
      </c>
      <c r="O10" s="38">
        <f>'SER_se-appl'!O39</f>
        <v>1.2360814029453966</v>
      </c>
      <c r="P10" s="38">
        <f>'SER_se-appl'!P39</f>
        <v>1.256904980247139</v>
      </c>
      <c r="Q10" s="38">
        <f>'SER_se-appl'!Q39</f>
        <v>1.3302773765911979</v>
      </c>
      <c r="R10" s="38">
        <f>'SER_se-appl'!R39</f>
        <v>1.3430398349239354</v>
      </c>
      <c r="S10" s="38">
        <f>'SER_se-appl'!S39</f>
        <v>1.3565069274977049</v>
      </c>
      <c r="T10" s="38">
        <f>'SER_se-appl'!T39</f>
        <v>1.4550886238670699</v>
      </c>
      <c r="U10" s="38">
        <f>'SER_se-appl'!U39</f>
        <v>1.5217616408407935</v>
      </c>
      <c r="V10" s="38">
        <f>'SER_se-appl'!V39</f>
        <v>1.5759629768065366</v>
      </c>
      <c r="W10" s="38">
        <f>'SER_se-appl'!W39</f>
        <v>1.7686895466095329</v>
      </c>
      <c r="X10" s="38">
        <f>'SER_se-appl'!X39</f>
        <v>1.6558389962987299</v>
      </c>
      <c r="Y10" s="38">
        <f>'SER_se-appl'!Y39</f>
        <v>1.815979750586564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8760</v>
      </c>
      <c r="C12" s="204">
        <f>'SER_se-appl'!C47</f>
        <v>8759.9999999999982</v>
      </c>
      <c r="D12" s="204">
        <f>'SER_se-appl'!D47</f>
        <v>8759.9999999999964</v>
      </c>
      <c r="E12" s="204">
        <f>'SER_se-appl'!E47</f>
        <v>8759.9999999999945</v>
      </c>
      <c r="F12" s="204">
        <f>'SER_se-appl'!F47</f>
        <v>8759.9999999999982</v>
      </c>
      <c r="G12" s="204">
        <f>'SER_se-appl'!G47</f>
        <v>8759.9999999999964</v>
      </c>
      <c r="H12" s="204">
        <f>'SER_se-appl'!H47</f>
        <v>8760</v>
      </c>
      <c r="I12" s="204">
        <f>'SER_se-appl'!I47</f>
        <v>8760.0000000000018</v>
      </c>
      <c r="J12" s="204">
        <f>'SER_se-appl'!J47</f>
        <v>8760</v>
      </c>
      <c r="K12" s="204">
        <f>'SER_se-appl'!K47</f>
        <v>8760.0000000000018</v>
      </c>
      <c r="L12" s="204">
        <f>'SER_se-appl'!L47</f>
        <v>8760</v>
      </c>
      <c r="M12" s="204">
        <f>'SER_se-appl'!M47</f>
        <v>8759.9999999999964</v>
      </c>
      <c r="N12" s="204">
        <f>'SER_se-appl'!N47</f>
        <v>8759.9999999999982</v>
      </c>
      <c r="O12" s="204">
        <f>'SER_se-appl'!O47</f>
        <v>8759.9999999999982</v>
      </c>
      <c r="P12" s="204">
        <f>'SER_se-appl'!P47</f>
        <v>8759.9999999999945</v>
      </c>
      <c r="Q12" s="204">
        <f>'SER_se-appl'!Q47</f>
        <v>8759.9999999999964</v>
      </c>
      <c r="R12" s="204">
        <f>'SER_se-appl'!R47</f>
        <v>8759.9999999999982</v>
      </c>
      <c r="S12" s="204">
        <f>'SER_se-appl'!S47</f>
        <v>8760</v>
      </c>
      <c r="T12" s="204">
        <f>'SER_se-appl'!T47</f>
        <v>8759.9999999999982</v>
      </c>
      <c r="U12" s="204">
        <f>'SER_se-appl'!U47</f>
        <v>8759.9999999999982</v>
      </c>
      <c r="V12" s="204">
        <f>'SER_se-appl'!V47</f>
        <v>8760.0000000000018</v>
      </c>
      <c r="W12" s="204">
        <f>'SER_se-appl'!W47</f>
        <v>8759.9999999999982</v>
      </c>
      <c r="X12" s="204">
        <f>'SER_se-appl'!X47</f>
        <v>8759.9999999999982</v>
      </c>
      <c r="Y12" s="204">
        <f>'SER_se-appl'!Y47</f>
        <v>8759.9999999999982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755.59019792408537</v>
      </c>
      <c r="C14" s="59">
        <f>'SER_se-appl'!C55</f>
        <v>744.32074036861923</v>
      </c>
      <c r="D14" s="59">
        <f>'SER_se-appl'!D55</f>
        <v>732.32526772736685</v>
      </c>
      <c r="E14" s="59">
        <f>'SER_se-appl'!E55</f>
        <v>719.3468035923521</v>
      </c>
      <c r="F14" s="59">
        <f>'SER_se-appl'!F55</f>
        <v>705.42942779702639</v>
      </c>
      <c r="G14" s="59">
        <f>'SER_se-appl'!G55</f>
        <v>690.29558108990739</v>
      </c>
      <c r="H14" s="59">
        <f>'SER_se-appl'!H55</f>
        <v>675.16804423439964</v>
      </c>
      <c r="I14" s="59">
        <f>'SER_se-appl'!I55</f>
        <v>659.66347853829279</v>
      </c>
      <c r="J14" s="59">
        <f>'SER_se-appl'!J55</f>
        <v>642.67244849326312</v>
      </c>
      <c r="K14" s="59">
        <f>'SER_se-appl'!K55</f>
        <v>624.35217324593316</v>
      </c>
      <c r="L14" s="59">
        <f>'SER_se-appl'!L55</f>
        <v>604.7593923867388</v>
      </c>
      <c r="M14" s="59">
        <f>'SER_se-appl'!M55</f>
        <v>587.36842249946642</v>
      </c>
      <c r="N14" s="59">
        <f>'SER_se-appl'!N55</f>
        <v>573.35637822928777</v>
      </c>
      <c r="O14" s="59">
        <f>'SER_se-appl'!O55</f>
        <v>558.57070483917823</v>
      </c>
      <c r="P14" s="59">
        <f>'SER_se-appl'!P55</f>
        <v>543.34705631134648</v>
      </c>
      <c r="Q14" s="59">
        <f>'SER_se-appl'!Q55</f>
        <v>527.85064068705435</v>
      </c>
      <c r="R14" s="59">
        <f>'SER_se-appl'!R55</f>
        <v>514.25455041358714</v>
      </c>
      <c r="S14" s="59">
        <f>'SER_se-appl'!S55</f>
        <v>501.29469272816686</v>
      </c>
      <c r="T14" s="59">
        <f>'SER_se-appl'!T55</f>
        <v>488.70321451122032</v>
      </c>
      <c r="U14" s="59">
        <f>'SER_se-appl'!U55</f>
        <v>476.99573265026368</v>
      </c>
      <c r="V14" s="59">
        <f>'SER_se-appl'!V55</f>
        <v>466.38785001859543</v>
      </c>
      <c r="W14" s="59">
        <f>'SER_se-appl'!W55</f>
        <v>456.12893823678377</v>
      </c>
      <c r="X14" s="59">
        <f>'SER_se-appl'!X55</f>
        <v>446.66624806262666</v>
      </c>
      <c r="Y14" s="59">
        <f>'SER_se-appl'!Y55</f>
        <v>436.22831497825712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673.90896893973695</v>
      </c>
      <c r="D15" s="63">
        <f>'SER_se-appl'!D63</f>
        <v>651.54395467308393</v>
      </c>
      <c r="E15" s="63">
        <f>'SER_se-appl'!E63</f>
        <v>638.86396608818006</v>
      </c>
      <c r="F15" s="63">
        <f>'SER_se-appl'!F63</f>
        <v>625.22013321765667</v>
      </c>
      <c r="G15" s="63">
        <f>'SER_se-appl'!G63</f>
        <v>611.95977072286837</v>
      </c>
      <c r="H15" s="63">
        <f>'SER_se-appl'!H63</f>
        <v>604.42256896130425</v>
      </c>
      <c r="I15" s="63">
        <f>'SER_se-appl'!I63</f>
        <v>593.90422637764345</v>
      </c>
      <c r="J15" s="63">
        <f>'SER_se-appl'!J63</f>
        <v>577.46961678762977</v>
      </c>
      <c r="K15" s="63">
        <f>'SER_se-appl'!K63</f>
        <v>559.18993123938151</v>
      </c>
      <c r="L15" s="63">
        <f>'SER_se-appl'!L63</f>
        <v>539.54231913896911</v>
      </c>
      <c r="M15" s="63">
        <f>'SER_se-appl'!M63</f>
        <v>519.35110769277583</v>
      </c>
      <c r="N15" s="63">
        <f>'SER_se-appl'!N63</f>
        <v>511.31587710969256</v>
      </c>
      <c r="O15" s="63">
        <f>'SER_se-appl'!O63</f>
        <v>495.16388047138128</v>
      </c>
      <c r="P15" s="63">
        <f>'SER_se-appl'!P63</f>
        <v>477.65575544541736</v>
      </c>
      <c r="Q15" s="63">
        <f>'SER_se-appl'!Q63</f>
        <v>465.88342715471634</v>
      </c>
      <c r="R15" s="63">
        <f>'SER_se-appl'!R63</f>
        <v>458.96889817489028</v>
      </c>
      <c r="S15" s="63">
        <f>'SER_se-appl'!S63</f>
        <v>450.35533939255544</v>
      </c>
      <c r="T15" s="63">
        <f>'SER_se-appl'!T63</f>
        <v>441.96947435011202</v>
      </c>
      <c r="U15" s="63">
        <f>'SER_se-appl'!U63</f>
        <v>434.06776633818981</v>
      </c>
      <c r="V15" s="63">
        <f>'SER_se-appl'!V63</f>
        <v>426.23249568557264</v>
      </c>
      <c r="W15" s="63">
        <f>'SER_se-appl'!W63</f>
        <v>417.70784577186117</v>
      </c>
      <c r="X15" s="63">
        <f>'SER_se-appl'!X63</f>
        <v>409.1831958581497</v>
      </c>
      <c r="Y15" s="63">
        <f>'SER_se-appl'!Y63</f>
        <v>400.65854594443829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0.97625412549686219</v>
      </c>
      <c r="C3" s="198">
        <f>'SER_se-appl'!C8</f>
        <v>1.0691760221178179</v>
      </c>
      <c r="D3" s="198">
        <f>'SER_se-appl'!D8</f>
        <v>1.1565083284219477</v>
      </c>
      <c r="E3" s="198">
        <f>'SER_se-appl'!E8</f>
        <v>1.2348436565595269</v>
      </c>
      <c r="F3" s="198">
        <f>'SER_se-appl'!F8</f>
        <v>1.3204027136601733</v>
      </c>
      <c r="G3" s="198">
        <f>'SER_se-appl'!G8</f>
        <v>1.4614358177106139</v>
      </c>
      <c r="H3" s="198">
        <f>'SER_se-appl'!H8</f>
        <v>1.5719994816029905</v>
      </c>
      <c r="I3" s="198">
        <f>'SER_se-appl'!I8</f>
        <v>1.6826757970216892</v>
      </c>
      <c r="J3" s="198">
        <f>'SER_se-appl'!J8</f>
        <v>1.8406986651751136</v>
      </c>
      <c r="K3" s="198">
        <f>'SER_se-appl'!K8</f>
        <v>1.8966295722480417</v>
      </c>
      <c r="L3" s="198">
        <f>'SER_se-appl'!L8</f>
        <v>1.9337597323023079</v>
      </c>
      <c r="M3" s="198">
        <f>'SER_se-appl'!M8</f>
        <v>1.9876051021040564</v>
      </c>
      <c r="N3" s="198">
        <f>'SER_se-appl'!N8</f>
        <v>2.0721295075257089</v>
      </c>
      <c r="O3" s="198">
        <f>'SER_se-appl'!O8</f>
        <v>2.1194829823019194</v>
      </c>
      <c r="P3" s="198">
        <f>'SER_se-appl'!P8</f>
        <v>2.1826142522656582</v>
      </c>
      <c r="Q3" s="198">
        <f>'SER_se-appl'!Q8</f>
        <v>2.2235951753074579</v>
      </c>
      <c r="R3" s="198">
        <f>'SER_se-appl'!R8</f>
        <v>2.2654394734085663</v>
      </c>
      <c r="S3" s="198">
        <f>'SER_se-appl'!S8</f>
        <v>2.3119387264440849</v>
      </c>
      <c r="T3" s="198">
        <f>'SER_se-appl'!T8</f>
        <v>2.3801889888584649</v>
      </c>
      <c r="U3" s="198">
        <f>'SER_se-appl'!U8</f>
        <v>2.4845504493950066</v>
      </c>
      <c r="V3" s="198">
        <f>'SER_se-appl'!V8</f>
        <v>2.2204799204558414</v>
      </c>
      <c r="W3" s="198">
        <f>'SER_se-appl'!W8</f>
        <v>2.3699587195905023</v>
      </c>
      <c r="X3" s="198">
        <f>'SER_se-appl'!X8</f>
        <v>2.5118191973645079</v>
      </c>
      <c r="Y3" s="198">
        <f>'SER_se-appl'!Y8</f>
        <v>2.5832010531589851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14.636980207420764</v>
      </c>
      <c r="C5" s="59">
        <f>'SER_se-appl'!C16</f>
        <v>15.953948273977055</v>
      </c>
      <c r="D5" s="59">
        <f>'SER_se-appl'!D16</f>
        <v>17.182181636316749</v>
      </c>
      <c r="E5" s="59">
        <f>'SER_se-appl'!E16</f>
        <v>18.272728898105207</v>
      </c>
      <c r="F5" s="59">
        <f>'SER_se-appl'!F16</f>
        <v>19.466532978348166</v>
      </c>
      <c r="G5" s="59">
        <f>'SER_se-appl'!G16</f>
        <v>21.471569325476732</v>
      </c>
      <c r="H5" s="59">
        <f>'SER_se-appl'!H16</f>
        <v>23.02157344152663</v>
      </c>
      <c r="I5" s="59">
        <f>'SER_se-appl'!I16</f>
        <v>24.56781908767443</v>
      </c>
      <c r="J5" s="59">
        <f>'SER_se-appl'!J16</f>
        <v>26.79832658975474</v>
      </c>
      <c r="K5" s="59">
        <f>'SER_se-appl'!K16</f>
        <v>27.538066297976975</v>
      </c>
      <c r="L5" s="59">
        <f>'SER_se-appl'!L16</f>
        <v>28.00526045653989</v>
      </c>
      <c r="M5" s="59">
        <f>'SER_se-appl'!M16</f>
        <v>28.738288252697654</v>
      </c>
      <c r="N5" s="59">
        <f>'SER_se-appl'!N16</f>
        <v>29.913983010804099</v>
      </c>
      <c r="O5" s="59">
        <f>'SER_se-appl'!O16</f>
        <v>30.552290598338391</v>
      </c>
      <c r="P5" s="59">
        <f>'SER_se-appl'!P16</f>
        <v>31.417723665441166</v>
      </c>
      <c r="Q5" s="59">
        <f>'SER_se-appl'!Q16</f>
        <v>31.964100899602865</v>
      </c>
      <c r="R5" s="59">
        <f>'SER_se-appl'!R16</f>
        <v>32.919595831114378</v>
      </c>
      <c r="S5" s="59">
        <f>'SER_se-appl'!S16</f>
        <v>33.947432170237789</v>
      </c>
      <c r="T5" s="59">
        <f>'SER_se-appl'!T16</f>
        <v>34.974848756176492</v>
      </c>
      <c r="U5" s="59">
        <f>'SER_se-appl'!U16</f>
        <v>35.897396462731599</v>
      </c>
      <c r="V5" s="59">
        <f>'SER_se-appl'!V16</f>
        <v>36.525525095996244</v>
      </c>
      <c r="W5" s="59">
        <f>'SER_se-appl'!W16</f>
        <v>37.197216379003308</v>
      </c>
      <c r="X5" s="59">
        <f>'SER_se-appl'!X16</f>
        <v>37.75194623680725</v>
      </c>
      <c r="Y5" s="59">
        <f>'SER_se-appl'!Y16</f>
        <v>38.018681228035426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124.75083395486919</v>
      </c>
      <c r="C6" s="201">
        <f>'SER_se-appl'!C72</f>
        <v>130.71152339484945</v>
      </c>
      <c r="D6" s="201">
        <f>'SER_se-appl'!D72</f>
        <v>138.48099893038543</v>
      </c>
      <c r="E6" s="201">
        <f>'SER_se-appl'!E72</f>
        <v>146.29295404205439</v>
      </c>
      <c r="F6" s="201">
        <f>'SER_se-appl'!F72</f>
        <v>155.943998767631</v>
      </c>
      <c r="G6" s="201">
        <f>'SER_se-appl'!G72</f>
        <v>167.19353548340831</v>
      </c>
      <c r="H6" s="201">
        <f>'SER_se-appl'!H72</f>
        <v>175.71792071587305</v>
      </c>
      <c r="I6" s="201">
        <f>'SER_se-appl'!I72</f>
        <v>183.29411123740374</v>
      </c>
      <c r="J6" s="201">
        <f>'SER_se-appl'!J72</f>
        <v>190.52340858000116</v>
      </c>
      <c r="K6" s="201">
        <f>'SER_se-appl'!K72</f>
        <v>195.96715398100656</v>
      </c>
      <c r="L6" s="201">
        <f>'SER_se-appl'!L72</f>
        <v>198.5102414872128</v>
      </c>
      <c r="M6" s="201">
        <f>'SER_se-appl'!M72</f>
        <v>201.62162101603747</v>
      </c>
      <c r="N6" s="201">
        <f>'SER_se-appl'!N72</f>
        <v>205.02807087407896</v>
      </c>
      <c r="O6" s="201">
        <f>'SER_se-appl'!O72</f>
        <v>208.21100149352458</v>
      </c>
      <c r="P6" s="201">
        <f>'SER_se-appl'!P72</f>
        <v>212.0544906241098</v>
      </c>
      <c r="Q6" s="201">
        <f>'SER_se-appl'!Q72</f>
        <v>214.55582856132983</v>
      </c>
      <c r="R6" s="201">
        <f>'SER_se-appl'!R72</f>
        <v>219.21185303285787</v>
      </c>
      <c r="S6" s="201">
        <f>'SER_se-appl'!S72</f>
        <v>223.89029720377323</v>
      </c>
      <c r="T6" s="201">
        <f>'SER_se-appl'!T72</f>
        <v>228.47258941712553</v>
      </c>
      <c r="U6" s="201">
        <f>'SER_se-appl'!U72</f>
        <v>232.88681432181178</v>
      </c>
      <c r="V6" s="201">
        <f>'SER_se-appl'!V72</f>
        <v>236.99911167854816</v>
      </c>
      <c r="W6" s="201">
        <f>'SER_se-appl'!W72</f>
        <v>240.66793849581151</v>
      </c>
      <c r="X6" s="201">
        <f>'SER_se-appl'!X72</f>
        <v>243.64385011681466</v>
      </c>
      <c r="Y6" s="201">
        <f>'SER_se-appl'!Y72</f>
        <v>246.05105206751634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0.27578118980299632</v>
      </c>
      <c r="C8" s="34">
        <f>'SER_se-appl'!C24</f>
        <v>0.30273792257963861</v>
      </c>
      <c r="D8" s="34">
        <f>'SER_se-appl'!D24</f>
        <v>0.32837443133821842</v>
      </c>
      <c r="E8" s="34">
        <f>'SER_se-appl'!E24</f>
        <v>0.35165159119679201</v>
      </c>
      <c r="F8" s="34">
        <f>'SER_se-appl'!F24</f>
        <v>0.37759307388226043</v>
      </c>
      <c r="G8" s="34">
        <f>'SER_se-appl'!G24</f>
        <v>0.42142015181760129</v>
      </c>
      <c r="H8" s="34">
        <f>'SER_se-appl'!H24</f>
        <v>0.45648279474949482</v>
      </c>
      <c r="I8" s="34">
        <f>'SER_se-appl'!I24</f>
        <v>0.49233621546538303</v>
      </c>
      <c r="J8" s="34">
        <f>'SER_se-appl'!J24</f>
        <v>0.54448502770802631</v>
      </c>
      <c r="K8" s="34">
        <f>'SER_se-appl'!K24</f>
        <v>0.56490600941527502</v>
      </c>
      <c r="L8" s="34">
        <f>'SER_se-appl'!L24</f>
        <v>0.58041904650978138</v>
      </c>
      <c r="M8" s="34">
        <f>'SER_se-appl'!M24</f>
        <v>0.6040299279952871</v>
      </c>
      <c r="N8" s="34">
        <f>'SER_se-appl'!N24</f>
        <v>0.64088322039693402</v>
      </c>
      <c r="O8" s="34">
        <f>'SER_se-appl'!O24</f>
        <v>0.66715123333950643</v>
      </c>
      <c r="P8" s="34">
        <f>'SER_se-appl'!P24</f>
        <v>0.70256822734245017</v>
      </c>
      <c r="Q8" s="34">
        <f>'SER_se-appl'!Q24</f>
        <v>0.73346516462391487</v>
      </c>
      <c r="R8" s="34">
        <f>'SER_se-appl'!R24</f>
        <v>0.77335320229980142</v>
      </c>
      <c r="S8" s="34">
        <f>'SER_se-appl'!S24</f>
        <v>0.81575834885667198</v>
      </c>
      <c r="T8" s="34">
        <f>'SER_se-appl'!T24</f>
        <v>0.85828101949397262</v>
      </c>
      <c r="U8" s="34">
        <f>'SER_se-appl'!U24</f>
        <v>0.89983361417684304</v>
      </c>
      <c r="V8" s="34">
        <f>'SER_se-appl'!V24</f>
        <v>0.94065921754897108</v>
      </c>
      <c r="W8" s="34">
        <f>'SER_se-appl'!W24</f>
        <v>0.97973487449120622</v>
      </c>
      <c r="X8" s="34">
        <f>'SER_se-appl'!X24</f>
        <v>1.0161772212532543</v>
      </c>
      <c r="Y8" s="34">
        <f>'SER_se-appl'!Y24</f>
        <v>1.0503292979381595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3.4811657979574417E-2</v>
      </c>
      <c r="D9" s="36">
        <f>'SER_se-appl'!D32</f>
        <v>3.4375360289225387E-2</v>
      </c>
      <c r="E9" s="36">
        <f>'SER_se-appl'!E32</f>
        <v>3.299940725135081E-2</v>
      </c>
      <c r="F9" s="36">
        <f>'SER_se-appl'!F32</f>
        <v>3.6757788928330037E-2</v>
      </c>
      <c r="G9" s="36">
        <f>'SER_se-appl'!G32</f>
        <v>5.5860559085623374E-2</v>
      </c>
      <c r="H9" s="36">
        <f>'SER_se-appl'!H32</f>
        <v>4.8450269478596597E-2</v>
      </c>
      <c r="I9" s="36">
        <f>'SER_se-appl'!I32</f>
        <v>5.0747576639320224E-2</v>
      </c>
      <c r="J9" s="36">
        <f>'SER_se-appl'!J32</f>
        <v>6.8719029517350372E-2</v>
      </c>
      <c r="K9" s="36">
        <f>'SER_se-appl'!K32</f>
        <v>3.8855869991118119E-2</v>
      </c>
      <c r="L9" s="36">
        <f>'SER_se-appl'!L32</f>
        <v>3.6022430568633412E-2</v>
      </c>
      <c r="M9" s="36">
        <f>'SER_se-appl'!M32</f>
        <v>4.6428227281119949E-2</v>
      </c>
      <c r="N9" s="36">
        <f>'SER_se-appl'!N32</f>
        <v>6.2238307800245529E-2</v>
      </c>
      <c r="O9" s="36">
        <f>'SER_se-appl'!O32</f>
        <v>5.4509641594707392E-2</v>
      </c>
      <c r="P9" s="36">
        <f>'SER_se-appl'!P32</f>
        <v>6.6836694814672248E-2</v>
      </c>
      <c r="Q9" s="36">
        <f>'SER_se-appl'!Q32</f>
        <v>6.5852343404047109E-2</v>
      </c>
      <c r="R9" s="36">
        <f>'SER_se-appl'!R32</f>
        <v>7.4699695655460974E-2</v>
      </c>
      <c r="S9" s="36">
        <f>'SER_se-appl'!S32</f>
        <v>7.6780506846095942E-2</v>
      </c>
      <c r="T9" s="36">
        <f>'SER_se-appl'!T32</f>
        <v>7.5522077888651507E-2</v>
      </c>
      <c r="U9" s="36">
        <f>'SER_se-appl'!U32</f>
        <v>7.8310383611200463E-2</v>
      </c>
      <c r="V9" s="36">
        <f>'SER_se-appl'!V32</f>
        <v>9.6686162457751412E-2</v>
      </c>
      <c r="W9" s="36">
        <f>'SER_se-appl'!W32</f>
        <v>8.7525926420831679E-2</v>
      </c>
      <c r="X9" s="36">
        <f>'SER_se-appl'!X32</f>
        <v>8.7189923401368219E-2</v>
      </c>
      <c r="Y9" s="36">
        <f>'SER_se-appl'!Y32</f>
        <v>0.10287110620225559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7.8549252029321281E-3</v>
      </c>
      <c r="D10" s="38">
        <f>'SER_se-appl'!D40</f>
        <v>8.738851530645575E-3</v>
      </c>
      <c r="E10" s="38">
        <f>'SER_se-appl'!E40</f>
        <v>9.7222473927772168E-3</v>
      </c>
      <c r="F10" s="38">
        <f>'SER_se-appl'!F40</f>
        <v>1.0816306242861617E-2</v>
      </c>
      <c r="G10" s="38">
        <f>'SER_se-appl'!G40</f>
        <v>1.2033481150282521E-2</v>
      </c>
      <c r="H10" s="38">
        <f>'SER_se-appl'!H40</f>
        <v>1.3387626546703058E-2</v>
      </c>
      <c r="I10" s="38">
        <f>'SER_se-appl'!I40</f>
        <v>1.4894155923432073E-2</v>
      </c>
      <c r="J10" s="38">
        <f>'SER_se-appl'!J40</f>
        <v>1.6570217274707089E-2</v>
      </c>
      <c r="K10" s="38">
        <f>'SER_se-appl'!K40</f>
        <v>1.8434888283869411E-2</v>
      </c>
      <c r="L10" s="38">
        <f>'SER_se-appl'!L40</f>
        <v>2.0509393474127058E-2</v>
      </c>
      <c r="M10" s="38">
        <f>'SER_se-appl'!M40</f>
        <v>2.281734579561423E-2</v>
      </c>
      <c r="N10" s="38">
        <f>'SER_se-appl'!N40</f>
        <v>2.5385015398598609E-2</v>
      </c>
      <c r="O10" s="38">
        <f>'SER_se-appl'!O40</f>
        <v>2.8241628652134976E-2</v>
      </c>
      <c r="P10" s="38">
        <f>'SER_se-appl'!P40</f>
        <v>3.1419700811728513E-2</v>
      </c>
      <c r="Q10" s="38">
        <f>'SER_se-appl'!Q40</f>
        <v>3.4955406122582411E-2</v>
      </c>
      <c r="R10" s="38">
        <f>'SER_se-appl'!R40</f>
        <v>3.4811657979574417E-2</v>
      </c>
      <c r="S10" s="38">
        <f>'SER_se-appl'!S40</f>
        <v>3.4375360289225387E-2</v>
      </c>
      <c r="T10" s="38">
        <f>'SER_se-appl'!T40</f>
        <v>3.2999407251350865E-2</v>
      </c>
      <c r="U10" s="38">
        <f>'SER_se-appl'!U40</f>
        <v>3.6757788928330037E-2</v>
      </c>
      <c r="V10" s="38">
        <f>'SER_se-appl'!V40</f>
        <v>5.5860559085623374E-2</v>
      </c>
      <c r="W10" s="38">
        <f>'SER_se-appl'!W40</f>
        <v>4.8450269478596653E-2</v>
      </c>
      <c r="X10" s="38">
        <f>'SER_se-appl'!X40</f>
        <v>5.0747576639320169E-2</v>
      </c>
      <c r="Y10" s="38">
        <f>'SER_se-appl'!Y40</f>
        <v>6.8719029517350316E-2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775.69521299019425</v>
      </c>
      <c r="C12" s="204">
        <f>'SER_se-appl'!C48</f>
        <v>779.40061755825809</v>
      </c>
      <c r="D12" s="204">
        <f>'SER_se-appl'!D48</f>
        <v>782.79884034740644</v>
      </c>
      <c r="E12" s="204">
        <f>'SER_se-appl'!E48</f>
        <v>785.93798473508173</v>
      </c>
      <c r="F12" s="204">
        <f>'SER_se-appl'!F48</f>
        <v>788.85560037567984</v>
      </c>
      <c r="G12" s="204">
        <f>'SER_se-appl'!G48</f>
        <v>791.58157013737821</v>
      </c>
      <c r="H12" s="204">
        <f>'SER_se-appl'!H48</f>
        <v>794.14007115885568</v>
      </c>
      <c r="I12" s="204">
        <f>'SER_se-appl'!I48</f>
        <v>796.55094534541695</v>
      </c>
      <c r="J12" s="204">
        <f>'SER_se-appl'!J48</f>
        <v>798.8306808743348</v>
      </c>
      <c r="K12" s="204">
        <f>'SER_se-appl'!K48</f>
        <v>800.99313025712172</v>
      </c>
      <c r="L12" s="204">
        <f>'SER_se-appl'!L48</f>
        <v>803.05004560041436</v>
      </c>
      <c r="M12" s="204">
        <f>'SER_se-appl'!M48</f>
        <v>804.35713965323941</v>
      </c>
      <c r="N12" s="204">
        <f>'SER_se-appl'!N48</f>
        <v>805.6053974430672</v>
      </c>
      <c r="O12" s="204">
        <f>'SER_se-appl'!O48</f>
        <v>806.79996823255885</v>
      </c>
      <c r="P12" s="204">
        <f>'SER_se-appl'!P48</f>
        <v>807.94535034284661</v>
      </c>
      <c r="Q12" s="204">
        <f>'SER_se-appl'!Q48</f>
        <v>809.04549669804828</v>
      </c>
      <c r="R12" s="204">
        <f>'SER_se-appl'!R48</f>
        <v>800.34582474549597</v>
      </c>
      <c r="S12" s="204">
        <f>'SER_se-appl'!S48</f>
        <v>792.04362950661334</v>
      </c>
      <c r="T12" s="204">
        <f>'SER_se-appl'!T48</f>
        <v>791.47155527114126</v>
      </c>
      <c r="U12" s="204">
        <f>'SER_se-appl'!U48</f>
        <v>804.94198949672659</v>
      </c>
      <c r="V12" s="204">
        <f>'SER_se-appl'!V48</f>
        <v>707.01739145516524</v>
      </c>
      <c r="W12" s="204">
        <f>'SER_se-appl'!W48</f>
        <v>740.98608960416186</v>
      </c>
      <c r="X12" s="204">
        <f>'SER_se-appl'!X48</f>
        <v>773.80003356933616</v>
      </c>
      <c r="Y12" s="204">
        <f>'SER_se-appl'!Y48</f>
        <v>790.20700555192332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53.074614036862556</v>
      </c>
      <c r="C14" s="59">
        <f>'SER_se-appl'!C56</f>
        <v>52.698876103902016</v>
      </c>
      <c r="D14" s="59">
        <f>'SER_se-appl'!D56</f>
        <v>52.324968074689956</v>
      </c>
      <c r="E14" s="59">
        <f>'SER_se-appl'!E56</f>
        <v>51.962594100361635</v>
      </c>
      <c r="F14" s="59">
        <f>'SER_se-appl'!F56</f>
        <v>51.554263901615272</v>
      </c>
      <c r="G14" s="59">
        <f>'SER_se-appl'!G56</f>
        <v>50.95050446180381</v>
      </c>
      <c r="H14" s="59">
        <f>'SER_se-appl'!H56</f>
        <v>50.432510724002718</v>
      </c>
      <c r="I14" s="59">
        <f>'SER_se-appl'!I56</f>
        <v>49.900491403931333</v>
      </c>
      <c r="J14" s="59">
        <f>'SER_se-appl'!J56</f>
        <v>49.217747460495879</v>
      </c>
      <c r="K14" s="59">
        <f>'SER_se-appl'!K56</f>
        <v>48.748049833070773</v>
      </c>
      <c r="L14" s="59">
        <f>'SER_se-appl'!L56</f>
        <v>48.250071435358969</v>
      </c>
      <c r="M14" s="59">
        <f>'SER_se-appl'!M56</f>
        <v>47.577589984782811</v>
      </c>
      <c r="N14" s="59">
        <f>'SER_se-appl'!N56</f>
        <v>46.676183833111956</v>
      </c>
      <c r="O14" s="59">
        <f>'SER_se-appl'!O56</f>
        <v>45.795149692529527</v>
      </c>
      <c r="P14" s="59">
        <f>'SER_se-appl'!P56</f>
        <v>44.718395228720389</v>
      </c>
      <c r="Q14" s="59">
        <f>'SER_se-appl'!Q56</f>
        <v>43.579576019799788</v>
      </c>
      <c r="R14" s="59">
        <f>'SER_se-appl'!R56</f>
        <v>42.567349217948447</v>
      </c>
      <c r="S14" s="59">
        <f>'SER_se-appl'!S56</f>
        <v>41.614569091222776</v>
      </c>
      <c r="T14" s="59">
        <f>'SER_se-appl'!T56</f>
        <v>40.749880239454725</v>
      </c>
      <c r="U14" s="59">
        <f>'SER_se-appl'!U56</f>
        <v>39.893371282389914</v>
      </c>
      <c r="V14" s="59">
        <f>'SER_se-appl'!V56</f>
        <v>38.829710499376155</v>
      </c>
      <c r="W14" s="59">
        <f>'SER_se-appl'!W56</f>
        <v>37.96661458878912</v>
      </c>
      <c r="X14" s="59">
        <f>'SER_se-appl'!X56</f>
        <v>37.150947145073438</v>
      </c>
      <c r="Y14" s="59">
        <f>'SER_se-appl'!Y56</f>
        <v>36.196915865022227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49.807027031222638</v>
      </c>
      <c r="D15" s="63">
        <f>'SER_se-appl'!D64</f>
        <v>49.222597820582102</v>
      </c>
      <c r="E15" s="63">
        <f>'SER_se-appl'!E64</f>
        <v>48.684262038229221</v>
      </c>
      <c r="F15" s="63">
        <f>'SER_se-appl'!F64</f>
        <v>48.095258472546661</v>
      </c>
      <c r="G15" s="63">
        <f>'SER_se-appl'!G64</f>
        <v>47.326929017079436</v>
      </c>
      <c r="H15" s="63">
        <f>'SER_se-appl'!H64</f>
        <v>46.657062018704302</v>
      </c>
      <c r="I15" s="63">
        <f>'SER_se-appl'!I64</f>
        <v>46.046479022965791</v>
      </c>
      <c r="J15" s="63">
        <f>'SER_se-appl'!J64</f>
        <v>45.256247218350609</v>
      </c>
      <c r="K15" s="63">
        <f>'SER_se-appl'!K64</f>
        <v>44.218911816773783</v>
      </c>
      <c r="L15" s="63">
        <f>'SER_se-appl'!L64</f>
        <v>43.187599414432803</v>
      </c>
      <c r="M15" s="63">
        <f>'SER_se-appl'!M64</f>
        <v>41.872148291049832</v>
      </c>
      <c r="N15" s="63">
        <f>'SER_se-appl'!N64</f>
        <v>40.537648626380587</v>
      </c>
      <c r="O15" s="63">
        <f>'SER_se-appl'!O64</f>
        <v>39.208130259037951</v>
      </c>
      <c r="P15" s="63">
        <f>'SER_se-appl'!P64</f>
        <v>37.898665813182888</v>
      </c>
      <c r="Q15" s="63">
        <f>'SER_se-appl'!Q64</f>
        <v>36.469801961093822</v>
      </c>
      <c r="R15" s="63">
        <f>'SER_se-appl'!R64</f>
        <v>36.00229020886578</v>
      </c>
      <c r="S15" s="63">
        <f>'SER_se-appl'!S64</f>
        <v>35.424106785716752</v>
      </c>
      <c r="T15" s="63">
        <f>'SER_se-appl'!T64</f>
        <v>34.87679959697585</v>
      </c>
      <c r="U15" s="63">
        <f>'SER_se-appl'!U64</f>
        <v>34.355891797185087</v>
      </c>
      <c r="V15" s="63">
        <f>'SER_se-appl'!V64</f>
        <v>33.839768430089414</v>
      </c>
      <c r="W15" s="63">
        <f>'SER_se-appl'!W64</f>
        <v>33.50137074578852</v>
      </c>
      <c r="X15" s="63">
        <f>'SER_se-appl'!X64</f>
        <v>33.162973061487627</v>
      </c>
      <c r="Y15" s="63">
        <f>'SER_se-appl'!Y64</f>
        <v>32.824575377186733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1.5197682104506873</v>
      </c>
      <c r="C3" s="198">
        <f>'SER_se-appl'!C9</f>
        <v>1.9023119719281174</v>
      </c>
      <c r="D3" s="198">
        <f>'SER_se-appl'!D9</f>
        <v>2.2845547563485944</v>
      </c>
      <c r="E3" s="198">
        <f>'SER_se-appl'!E9</f>
        <v>2.6652655523382034</v>
      </c>
      <c r="F3" s="198">
        <f>'SER_se-appl'!F9</f>
        <v>3.0669088490700278</v>
      </c>
      <c r="G3" s="198">
        <f>'SER_se-appl'!G9</f>
        <v>3.4973046603288607</v>
      </c>
      <c r="H3" s="198">
        <f>'SER_se-appl'!H9</f>
        <v>3.8632450987527909</v>
      </c>
      <c r="I3" s="198">
        <f>'SER_se-appl'!I9</f>
        <v>4.1443983132949658</v>
      </c>
      <c r="J3" s="198">
        <f>'SER_se-appl'!J9</f>
        <v>4.4222631480350767</v>
      </c>
      <c r="K3" s="198">
        <f>'SER_se-appl'!K9</f>
        <v>4.6183879312012461</v>
      </c>
      <c r="L3" s="198">
        <f>'SER_se-appl'!L9</f>
        <v>4.7926650716939534</v>
      </c>
      <c r="M3" s="198">
        <f>'SER_se-appl'!M9</f>
        <v>4.9130806427886382</v>
      </c>
      <c r="N3" s="198">
        <f>'SER_se-appl'!N9</f>
        <v>5.0539069527606344</v>
      </c>
      <c r="O3" s="198">
        <f>'SER_se-appl'!O9</f>
        <v>5.268903921557194</v>
      </c>
      <c r="P3" s="198">
        <f>'SER_se-appl'!P9</f>
        <v>5.5566125808481939</v>
      </c>
      <c r="Q3" s="198">
        <f>'SER_se-appl'!Q9</f>
        <v>6.0415366652299269</v>
      </c>
      <c r="R3" s="198">
        <f>'SER_se-appl'!R9</f>
        <v>6.2556026318020459</v>
      </c>
      <c r="S3" s="198">
        <f>'SER_se-appl'!S9</f>
        <v>6.5037837974043091</v>
      </c>
      <c r="T3" s="198">
        <f>'SER_se-appl'!T9</f>
        <v>6.773332855378257</v>
      </c>
      <c r="U3" s="198">
        <f>'SER_se-appl'!U9</f>
        <v>7.07808065192875</v>
      </c>
      <c r="V3" s="198">
        <f>'SER_se-appl'!V9</f>
        <v>6.8382634459696217</v>
      </c>
      <c r="W3" s="198">
        <f>'SER_se-appl'!W9</f>
        <v>7.0692040967303482</v>
      </c>
      <c r="X3" s="198">
        <f>'SER_se-appl'!X9</f>
        <v>7.277110383185871</v>
      </c>
      <c r="Y3" s="198">
        <f>'SER_se-appl'!Y9</f>
        <v>7.5574631174651801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7.5325790387818357</v>
      </c>
      <c r="C5" s="59">
        <f>'SER_se-appl'!C17</f>
        <v>9.5153194084865884</v>
      </c>
      <c r="D5" s="59">
        <f>'SER_se-appl'!D17</f>
        <v>11.366145844420531</v>
      </c>
      <c r="E5" s="59">
        <f>'SER_se-appl'!E17</f>
        <v>13.185227196341875</v>
      </c>
      <c r="F5" s="59">
        <f>'SER_se-appl'!F17</f>
        <v>15.102991581038765</v>
      </c>
      <c r="G5" s="59">
        <f>'SER_se-appl'!G17</f>
        <v>17.238142588526067</v>
      </c>
      <c r="H5" s="59">
        <f>'SER_se-appl'!H17</f>
        <v>18.967284161581901</v>
      </c>
      <c r="I5" s="59">
        <f>'SER_se-appl'!I17</f>
        <v>20.20221499504467</v>
      </c>
      <c r="J5" s="59">
        <f>'SER_se-appl'!J17</f>
        <v>21.433009665614723</v>
      </c>
      <c r="K5" s="59">
        <f>'SER_se-appl'!K17</f>
        <v>22.154789009532387</v>
      </c>
      <c r="L5" s="59">
        <f>'SER_se-appl'!L17</f>
        <v>22.682556001166628</v>
      </c>
      <c r="M5" s="59">
        <f>'SER_se-appl'!M17</f>
        <v>22.990182648171857</v>
      </c>
      <c r="N5" s="59">
        <f>'SER_se-appl'!N17</f>
        <v>23.464224289235673</v>
      </c>
      <c r="O5" s="59">
        <f>'SER_se-appl'!O17</f>
        <v>24.491894727718837</v>
      </c>
      <c r="P5" s="59">
        <f>'SER_se-appl'!P17</f>
        <v>25.919420461674179</v>
      </c>
      <c r="Q5" s="59">
        <f>'SER_se-appl'!Q17</f>
        <v>28.527418424455224</v>
      </c>
      <c r="R5" s="59">
        <f>'SER_se-appl'!R17</f>
        <v>29.614538460269952</v>
      </c>
      <c r="S5" s="59">
        <f>'SER_se-appl'!S17</f>
        <v>30.778332250100508</v>
      </c>
      <c r="T5" s="59">
        <f>'SER_se-appl'!T17</f>
        <v>31.873541668159159</v>
      </c>
      <c r="U5" s="59">
        <f>'SER_se-appl'!U17</f>
        <v>32.83723312786546</v>
      </c>
      <c r="V5" s="59">
        <f>'SER_se-appl'!V17</f>
        <v>33.452159586955979</v>
      </c>
      <c r="W5" s="59">
        <f>'SER_se-appl'!W17</f>
        <v>33.943739705424044</v>
      </c>
      <c r="X5" s="59">
        <f>'SER_se-appl'!X17</f>
        <v>34.42929430975046</v>
      </c>
      <c r="Y5" s="59">
        <f>'SER_se-appl'!Y17</f>
        <v>35.687542388733824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5.1428683592342449E-2</v>
      </c>
      <c r="C6" s="201">
        <f>'SER_se-appl'!C73</f>
        <v>6.6388555174394334E-2</v>
      </c>
      <c r="D6" s="201">
        <f>'SER_se-appl'!D73</f>
        <v>8.0999963382418771E-2</v>
      </c>
      <c r="E6" s="201">
        <f>'SER_se-appl'!E73</f>
        <v>9.6171433447328869E-2</v>
      </c>
      <c r="F6" s="201">
        <f>'SER_se-appl'!F73</f>
        <v>0.113191834989898</v>
      </c>
      <c r="G6" s="201">
        <f>'SER_se-appl'!G73</f>
        <v>0.13301632898910284</v>
      </c>
      <c r="H6" s="201">
        <f>'SER_se-appl'!H73</f>
        <v>0.15329450256581947</v>
      </c>
      <c r="I6" s="201">
        <f>'SER_se-appl'!I73</f>
        <v>0.17071513530391516</v>
      </c>
      <c r="J6" s="201">
        <f>'SER_se-appl'!J73</f>
        <v>0.18901092492796617</v>
      </c>
      <c r="K6" s="201">
        <f>'SER_se-appl'!K73</f>
        <v>0.20410346396131004</v>
      </c>
      <c r="L6" s="201">
        <f>'SER_se-appl'!L73</f>
        <v>0.2200760744406309</v>
      </c>
      <c r="M6" s="201">
        <f>'SER_se-appl'!M73</f>
        <v>0.24176781743032383</v>
      </c>
      <c r="N6" s="201">
        <f>'SER_se-appl'!N73</f>
        <v>0.2628312591012763</v>
      </c>
      <c r="O6" s="201">
        <f>'SER_se-appl'!O73</f>
        <v>0.28912676687951311</v>
      </c>
      <c r="P6" s="201">
        <f>'SER_se-appl'!P73</f>
        <v>0.31424721007985051</v>
      </c>
      <c r="Q6" s="201">
        <f>'SER_se-appl'!Q73</f>
        <v>0.34715145892212745</v>
      </c>
      <c r="R6" s="201">
        <f>'SER_se-appl'!R73</f>
        <v>0.35914519915189469</v>
      </c>
      <c r="S6" s="201">
        <f>'SER_se-appl'!S73</f>
        <v>0.37143542610983804</v>
      </c>
      <c r="T6" s="201">
        <f>'SER_se-appl'!T73</f>
        <v>0.37859943856290657</v>
      </c>
      <c r="U6" s="201">
        <f>'SER_se-appl'!U73</f>
        <v>0.38296715917673912</v>
      </c>
      <c r="V6" s="201">
        <f>'SER_se-appl'!V73</f>
        <v>0.38343991749250633</v>
      </c>
      <c r="W6" s="201">
        <f>'SER_se-appl'!W73</f>
        <v>0.39818408323962257</v>
      </c>
      <c r="X6" s="201">
        <f>'SER_se-appl'!X73</f>
        <v>0.40971501524969428</v>
      </c>
      <c r="Y6" s="201">
        <f>'SER_se-appl'!Y73</f>
        <v>0.41683368585296798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19.993363604675459</v>
      </c>
      <c r="C8" s="34">
        <f>'SER_se-appl'!C25</f>
        <v>25.985476323585559</v>
      </c>
      <c r="D8" s="34">
        <f>'SER_se-appl'!D25</f>
        <v>31.965906549201126</v>
      </c>
      <c r="E8" s="34">
        <f>'SER_se-appl'!E25</f>
        <v>38.208525822889968</v>
      </c>
      <c r="F8" s="34">
        <f>'SER_se-appl'!F25</f>
        <v>45.261679481905546</v>
      </c>
      <c r="G8" s="34">
        <f>'SER_se-appl'!G25</f>
        <v>53.561419161384059</v>
      </c>
      <c r="H8" s="34">
        <f>'SER_se-appl'!H25</f>
        <v>62.084120244654315</v>
      </c>
      <c r="I8" s="34">
        <f>'SER_se-appl'!I25</f>
        <v>69.244790321432859</v>
      </c>
      <c r="J8" s="34">
        <f>'SER_se-appl'!J25</f>
        <v>77.084703535222303</v>
      </c>
      <c r="K8" s="34">
        <f>'SER_se-appl'!K25</f>
        <v>83.871420031765282</v>
      </c>
      <c r="L8" s="34">
        <f>'SER_se-appl'!L25</f>
        <v>91.117436872431085</v>
      </c>
      <c r="M8" s="34">
        <f>'SER_se-appl'!M25</f>
        <v>100.33098478759266</v>
      </c>
      <c r="N8" s="34">
        <f>'SER_se-appl'!N25</f>
        <v>109.74414091270151</v>
      </c>
      <c r="O8" s="34">
        <f>'SER_se-appl'!O25</f>
        <v>121.85652367610712</v>
      </c>
      <c r="P8" s="34">
        <f>'SER_se-appl'!P25</f>
        <v>134.54682847894847</v>
      </c>
      <c r="Q8" s="34">
        <f>'SER_se-appl'!Q25</f>
        <v>152.33179593232413</v>
      </c>
      <c r="R8" s="34">
        <f>'SER_se-appl'!R25</f>
        <v>161.48425162066218</v>
      </c>
      <c r="S8" s="34">
        <f>'SER_se-appl'!S25</f>
        <v>170.62814886920683</v>
      </c>
      <c r="T8" s="34">
        <f>'SER_se-appl'!T25</f>
        <v>179.77302160889485</v>
      </c>
      <c r="U8" s="34">
        <f>'SER_se-appl'!U25</f>
        <v>188.79055452503871</v>
      </c>
      <c r="V8" s="34">
        <f>'SER_se-appl'!V25</f>
        <v>197.41595872060432</v>
      </c>
      <c r="W8" s="34">
        <f>'SER_se-appl'!W25</f>
        <v>205.51275996205018</v>
      </c>
      <c r="X8" s="34">
        <f>'SER_se-appl'!X25</f>
        <v>213.12309834249447</v>
      </c>
      <c r="Y8" s="34">
        <f>'SER_se-appl'!Y25</f>
        <v>225.94511625028716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9.9907854398451921</v>
      </c>
      <c r="D9" s="36">
        <f>'SER_se-appl'!D33</f>
        <v>9.9791029465506575</v>
      </c>
      <c r="E9" s="36">
        <f>'SER_se-appl'!E33</f>
        <v>10.241291994623936</v>
      </c>
      <c r="F9" s="36">
        <f>'SER_se-appl'!F33</f>
        <v>11.051826379950668</v>
      </c>
      <c r="G9" s="36">
        <f>'SER_se-appl'!G33</f>
        <v>12.298412400413604</v>
      </c>
      <c r="H9" s="36">
        <f>'SER_se-appl'!H33</f>
        <v>18.513486523115446</v>
      </c>
      <c r="I9" s="36">
        <f>'SER_se-appl'!I33</f>
        <v>17.139773023329198</v>
      </c>
      <c r="J9" s="36">
        <f>'SER_se-appl'!J33</f>
        <v>18.08120520841338</v>
      </c>
      <c r="K9" s="36">
        <f>'SER_se-appl'!K33</f>
        <v>17.838542876493648</v>
      </c>
      <c r="L9" s="36">
        <f>'SER_se-appl'!L33</f>
        <v>19.544429241079399</v>
      </c>
      <c r="M9" s="36">
        <f>'SER_se-appl'!M33</f>
        <v>27.727034438277016</v>
      </c>
      <c r="N9" s="36">
        <f>'SER_se-appl'!N33</f>
        <v>26.552929148438054</v>
      </c>
      <c r="O9" s="36">
        <f>'SER_se-appl'!O33</f>
        <v>30.193587971818985</v>
      </c>
      <c r="P9" s="36">
        <f>'SER_se-appl'!P33</f>
        <v>30.528847679335001</v>
      </c>
      <c r="Q9" s="36">
        <f>'SER_se-appl'!Q33</f>
        <v>37.329396694455056</v>
      </c>
      <c r="R9" s="36">
        <f>'SER_se-appl'!R33</f>
        <v>36.879490126615067</v>
      </c>
      <c r="S9" s="36">
        <f>'SER_se-appl'!S33</f>
        <v>35.696826396982715</v>
      </c>
      <c r="T9" s="36">
        <f>'SER_se-appl'!T33</f>
        <v>39.338460711507025</v>
      </c>
      <c r="U9" s="36">
        <f>'SER_se-appl'!U33</f>
        <v>39.546380595478865</v>
      </c>
      <c r="V9" s="36">
        <f>'SER_se-appl'!V33</f>
        <v>45.954800890020664</v>
      </c>
      <c r="W9" s="36">
        <f>'SER_se-appl'!W33</f>
        <v>44.976291368060942</v>
      </c>
      <c r="X9" s="36">
        <f>'SER_se-appl'!X33</f>
        <v>43.307164777427005</v>
      </c>
      <c r="Y9" s="36">
        <f>'SER_se-appl'!Y33</f>
        <v>52.16047861929971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3.9986727209350903</v>
      </c>
      <c r="D10" s="38">
        <f>'SER_se-appl'!D41</f>
        <v>3.9986727209350867</v>
      </c>
      <c r="E10" s="38">
        <f>'SER_se-appl'!E41</f>
        <v>3.9986727209350903</v>
      </c>
      <c r="F10" s="38">
        <f>'SER_se-appl'!F41</f>
        <v>3.9986727209350903</v>
      </c>
      <c r="G10" s="38">
        <f>'SER_se-appl'!G41</f>
        <v>3.9986727209350903</v>
      </c>
      <c r="H10" s="38">
        <f>'SER_se-appl'!H41</f>
        <v>9.9907854398451832</v>
      </c>
      <c r="I10" s="38">
        <f>'SER_se-appl'!I41</f>
        <v>9.979102946550654</v>
      </c>
      <c r="J10" s="38">
        <f>'SER_se-appl'!J41</f>
        <v>10.241291994623936</v>
      </c>
      <c r="K10" s="38">
        <f>'SER_se-appl'!K41</f>
        <v>11.051826379950668</v>
      </c>
      <c r="L10" s="38">
        <f>'SER_se-appl'!L41</f>
        <v>12.298412400413596</v>
      </c>
      <c r="M10" s="38">
        <f>'SER_se-appl'!M41</f>
        <v>18.513486523115446</v>
      </c>
      <c r="N10" s="38">
        <f>'SER_se-appl'!N41</f>
        <v>17.139773023329198</v>
      </c>
      <c r="O10" s="38">
        <f>'SER_se-appl'!O41</f>
        <v>18.081205208413365</v>
      </c>
      <c r="P10" s="38">
        <f>'SER_se-appl'!P41</f>
        <v>17.838542876493648</v>
      </c>
      <c r="Q10" s="38">
        <f>'SER_se-appl'!Q41</f>
        <v>19.544429241079399</v>
      </c>
      <c r="R10" s="38">
        <f>'SER_se-appl'!R41</f>
        <v>27.72703443827703</v>
      </c>
      <c r="S10" s="38">
        <f>'SER_se-appl'!S41</f>
        <v>26.552929148438068</v>
      </c>
      <c r="T10" s="38">
        <f>'SER_se-appl'!T41</f>
        <v>30.193587971818999</v>
      </c>
      <c r="U10" s="38">
        <f>'SER_se-appl'!U41</f>
        <v>30.528847679335001</v>
      </c>
      <c r="V10" s="38">
        <f>'SER_se-appl'!V41</f>
        <v>37.329396694455056</v>
      </c>
      <c r="W10" s="38">
        <f>'SER_se-appl'!W41</f>
        <v>36.879490126615082</v>
      </c>
      <c r="X10" s="38">
        <f>'SER_se-appl'!X41</f>
        <v>35.696826396982715</v>
      </c>
      <c r="Y10" s="38">
        <f>'SER_se-appl'!Y41</f>
        <v>39.338460711507054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2346.4611783748196</v>
      </c>
      <c r="C12" s="204">
        <f>'SER_se-appl'!C49</f>
        <v>2325.0809861192888</v>
      </c>
      <c r="D12" s="204">
        <f>'SER_se-appl'!D49</f>
        <v>2337.5885000962448</v>
      </c>
      <c r="E12" s="204">
        <f>'SER_se-appl'!E49</f>
        <v>2350.8914872770006</v>
      </c>
      <c r="F12" s="204">
        <f>'SER_se-appl'!F49</f>
        <v>2361.6612459391445</v>
      </c>
      <c r="G12" s="204">
        <f>'SER_se-appl'!G49</f>
        <v>2359.5148369811932</v>
      </c>
      <c r="H12" s="204">
        <f>'SER_se-appl'!H49</f>
        <v>2368.7914471961894</v>
      </c>
      <c r="I12" s="204">
        <f>'SER_se-appl'!I49</f>
        <v>2385.8449380646184</v>
      </c>
      <c r="J12" s="204">
        <f>'SER_se-appl'!J49</f>
        <v>2399.6126168952969</v>
      </c>
      <c r="K12" s="204">
        <f>'SER_se-appl'!K49</f>
        <v>2424.3901224588626</v>
      </c>
      <c r="L12" s="204">
        <f>'SER_se-appl'!L49</f>
        <v>2457.3374702980514</v>
      </c>
      <c r="M12" s="204">
        <f>'SER_se-appl'!M49</f>
        <v>2485.3707667335771</v>
      </c>
      <c r="N12" s="204">
        <f>'SER_se-appl'!N49</f>
        <v>2504.9597692249467</v>
      </c>
      <c r="O12" s="204">
        <f>'SER_se-appl'!O49</f>
        <v>2501.9441447443096</v>
      </c>
      <c r="P12" s="204">
        <f>'SER_se-appl'!P49</f>
        <v>2493.2426406223112</v>
      </c>
      <c r="Q12" s="204">
        <f>'SER_se-appl'!Q49</f>
        <v>2463.0013964527125</v>
      </c>
      <c r="R12" s="204">
        <f>'SER_se-appl'!R49</f>
        <v>2456.6534678722328</v>
      </c>
      <c r="S12" s="204">
        <f>'SER_se-appl'!S49</f>
        <v>2457.5407448714218</v>
      </c>
      <c r="T12" s="204">
        <f>'SER_se-appl'!T49</f>
        <v>2471.4498918311974</v>
      </c>
      <c r="U12" s="204">
        <f>'SER_se-appl'!U49</f>
        <v>2506.8518307066738</v>
      </c>
      <c r="V12" s="204">
        <f>'SER_se-appl'!V49</f>
        <v>2377.3952073228029</v>
      </c>
      <c r="W12" s="204">
        <f>'SER_se-appl'!W49</f>
        <v>2422.0915066655552</v>
      </c>
      <c r="X12" s="204">
        <f>'SER_se-appl'!X49</f>
        <v>2458.162313611042</v>
      </c>
      <c r="Y12" s="204">
        <f>'SER_se-appl'!Y49</f>
        <v>2462.8565088266491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376.7539663521319</v>
      </c>
      <c r="C14" s="59">
        <f>'SER_se-appl'!C57</f>
        <v>366.1783717179764</v>
      </c>
      <c r="D14" s="59">
        <f>'SER_se-appl'!D57</f>
        <v>355.57089009586019</v>
      </c>
      <c r="E14" s="59">
        <f>'SER_se-appl'!E57</f>
        <v>345.08599618472766</v>
      </c>
      <c r="F14" s="59">
        <f>'SER_se-appl'!F57</f>
        <v>333.6816431453135</v>
      </c>
      <c r="G14" s="59">
        <f>'SER_se-appl'!G57</f>
        <v>321.83879475983287</v>
      </c>
      <c r="H14" s="59">
        <f>'SER_se-appl'!H57</f>
        <v>305.50942957454663</v>
      </c>
      <c r="I14" s="59">
        <f>'SER_se-appl'!I57</f>
        <v>291.75068479905002</v>
      </c>
      <c r="J14" s="59">
        <f>'SER_se-appl'!J57</f>
        <v>278.04491270854197</v>
      </c>
      <c r="K14" s="59">
        <f>'SER_se-appl'!K57</f>
        <v>264.15182908720908</v>
      </c>
      <c r="L14" s="59">
        <f>'SER_se-appl'!L57</f>
        <v>248.93759942922151</v>
      </c>
      <c r="M14" s="59">
        <f>'SER_se-appl'!M57</f>
        <v>229.1433966968788</v>
      </c>
      <c r="N14" s="59">
        <f>'SER_se-appl'!N57</f>
        <v>213.80844657484565</v>
      </c>
      <c r="O14" s="59">
        <f>'SER_se-appl'!O57</f>
        <v>200.98960637362299</v>
      </c>
      <c r="P14" s="59">
        <f>'SER_se-appl'!P57</f>
        <v>192.64237406926017</v>
      </c>
      <c r="Q14" s="59">
        <f>'SER_se-appl'!Q57</f>
        <v>187.27159520346621</v>
      </c>
      <c r="R14" s="59">
        <f>'SER_se-appl'!R57</f>
        <v>183.38963807961025</v>
      </c>
      <c r="S14" s="59">
        <f>'SER_se-appl'!S57</f>
        <v>180.38250109419701</v>
      </c>
      <c r="T14" s="59">
        <f>'SER_se-appl'!T57</f>
        <v>177.29880369648365</v>
      </c>
      <c r="U14" s="59">
        <f>'SER_se-appl'!U57</f>
        <v>173.93472470313847</v>
      </c>
      <c r="V14" s="59">
        <f>'SER_se-appl'!V57</f>
        <v>169.45012856989752</v>
      </c>
      <c r="W14" s="59">
        <f>'SER_se-appl'!W57</f>
        <v>165.16609339338379</v>
      </c>
      <c r="X14" s="59">
        <f>'SER_se-appl'!X57</f>
        <v>161.54651737664622</v>
      </c>
      <c r="Y14" s="59">
        <f>'SER_se-appl'!Y57</f>
        <v>157.94783698356866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349.2474338949657</v>
      </c>
      <c r="D15" s="63">
        <f>'SER_se-appl'!D65</f>
        <v>336.43727914950472</v>
      </c>
      <c r="E15" s="63">
        <f>'SER_se-appl'!E65</f>
        <v>324.72437671179102</v>
      </c>
      <c r="F15" s="63">
        <f>'SER_se-appl'!F65</f>
        <v>309.83839907812074</v>
      </c>
      <c r="G15" s="63">
        <f>'SER_se-appl'!G65</f>
        <v>296.1086924618981</v>
      </c>
      <c r="H15" s="63">
        <f>'SER_se-appl'!H65</f>
        <v>281.87007044844898</v>
      </c>
      <c r="I15" s="63">
        <f>'SER_se-appl'!I65</f>
        <v>267.93079878610183</v>
      </c>
      <c r="J15" s="63">
        <f>'SER_se-appl'!J65</f>
        <v>251.99602447560463</v>
      </c>
      <c r="K15" s="63">
        <f>'SER_se-appl'!K65</f>
        <v>232.42142394008573</v>
      </c>
      <c r="L15" s="63">
        <f>'SER_se-appl'!L65</f>
        <v>213.33105998891952</v>
      </c>
      <c r="M15" s="63">
        <f>'SER_se-appl'!M65</f>
        <v>199.30095336461761</v>
      </c>
      <c r="N15" s="63">
        <f>'SER_se-appl'!N65</f>
        <v>190.80059641988348</v>
      </c>
      <c r="O15" s="63">
        <f>'SER_se-appl'!O65</f>
        <v>184.94199079429654</v>
      </c>
      <c r="P15" s="63">
        <f>'SER_se-appl'!P65</f>
        <v>182.56782335413959</v>
      </c>
      <c r="Q15" s="63">
        <f>'SER_se-appl'!Q65</f>
        <v>181.55749542734176</v>
      </c>
      <c r="R15" s="63">
        <f>'SER_se-appl'!R65</f>
        <v>179.31767523446237</v>
      </c>
      <c r="S15" s="63">
        <f>'SER_se-appl'!S65</f>
        <v>174.52835831294092</v>
      </c>
      <c r="T15" s="63">
        <f>'SER_se-appl'!T65</f>
        <v>169.78985872814812</v>
      </c>
      <c r="U15" s="63">
        <f>'SER_se-appl'!U65</f>
        <v>165.30657500372971</v>
      </c>
      <c r="V15" s="63">
        <f>'SER_se-appl'!V65</f>
        <v>160.86150055226904</v>
      </c>
      <c r="W15" s="63">
        <f>'SER_se-appl'!W65</f>
        <v>157.96599354232819</v>
      </c>
      <c r="X15" s="63">
        <f>'SER_se-appl'!X65</f>
        <v>155.07048653238735</v>
      </c>
      <c r="Y15" s="63">
        <f>'SER_se-appl'!Y65</f>
        <v>152.17497952244651</v>
      </c>
      <c r="DA15" s="105" t="s">
        <v>957</v>
      </c>
    </row>
    <row r="17" spans="1:105" ht="12" customHeight="1" x14ac:dyDescent="0.25">
      <c r="A17" s="197" t="s">
        <v>184</v>
      </c>
      <c r="B17" s="198">
        <v>0.67217841960402858</v>
      </c>
      <c r="C17" s="198">
        <v>0.81254646108812156</v>
      </c>
      <c r="D17" s="198">
        <v>0.95370916937804828</v>
      </c>
      <c r="E17" s="198">
        <v>1.091463769126126</v>
      </c>
      <c r="F17" s="198">
        <v>1.2232612189131289</v>
      </c>
      <c r="G17" s="198">
        <v>1.3443568392080567</v>
      </c>
      <c r="H17" s="198">
        <v>1.4478790706709221</v>
      </c>
      <c r="I17" s="198">
        <v>1.5407813515938746</v>
      </c>
      <c r="J17" s="198">
        <v>1.6274270979090526</v>
      </c>
      <c r="K17" s="198">
        <v>1.7102595004571466</v>
      </c>
      <c r="L17" s="198">
        <v>1.7924757856107432</v>
      </c>
      <c r="M17" s="198">
        <v>1.8425750085965054</v>
      </c>
      <c r="N17" s="198">
        <v>1.9005568425151116</v>
      </c>
      <c r="O17" s="198">
        <v>1.9338087334052934</v>
      </c>
      <c r="P17" s="198">
        <v>1.9670606242954747</v>
      </c>
      <c r="Q17" s="198">
        <v>2.000312515185656</v>
      </c>
      <c r="R17" s="198">
        <v>2.0335644060758367</v>
      </c>
      <c r="S17" s="198">
        <v>2.0668162969660191</v>
      </c>
      <c r="T17" s="198">
        <v>2.1000681878562011</v>
      </c>
      <c r="U17" s="198">
        <v>2.1333200787463822</v>
      </c>
      <c r="V17" s="198">
        <v>2.1665719696365637</v>
      </c>
      <c r="W17" s="198">
        <v>2.1998238605267431</v>
      </c>
      <c r="X17" s="198">
        <v>2.2330757514169277</v>
      </c>
      <c r="Y17" s="198">
        <v>2.2554065089310957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0</v>
      </c>
      <c r="C3" s="219">
        <v>0</v>
      </c>
      <c r="D3" s="219">
        <v>0</v>
      </c>
      <c r="E3" s="219">
        <v>0</v>
      </c>
      <c r="F3" s="219">
        <v>0</v>
      </c>
      <c r="G3" s="219">
        <v>149.90535673581039</v>
      </c>
      <c r="H3" s="219">
        <v>156.17647175617989</v>
      </c>
      <c r="I3" s="219">
        <v>158.92803383897319</v>
      </c>
      <c r="J3" s="219">
        <v>101.1937312593703</v>
      </c>
      <c r="K3" s="219">
        <v>126.65428484150669</v>
      </c>
      <c r="L3" s="219">
        <v>127.2297426507985</v>
      </c>
      <c r="M3" s="219">
        <v>108.71793684906601</v>
      </c>
      <c r="N3" s="219">
        <v>113.36942885156169</v>
      </c>
      <c r="O3" s="219">
        <v>113.5520416401105</v>
      </c>
      <c r="P3" s="219">
        <v>121.9250619980794</v>
      </c>
      <c r="Q3" s="219">
        <v>124.04797600000001</v>
      </c>
      <c r="R3" s="219">
        <v>138.85365265232869</v>
      </c>
      <c r="S3" s="219">
        <v>104.47775545734569</v>
      </c>
      <c r="T3" s="219">
        <v>103.7317893502982</v>
      </c>
      <c r="U3" s="219">
        <v>81.562459950977242</v>
      </c>
      <c r="V3" s="219">
        <v>130.23417796321829</v>
      </c>
      <c r="W3" s="219">
        <v>164.37592531652149</v>
      </c>
      <c r="X3" s="219">
        <v>161.0582560112569</v>
      </c>
      <c r="Y3" s="219">
        <v>11.2</v>
      </c>
      <c r="DA3" s="210" t="s">
        <v>974</v>
      </c>
    </row>
    <row r="5" spans="1:105" x14ac:dyDescent="0.25">
      <c r="A5" s="218" t="s">
        <v>120</v>
      </c>
      <c r="B5" s="219">
        <v>0</v>
      </c>
      <c r="C5" s="219">
        <v>0</v>
      </c>
      <c r="D5" s="219">
        <v>0</v>
      </c>
      <c r="E5" s="219">
        <v>0</v>
      </c>
      <c r="F5" s="219">
        <v>0</v>
      </c>
      <c r="G5" s="219">
        <v>61.181057880714647</v>
      </c>
      <c r="H5" s="219">
        <v>39.483247215107433</v>
      </c>
      <c r="I5" s="219">
        <v>52.303890096947427</v>
      </c>
      <c r="J5" s="219">
        <v>49.897626404068689</v>
      </c>
      <c r="K5" s="219">
        <v>37.879486982960259</v>
      </c>
      <c r="L5" s="219">
        <v>63.3405172155298</v>
      </c>
      <c r="M5" s="219">
        <v>51.793194239521959</v>
      </c>
      <c r="N5" s="219">
        <v>60.250564129886833</v>
      </c>
      <c r="O5" s="219">
        <v>43.091878308640638</v>
      </c>
      <c r="P5" s="219">
        <v>45.274644149046253</v>
      </c>
      <c r="Q5" s="219">
        <v>35.460228524746242</v>
      </c>
      <c r="R5" s="219">
        <v>43.419053150786517</v>
      </c>
      <c r="S5" s="219">
        <v>58.7585265996168</v>
      </c>
      <c r="T5" s="219">
        <v>114.4516736165783</v>
      </c>
      <c r="U5" s="219">
        <v>145.6449567217069</v>
      </c>
      <c r="V5" s="219">
        <v>123.90381857692969</v>
      </c>
      <c r="W5" s="219">
        <v>136.00843181631981</v>
      </c>
      <c r="X5" s="219">
        <v>211.58605284328559</v>
      </c>
      <c r="Y5" s="219">
        <v>174.64849526881221</v>
      </c>
      <c r="DA5" s="210" t="s">
        <v>975</v>
      </c>
    </row>
    <row r="6" spans="1:105" x14ac:dyDescent="0.25">
      <c r="A6" s="220" t="s">
        <v>119</v>
      </c>
      <c r="B6" s="221">
        <v>0</v>
      </c>
      <c r="C6" s="221">
        <v>0</v>
      </c>
      <c r="D6" s="221">
        <v>0</v>
      </c>
      <c r="E6" s="221">
        <v>0</v>
      </c>
      <c r="F6" s="221">
        <v>0</v>
      </c>
      <c r="G6" s="221">
        <v>65.004873998259313</v>
      </c>
      <c r="H6" s="221">
        <v>65.004873998259313</v>
      </c>
      <c r="I6" s="221">
        <v>65.004873998259313</v>
      </c>
      <c r="J6" s="221">
        <v>65.004873998259313</v>
      </c>
      <c r="K6" s="221">
        <v>65.004873998259313</v>
      </c>
      <c r="L6" s="221">
        <v>68.82869011580398</v>
      </c>
      <c r="M6" s="221">
        <v>68.82869011580398</v>
      </c>
      <c r="N6" s="221">
        <v>68.82869011580398</v>
      </c>
      <c r="O6" s="221">
        <v>68.82869011580398</v>
      </c>
      <c r="P6" s="221">
        <v>68.82869011580398</v>
      </c>
      <c r="Q6" s="221">
        <v>68.82869011580398</v>
      </c>
      <c r="R6" s="221">
        <v>68.82869011580398</v>
      </c>
      <c r="S6" s="221">
        <v>68.82869011580398</v>
      </c>
      <c r="T6" s="221">
        <v>122.36211576142929</v>
      </c>
      <c r="U6" s="221">
        <v>156.77646081933131</v>
      </c>
      <c r="V6" s="221">
        <v>156.77646081933131</v>
      </c>
      <c r="W6" s="221">
        <v>156.77646081933131</v>
      </c>
      <c r="X6" s="221">
        <v>225.6051509351353</v>
      </c>
      <c r="Y6" s="221">
        <v>225.6051509351353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65.004873998259313</v>
      </c>
      <c r="H7" s="225">
        <v>0</v>
      </c>
      <c r="I7" s="225">
        <v>0</v>
      </c>
      <c r="J7" s="225">
        <v>0</v>
      </c>
      <c r="K7" s="225">
        <v>0</v>
      </c>
      <c r="L7" s="225">
        <v>3.8238161175446663</v>
      </c>
      <c r="M7" s="225">
        <v>0</v>
      </c>
      <c r="N7" s="225">
        <v>0</v>
      </c>
      <c r="O7" s="225">
        <v>0</v>
      </c>
      <c r="P7" s="225">
        <v>0</v>
      </c>
      <c r="Q7" s="225">
        <v>0</v>
      </c>
      <c r="R7" s="225">
        <v>0</v>
      </c>
      <c r="S7" s="225">
        <v>0</v>
      </c>
      <c r="T7" s="225">
        <v>53.533425645625321</v>
      </c>
      <c r="U7" s="225">
        <v>34.414345057902011</v>
      </c>
      <c r="V7" s="225">
        <v>0</v>
      </c>
      <c r="W7" s="225">
        <v>0</v>
      </c>
      <c r="X7" s="225">
        <v>68.828690115803994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0</v>
      </c>
      <c r="D8" s="227">
        <f t="shared" ref="D8" si="1">IF(C6=0,0,C6+D7-D6)</f>
        <v>0</v>
      </c>
      <c r="E8" s="227">
        <f t="shared" ref="E8" si="2">IF(D6=0,0,D6+E7-E6)</f>
        <v>0</v>
      </c>
      <c r="F8" s="227">
        <f t="shared" ref="F8" si="3">IF(E6=0,0,E6+F7-F6)</f>
        <v>0</v>
      </c>
      <c r="G8" s="227">
        <f t="shared" ref="G8" si="4">IF(F6=0,0,F6+G7-G6)</f>
        <v>0</v>
      </c>
      <c r="H8" s="227">
        <f t="shared" ref="H8" si="5">IF(G6=0,0,G6+H7-H6)</f>
        <v>0</v>
      </c>
      <c r="I8" s="227">
        <f t="shared" ref="I8" si="6">IF(H6=0,0,H6+I7-I6)</f>
        <v>0</v>
      </c>
      <c r="J8" s="227">
        <f t="shared" ref="J8" si="7">IF(I6=0,0,I6+J7-J6)</f>
        <v>0</v>
      </c>
      <c r="K8" s="227">
        <f t="shared" ref="K8" si="8">IF(J6=0,0,J6+K7-K6)</f>
        <v>0</v>
      </c>
      <c r="L8" s="227">
        <f t="shared" ref="L8" si="9">IF(K6=0,0,K6+L7-L6)</f>
        <v>0</v>
      </c>
      <c r="M8" s="227">
        <f t="shared" ref="M8" si="10">IF(L6=0,0,L6+M7-M6)</f>
        <v>0</v>
      </c>
      <c r="N8" s="227">
        <f t="shared" ref="N8" si="11">IF(M6=0,0,M6+N7-N6)</f>
        <v>0</v>
      </c>
      <c r="O8" s="227">
        <f t="shared" ref="O8" si="12">IF(N6=0,0,N6+O7-O6)</f>
        <v>0</v>
      </c>
      <c r="P8" s="227">
        <f t="shared" ref="P8" si="13">IF(O6=0,0,O6+P7-P6)</f>
        <v>0</v>
      </c>
      <c r="Q8" s="227">
        <f t="shared" ref="Q8" si="14">IF(P6=0,0,P6+Q7-Q6)</f>
        <v>0</v>
      </c>
      <c r="R8" s="227">
        <f t="shared" ref="R8" si="15">IF(Q6=0,0,Q6+R7-R6)</f>
        <v>0</v>
      </c>
      <c r="S8" s="227">
        <f t="shared" ref="S8" si="16">IF(R6=0,0,R6+S7-S6)</f>
        <v>0</v>
      </c>
      <c r="T8" s="227">
        <f t="shared" ref="T8" si="17">IF(S6=0,0,S6+T7-T6)</f>
        <v>0</v>
      </c>
      <c r="U8" s="227">
        <f t="shared" ref="U8" si="18">IF(T6=0,0,T6+U7-U6)</f>
        <v>0</v>
      </c>
      <c r="V8" s="227">
        <f t="shared" ref="V8" si="19">IF(U6=0,0,U6+V7-V6)</f>
        <v>0</v>
      </c>
      <c r="W8" s="227">
        <f t="shared" ref="W8" si="20">IF(V6=0,0,V6+W7-W6)</f>
        <v>0</v>
      </c>
      <c r="X8" s="227">
        <f t="shared" ref="X8" si="21">IF(W6=0,0,W6+X7-X6)</f>
        <v>0</v>
      </c>
      <c r="Y8" s="227">
        <f t="shared" ref="Y8" si="22">IF(X6=0,0,X6+Y7-Y6)</f>
        <v>0</v>
      </c>
      <c r="DA8" s="213" t="s">
        <v>978</v>
      </c>
    </row>
    <row r="9" spans="1:105" x14ac:dyDescent="0.25">
      <c r="A9" s="222" t="s">
        <v>116</v>
      </c>
      <c r="B9" s="223">
        <f>B6-B5</f>
        <v>0</v>
      </c>
      <c r="C9" s="223">
        <f t="shared" ref="C9:W9" si="23">C6-C5</f>
        <v>0</v>
      </c>
      <c r="D9" s="223">
        <f t="shared" si="23"/>
        <v>0</v>
      </c>
      <c r="E9" s="223">
        <f t="shared" si="23"/>
        <v>0</v>
      </c>
      <c r="F9" s="223">
        <f t="shared" si="23"/>
        <v>0</v>
      </c>
      <c r="G9" s="223">
        <f t="shared" si="23"/>
        <v>3.8238161175446663</v>
      </c>
      <c r="H9" s="223">
        <f t="shared" si="23"/>
        <v>25.521626783151881</v>
      </c>
      <c r="I9" s="223">
        <f t="shared" si="23"/>
        <v>12.700983901311886</v>
      </c>
      <c r="J9" s="223">
        <f t="shared" si="23"/>
        <v>15.107247594190625</v>
      </c>
      <c r="K9" s="223">
        <f t="shared" si="23"/>
        <v>27.125387015299054</v>
      </c>
      <c r="L9" s="223">
        <f t="shared" si="23"/>
        <v>5.4881729002741793</v>
      </c>
      <c r="M9" s="223">
        <f t="shared" si="23"/>
        <v>17.03549587628202</v>
      </c>
      <c r="N9" s="223">
        <f t="shared" si="23"/>
        <v>8.578125985917147</v>
      </c>
      <c r="O9" s="223">
        <f t="shared" si="23"/>
        <v>25.736811807163342</v>
      </c>
      <c r="P9" s="223">
        <f t="shared" si="23"/>
        <v>23.554045966757727</v>
      </c>
      <c r="Q9" s="223">
        <f t="shared" si="23"/>
        <v>33.368461591057738</v>
      </c>
      <c r="R9" s="223">
        <f t="shared" si="23"/>
        <v>25.409636965017462</v>
      </c>
      <c r="S9" s="223">
        <f t="shared" si="23"/>
        <v>10.070163516187179</v>
      </c>
      <c r="T9" s="223">
        <f t="shared" si="23"/>
        <v>7.9104421448509896</v>
      </c>
      <c r="U9" s="223">
        <f t="shared" si="23"/>
        <v>11.131504097624401</v>
      </c>
      <c r="V9" s="223">
        <f t="shared" si="23"/>
        <v>32.872642242401611</v>
      </c>
      <c r="W9" s="223">
        <f t="shared" si="23"/>
        <v>20.768029003011492</v>
      </c>
      <c r="X9" s="223">
        <f t="shared" ref="X9:Y9" si="24">X6-X5</f>
        <v>14.019098091849713</v>
      </c>
      <c r="Y9" s="223">
        <f t="shared" si="24"/>
        <v>50.956655666323087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0</v>
      </c>
      <c r="C12" s="229">
        <f t="shared" ref="C12:W12" si="25">SUM(C13,C14,C18,C19,C26,C27)</f>
        <v>0</v>
      </c>
      <c r="D12" s="229">
        <f t="shared" si="25"/>
        <v>0</v>
      </c>
      <c r="E12" s="229">
        <f t="shared" si="25"/>
        <v>0</v>
      </c>
      <c r="F12" s="229">
        <f t="shared" si="25"/>
        <v>0</v>
      </c>
      <c r="G12" s="229">
        <f t="shared" si="25"/>
        <v>8.216251074806534</v>
      </c>
      <c r="H12" s="229">
        <f t="shared" si="25"/>
        <v>5.1350816852966465</v>
      </c>
      <c r="I12" s="229">
        <f t="shared" si="25"/>
        <v>6.1621668099742042</v>
      </c>
      <c r="J12" s="229">
        <f t="shared" si="25"/>
        <v>6.1621668099742042</v>
      </c>
      <c r="K12" s="229">
        <f t="shared" si="25"/>
        <v>5.2210662080825454</v>
      </c>
      <c r="L12" s="229">
        <f t="shared" si="25"/>
        <v>8.1377472055030076</v>
      </c>
      <c r="M12" s="229">
        <f t="shared" si="25"/>
        <v>6.0091143594153049</v>
      </c>
      <c r="N12" s="229">
        <f t="shared" si="25"/>
        <v>7.1283748925193464</v>
      </c>
      <c r="O12" s="229">
        <f t="shared" si="25"/>
        <v>5.080309544282029</v>
      </c>
      <c r="P12" s="229">
        <f t="shared" si="25"/>
        <v>5.1709372312983666</v>
      </c>
      <c r="Q12" s="229">
        <f t="shared" si="25"/>
        <v>4.1374032674118659</v>
      </c>
      <c r="R12" s="229">
        <f t="shared" si="25"/>
        <v>5.141358555460017</v>
      </c>
      <c r="S12" s="229">
        <f t="shared" si="25"/>
        <v>6.4199484092863282</v>
      </c>
      <c r="T12" s="229">
        <f t="shared" si="25"/>
        <v>13.166466036113496</v>
      </c>
      <c r="U12" s="229">
        <f t="shared" si="25"/>
        <v>16.6487532244196</v>
      </c>
      <c r="V12" s="229">
        <f t="shared" si="25"/>
        <v>14.995184866723989</v>
      </c>
      <c r="W12" s="229">
        <f t="shared" si="25"/>
        <v>15.724333619948409</v>
      </c>
      <c r="X12" s="229">
        <f t="shared" ref="X12:Y12" si="26">SUM(X13,X14,X18,X19,X26,X27)</f>
        <v>20.93147033533964</v>
      </c>
      <c r="Y12" s="229">
        <f t="shared" si="26"/>
        <v>17.705674978503875</v>
      </c>
      <c r="DA12" s="210" t="s">
        <v>980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0</v>
      </c>
      <c r="C14" s="55">
        <f t="shared" ref="C14:W14" si="27">SUM(C15:C17)</f>
        <v>0</v>
      </c>
      <c r="D14" s="55">
        <f t="shared" si="27"/>
        <v>0</v>
      </c>
      <c r="E14" s="55">
        <f t="shared" si="27"/>
        <v>0</v>
      </c>
      <c r="F14" s="55">
        <f t="shared" si="27"/>
        <v>0</v>
      </c>
      <c r="G14" s="55">
        <f t="shared" si="27"/>
        <v>8.216251074806534</v>
      </c>
      <c r="H14" s="55">
        <f t="shared" si="27"/>
        <v>5.1350816852966465</v>
      </c>
      <c r="I14" s="55">
        <f t="shared" si="27"/>
        <v>6.1621668099742042</v>
      </c>
      <c r="J14" s="55">
        <f t="shared" si="27"/>
        <v>6.1621668099742042</v>
      </c>
      <c r="K14" s="55">
        <f t="shared" si="27"/>
        <v>5.1350816852966465</v>
      </c>
      <c r="L14" s="55">
        <f t="shared" si="27"/>
        <v>7.1892519346517618</v>
      </c>
      <c r="M14" s="55">
        <f t="shared" si="27"/>
        <v>5.1350816852966465</v>
      </c>
      <c r="N14" s="55">
        <f t="shared" si="27"/>
        <v>6.1621668099742042</v>
      </c>
      <c r="O14" s="55">
        <f t="shared" si="27"/>
        <v>4.1080825451418743</v>
      </c>
      <c r="P14" s="55">
        <f t="shared" si="27"/>
        <v>4.1080825451418743</v>
      </c>
      <c r="Q14" s="55">
        <f t="shared" si="27"/>
        <v>3.0810834049871021</v>
      </c>
      <c r="R14" s="55">
        <f t="shared" si="27"/>
        <v>4.1080825451418743</v>
      </c>
      <c r="S14" s="55">
        <f t="shared" si="27"/>
        <v>5.3357695614789336</v>
      </c>
      <c r="T14" s="55">
        <f t="shared" si="27"/>
        <v>11.377300085984521</v>
      </c>
      <c r="U14" s="55">
        <f t="shared" si="27"/>
        <v>14.872570937231297</v>
      </c>
      <c r="V14" s="55">
        <f t="shared" si="27"/>
        <v>12.985898538263113</v>
      </c>
      <c r="W14" s="55">
        <f t="shared" si="27"/>
        <v>13.876010318142733</v>
      </c>
      <c r="X14" s="55">
        <f t="shared" ref="X14:Y14" si="28">SUM(X15:X17)</f>
        <v>18.970335339638865</v>
      </c>
      <c r="Y14" s="55">
        <f t="shared" si="28"/>
        <v>15.803439380911438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5.1676698194325014E-2</v>
      </c>
      <c r="T15" s="55">
        <v>0.18125537403267411</v>
      </c>
      <c r="U15" s="55">
        <v>0.19226139294926911</v>
      </c>
      <c r="V15" s="55">
        <v>0.13955288048151329</v>
      </c>
      <c r="W15" s="55">
        <v>0.15055889939810829</v>
      </c>
      <c r="X15" s="55">
        <v>0.17798796216681001</v>
      </c>
      <c r="Y15" s="55">
        <v>0.18564058469475489</v>
      </c>
      <c r="DA15" s="10" t="s">
        <v>982</v>
      </c>
    </row>
    <row r="16" spans="1:105" x14ac:dyDescent="0.25">
      <c r="A16" s="61" t="s">
        <v>165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7.1892519346517618</v>
      </c>
      <c r="H16" s="55">
        <v>4.1080825451418743</v>
      </c>
      <c r="I16" s="55">
        <v>5.135167669819432</v>
      </c>
      <c r="J16" s="55">
        <v>5.135167669819432</v>
      </c>
      <c r="K16" s="55">
        <v>4.1080825451418743</v>
      </c>
      <c r="L16" s="55">
        <v>6.1622527944969896</v>
      </c>
      <c r="M16" s="55">
        <v>4.1080825451418743</v>
      </c>
      <c r="N16" s="55">
        <v>5.135167669819432</v>
      </c>
      <c r="O16" s="55">
        <v>3.0810834049871021</v>
      </c>
      <c r="P16" s="55">
        <v>3.0810834049871021</v>
      </c>
      <c r="Q16" s="55">
        <v>3.0810834049871021</v>
      </c>
      <c r="R16" s="55">
        <v>3.0810834049871021</v>
      </c>
      <c r="S16" s="55">
        <v>4.4891659501289762</v>
      </c>
      <c r="T16" s="55">
        <v>10.245743766122096</v>
      </c>
      <c r="U16" s="55">
        <v>13.712037833190024</v>
      </c>
      <c r="V16" s="55">
        <v>11.936199484092864</v>
      </c>
      <c r="W16" s="55">
        <v>12.761994840928631</v>
      </c>
      <c r="X16" s="55">
        <v>17.849871023215822</v>
      </c>
      <c r="Y16" s="55">
        <v>14.707136715391233</v>
      </c>
      <c r="DA16" s="10" t="s">
        <v>983</v>
      </c>
    </row>
    <row r="17" spans="1:105" x14ac:dyDescent="0.25">
      <c r="A17" s="61" t="s">
        <v>113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1.026999140154772</v>
      </c>
      <c r="H17" s="55">
        <v>1.026999140154772</v>
      </c>
      <c r="I17" s="55">
        <v>1.026999140154772</v>
      </c>
      <c r="J17" s="55">
        <v>1.026999140154772</v>
      </c>
      <c r="K17" s="55">
        <v>1.026999140154772</v>
      </c>
      <c r="L17" s="55">
        <v>1.026999140154772</v>
      </c>
      <c r="M17" s="55">
        <v>1.026999140154772</v>
      </c>
      <c r="N17" s="55">
        <v>1.026999140154772</v>
      </c>
      <c r="O17" s="55">
        <v>1.026999140154772</v>
      </c>
      <c r="P17" s="55">
        <v>1.026999140154772</v>
      </c>
      <c r="Q17" s="55">
        <v>0</v>
      </c>
      <c r="R17" s="55">
        <v>1.026999140154772</v>
      </c>
      <c r="S17" s="55">
        <v>0.79492691315563191</v>
      </c>
      <c r="T17" s="55">
        <v>0.95030094582975055</v>
      </c>
      <c r="U17" s="55">
        <v>0.96827171109200338</v>
      </c>
      <c r="V17" s="55">
        <v>0.91014617368873596</v>
      </c>
      <c r="W17" s="55">
        <v>0.96345657781599292</v>
      </c>
      <c r="X17" s="55">
        <v>0.94247635425623377</v>
      </c>
      <c r="Y17" s="55">
        <v>0.91066208082545119</v>
      </c>
      <c r="DA17" s="10" t="s">
        <v>984</v>
      </c>
    </row>
    <row r="18" spans="1:105" x14ac:dyDescent="0.25">
      <c r="A18" s="60" t="s">
        <v>149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" t="s">
        <v>985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9">SUM(C20:C25)</f>
        <v>0</v>
      </c>
      <c r="D19" s="55">
        <f t="shared" si="29"/>
        <v>0</v>
      </c>
      <c r="E19" s="55">
        <f t="shared" si="29"/>
        <v>0</v>
      </c>
      <c r="F19" s="55">
        <f t="shared" si="29"/>
        <v>0</v>
      </c>
      <c r="G19" s="55">
        <f t="shared" si="29"/>
        <v>0</v>
      </c>
      <c r="H19" s="55">
        <f t="shared" si="29"/>
        <v>0</v>
      </c>
      <c r="I19" s="55">
        <f t="shared" si="29"/>
        <v>0</v>
      </c>
      <c r="J19" s="55">
        <f t="shared" si="29"/>
        <v>0</v>
      </c>
      <c r="K19" s="55">
        <f t="shared" si="29"/>
        <v>0</v>
      </c>
      <c r="L19" s="55">
        <f t="shared" si="29"/>
        <v>2.665520206362855E-3</v>
      </c>
      <c r="M19" s="55">
        <f t="shared" si="29"/>
        <v>1.4187446259673258E-2</v>
      </c>
      <c r="N19" s="55">
        <f t="shared" si="29"/>
        <v>2.0378331900257955E-2</v>
      </c>
      <c r="O19" s="55">
        <f t="shared" si="29"/>
        <v>2.6397248495270854E-2</v>
      </c>
      <c r="P19" s="55">
        <f t="shared" si="29"/>
        <v>3.1040412725709374E-2</v>
      </c>
      <c r="Q19" s="55">
        <f t="shared" si="29"/>
        <v>2.4505588993981083E-2</v>
      </c>
      <c r="R19" s="55">
        <f t="shared" si="29"/>
        <v>0</v>
      </c>
      <c r="S19" s="55">
        <f t="shared" si="29"/>
        <v>0</v>
      </c>
      <c r="T19" s="55">
        <f t="shared" si="29"/>
        <v>0.38710232158211522</v>
      </c>
      <c r="U19" s="55">
        <f t="shared" si="29"/>
        <v>0.41203783319002568</v>
      </c>
      <c r="V19" s="55">
        <f t="shared" si="29"/>
        <v>0.54600171969045563</v>
      </c>
      <c r="W19" s="55">
        <f t="shared" si="29"/>
        <v>0.41401547721410148</v>
      </c>
      <c r="X19" s="55">
        <f t="shared" ref="X19:Y19" si="30">SUM(X20:X25)</f>
        <v>0.48796216680997417</v>
      </c>
      <c r="Y19" s="55">
        <f t="shared" si="30"/>
        <v>0.51435941530524509</v>
      </c>
      <c r="DA19" s="10"/>
    </row>
    <row r="20" spans="1:105" x14ac:dyDescent="0.25">
      <c r="A20" s="61" t="s">
        <v>164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2.665520206362855E-3</v>
      </c>
      <c r="M22" s="55">
        <v>1.4187446259673258E-2</v>
      </c>
      <c r="N22" s="55">
        <v>2.0378331900257955E-2</v>
      </c>
      <c r="O22" s="55">
        <v>2.6397248495270854E-2</v>
      </c>
      <c r="P22" s="55">
        <v>3.1040412725709374E-2</v>
      </c>
      <c r="Q22" s="55">
        <v>2.4505588993981083E-2</v>
      </c>
      <c r="R22" s="55">
        <v>0</v>
      </c>
      <c r="S22" s="55">
        <v>0</v>
      </c>
      <c r="T22" s="55">
        <v>0.38710232158211522</v>
      </c>
      <c r="U22" s="55">
        <v>0.41203783319002568</v>
      </c>
      <c r="V22" s="55">
        <v>0.54600171969045563</v>
      </c>
      <c r="W22" s="55">
        <v>0.41401547721410148</v>
      </c>
      <c r="X22" s="55">
        <v>0.48796216680997417</v>
      </c>
      <c r="Y22" s="55">
        <v>0.51435941530524509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 s="55">
        <v>0</v>
      </c>
      <c r="Y26" s="55">
        <v>0</v>
      </c>
      <c r="DA26" s="10" t="s">
        <v>992</v>
      </c>
    </row>
    <row r="27" spans="1:105" x14ac:dyDescent="0.25">
      <c r="A27" s="62" t="s">
        <v>24</v>
      </c>
      <c r="B27" s="63">
        <v>0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8.5984522785898534E-2</v>
      </c>
      <c r="L27" s="63">
        <v>0.94582975064488384</v>
      </c>
      <c r="M27" s="63">
        <v>0.85984522785898532</v>
      </c>
      <c r="N27" s="63">
        <v>0.94582975064488384</v>
      </c>
      <c r="O27" s="63">
        <v>0.94582975064488384</v>
      </c>
      <c r="P27" s="63">
        <v>1.0318142734307825</v>
      </c>
      <c r="Q27" s="63">
        <v>1.0318142734307825</v>
      </c>
      <c r="R27" s="63">
        <v>1.0332760103181426</v>
      </c>
      <c r="S27" s="63">
        <v>1.0841788478073946</v>
      </c>
      <c r="T27" s="63">
        <v>1.4020636285468611</v>
      </c>
      <c r="U27" s="63">
        <v>1.3641444539982801</v>
      </c>
      <c r="V27" s="63">
        <v>1.4632846087704214</v>
      </c>
      <c r="W27" s="63">
        <v>1.4343078245915735</v>
      </c>
      <c r="X27" s="63">
        <v>1.4731728288907993</v>
      </c>
      <c r="Y27" s="63">
        <v>1.3878761822871888</v>
      </c>
      <c r="DA27" s="11" t="s">
        <v>993</v>
      </c>
    </row>
    <row r="29" spans="1:105" x14ac:dyDescent="0.25">
      <c r="A29" s="218" t="s">
        <v>84</v>
      </c>
      <c r="B29" s="219">
        <v>0</v>
      </c>
      <c r="C29" s="219">
        <v>0</v>
      </c>
      <c r="D29" s="219">
        <v>0</v>
      </c>
      <c r="E29" s="219">
        <v>0</v>
      </c>
      <c r="F29" s="219">
        <v>0</v>
      </c>
      <c r="G29" s="219">
        <v>25.283859479999997</v>
      </c>
      <c r="H29" s="219">
        <v>15.72478164</v>
      </c>
      <c r="I29" s="219">
        <v>18.911229839999997</v>
      </c>
      <c r="J29" s="219">
        <v>18.911229839999997</v>
      </c>
      <c r="K29" s="219">
        <v>15.72478164</v>
      </c>
      <c r="L29" s="219">
        <v>22.097678039999998</v>
      </c>
      <c r="M29" s="219">
        <v>15.72478164</v>
      </c>
      <c r="N29" s="219">
        <v>18.911229839999997</v>
      </c>
      <c r="O29" s="219">
        <v>12.538600199999999</v>
      </c>
      <c r="P29" s="219">
        <v>12.538600199999999</v>
      </c>
      <c r="Q29" s="219">
        <v>9.5588110799999999</v>
      </c>
      <c r="R29" s="219">
        <v>12.538600199999999</v>
      </c>
      <c r="S29" s="219">
        <v>16.410809159999999</v>
      </c>
      <c r="T29" s="219">
        <v>35.093396519999999</v>
      </c>
      <c r="U29" s="219">
        <v>45.929408759999994</v>
      </c>
      <c r="V29" s="219">
        <v>40.159164960000005</v>
      </c>
      <c r="W29" s="219">
        <v>42.91524072</v>
      </c>
      <c r="X29" s="219">
        <v>58.676016960000013</v>
      </c>
      <c r="Y29" s="219">
        <v>48.846259440000011</v>
      </c>
      <c r="DA29" s="8"/>
    </row>
    <row r="31" spans="1:105" x14ac:dyDescent="0.25">
      <c r="A31" s="33" t="s">
        <v>183</v>
      </c>
      <c r="B31" s="59" t="str">
        <f t="shared" ref="B31:Y31" si="31">IF(B$12=0,"",B$12/B$3*1000)</f>
        <v/>
      </c>
      <c r="C31" s="59" t="str">
        <f t="shared" si="31"/>
        <v/>
      </c>
      <c r="D31" s="59" t="str">
        <f t="shared" si="31"/>
        <v/>
      </c>
      <c r="E31" s="59" t="str">
        <f t="shared" si="31"/>
        <v/>
      </c>
      <c r="F31" s="59" t="str">
        <f t="shared" si="31"/>
        <v/>
      </c>
      <c r="G31" s="59">
        <f t="shared" si="31"/>
        <v>54.809589555139503</v>
      </c>
      <c r="H31" s="59">
        <f t="shared" si="31"/>
        <v>32.879995479174674</v>
      </c>
      <c r="I31" s="59">
        <f t="shared" si="31"/>
        <v>38.773315576393195</v>
      </c>
      <c r="J31" s="59">
        <f t="shared" si="31"/>
        <v>60.89474845215377</v>
      </c>
      <c r="K31" s="59">
        <f t="shared" si="31"/>
        <v>41.222973345245371</v>
      </c>
      <c r="L31" s="59">
        <f t="shared" si="31"/>
        <v>63.961044296366303</v>
      </c>
      <c r="M31" s="59">
        <f t="shared" si="31"/>
        <v>55.272520189173633</v>
      </c>
      <c r="N31" s="59">
        <f t="shared" si="31"/>
        <v>62.877399707576913</v>
      </c>
      <c r="O31" s="59">
        <f t="shared" si="31"/>
        <v>44.739922513973433</v>
      </c>
      <c r="P31" s="59">
        <f t="shared" si="31"/>
        <v>42.410782053814501</v>
      </c>
      <c r="Q31" s="59">
        <f t="shared" si="31"/>
        <v>33.353250901988645</v>
      </c>
      <c r="R31" s="59">
        <f t="shared" si="31"/>
        <v>37.027175427162177</v>
      </c>
      <c r="S31" s="59">
        <f t="shared" si="31"/>
        <v>61.447993222895661</v>
      </c>
      <c r="T31" s="59">
        <f t="shared" si="31"/>
        <v>126.92797568208195</v>
      </c>
      <c r="U31" s="59">
        <f t="shared" si="31"/>
        <v>204.12274512595943</v>
      </c>
      <c r="V31" s="59">
        <f t="shared" si="31"/>
        <v>115.14016597823532</v>
      </c>
      <c r="W31" s="59">
        <f t="shared" si="31"/>
        <v>95.660806712842572</v>
      </c>
      <c r="X31" s="59">
        <f t="shared" si="31"/>
        <v>129.96210721340898</v>
      </c>
      <c r="Y31" s="59">
        <f t="shared" si="31"/>
        <v>1580.8638373664176</v>
      </c>
      <c r="DA31" s="211"/>
    </row>
    <row r="32" spans="1:105" x14ac:dyDescent="0.25">
      <c r="A32" s="35" t="s">
        <v>112</v>
      </c>
      <c r="B32" s="55" t="str">
        <f t="shared" ref="B32:Y32" si="32">IF(B$12=0,"",B$12/B$5*1000)</f>
        <v/>
      </c>
      <c r="C32" s="55" t="str">
        <f t="shared" si="32"/>
        <v/>
      </c>
      <c r="D32" s="55" t="str">
        <f t="shared" si="32"/>
        <v/>
      </c>
      <c r="E32" s="55" t="str">
        <f t="shared" si="32"/>
        <v/>
      </c>
      <c r="F32" s="55" t="str">
        <f t="shared" si="32"/>
        <v/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117.81469406104159</v>
      </c>
      <c r="J32" s="55">
        <f t="shared" si="32"/>
        <v>123.49619118298854</v>
      </c>
      <c r="K32" s="55">
        <f t="shared" si="32"/>
        <v>137.83360398812144</v>
      </c>
      <c r="L32" s="55">
        <f t="shared" si="32"/>
        <v>128.47617233393538</v>
      </c>
      <c r="M32" s="55">
        <f t="shared" si="32"/>
        <v>116.0213122138336</v>
      </c>
      <c r="N32" s="55">
        <f t="shared" si="32"/>
        <v>118.31216844961241</v>
      </c>
      <c r="O32" s="55">
        <f t="shared" si="32"/>
        <v>117.89482713876833</v>
      </c>
      <c r="P32" s="55">
        <f t="shared" si="32"/>
        <v>114.21265320772922</v>
      </c>
      <c r="Q32" s="55">
        <f t="shared" si="32"/>
        <v>116.67728719019793</v>
      </c>
      <c r="R32" s="55">
        <f t="shared" si="32"/>
        <v>118.41249825520167</v>
      </c>
      <c r="S32" s="55">
        <f t="shared" si="32"/>
        <v>109.25986032686184</v>
      </c>
      <c r="T32" s="55">
        <f t="shared" si="32"/>
        <v>115.03952384499108</v>
      </c>
      <c r="U32" s="55">
        <f t="shared" si="32"/>
        <v>114.31053707016737</v>
      </c>
      <c r="V32" s="55">
        <f t="shared" si="32"/>
        <v>121.02278233994656</v>
      </c>
      <c r="W32" s="55">
        <f t="shared" si="32"/>
        <v>115.61293230102243</v>
      </c>
      <c r="X32" s="55">
        <f t="shared" si="32"/>
        <v>98.926512660278462</v>
      </c>
      <c r="Y32" s="55">
        <f t="shared" si="32"/>
        <v>101.37891512464499</v>
      </c>
      <c r="DA32" s="216"/>
    </row>
    <row r="33" spans="1:105" x14ac:dyDescent="0.25">
      <c r="A33" s="35" t="s">
        <v>111</v>
      </c>
      <c r="B33" s="55" t="str">
        <f>IF(AGR_ued!B$5=0,"",AGR_ued!B$5/B$5*1000)</f>
        <v/>
      </c>
      <c r="C33" s="55" t="str">
        <f>IF(AGR_ued!C$5=0,"",AGR_ued!C$5/C$5*1000)</f>
        <v/>
      </c>
      <c r="D33" s="55" t="str">
        <f>IF(AGR_ued!D$5=0,"",AGR_ued!D$5/D$5*1000)</f>
        <v/>
      </c>
      <c r="E33" s="55" t="str">
        <f>IF(AGR_ued!E$5=0,"",AGR_ued!E$5/E$5*1000)</f>
        <v/>
      </c>
      <c r="F33" s="55" t="str">
        <f>IF(AGR_ued!F$5=0,"",AGR_ued!F$5/F$5*1000)</f>
        <v/>
      </c>
      <c r="G33" s="55">
        <f>IF(AGR_ued!G$5=0,"",AGR_ued!G$5/G$5*1000)</f>
        <v>50.597414972253922</v>
      </c>
      <c r="H33" s="55">
        <f>IF(AGR_ued!H$5=0,"",AGR_ued!H$5/H$5*1000)</f>
        <v>48.405288851132518</v>
      </c>
      <c r="I33" s="55">
        <f>IF(AGR_ued!I$5=0,"",AGR_ued!I$5/I$5*1000)</f>
        <v>44.096798111760563</v>
      </c>
      <c r="J33" s="55">
        <f>IF(AGR_ued!J$5=0,"",AGR_ued!J$5/J$5*1000)</f>
        <v>46.223322596297585</v>
      </c>
      <c r="K33" s="55">
        <f>IF(AGR_ued!K$5=0,"",AGR_ued!K$5/K$5*1000)</f>
        <v>51.598469856965998</v>
      </c>
      <c r="L33" s="55">
        <f>IF(AGR_ued!L$5=0,"",AGR_ued!L$5/L$5*1000)</f>
        <v>50.594079646734386</v>
      </c>
      <c r="M33" s="55">
        <f>IF(AGR_ued!M$5=0,"",AGR_ued!M$5/M$5*1000)</f>
        <v>46.019551995541754</v>
      </c>
      <c r="N33" s="55">
        <f>IF(AGR_ued!N$5=0,"",AGR_ued!N$5/N$5*1000)</f>
        <v>46.855816124469541</v>
      </c>
      <c r="O33" s="55">
        <f>IF(AGR_ued!O$5=0,"",AGR_ued!O$5/O$5*1000)</f>
        <v>47.725057776411788</v>
      </c>
      <c r="P33" s="55">
        <f>IF(AGR_ued!P$5=0,"",AGR_ued!P$5/P$5*1000)</f>
        <v>46.645602496986911</v>
      </c>
      <c r="Q33" s="55">
        <f>IF(AGR_ued!Q$5=0,"",AGR_ued!Q$5/Q$5*1000)</f>
        <v>50.309928975101286</v>
      </c>
      <c r="R33" s="55">
        <f>IF(AGR_ued!R$5=0,"",AGR_ued!R$5/R$5*1000)</f>
        <v>48.396688195552713</v>
      </c>
      <c r="S33" s="55">
        <f>IF(AGR_ued!S$5=0,"",AGR_ued!S$5/S$5*1000)</f>
        <v>44.241861161012245</v>
      </c>
      <c r="T33" s="55">
        <f>IF(AGR_ued!T$5=0,"",AGR_ued!T$5/T$5*1000)</f>
        <v>45.403419701353755</v>
      </c>
      <c r="U33" s="55">
        <f>IF(AGR_ued!U$5=0,"",AGR_ued!U$5/U$5*1000)</f>
        <v>44.72969843537976</v>
      </c>
      <c r="V33" s="55">
        <f>IF(AGR_ued!V$5=0,"",AGR_ued!V$5/V$5*1000)</f>
        <v>47.660261513880307</v>
      </c>
      <c r="W33" s="55">
        <f>IF(AGR_ued!W$5=0,"",AGR_ued!W$5/W$5*1000)</f>
        <v>45.400448591496456</v>
      </c>
      <c r="X33" s="55">
        <f>IF(AGR_ued!X$5=0,"",AGR_ued!X$5/X$5*1000)</f>
        <v>38.607252813733986</v>
      </c>
      <c r="Y33" s="55">
        <f>IF(AGR_ued!Y$5=0,"",AGR_ued!Y$5/Y$5*1000)</f>
        <v>39.651014404985858</v>
      </c>
      <c r="DA33" s="216"/>
    </row>
    <row r="34" spans="1:105" x14ac:dyDescent="0.25">
      <c r="A34" s="37" t="s">
        <v>110</v>
      </c>
      <c r="B34" s="217" t="str">
        <f t="shared" ref="B34:Y34" si="33">IF(B$12=0,"",B$29/B$12)</f>
        <v/>
      </c>
      <c r="C34" s="217" t="str">
        <f t="shared" si="33"/>
        <v/>
      </c>
      <c r="D34" s="217" t="str">
        <f t="shared" si="33"/>
        <v/>
      </c>
      <c r="E34" s="217" t="str">
        <f t="shared" si="33"/>
        <v/>
      </c>
      <c r="F34" s="217" t="str">
        <f t="shared" si="33"/>
        <v/>
      </c>
      <c r="G34" s="217">
        <f t="shared" si="33"/>
        <v>3.0772987886808645</v>
      </c>
      <c r="H34" s="217">
        <f t="shared" si="33"/>
        <v>3.0622261930175316</v>
      </c>
      <c r="I34" s="217">
        <f t="shared" si="33"/>
        <v>3.0689253347361367</v>
      </c>
      <c r="J34" s="217">
        <f t="shared" si="33"/>
        <v>3.0689253347361367</v>
      </c>
      <c r="K34" s="217">
        <f t="shared" si="33"/>
        <v>3.0117951033942125</v>
      </c>
      <c r="L34" s="217">
        <f t="shared" si="33"/>
        <v>2.7154539803174069</v>
      </c>
      <c r="M34" s="217">
        <f t="shared" si="33"/>
        <v>2.6168218308845836</v>
      </c>
      <c r="N34" s="217">
        <f t="shared" si="33"/>
        <v>2.6529510758259649</v>
      </c>
      <c r="O34" s="217">
        <f t="shared" si="33"/>
        <v>2.4680779961749373</v>
      </c>
      <c r="P34" s="217">
        <f t="shared" si="33"/>
        <v>2.424821582460341</v>
      </c>
      <c r="Q34" s="217">
        <f t="shared" si="33"/>
        <v>2.3103406804189701</v>
      </c>
      <c r="R34" s="217">
        <f t="shared" si="33"/>
        <v>2.4387717885741043</v>
      </c>
      <c r="S34" s="217">
        <f t="shared" si="33"/>
        <v>2.5562213453712634</v>
      </c>
      <c r="T34" s="217">
        <f t="shared" si="33"/>
        <v>2.6653618688374285</v>
      </c>
      <c r="U34" s="217">
        <f t="shared" si="33"/>
        <v>2.7587296262300844</v>
      </c>
      <c r="V34" s="217">
        <f t="shared" si="33"/>
        <v>2.6781373698911666</v>
      </c>
      <c r="W34" s="217">
        <f t="shared" si="33"/>
        <v>2.7292247644476526</v>
      </c>
      <c r="X34" s="217">
        <f t="shared" si="33"/>
        <v>2.8032439202770378</v>
      </c>
      <c r="Y34" s="217">
        <f t="shared" si="33"/>
        <v>2.7587911502556852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0</v>
      </c>
      <c r="C5" s="80">
        <f t="shared" ref="C5:W5" si="1">SUM(C6:C9,C16:C17,C25:C27)</f>
        <v>0</v>
      </c>
      <c r="D5" s="80">
        <f t="shared" si="1"/>
        <v>0</v>
      </c>
      <c r="E5" s="80">
        <f t="shared" si="1"/>
        <v>0</v>
      </c>
      <c r="F5" s="80">
        <f t="shared" si="1"/>
        <v>0</v>
      </c>
      <c r="G5" s="80">
        <f t="shared" si="1"/>
        <v>8.216251074806534</v>
      </c>
      <c r="H5" s="80">
        <f t="shared" si="1"/>
        <v>5.1350816852966448</v>
      </c>
      <c r="I5" s="80">
        <f t="shared" si="1"/>
        <v>6.1621668099742042</v>
      </c>
      <c r="J5" s="80">
        <f t="shared" si="1"/>
        <v>6.1621668099742042</v>
      </c>
      <c r="K5" s="80">
        <f t="shared" si="1"/>
        <v>5.2210662080825454</v>
      </c>
      <c r="L5" s="80">
        <f t="shared" si="1"/>
        <v>8.1377472055030093</v>
      </c>
      <c r="M5" s="80">
        <f t="shared" si="1"/>
        <v>6.0091143594153031</v>
      </c>
      <c r="N5" s="80">
        <f t="shared" si="1"/>
        <v>7.1283748925193446</v>
      </c>
      <c r="O5" s="80">
        <f t="shared" si="1"/>
        <v>5.0803095442820281</v>
      </c>
      <c r="P5" s="80">
        <f t="shared" si="1"/>
        <v>5.1709372312983648</v>
      </c>
      <c r="Q5" s="80">
        <f t="shared" si="1"/>
        <v>4.1374032674118641</v>
      </c>
      <c r="R5" s="80">
        <f t="shared" si="1"/>
        <v>5.1413585554600152</v>
      </c>
      <c r="S5" s="80">
        <f t="shared" si="1"/>
        <v>6.419948409286329</v>
      </c>
      <c r="T5" s="80">
        <f t="shared" si="1"/>
        <v>13.166466036113496</v>
      </c>
      <c r="U5" s="80">
        <f t="shared" si="1"/>
        <v>16.648753224419597</v>
      </c>
      <c r="V5" s="80">
        <f t="shared" si="1"/>
        <v>14.995184866723985</v>
      </c>
      <c r="W5" s="80">
        <f t="shared" si="1"/>
        <v>15.724333619948407</v>
      </c>
      <c r="X5" s="80">
        <f t="shared" ref="X5:Y5" si="2">SUM(X6:X9,X16:X17,X25:X27)</f>
        <v>20.93147033533964</v>
      </c>
      <c r="Y5" s="80">
        <f t="shared" si="2"/>
        <v>17.705674978503865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1.7146992055697152E-2</v>
      </c>
      <c r="L6" s="239">
        <v>0.16759273268278391</v>
      </c>
      <c r="M6" s="239">
        <v>0.1432908179598785</v>
      </c>
      <c r="N6" s="239">
        <v>0.16190926984403251</v>
      </c>
      <c r="O6" s="239">
        <v>0.14284386737125351</v>
      </c>
      <c r="P6" s="239">
        <v>0.1518331786322365</v>
      </c>
      <c r="Q6" s="239">
        <v>0.14754476831632579</v>
      </c>
      <c r="R6" s="239">
        <v>0.15154784691803219</v>
      </c>
      <c r="S6" s="239">
        <v>0.1732534585716495</v>
      </c>
      <c r="T6" s="239">
        <v>0.25420193230345922</v>
      </c>
      <c r="U6" s="239">
        <v>0.257243231818435</v>
      </c>
      <c r="V6" s="239">
        <v>0.26965500269924042</v>
      </c>
      <c r="W6" s="239">
        <v>0.26687119291626688</v>
      </c>
      <c r="X6" s="239">
        <v>0.28227151812657691</v>
      </c>
      <c r="Y6" s="239">
        <v>0.26312803538883561</v>
      </c>
      <c r="DA6" s="267" t="s">
        <v>995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1.114554483620314E-2</v>
      </c>
      <c r="L7" s="241">
        <v>0.1089352762438095</v>
      </c>
      <c r="M7" s="241">
        <v>9.3139031673920999E-2</v>
      </c>
      <c r="N7" s="241">
        <v>0.105241025398621</v>
      </c>
      <c r="O7" s="241">
        <v>9.2848513791314743E-2</v>
      </c>
      <c r="P7" s="241">
        <v>9.8691566110953713E-2</v>
      </c>
      <c r="Q7" s="241">
        <v>9.5904099405611745E-2</v>
      </c>
      <c r="R7" s="241">
        <v>9.8506100496720941E-2</v>
      </c>
      <c r="S7" s="241">
        <v>0.11261474807157219</v>
      </c>
      <c r="T7" s="241">
        <v>0.16523125599724839</v>
      </c>
      <c r="U7" s="241">
        <v>0.16720810068198269</v>
      </c>
      <c r="V7" s="241">
        <v>0.17527575175450619</v>
      </c>
      <c r="W7" s="241">
        <v>0.17346627539557349</v>
      </c>
      <c r="X7" s="241">
        <v>0.18347648678227491</v>
      </c>
      <c r="Y7" s="241">
        <v>0.1710332230027431</v>
      </c>
      <c r="DA7" s="268" t="s">
        <v>996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1.5432292850127439E-2</v>
      </c>
      <c r="L8" s="241">
        <v>0.15083345941450549</v>
      </c>
      <c r="M8" s="241">
        <v>0.12896173616389059</v>
      </c>
      <c r="N8" s="241">
        <v>0.1457183428596292</v>
      </c>
      <c r="O8" s="241">
        <v>0.12855948063412809</v>
      </c>
      <c r="P8" s="241">
        <v>0.13664986076901281</v>
      </c>
      <c r="Q8" s="241">
        <v>0.13279029148469321</v>
      </c>
      <c r="R8" s="241">
        <v>0.13639306222622899</v>
      </c>
      <c r="S8" s="241">
        <v>0.15592811271448451</v>
      </c>
      <c r="T8" s="241">
        <v>0.22878173907311319</v>
      </c>
      <c r="U8" s="241">
        <v>0.2315189086365915</v>
      </c>
      <c r="V8" s="241">
        <v>0.24268950242931631</v>
      </c>
      <c r="W8" s="241">
        <v>0.24018407362464031</v>
      </c>
      <c r="X8" s="241">
        <v>0.25404436631391908</v>
      </c>
      <c r="Y8" s="241">
        <v>0.23681523184995201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0</v>
      </c>
      <c r="C9" s="243">
        <f t="shared" ref="C9:W9" si="4">SUM(C10:C15)</f>
        <v>0</v>
      </c>
      <c r="D9" s="243">
        <f t="shared" si="4"/>
        <v>0</v>
      </c>
      <c r="E9" s="243">
        <f t="shared" si="4"/>
        <v>0</v>
      </c>
      <c r="F9" s="243">
        <f t="shared" si="4"/>
        <v>0</v>
      </c>
      <c r="G9" s="243">
        <f t="shared" si="4"/>
        <v>1.805758007685198</v>
      </c>
      <c r="H9" s="243">
        <f t="shared" si="4"/>
        <v>1.090717953461859</v>
      </c>
      <c r="I9" s="243">
        <f t="shared" si="4"/>
        <v>1.3300694528266961</v>
      </c>
      <c r="J9" s="243">
        <f t="shared" si="4"/>
        <v>1.3300694528266961</v>
      </c>
      <c r="K9" s="243">
        <f t="shared" si="4"/>
        <v>1.0823518201751301</v>
      </c>
      <c r="L9" s="243">
        <f t="shared" si="4"/>
        <v>1.5520694200591334</v>
      </c>
      <c r="M9" s="243">
        <f t="shared" si="4"/>
        <v>1.1074113119150852</v>
      </c>
      <c r="N9" s="243">
        <f t="shared" si="4"/>
        <v>1.3362068325344842</v>
      </c>
      <c r="O9" s="243">
        <f t="shared" si="4"/>
        <v>0.92120492397705944</v>
      </c>
      <c r="P9" s="243">
        <f t="shared" si="4"/>
        <v>0.94342362058337237</v>
      </c>
      <c r="Q9" s="243">
        <f t="shared" si="4"/>
        <v>0.82723412378457506</v>
      </c>
      <c r="R9" s="243">
        <f t="shared" si="4"/>
        <v>0.93804163479476843</v>
      </c>
      <c r="S9" s="243">
        <f t="shared" si="4"/>
        <v>1.2007611027316218</v>
      </c>
      <c r="T9" s="243">
        <f t="shared" si="4"/>
        <v>2.5740704898204227</v>
      </c>
      <c r="U9" s="243">
        <f t="shared" si="4"/>
        <v>3.351503015685803</v>
      </c>
      <c r="V9" s="243">
        <f t="shared" si="4"/>
        <v>2.9728025766285699</v>
      </c>
      <c r="W9" s="243">
        <f t="shared" si="4"/>
        <v>3.1346079659582475</v>
      </c>
      <c r="X9" s="243">
        <f t="shared" ref="X9:Y9" si="5">SUM(X10:X15)</f>
        <v>4.2951047964318345</v>
      </c>
      <c r="Y9" s="243">
        <f t="shared" si="5"/>
        <v>3.5889387866934159</v>
      </c>
      <c r="DA9" s="269"/>
    </row>
    <row r="10" spans="1:105" x14ac:dyDescent="0.25">
      <c r="A10" s="253" t="s">
        <v>166</v>
      </c>
      <c r="B10" s="254">
        <v>0</v>
      </c>
      <c r="C10" s="254">
        <v>0</v>
      </c>
      <c r="D10" s="254">
        <v>0</v>
      </c>
      <c r="E10" s="254">
        <v>0</v>
      </c>
      <c r="F10" s="254">
        <v>0</v>
      </c>
      <c r="G10" s="254">
        <v>1.805758007685198</v>
      </c>
      <c r="H10" s="254">
        <v>1.090717953461859</v>
      </c>
      <c r="I10" s="254">
        <v>1.3300694528266961</v>
      </c>
      <c r="J10" s="254">
        <v>1.3300694528266961</v>
      </c>
      <c r="K10" s="254">
        <v>1.082102257068585</v>
      </c>
      <c r="L10" s="254">
        <v>1.4442033320052581</v>
      </c>
      <c r="M10" s="254">
        <v>0.96402017314291244</v>
      </c>
      <c r="N10" s="254">
        <v>1.1999234304574551</v>
      </c>
      <c r="O10" s="254">
        <v>0.68959450973266256</v>
      </c>
      <c r="P10" s="254">
        <v>0.67077523982701048</v>
      </c>
      <c r="Q10" s="254">
        <v>0.53314369253570271</v>
      </c>
      <c r="R10" s="254">
        <v>0.66250485862654673</v>
      </c>
      <c r="S10" s="254">
        <v>0.98284954733740992</v>
      </c>
      <c r="T10" s="254">
        <v>2.4430165222910292</v>
      </c>
      <c r="U10" s="254">
        <v>3.2735747202961289</v>
      </c>
      <c r="V10" s="254">
        <v>2.8577929804090791</v>
      </c>
      <c r="W10" s="254">
        <v>3.0346561053218819</v>
      </c>
      <c r="X10" s="254">
        <v>4.2332895576831486</v>
      </c>
      <c r="Y10" s="254">
        <v>3.5167027807369471</v>
      </c>
      <c r="DA10" s="270" t="s">
        <v>998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0</v>
      </c>
      <c r="J11" s="255">
        <v>0</v>
      </c>
      <c r="K11" s="255">
        <v>0</v>
      </c>
      <c r="L11" s="255">
        <v>0</v>
      </c>
      <c r="M11" s="255">
        <v>0</v>
      </c>
      <c r="N11" s="255">
        <v>0</v>
      </c>
      <c r="O11" s="255">
        <v>0</v>
      </c>
      <c r="P11" s="255">
        <v>0</v>
      </c>
      <c r="Q11" s="255">
        <v>0</v>
      </c>
      <c r="R11" s="255">
        <v>0</v>
      </c>
      <c r="S11" s="255">
        <v>0</v>
      </c>
      <c r="T11" s="255">
        <v>0</v>
      </c>
      <c r="U11" s="255">
        <v>0</v>
      </c>
      <c r="V11" s="255">
        <v>0</v>
      </c>
      <c r="W11" s="255">
        <v>0</v>
      </c>
      <c r="X11" s="255">
        <v>0</v>
      </c>
      <c r="Y11" s="255">
        <v>0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1002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2.4956310654520512E-4</v>
      </c>
      <c r="L15" s="255">
        <v>0.10786608805387531</v>
      </c>
      <c r="M15" s="255">
        <v>0.14339113877217269</v>
      </c>
      <c r="N15" s="255">
        <v>0.13628340207702919</v>
      </c>
      <c r="O15" s="255">
        <v>0.23161041424439691</v>
      </c>
      <c r="P15" s="255">
        <v>0.27264838075636189</v>
      </c>
      <c r="Q15" s="255">
        <v>0.29409043124887241</v>
      </c>
      <c r="R15" s="255">
        <v>0.2755367761682217</v>
      </c>
      <c r="S15" s="255">
        <v>0.21791155539421189</v>
      </c>
      <c r="T15" s="255">
        <v>0.13105396752939369</v>
      </c>
      <c r="U15" s="255">
        <v>7.7928295389674176E-2</v>
      </c>
      <c r="V15" s="255">
        <v>0.1150095962194907</v>
      </c>
      <c r="W15" s="255">
        <v>9.9951860636365769E-2</v>
      </c>
      <c r="X15" s="255">
        <v>6.1815238748685733E-2</v>
      </c>
      <c r="Y15" s="255">
        <v>7.2236005956468938E-2</v>
      </c>
      <c r="DA15" s="271" t="s">
        <v>1003</v>
      </c>
    </row>
    <row r="16" spans="1:105" x14ac:dyDescent="0.25">
      <c r="A16" s="256" t="s">
        <v>168</v>
      </c>
      <c r="B16" s="257">
        <v>0</v>
      </c>
      <c r="C16" s="257">
        <v>0</v>
      </c>
      <c r="D16" s="257">
        <v>0</v>
      </c>
      <c r="E16" s="257">
        <v>0</v>
      </c>
      <c r="F16" s="257">
        <v>0</v>
      </c>
      <c r="G16" s="257">
        <v>2.3976548903453758</v>
      </c>
      <c r="H16" s="257">
        <v>1.4482368202025631</v>
      </c>
      <c r="I16" s="257">
        <v>1.7660436860844759</v>
      </c>
      <c r="J16" s="257">
        <v>1.7660436860844759</v>
      </c>
      <c r="K16" s="257">
        <v>1.4519230677296291</v>
      </c>
      <c r="L16" s="257">
        <v>2.1349654346574312</v>
      </c>
      <c r="M16" s="257">
        <v>1.5082152540687619</v>
      </c>
      <c r="N16" s="257">
        <v>1.82901508229048</v>
      </c>
      <c r="O16" s="257">
        <v>1.2086564137344149</v>
      </c>
      <c r="P16" s="257">
        <v>1.2188414160869709</v>
      </c>
      <c r="Q16" s="257">
        <v>1.0177835292389841</v>
      </c>
      <c r="R16" s="257">
        <v>1.20957304630429</v>
      </c>
      <c r="S16" s="257">
        <v>1.6072153639956539</v>
      </c>
      <c r="T16" s="257">
        <v>3.5423967242582441</v>
      </c>
      <c r="U16" s="257">
        <v>4.6055213278167688</v>
      </c>
      <c r="V16" s="257">
        <v>4.0906919365020036</v>
      </c>
      <c r="W16" s="257">
        <v>4.3123237103588634</v>
      </c>
      <c r="X16" s="257">
        <v>5.8848073379783461</v>
      </c>
      <c r="Y16" s="257">
        <v>4.9274919147261773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0</v>
      </c>
      <c r="C17" s="257">
        <f t="shared" ref="C17:W17" si="7">SUM(C18:C24)</f>
        <v>0</v>
      </c>
      <c r="D17" s="257">
        <f t="shared" si="7"/>
        <v>0</v>
      </c>
      <c r="E17" s="257">
        <f t="shared" si="7"/>
        <v>0</v>
      </c>
      <c r="F17" s="257">
        <f t="shared" si="7"/>
        <v>0</v>
      </c>
      <c r="G17" s="257">
        <f t="shared" si="7"/>
        <v>3.5521088081990961</v>
      </c>
      <c r="H17" s="257">
        <f t="shared" si="7"/>
        <v>2.3178361374226046</v>
      </c>
      <c r="I17" s="257">
        <f t="shared" si="7"/>
        <v>2.726693659059114</v>
      </c>
      <c r="J17" s="257">
        <f t="shared" si="7"/>
        <v>2.726693659059114</v>
      </c>
      <c r="K17" s="257">
        <f t="shared" si="7"/>
        <v>2.3220572425071824</v>
      </c>
      <c r="L17" s="257">
        <f t="shared" si="7"/>
        <v>3.202497286887839</v>
      </c>
      <c r="M17" s="257">
        <f t="shared" si="7"/>
        <v>2.3872175735112688</v>
      </c>
      <c r="N17" s="257">
        <f t="shared" si="7"/>
        <v>2.802146137903005</v>
      </c>
      <c r="O17" s="257">
        <f t="shared" si="7"/>
        <v>2.0039754672047962</v>
      </c>
      <c r="P17" s="257">
        <f t="shared" si="7"/>
        <v>2.0152957658762936</v>
      </c>
      <c r="Q17" s="257">
        <f t="shared" si="7"/>
        <v>1.3590861857351511</v>
      </c>
      <c r="R17" s="257">
        <f t="shared" si="7"/>
        <v>2.0035750986740397</v>
      </c>
      <c r="S17" s="257">
        <f t="shared" si="7"/>
        <v>2.4368648234178467</v>
      </c>
      <c r="T17" s="257">
        <f t="shared" si="7"/>
        <v>5.0982881085904328</v>
      </c>
      <c r="U17" s="257">
        <f t="shared" si="7"/>
        <v>6.5205234175356752</v>
      </c>
      <c r="V17" s="257">
        <f t="shared" si="7"/>
        <v>5.7973547937958392</v>
      </c>
      <c r="W17" s="257">
        <f t="shared" si="7"/>
        <v>6.1143970403836949</v>
      </c>
      <c r="X17" s="257">
        <f t="shared" ref="X17:Y17" si="8">SUM(X18:X24)</f>
        <v>8.209385837936777</v>
      </c>
      <c r="Y17" s="257">
        <f t="shared" si="8"/>
        <v>6.9267454643618773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5.1676698188558898E-2</v>
      </c>
      <c r="T19" s="55">
        <v>0.18125537402397079</v>
      </c>
      <c r="U19" s="55">
        <v>0.19226139294274061</v>
      </c>
      <c r="V19" s="55">
        <v>0.13955288047075071</v>
      </c>
      <c r="W19" s="55">
        <v>0.15055889939090919</v>
      </c>
      <c r="X19" s="55">
        <v>0.17798796216209181</v>
      </c>
      <c r="Y19" s="55">
        <v>0.18564058468731989</v>
      </c>
      <c r="DA19" s="101" t="s">
        <v>1006</v>
      </c>
    </row>
    <row r="20" spans="1:105" x14ac:dyDescent="0.25">
      <c r="A20" s="61" t="s">
        <v>166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2.5251096682176151</v>
      </c>
      <c r="H20" s="55">
        <v>1.2908369975776479</v>
      </c>
      <c r="I20" s="55">
        <v>1.699694519217037</v>
      </c>
      <c r="J20" s="55">
        <v>1.699694519217037</v>
      </c>
      <c r="K20" s="55">
        <v>1.2950581024727441</v>
      </c>
      <c r="L20" s="55">
        <v>2.1754981468714769</v>
      </c>
      <c r="M20" s="55">
        <v>1.3602184335423759</v>
      </c>
      <c r="N20" s="55">
        <v>1.775146997882858</v>
      </c>
      <c r="O20" s="55">
        <v>0.97697632722063754</v>
      </c>
      <c r="P20" s="55">
        <v>0.98829662590654854</v>
      </c>
      <c r="Q20" s="55">
        <v>1.3590861857351511</v>
      </c>
      <c r="R20" s="55">
        <v>0.97657595868849068</v>
      </c>
      <c r="S20" s="55">
        <v>1.5902612121623541</v>
      </c>
      <c r="T20" s="55">
        <v>3.9667317887823419</v>
      </c>
      <c r="U20" s="55">
        <v>5.3599903135338103</v>
      </c>
      <c r="V20" s="55">
        <v>4.7476557397065458</v>
      </c>
      <c r="W20" s="55">
        <v>5.0003815632228603</v>
      </c>
      <c r="X20" s="55">
        <v>7.0889215215434342</v>
      </c>
      <c r="Y20" s="55">
        <v>5.8304427988855787</v>
      </c>
      <c r="DA20" s="101" t="s">
        <v>1007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1.0269991399814811</v>
      </c>
      <c r="H21" s="55">
        <v>1.0269991398449569</v>
      </c>
      <c r="I21" s="55">
        <v>1.026999139842077</v>
      </c>
      <c r="J21" s="55">
        <v>1.026999139842077</v>
      </c>
      <c r="K21" s="55">
        <v>1.026999140034438</v>
      </c>
      <c r="L21" s="55">
        <v>1.0269991400163621</v>
      </c>
      <c r="M21" s="55">
        <v>1.0269991399688929</v>
      </c>
      <c r="N21" s="55">
        <v>1.026999140020147</v>
      </c>
      <c r="O21" s="55">
        <v>1.0269991399841589</v>
      </c>
      <c r="P21" s="55">
        <v>1.0269991399697449</v>
      </c>
      <c r="Q21" s="55">
        <v>0</v>
      </c>
      <c r="R21" s="55">
        <v>1.0269991399855489</v>
      </c>
      <c r="S21" s="55">
        <v>0.79492691306693364</v>
      </c>
      <c r="T21" s="55">
        <v>0.95030094578412005</v>
      </c>
      <c r="U21" s="55">
        <v>0.96827171105912446</v>
      </c>
      <c r="V21" s="55">
        <v>0.91014617361854311</v>
      </c>
      <c r="W21" s="55">
        <v>0.9634565777699251</v>
      </c>
      <c r="X21" s="55">
        <v>0.94247635423125009</v>
      </c>
      <c r="Y21" s="55">
        <v>0.91066208078897892</v>
      </c>
      <c r="DA21" s="101" t="s">
        <v>1008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1" t="s">
        <v>1009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0</v>
      </c>
      <c r="C25" s="257">
        <v>0</v>
      </c>
      <c r="D25" s="257">
        <v>0</v>
      </c>
      <c r="E25" s="257">
        <v>0</v>
      </c>
      <c r="F25" s="257">
        <v>0</v>
      </c>
      <c r="G25" s="257">
        <v>0.46072936857686431</v>
      </c>
      <c r="H25" s="257">
        <v>0.2782907742096184</v>
      </c>
      <c r="I25" s="257">
        <v>0.33936001200391758</v>
      </c>
      <c r="J25" s="257">
        <v>0.33936001200391758</v>
      </c>
      <c r="K25" s="257">
        <v>0.27899911739211808</v>
      </c>
      <c r="L25" s="257">
        <v>0.41025140048468661</v>
      </c>
      <c r="M25" s="257">
        <v>0.28981613012079482</v>
      </c>
      <c r="N25" s="257">
        <v>0.35146049057121331</v>
      </c>
      <c r="O25" s="257">
        <v>0.232253402509491</v>
      </c>
      <c r="P25" s="257">
        <v>0.23421053559054561</v>
      </c>
      <c r="Q25" s="257">
        <v>0.1955755870715247</v>
      </c>
      <c r="R25" s="257">
        <v>0.2324295410967564</v>
      </c>
      <c r="S25" s="257">
        <v>0.3088398262829587</v>
      </c>
      <c r="T25" s="257">
        <v>0.68070105192709973</v>
      </c>
      <c r="U25" s="257">
        <v>0.88498930428917866</v>
      </c>
      <c r="V25" s="257">
        <v>0.78606054630137023</v>
      </c>
      <c r="W25" s="257">
        <v>0.8286489386662661</v>
      </c>
      <c r="X25" s="257">
        <v>1.130814772359797</v>
      </c>
      <c r="Y25" s="257">
        <v>0.94685863577821783</v>
      </c>
      <c r="DA25" s="272" t="s">
        <v>1012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1.7146992055697152E-2</v>
      </c>
      <c r="L26" s="257">
        <v>0.16759273268278391</v>
      </c>
      <c r="M26" s="257">
        <v>0.1432908179598785</v>
      </c>
      <c r="N26" s="257">
        <v>0.16190926984403251</v>
      </c>
      <c r="O26" s="257">
        <v>0.14284386737125351</v>
      </c>
      <c r="P26" s="257">
        <v>0.1518331786322365</v>
      </c>
      <c r="Q26" s="257">
        <v>0.14754476831632579</v>
      </c>
      <c r="R26" s="257">
        <v>0.15154784691803219</v>
      </c>
      <c r="S26" s="257">
        <v>0.1732534585716495</v>
      </c>
      <c r="T26" s="257">
        <v>0.25420193230345922</v>
      </c>
      <c r="U26" s="257">
        <v>0.257243231818435</v>
      </c>
      <c r="V26" s="257">
        <v>0.26965500269924042</v>
      </c>
      <c r="W26" s="257">
        <v>0.26687119291626688</v>
      </c>
      <c r="X26" s="257">
        <v>0.28227151812657691</v>
      </c>
      <c r="Y26" s="257">
        <v>0.26312803538883561</v>
      </c>
      <c r="DA26" s="272" t="s">
        <v>1013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2.4863138480760869E-2</v>
      </c>
      <c r="L27" s="258">
        <v>0.24300946239003671</v>
      </c>
      <c r="M27" s="258">
        <v>0.20777168604182381</v>
      </c>
      <c r="N27" s="258">
        <v>0.23476844127384711</v>
      </c>
      <c r="O27" s="258">
        <v>0.2071236076883175</v>
      </c>
      <c r="P27" s="258">
        <v>0.22015810901674299</v>
      </c>
      <c r="Q27" s="258">
        <v>0.21393991405867241</v>
      </c>
      <c r="R27" s="258">
        <v>0.21974437803114669</v>
      </c>
      <c r="S27" s="258">
        <v>0.25121751492889183</v>
      </c>
      <c r="T27" s="258">
        <v>0.3685928018400158</v>
      </c>
      <c r="U27" s="258">
        <v>0.37300268613673082</v>
      </c>
      <c r="V27" s="258">
        <v>0.39099975391389852</v>
      </c>
      <c r="W27" s="258">
        <v>0.38696322972858699</v>
      </c>
      <c r="X27" s="258">
        <v>0.40929370128353648</v>
      </c>
      <c r="Y27" s="258">
        <v>0.38153565131381162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</v>
      </c>
      <c r="C31" s="235">
        <f t="shared" si="9"/>
        <v>0</v>
      </c>
      <c r="D31" s="235">
        <f t="shared" si="9"/>
        <v>0</v>
      </c>
      <c r="E31" s="235">
        <f t="shared" si="9"/>
        <v>0</v>
      </c>
      <c r="F31" s="235">
        <f t="shared" si="9"/>
        <v>0</v>
      </c>
      <c r="G31" s="235">
        <f t="shared" si="9"/>
        <v>1</v>
      </c>
      <c r="H31" s="235">
        <f t="shared" si="9"/>
        <v>1</v>
      </c>
      <c r="I31" s="235">
        <f t="shared" si="9"/>
        <v>0.99999999999999989</v>
      </c>
      <c r="J31" s="235">
        <f t="shared" si="9"/>
        <v>0.99999999999999989</v>
      </c>
      <c r="K31" s="235">
        <f t="shared" si="9"/>
        <v>1</v>
      </c>
      <c r="L31" s="235">
        <f t="shared" si="9"/>
        <v>1.0000000000000002</v>
      </c>
      <c r="M31" s="235">
        <f t="shared" si="9"/>
        <v>1.0000000000000002</v>
      </c>
      <c r="N31" s="235">
        <f t="shared" si="9"/>
        <v>1.0000000000000002</v>
      </c>
      <c r="O31" s="235">
        <f t="shared" si="9"/>
        <v>1.0000000000000002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0.99999999999999989</v>
      </c>
      <c r="T31" s="235">
        <f t="shared" si="10"/>
        <v>0.99999999999999989</v>
      </c>
      <c r="U31" s="235">
        <f t="shared" si="10"/>
        <v>1.0000000000000002</v>
      </c>
      <c r="V31" s="235">
        <f t="shared" si="10"/>
        <v>0.99999999999999989</v>
      </c>
      <c r="W31" s="235">
        <f t="shared" si="10"/>
        <v>1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0</v>
      </c>
      <c r="C32" s="244">
        <f t="shared" si="12"/>
        <v>0</v>
      </c>
      <c r="D32" s="244">
        <f t="shared" si="12"/>
        <v>0</v>
      </c>
      <c r="E32" s="244">
        <f t="shared" si="12"/>
        <v>0</v>
      </c>
      <c r="F32" s="244">
        <f t="shared" si="12"/>
        <v>0</v>
      </c>
      <c r="G32" s="244">
        <f t="shared" si="12"/>
        <v>0</v>
      </c>
      <c r="H32" s="244">
        <f t="shared" si="12"/>
        <v>0</v>
      </c>
      <c r="I32" s="244">
        <f t="shared" si="12"/>
        <v>0</v>
      </c>
      <c r="J32" s="244">
        <f t="shared" si="12"/>
        <v>0</v>
      </c>
      <c r="K32" s="244">
        <f t="shared" si="12"/>
        <v>3.2841935674273789E-3</v>
      </c>
      <c r="L32" s="244">
        <f t="shared" si="12"/>
        <v>2.059448744849831E-2</v>
      </c>
      <c r="M32" s="244">
        <f t="shared" si="12"/>
        <v>2.3845580128686539E-2</v>
      </c>
      <c r="N32" s="244">
        <f t="shared" si="12"/>
        <v>2.2713349435920276E-2</v>
      </c>
      <c r="O32" s="244">
        <f t="shared" si="12"/>
        <v>2.811715824127816E-2</v>
      </c>
      <c r="P32" s="244">
        <f t="shared" si="12"/>
        <v>2.9362796692489125E-2</v>
      </c>
      <c r="Q32" s="244">
        <f t="shared" si="12"/>
        <v>3.5661200704910211E-2</v>
      </c>
      <c r="R32" s="244">
        <f t="shared" si="12"/>
        <v>2.9476226037005636E-2</v>
      </c>
      <c r="S32" s="244">
        <f t="shared" si="12"/>
        <v>2.6986736890446315E-2</v>
      </c>
      <c r="T32" s="244">
        <f t="shared" si="12"/>
        <v>1.930677006314559E-2</v>
      </c>
      <c r="U32" s="244">
        <f t="shared" si="12"/>
        <v>1.5451200960869724E-2</v>
      </c>
      <c r="V32" s="244">
        <f t="shared" si="12"/>
        <v>1.7982772809799461E-2</v>
      </c>
      <c r="W32" s="244">
        <f t="shared" si="12"/>
        <v>1.6971860262345574E-2</v>
      </c>
      <c r="X32" s="244">
        <f t="shared" si="12"/>
        <v>1.3485508356763831E-2</v>
      </c>
      <c r="Y32" s="244">
        <f t="shared" si="12"/>
        <v>1.486122588990787E-2</v>
      </c>
      <c r="DA32" s="275"/>
    </row>
    <row r="33" spans="1:105" x14ac:dyDescent="0.25">
      <c r="A33" s="240" t="s">
        <v>124</v>
      </c>
      <c r="B33" s="245">
        <f t="shared" ref="B33:Y33" si="13">IF(B$7=0,0,B$7/B$5)</f>
        <v>0</v>
      </c>
      <c r="C33" s="245">
        <f t="shared" si="13"/>
        <v>0</v>
      </c>
      <c r="D33" s="245">
        <f t="shared" si="13"/>
        <v>0</v>
      </c>
      <c r="E33" s="245">
        <f t="shared" si="13"/>
        <v>0</v>
      </c>
      <c r="F33" s="245">
        <f t="shared" si="13"/>
        <v>0</v>
      </c>
      <c r="G33" s="245">
        <f t="shared" si="13"/>
        <v>0</v>
      </c>
      <c r="H33" s="245">
        <f t="shared" si="13"/>
        <v>0</v>
      </c>
      <c r="I33" s="245">
        <f t="shared" si="13"/>
        <v>0</v>
      </c>
      <c r="J33" s="245">
        <f t="shared" si="13"/>
        <v>0</v>
      </c>
      <c r="K33" s="245">
        <f t="shared" si="13"/>
        <v>2.1347258188277947E-3</v>
      </c>
      <c r="L33" s="245">
        <f t="shared" si="13"/>
        <v>1.3386416841523896E-2</v>
      </c>
      <c r="M33" s="245">
        <f t="shared" si="13"/>
        <v>1.5499627083646246E-2</v>
      </c>
      <c r="N33" s="245">
        <f t="shared" si="13"/>
        <v>1.476367713334816E-2</v>
      </c>
      <c r="O33" s="245">
        <f t="shared" si="13"/>
        <v>1.8276152856830794E-2</v>
      </c>
      <c r="P33" s="245">
        <f t="shared" si="13"/>
        <v>1.9085817850117929E-2</v>
      </c>
      <c r="Q33" s="245">
        <f t="shared" si="13"/>
        <v>2.3179780458191634E-2</v>
      </c>
      <c r="R33" s="245">
        <f t="shared" si="13"/>
        <v>1.9159546924053666E-2</v>
      </c>
      <c r="S33" s="245">
        <f t="shared" si="13"/>
        <v>1.7541378978790108E-2</v>
      </c>
      <c r="T33" s="245">
        <f t="shared" si="13"/>
        <v>1.2549400541044625E-2</v>
      </c>
      <c r="U33" s="245">
        <f t="shared" si="13"/>
        <v>1.0043280624565318E-2</v>
      </c>
      <c r="V33" s="245">
        <f t="shared" si="13"/>
        <v>1.1688802326369643E-2</v>
      </c>
      <c r="W33" s="245">
        <f t="shared" si="13"/>
        <v>1.1031709170524623E-2</v>
      </c>
      <c r="X33" s="245">
        <f t="shared" si="13"/>
        <v>8.7655804318964858E-3</v>
      </c>
      <c r="Y33" s="245">
        <f t="shared" si="13"/>
        <v>9.6597968284401134E-3</v>
      </c>
      <c r="DA33" s="276"/>
    </row>
    <row r="34" spans="1:105" x14ac:dyDescent="0.25">
      <c r="A34" s="240" t="s">
        <v>123</v>
      </c>
      <c r="B34" s="245">
        <f t="shared" ref="B34:Y34" si="14">IF(B$8=0,0,B$8/B$5)</f>
        <v>0</v>
      </c>
      <c r="C34" s="245">
        <f t="shared" si="14"/>
        <v>0</v>
      </c>
      <c r="D34" s="245">
        <f t="shared" si="14"/>
        <v>0</v>
      </c>
      <c r="E34" s="245">
        <f t="shared" si="14"/>
        <v>0</v>
      </c>
      <c r="F34" s="245">
        <f t="shared" si="14"/>
        <v>0</v>
      </c>
      <c r="G34" s="245">
        <f t="shared" si="14"/>
        <v>0</v>
      </c>
      <c r="H34" s="245">
        <f t="shared" si="14"/>
        <v>0</v>
      </c>
      <c r="I34" s="245">
        <f t="shared" si="14"/>
        <v>0</v>
      </c>
      <c r="J34" s="245">
        <f t="shared" si="14"/>
        <v>0</v>
      </c>
      <c r="K34" s="245">
        <f t="shared" si="14"/>
        <v>2.9557742106846412E-3</v>
      </c>
      <c r="L34" s="245">
        <f t="shared" si="14"/>
        <v>1.8535038703648473E-2</v>
      </c>
      <c r="M34" s="245">
        <f t="shared" si="14"/>
        <v>2.1461022115817876E-2</v>
      </c>
      <c r="N34" s="245">
        <f t="shared" si="14"/>
        <v>2.0442014492328239E-2</v>
      </c>
      <c r="O34" s="245">
        <f t="shared" si="14"/>
        <v>2.5305442417150329E-2</v>
      </c>
      <c r="P34" s="245">
        <f t="shared" si="14"/>
        <v>2.6426517023240205E-2</v>
      </c>
      <c r="Q34" s="245">
        <f t="shared" si="14"/>
        <v>3.2095080634419189E-2</v>
      </c>
      <c r="R34" s="245">
        <f t="shared" si="14"/>
        <v>2.6528603433305077E-2</v>
      </c>
      <c r="S34" s="245">
        <f t="shared" si="14"/>
        <v>2.4288063201401675E-2</v>
      </c>
      <c r="T34" s="245">
        <f t="shared" si="14"/>
        <v>1.7376093056831021E-2</v>
      </c>
      <c r="U34" s="245">
        <f t="shared" si="14"/>
        <v>1.3906080864782752E-2</v>
      </c>
      <c r="V34" s="245">
        <f t="shared" si="14"/>
        <v>1.6184495528819509E-2</v>
      </c>
      <c r="W34" s="245">
        <f t="shared" si="14"/>
        <v>1.5274674236111023E-2</v>
      </c>
      <c r="X34" s="245">
        <f t="shared" si="14"/>
        <v>1.2136957521087439E-2</v>
      </c>
      <c r="Y34" s="245">
        <f t="shared" si="14"/>
        <v>1.337510330091708E-2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</v>
      </c>
      <c r="C35" s="246">
        <f t="shared" si="15"/>
        <v>0</v>
      </c>
      <c r="D35" s="246">
        <f t="shared" si="15"/>
        <v>0</v>
      </c>
      <c r="E35" s="246">
        <f t="shared" si="15"/>
        <v>0</v>
      </c>
      <c r="F35" s="246">
        <f t="shared" si="15"/>
        <v>0</v>
      </c>
      <c r="G35" s="246">
        <f t="shared" si="15"/>
        <v>0.21977882506806398</v>
      </c>
      <c r="H35" s="246">
        <f t="shared" si="15"/>
        <v>0.21240518073644823</v>
      </c>
      <c r="I35" s="246">
        <f t="shared" si="15"/>
        <v>0.21584444138607536</v>
      </c>
      <c r="J35" s="246">
        <f t="shared" si="15"/>
        <v>0.21584444138607536</v>
      </c>
      <c r="K35" s="246">
        <f t="shared" si="15"/>
        <v>0.20730474907588417</v>
      </c>
      <c r="L35" s="246">
        <f t="shared" si="15"/>
        <v>0.19072470314752141</v>
      </c>
      <c r="M35" s="246">
        <f t="shared" si="15"/>
        <v>0.18428860655313575</v>
      </c>
      <c r="N35" s="246">
        <f t="shared" si="15"/>
        <v>0.18744901224776012</v>
      </c>
      <c r="O35" s="246">
        <f t="shared" si="15"/>
        <v>0.18132850290862507</v>
      </c>
      <c r="P35" s="246">
        <f t="shared" si="15"/>
        <v>0.18244731629559718</v>
      </c>
      <c r="Q35" s="246">
        <f t="shared" si="15"/>
        <v>0.19994041438992918</v>
      </c>
      <c r="R35" s="246">
        <f t="shared" si="15"/>
        <v>0.18245014905614546</v>
      </c>
      <c r="S35" s="246">
        <f t="shared" si="15"/>
        <v>0.18703594268682044</v>
      </c>
      <c r="T35" s="246">
        <f t="shared" si="15"/>
        <v>0.19550200355662348</v>
      </c>
      <c r="U35" s="246">
        <f t="shared" si="15"/>
        <v>0.20130654653286459</v>
      </c>
      <c r="V35" s="246">
        <f t="shared" si="15"/>
        <v>0.19825047860700643</v>
      </c>
      <c r="W35" s="246">
        <f t="shared" si="15"/>
        <v>0.19934758710420522</v>
      </c>
      <c r="X35" s="246">
        <f t="shared" si="15"/>
        <v>0.20519842742151737</v>
      </c>
      <c r="Y35" s="246">
        <f t="shared" si="15"/>
        <v>0.20269991350517169</v>
      </c>
      <c r="DA35" s="277"/>
    </row>
    <row r="36" spans="1:105" x14ac:dyDescent="0.25">
      <c r="A36" s="127" t="s">
        <v>168</v>
      </c>
      <c r="B36" s="259">
        <f t="shared" ref="B36:Y36" si="16">IF(B$16=0,0,B$16/B$5)</f>
        <v>0</v>
      </c>
      <c r="C36" s="259">
        <f t="shared" si="16"/>
        <v>0</v>
      </c>
      <c r="D36" s="259">
        <f t="shared" si="16"/>
        <v>0</v>
      </c>
      <c r="E36" s="259">
        <f t="shared" si="16"/>
        <v>0</v>
      </c>
      <c r="F36" s="259">
        <f t="shared" si="16"/>
        <v>0</v>
      </c>
      <c r="G36" s="259">
        <f t="shared" si="16"/>
        <v>0.29181860054122466</v>
      </c>
      <c r="H36" s="259">
        <f t="shared" si="16"/>
        <v>0.28202800051834054</v>
      </c>
      <c r="I36" s="259">
        <f t="shared" si="16"/>
        <v>0.28659459254266256</v>
      </c>
      <c r="J36" s="259">
        <f t="shared" si="16"/>
        <v>0.28659459254266256</v>
      </c>
      <c r="K36" s="259">
        <f t="shared" si="16"/>
        <v>0.27808938057172289</v>
      </c>
      <c r="L36" s="259">
        <f t="shared" si="16"/>
        <v>0.26235337381993118</v>
      </c>
      <c r="M36" s="259">
        <f t="shared" si="16"/>
        <v>0.25098794329078367</v>
      </c>
      <c r="N36" s="259">
        <f t="shared" si="16"/>
        <v>0.2565823360679142</v>
      </c>
      <c r="O36" s="259">
        <f t="shared" si="16"/>
        <v>0.23790999410553193</v>
      </c>
      <c r="P36" s="259">
        <f t="shared" si="16"/>
        <v>0.23570996157323948</v>
      </c>
      <c r="Q36" s="259">
        <f t="shared" si="16"/>
        <v>0.24599572810693274</v>
      </c>
      <c r="R36" s="259">
        <f t="shared" si="16"/>
        <v>0.23526331284943133</v>
      </c>
      <c r="S36" s="259">
        <f t="shared" si="16"/>
        <v>0.25034708404678901</v>
      </c>
      <c r="T36" s="259">
        <f t="shared" si="16"/>
        <v>0.26904688885704187</v>
      </c>
      <c r="U36" s="259">
        <f t="shared" si="16"/>
        <v>0.27662860189804545</v>
      </c>
      <c r="V36" s="259">
        <f t="shared" si="16"/>
        <v>0.27280036710849176</v>
      </c>
      <c r="W36" s="259">
        <f t="shared" si="16"/>
        <v>0.27424524400118983</v>
      </c>
      <c r="X36" s="259">
        <f t="shared" si="16"/>
        <v>0.28114639075510783</v>
      </c>
      <c r="Y36" s="259">
        <f t="shared" si="16"/>
        <v>0.27830014505002237</v>
      </c>
      <c r="DA36" s="278"/>
    </row>
    <row r="37" spans="1:105" x14ac:dyDescent="0.25">
      <c r="A37" s="127" t="s">
        <v>121</v>
      </c>
      <c r="B37" s="259">
        <f t="shared" ref="B37:Y37" si="17">IF(B$17=0,0,B$17/B$5)</f>
        <v>0</v>
      </c>
      <c r="C37" s="259">
        <f t="shared" si="17"/>
        <v>0</v>
      </c>
      <c r="D37" s="259">
        <f t="shared" si="17"/>
        <v>0</v>
      </c>
      <c r="E37" s="259">
        <f t="shared" si="17"/>
        <v>0</v>
      </c>
      <c r="F37" s="259">
        <f t="shared" si="17"/>
        <v>0</v>
      </c>
      <c r="G37" s="259">
        <f t="shared" si="17"/>
        <v>0.4323271983606875</v>
      </c>
      <c r="H37" s="259">
        <f t="shared" si="17"/>
        <v>0.45137278810175485</v>
      </c>
      <c r="I37" s="259">
        <f t="shared" si="17"/>
        <v>0.44248942671360891</v>
      </c>
      <c r="J37" s="259">
        <f t="shared" si="17"/>
        <v>0.44248942671360891</v>
      </c>
      <c r="K37" s="259">
        <f t="shared" si="17"/>
        <v>0.4447477105179185</v>
      </c>
      <c r="L37" s="259">
        <f t="shared" si="17"/>
        <v>0.39353609862963135</v>
      </c>
      <c r="M37" s="259">
        <f t="shared" si="17"/>
        <v>0.39726612454477389</v>
      </c>
      <c r="N37" s="259">
        <f t="shared" si="17"/>
        <v>0.39309747034259263</v>
      </c>
      <c r="O37" s="259">
        <f t="shared" si="17"/>
        <v>0.39445932373555931</v>
      </c>
      <c r="P37" s="259">
        <f t="shared" si="17"/>
        <v>0.38973510521037114</v>
      </c>
      <c r="Q37" s="259">
        <f t="shared" si="17"/>
        <v>0.32848772476203941</v>
      </c>
      <c r="R37" s="259">
        <f t="shared" si="17"/>
        <v>0.38969760172557599</v>
      </c>
      <c r="S37" s="259">
        <f t="shared" si="17"/>
        <v>0.37957701029076335</v>
      </c>
      <c r="T37" s="259">
        <f t="shared" si="17"/>
        <v>0.38721765541388625</v>
      </c>
      <c r="U37" s="259">
        <f t="shared" si="17"/>
        <v>0.39165235556327921</v>
      </c>
      <c r="V37" s="259">
        <f t="shared" si="17"/>
        <v>0.38661442625231163</v>
      </c>
      <c r="W37" s="259">
        <f t="shared" si="17"/>
        <v>0.38884935846354529</v>
      </c>
      <c r="X37" s="259">
        <f t="shared" si="17"/>
        <v>0.39220301805919788</v>
      </c>
      <c r="Y37" s="259">
        <f t="shared" si="17"/>
        <v>0.39121611984697063</v>
      </c>
      <c r="DA37" s="278"/>
    </row>
    <row r="38" spans="1:105" x14ac:dyDescent="0.25">
      <c r="A38" s="127" t="s">
        <v>167</v>
      </c>
      <c r="B38" s="259">
        <f t="shared" ref="B38:Y38" si="18">IF(B$25=0,0,B$25/B$5)</f>
        <v>0</v>
      </c>
      <c r="C38" s="259">
        <f t="shared" si="18"/>
        <v>0</v>
      </c>
      <c r="D38" s="259">
        <f t="shared" si="18"/>
        <v>0</v>
      </c>
      <c r="E38" s="259">
        <f t="shared" si="18"/>
        <v>0</v>
      </c>
      <c r="F38" s="259">
        <f t="shared" si="18"/>
        <v>0</v>
      </c>
      <c r="G38" s="259">
        <f t="shared" si="18"/>
        <v>5.6075376030023882E-2</v>
      </c>
      <c r="H38" s="259">
        <f t="shared" si="18"/>
        <v>5.4194030643456459E-2</v>
      </c>
      <c r="I38" s="259">
        <f t="shared" si="18"/>
        <v>5.5071539357653028E-2</v>
      </c>
      <c r="J38" s="259">
        <f t="shared" si="18"/>
        <v>5.5071539357653028E-2</v>
      </c>
      <c r="K38" s="259">
        <f t="shared" si="18"/>
        <v>5.3437191997337548E-2</v>
      </c>
      <c r="L38" s="259">
        <f t="shared" si="18"/>
        <v>5.0413387160424601E-2</v>
      </c>
      <c r="M38" s="259">
        <f t="shared" si="18"/>
        <v>4.8229424967874038E-2</v>
      </c>
      <c r="N38" s="259">
        <f t="shared" si="18"/>
        <v>4.9304434162131788E-2</v>
      </c>
      <c r="O38" s="259">
        <f t="shared" si="18"/>
        <v>4.5716388043893115E-2</v>
      </c>
      <c r="P38" s="259">
        <f t="shared" si="18"/>
        <v>4.5293633458346576E-2</v>
      </c>
      <c r="Q38" s="259">
        <f t="shared" si="18"/>
        <v>4.727012921654751E-2</v>
      </c>
      <c r="R38" s="259">
        <f t="shared" si="18"/>
        <v>4.5207806183819081E-2</v>
      </c>
      <c r="S38" s="259">
        <f t="shared" si="18"/>
        <v>4.81062785233956E-2</v>
      </c>
      <c r="T38" s="259">
        <f t="shared" si="18"/>
        <v>5.1699601856720429E-2</v>
      </c>
      <c r="U38" s="259">
        <f t="shared" si="18"/>
        <v>5.3156491201462375E-2</v>
      </c>
      <c r="V38" s="259">
        <f t="shared" si="18"/>
        <v>5.2420863983192879E-2</v>
      </c>
      <c r="W38" s="259">
        <f t="shared" si="18"/>
        <v>5.2698509119331757E-2</v>
      </c>
      <c r="X38" s="259">
        <f t="shared" si="18"/>
        <v>5.402462198035779E-2</v>
      </c>
      <c r="Y38" s="259">
        <f t="shared" si="18"/>
        <v>5.3477692148296042E-2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0</v>
      </c>
      <c r="C39" s="259">
        <f t="shared" si="19"/>
        <v>0</v>
      </c>
      <c r="D39" s="259">
        <f t="shared" si="19"/>
        <v>0</v>
      </c>
      <c r="E39" s="259">
        <f t="shared" si="19"/>
        <v>0</v>
      </c>
      <c r="F39" s="259">
        <f t="shared" si="19"/>
        <v>0</v>
      </c>
      <c r="G39" s="259">
        <f t="shared" si="19"/>
        <v>0</v>
      </c>
      <c r="H39" s="259">
        <f t="shared" si="19"/>
        <v>0</v>
      </c>
      <c r="I39" s="259">
        <f t="shared" si="19"/>
        <v>0</v>
      </c>
      <c r="J39" s="259">
        <f t="shared" si="19"/>
        <v>0</v>
      </c>
      <c r="K39" s="259">
        <f t="shared" si="19"/>
        <v>3.2841935674273789E-3</v>
      </c>
      <c r="L39" s="259">
        <f t="shared" si="19"/>
        <v>2.059448744849831E-2</v>
      </c>
      <c r="M39" s="259">
        <f t="shared" si="19"/>
        <v>2.3845580128686539E-2</v>
      </c>
      <c r="N39" s="259">
        <f t="shared" si="19"/>
        <v>2.2713349435920276E-2</v>
      </c>
      <c r="O39" s="259">
        <f t="shared" si="19"/>
        <v>2.811715824127816E-2</v>
      </c>
      <c r="P39" s="259">
        <f t="shared" si="19"/>
        <v>2.9362796692489125E-2</v>
      </c>
      <c r="Q39" s="259">
        <f t="shared" si="19"/>
        <v>3.5661200704910211E-2</v>
      </c>
      <c r="R39" s="259">
        <f t="shared" si="19"/>
        <v>2.9476226037005636E-2</v>
      </c>
      <c r="S39" s="259">
        <f t="shared" si="19"/>
        <v>2.6986736890446315E-2</v>
      </c>
      <c r="T39" s="259">
        <f t="shared" si="19"/>
        <v>1.930677006314559E-2</v>
      </c>
      <c r="U39" s="259">
        <f t="shared" si="19"/>
        <v>1.5451200960869724E-2</v>
      </c>
      <c r="V39" s="259">
        <f t="shared" si="19"/>
        <v>1.7982772809799461E-2</v>
      </c>
      <c r="W39" s="259">
        <f t="shared" si="19"/>
        <v>1.6971860262345574E-2</v>
      </c>
      <c r="X39" s="259">
        <f t="shared" si="19"/>
        <v>1.3485508356763831E-2</v>
      </c>
      <c r="Y39" s="259">
        <f t="shared" si="19"/>
        <v>1.486122588990787E-2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0</v>
      </c>
      <c r="C40" s="261">
        <f t="shared" si="20"/>
        <v>0</v>
      </c>
      <c r="D40" s="261">
        <f t="shared" si="20"/>
        <v>0</v>
      </c>
      <c r="E40" s="261">
        <f t="shared" si="20"/>
        <v>0</v>
      </c>
      <c r="F40" s="261">
        <f t="shared" si="20"/>
        <v>0</v>
      </c>
      <c r="G40" s="261">
        <f t="shared" si="20"/>
        <v>0</v>
      </c>
      <c r="H40" s="261">
        <f t="shared" si="20"/>
        <v>0</v>
      </c>
      <c r="I40" s="261">
        <f t="shared" si="20"/>
        <v>0</v>
      </c>
      <c r="J40" s="261">
        <f t="shared" si="20"/>
        <v>0</v>
      </c>
      <c r="K40" s="261">
        <f t="shared" si="20"/>
        <v>4.7620806727696986E-3</v>
      </c>
      <c r="L40" s="261">
        <f t="shared" si="20"/>
        <v>2.9862006800322551E-2</v>
      </c>
      <c r="M40" s="261">
        <f t="shared" si="20"/>
        <v>3.4576091186595478E-2</v>
      </c>
      <c r="N40" s="261">
        <f t="shared" si="20"/>
        <v>3.2934356682084394E-2</v>
      </c>
      <c r="O40" s="261">
        <f t="shared" si="20"/>
        <v>4.0769879449853309E-2</v>
      </c>
      <c r="P40" s="261">
        <f t="shared" si="20"/>
        <v>4.2576055204109245E-2</v>
      </c>
      <c r="Q40" s="261">
        <f t="shared" si="20"/>
        <v>5.1708741022119815E-2</v>
      </c>
      <c r="R40" s="261">
        <f t="shared" si="20"/>
        <v>4.2740527753658178E-2</v>
      </c>
      <c r="S40" s="261">
        <f t="shared" si="20"/>
        <v>3.9130768491147161E-2</v>
      </c>
      <c r="T40" s="261">
        <f t="shared" si="20"/>
        <v>2.7994816591561101E-2</v>
      </c>
      <c r="U40" s="261">
        <f t="shared" si="20"/>
        <v>2.2404241393261106E-2</v>
      </c>
      <c r="V40" s="261">
        <f t="shared" si="20"/>
        <v>2.6075020574209212E-2</v>
      </c>
      <c r="W40" s="261">
        <f t="shared" si="20"/>
        <v>2.4609197380401081E-2</v>
      </c>
      <c r="X40" s="261">
        <f t="shared" si="20"/>
        <v>1.9553987117307551E-2</v>
      </c>
      <c r="Y40" s="261">
        <f t="shared" si="20"/>
        <v>2.1548777540366409E-2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0</v>
      </c>
      <c r="C44" s="236">
        <f t="shared" si="21"/>
        <v>0</v>
      </c>
      <c r="D44" s="236">
        <f t="shared" si="21"/>
        <v>0</v>
      </c>
      <c r="E44" s="236">
        <f t="shared" si="21"/>
        <v>0</v>
      </c>
      <c r="F44" s="236">
        <f t="shared" si="21"/>
        <v>0</v>
      </c>
      <c r="G44" s="236">
        <f t="shared" si="21"/>
        <v>134.29403412451362</v>
      </c>
      <c r="H44" s="236">
        <f t="shared" si="21"/>
        <v>130.05722800154629</v>
      </c>
      <c r="I44" s="236">
        <f t="shared" si="21"/>
        <v>117.81469406104158</v>
      </c>
      <c r="J44" s="236">
        <f t="shared" si="21"/>
        <v>123.49619118298854</v>
      </c>
      <c r="K44" s="236">
        <f t="shared" si="21"/>
        <v>137.83360398812144</v>
      </c>
      <c r="L44" s="236">
        <f t="shared" si="21"/>
        <v>128.47617233393541</v>
      </c>
      <c r="M44" s="236">
        <f t="shared" si="21"/>
        <v>116.02131221383355</v>
      </c>
      <c r="N44" s="236">
        <f t="shared" si="21"/>
        <v>118.31216844961239</v>
      </c>
      <c r="O44" s="236">
        <f t="shared" si="21"/>
        <v>117.89482713876832</v>
      </c>
      <c r="P44" s="236">
        <f t="shared" si="21"/>
        <v>114.21265320772919</v>
      </c>
      <c r="Q44" s="236">
        <f t="shared" si="21"/>
        <v>116.67728719019789</v>
      </c>
      <c r="R44" s="236">
        <f t="shared" si="21"/>
        <v>118.41249825520163</v>
      </c>
      <c r="S44" s="236">
        <f t="shared" si="21"/>
        <v>109.25986032686187</v>
      </c>
      <c r="T44" s="236">
        <f t="shared" si="21"/>
        <v>115.03952384499107</v>
      </c>
      <c r="U44" s="236">
        <f t="shared" si="21"/>
        <v>114.31053707016737</v>
      </c>
      <c r="V44" s="236">
        <f t="shared" si="21"/>
        <v>121.0227823399465</v>
      </c>
      <c r="W44" s="236">
        <f t="shared" si="21"/>
        <v>115.61293230102243</v>
      </c>
      <c r="X44" s="236">
        <f t="shared" si="21"/>
        <v>98.926512660278462</v>
      </c>
      <c r="Y44" s="236">
        <f t="shared" si="21"/>
        <v>101.37891512464493</v>
      </c>
      <c r="DA44" s="280"/>
    </row>
    <row r="45" spans="1:105" x14ac:dyDescent="0.25">
      <c r="A45" s="238" t="s">
        <v>125</v>
      </c>
      <c r="B45" s="247">
        <f>IF(B$6=0,0,B$6/AGR!B$5*1000)</f>
        <v>0</v>
      </c>
      <c r="C45" s="247">
        <f>IF(C$6=0,0,C$6/AGR!C$5*1000)</f>
        <v>0</v>
      </c>
      <c r="D45" s="247">
        <f>IF(D$6=0,0,D$6/AGR!D$5*1000)</f>
        <v>0</v>
      </c>
      <c r="E45" s="247">
        <f>IF(E$6=0,0,E$6/AGR!E$5*1000)</f>
        <v>0</v>
      </c>
      <c r="F45" s="247">
        <f>IF(F$6=0,0,F$6/AGR!F$5*1000)</f>
        <v>0</v>
      </c>
      <c r="G45" s="247">
        <f>IF(G$6=0,0,G$6/AGR!G$5*1000)</f>
        <v>0</v>
      </c>
      <c r="H45" s="247">
        <f>IF(H$6=0,0,H$6/AGR!H$5*1000)</f>
        <v>0</v>
      </c>
      <c r="I45" s="247">
        <f>IF(I$6=0,0,I$6/AGR!I$5*1000)</f>
        <v>0</v>
      </c>
      <c r="J45" s="247">
        <f>IF(J$6=0,0,J$6/AGR!J$5*1000)</f>
        <v>0</v>
      </c>
      <c r="K45" s="247">
        <f>IF(K$6=0,0,K$6/AGR!K$5*1000)</f>
        <v>0.45267223559312114</v>
      </c>
      <c r="L45" s="247">
        <f>IF(L$6=0,0,L$6/AGR!L$5*1000)</f>
        <v>2.6459009185623383</v>
      </c>
      <c r="M45" s="247">
        <f>IF(M$6=0,0,M$6/AGR!M$5*1000)</f>
        <v>2.7665954970303264</v>
      </c>
      <c r="N45" s="247">
        <f>IF(N$6=0,0,N$6/AGR!N$5*1000)</f>
        <v>2.6872656245175079</v>
      </c>
      <c r="O45" s="247">
        <f>IF(O$6=0,0,O$6/AGR!O$5*1000)</f>
        <v>3.3148675104888832</v>
      </c>
      <c r="P45" s="247">
        <f>IF(P$6=0,0,P$6/AGR!P$5*1000)</f>
        <v>3.353602915848318</v>
      </c>
      <c r="Q45" s="247">
        <f>IF(Q$6=0,0,Q$6/AGR!Q$5*1000)</f>
        <v>4.1608521561940961</v>
      </c>
      <c r="R45" s="247">
        <f>IF(R$6=0,0,R$6/AGR!R$5*1000)</f>
        <v>3.4903535641768588</v>
      </c>
      <c r="S45" s="247">
        <f>IF(S$6=0,0,S$6/AGR!S$5*1000)</f>
        <v>2.9485671033279348</v>
      </c>
      <c r="T45" s="247">
        <f>IF(T$6=0,0,T$6/AGR!T$5*1000)</f>
        <v>2.221041635048997</v>
      </c>
      <c r="U45" s="247">
        <f>IF(U$6=0,0,U$6/AGR!U$5*1000)</f>
        <v>1.766235080216104</v>
      </c>
      <c r="V45" s="247">
        <f>IF(V$6=0,0,V$6/AGR!V$5*1000)</f>
        <v>2.1763251996290687</v>
      </c>
      <c r="W45" s="247">
        <f>IF(W$6=0,0,W$6/AGR!W$5*1000)</f>
        <v>1.9621665315329713</v>
      </c>
      <c r="X45" s="247">
        <f>IF(X$6=0,0,X$6/AGR!X$5*1000)</f>
        <v>1.334074313185688</v>
      </c>
      <c r="Y45" s="247">
        <f>IF(Y$6=0,0,Y$6/AGR!Y$5*1000)</f>
        <v>1.5066149581411457</v>
      </c>
      <c r="DA45" s="281"/>
    </row>
    <row r="46" spans="1:105" x14ac:dyDescent="0.25">
      <c r="A46" s="240" t="s">
        <v>124</v>
      </c>
      <c r="B46" s="248">
        <f>IF(B$7=0,0,B$7/AGR!B$5*1000)</f>
        <v>0</v>
      </c>
      <c r="C46" s="248">
        <f>IF(C$7=0,0,C$7/AGR!C$5*1000)</f>
        <v>0</v>
      </c>
      <c r="D46" s="248">
        <f>IF(D$7=0,0,D$7/AGR!D$5*1000)</f>
        <v>0</v>
      </c>
      <c r="E46" s="248">
        <f>IF(E$7=0,0,E$7/AGR!E$5*1000)</f>
        <v>0</v>
      </c>
      <c r="F46" s="248">
        <f>IF(F$7=0,0,F$7/AGR!F$5*1000)</f>
        <v>0</v>
      </c>
      <c r="G46" s="248">
        <f>IF(G$7=0,0,G$7/AGR!G$5*1000)</f>
        <v>0</v>
      </c>
      <c r="H46" s="248">
        <f>IF(H$7=0,0,H$7/AGR!H$5*1000)</f>
        <v>0</v>
      </c>
      <c r="I46" s="248">
        <f>IF(I$7=0,0,I$7/AGR!I$5*1000)</f>
        <v>0</v>
      </c>
      <c r="J46" s="248">
        <f>IF(J$7=0,0,J$7/AGR!J$5*1000)</f>
        <v>0</v>
      </c>
      <c r="K46" s="248">
        <f>IF(K$7=0,0,K$7/AGR!K$5*1000)</f>
        <v>0.29423695313552856</v>
      </c>
      <c r="L46" s="248">
        <f>IF(L$7=0,0,L$7/AGR!L$5*1000)</f>
        <v>1.7198355970655193</v>
      </c>
      <c r="M46" s="248">
        <f>IF(M$7=0,0,M$7/AGR!M$5*1000)</f>
        <v>1.7982870730697118</v>
      </c>
      <c r="N46" s="248">
        <f>IF(N$7=0,0,N$7/AGR!N$5*1000)</f>
        <v>1.7467226559363782</v>
      </c>
      <c r="O46" s="248">
        <f>IF(O$7=0,0,O$7/AGR!O$5*1000)</f>
        <v>2.1546638818177737</v>
      </c>
      <c r="P46" s="248">
        <f>IF(P$7=0,0,P$7/AGR!P$5*1000)</f>
        <v>2.1798418953014065</v>
      </c>
      <c r="Q46" s="248">
        <f>IF(Q$7=0,0,Q$7/AGR!Q$5*1000)</f>
        <v>2.7045539015261619</v>
      </c>
      <c r="R46" s="248">
        <f>IF(R$7=0,0,R$7/AGR!R$5*1000)</f>
        <v>2.2687298167149583</v>
      </c>
      <c r="S46" s="248">
        <f>IF(S$7=0,0,S$7/AGR!S$5*1000)</f>
        <v>1.9165686171631577</v>
      </c>
      <c r="T46" s="248">
        <f>IF(T$7=0,0,T$7/AGR!T$5*1000)</f>
        <v>1.4436770627818472</v>
      </c>
      <c r="U46" s="248">
        <f>IF(U$7=0,0,U$7/AGR!U$5*1000)</f>
        <v>1.1480528021404672</v>
      </c>
      <c r="V46" s="248">
        <f>IF(V$7=0,0,V$7/AGR!V$5*1000)</f>
        <v>1.4146113797588939</v>
      </c>
      <c r="W46" s="248">
        <f>IF(W$7=0,0,W$7/AGR!W$5*1000)</f>
        <v>1.2754082454964315</v>
      </c>
      <c r="X46" s="248">
        <f>IF(X$7=0,0,X$7/AGR!X$5*1000)</f>
        <v>0.86714830357069683</v>
      </c>
      <c r="Y46" s="248">
        <f>IF(Y$7=0,0,Y$7/AGR!Y$5*1000)</f>
        <v>0.97929972279174449</v>
      </c>
      <c r="DA46" s="282"/>
    </row>
    <row r="47" spans="1:105" x14ac:dyDescent="0.25">
      <c r="A47" s="240" t="s">
        <v>123</v>
      </c>
      <c r="B47" s="248">
        <f>IF(B$8=0,0,B$8/AGR!B$5*1000)</f>
        <v>0</v>
      </c>
      <c r="C47" s="248">
        <f>IF(C$8=0,0,C$8/AGR!C$5*1000)</f>
        <v>0</v>
      </c>
      <c r="D47" s="248">
        <f>IF(D$8=0,0,D$8/AGR!D$5*1000)</f>
        <v>0</v>
      </c>
      <c r="E47" s="248">
        <f>IF(E$8=0,0,E$8/AGR!E$5*1000)</f>
        <v>0</v>
      </c>
      <c r="F47" s="248">
        <f>IF(F$8=0,0,F$8/AGR!F$5*1000)</f>
        <v>0</v>
      </c>
      <c r="G47" s="248">
        <f>IF(G$8=0,0,G$8/AGR!G$5*1000)</f>
        <v>0</v>
      </c>
      <c r="H47" s="248">
        <f>IF(H$8=0,0,H$8/AGR!H$5*1000)</f>
        <v>0</v>
      </c>
      <c r="I47" s="248">
        <f>IF(I$8=0,0,I$8/AGR!I$5*1000)</f>
        <v>0</v>
      </c>
      <c r="J47" s="248">
        <f>IF(J$8=0,0,J$8/AGR!J$5*1000)</f>
        <v>0</v>
      </c>
      <c r="K47" s="248">
        <f>IF(K$8=0,0,K$8/AGR!K$5*1000)</f>
        <v>0.40740501203380908</v>
      </c>
      <c r="L47" s="248">
        <f>IF(L$8=0,0,L$8/AGR!L$5*1000)</f>
        <v>2.3813108267061041</v>
      </c>
      <c r="M47" s="248">
        <f>IF(M$8=0,0,M$8/AGR!M$5*1000)</f>
        <v>2.4899359473272926</v>
      </c>
      <c r="N47" s="248">
        <f>IF(N$8=0,0,N$8/AGR!N$5*1000)</f>
        <v>2.4185390620657561</v>
      </c>
      <c r="O47" s="248">
        <f>IF(O$8=0,0,O$8/AGR!O$5*1000)</f>
        <v>2.9833807594399935</v>
      </c>
      <c r="P47" s="248">
        <f>IF(P$8=0,0,P$8/AGR!P$5*1000)</f>
        <v>3.0182426242634852</v>
      </c>
      <c r="Q47" s="248">
        <f>IF(Q$8=0,0,Q$8/AGR!Q$5*1000)</f>
        <v>3.7447669405746864</v>
      </c>
      <c r="R47" s="248">
        <f>IF(R$8=0,0,R$8/AGR!R$5*1000)</f>
        <v>3.1413182077591735</v>
      </c>
      <c r="S47" s="248">
        <f>IF(S$8=0,0,S$8/AGR!S$5*1000)</f>
        <v>2.6537103929951402</v>
      </c>
      <c r="T47" s="248">
        <f>IF(T$8=0,0,T$8/AGR!T$5*1000)</f>
        <v>1.9989374715440964</v>
      </c>
      <c r="U47" s="248">
        <f>IF(U$8=0,0,U$8/AGR!U$5*1000)</f>
        <v>1.5896115721944937</v>
      </c>
      <c r="V47" s="248">
        <f>IF(V$8=0,0,V$8/AGR!V$5*1000)</f>
        <v>1.9586926796661612</v>
      </c>
      <c r="W47" s="248">
        <f>IF(W$8=0,0,W$8/AGR!W$5*1000)</f>
        <v>1.7659498783796752</v>
      </c>
      <c r="X47" s="248">
        <f>IF(X$8=0,0,X$8/AGR!X$5*1000)</f>
        <v>1.2006668818671187</v>
      </c>
      <c r="Y47" s="248">
        <f>IF(Y$8=0,0,Y$8/AGR!Y$5*1000)</f>
        <v>1.3559534623270311</v>
      </c>
      <c r="DA47" s="282"/>
    </row>
    <row r="48" spans="1:105" x14ac:dyDescent="0.25">
      <c r="A48" s="242" t="s">
        <v>122</v>
      </c>
      <c r="B48" s="249">
        <f>IF(B$9=0,0,B$9/AGR!B$5*1000)</f>
        <v>0</v>
      </c>
      <c r="C48" s="249">
        <f>IF(C$9=0,0,C$9/AGR!C$5*1000)</f>
        <v>0</v>
      </c>
      <c r="D48" s="249">
        <f>IF(D$9=0,0,D$9/AGR!D$5*1000)</f>
        <v>0</v>
      </c>
      <c r="E48" s="249">
        <f>IF(E$9=0,0,E$9/AGR!E$5*1000)</f>
        <v>0</v>
      </c>
      <c r="F48" s="249">
        <f>IF(F$9=0,0,F$9/AGR!F$5*1000)</f>
        <v>0</v>
      </c>
      <c r="G48" s="249">
        <f>IF(G$9=0,0,G$9/AGR!G$5*1000)</f>
        <v>29.514985033536089</v>
      </c>
      <c r="H48" s="249">
        <f>IF(H$9=0,0,H$9/AGR!H$5*1000)</f>
        <v>27.624829019749892</v>
      </c>
      <c r="I48" s="249">
        <f>IF(I$9=0,0,I$9/AGR!I$5*1000)</f>
        <v>25.429646826676894</v>
      </c>
      <c r="J48" s="249">
        <f>IF(J$9=0,0,J$9/AGR!J$5*1000)</f>
        <v>26.655966399200128</v>
      </c>
      <c r="K48" s="249">
        <f>IF(K$9=0,0,K$9/AGR!K$5*1000)</f>
        <v>28.573560688982305</v>
      </c>
      <c r="L48" s="249">
        <f>IF(L$9=0,0,L$9/AGR!L$5*1000)</f>
        <v>24.503579829919634</v>
      </c>
      <c r="M48" s="249">
        <f>IF(M$9=0,0,M$9/AGR!M$5*1000)</f>
        <v>21.381405958353696</v>
      </c>
      <c r="N48" s="249">
        <f>IF(N$9=0,0,N$9/AGR!N$5*1000)</f>
        <v>22.177499112770448</v>
      </c>
      <c r="O48" s="249">
        <f>IF(O$9=0,0,O$9/AGR!O$5*1000)</f>
        <v>21.377692505744001</v>
      </c>
      <c r="P48" s="249">
        <f>IF(P$9=0,0,P$9/AGR!P$5*1000)</f>
        <v>20.83779206474992</v>
      </c>
      <c r="Q48" s="249">
        <f>IF(Q$9=0,0,Q$9/AGR!Q$5*1000)</f>
        <v>23.328505150700938</v>
      </c>
      <c r="R48" s="249">
        <f>IF(R$9=0,0,R$9/AGR!R$5*1000)</f>
        <v>21.604377956772101</v>
      </c>
      <c r="S48" s="249">
        <f>IF(S$9=0,0,S$9/AGR!S$5*1000)</f>
        <v>20.435520974064943</v>
      </c>
      <c r="T48" s="249">
        <f>IF(T$9=0,0,T$9/AGR!T$5*1000)</f>
        <v>22.490457399895714</v>
      </c>
      <c r="U48" s="249">
        <f>IF(U$9=0,0,U$9/AGR!U$5*1000)</f>
        <v>23.011459449912387</v>
      </c>
      <c r="V48" s="249">
        <f>IF(V$9=0,0,V$9/AGR!V$5*1000)</f>
        <v>23.992824521245961</v>
      </c>
      <c r="W48" s="249">
        <f>IF(W$9=0,0,W$9/AGR!W$5*1000)</f>
        <v>23.047159092250649</v>
      </c>
      <c r="X48" s="249">
        <f>IF(X$9=0,0,X$9/AGR!X$5*1000)</f>
        <v>20.299564828183968</v>
      </c>
      <c r="Y48" s="249">
        <f>IF(Y$9=0,0,Y$9/AGR!Y$5*1000)</f>
        <v>20.549497327013668</v>
      </c>
      <c r="DA48" s="283"/>
    </row>
    <row r="49" spans="1:105" x14ac:dyDescent="0.25">
      <c r="A49" s="127" t="s">
        <v>168</v>
      </c>
      <c r="B49" s="262">
        <f>IF(B$16=0,0,B$16/AGR!B$5*1000)</f>
        <v>0</v>
      </c>
      <c r="C49" s="262">
        <f>IF(C$16=0,0,C$16/AGR!C$5*1000)</f>
        <v>0</v>
      </c>
      <c r="D49" s="262">
        <f>IF(D$16=0,0,D$16/AGR!D$5*1000)</f>
        <v>0</v>
      </c>
      <c r="E49" s="262">
        <f>IF(E$16=0,0,E$16/AGR!E$5*1000)</f>
        <v>0</v>
      </c>
      <c r="F49" s="262">
        <f>IF(F$16=0,0,F$16/AGR!F$5*1000)</f>
        <v>0</v>
      </c>
      <c r="G49" s="262">
        <f>IF(G$16=0,0,G$16/AGR!G$5*1000)</f>
        <v>39.189497099251028</v>
      </c>
      <c r="H49" s="262">
        <f>IF(H$16=0,0,H$16/AGR!H$5*1000)</f>
        <v>36.679779966234022</v>
      </c>
      <c r="I49" s="262">
        <f>IF(I$16=0,0,I$16/AGR!I$5*1000)</f>
        <v>33.765054239962666</v>
      </c>
      <c r="J49" s="262">
        <f>IF(J$16=0,0,J$16/AGR!J$5*1000)</f>
        <v>35.393340592659364</v>
      </c>
      <c r="K49" s="262">
        <f>IF(K$16=0,0,K$16/AGR!K$5*1000)</f>
        <v>38.330061555024841</v>
      </c>
      <c r="L49" s="262">
        <f>IF(L$16=0,0,L$16/AGR!L$5*1000)</f>
        <v>33.706157267278854</v>
      </c>
      <c r="M49" s="262">
        <f>IF(M$16=0,0,M$16/AGR!M$5*1000)</f>
        <v>29.119950530447962</v>
      </c>
      <c r="N49" s="262">
        <f>IF(N$16=0,0,N$16/AGR!N$5*1000)</f>
        <v>30.356812566062118</v>
      </c>
      <c r="O49" s="262">
        <f>IF(O$16=0,0,O$16/AGR!O$5*1000)</f>
        <v>28.048357629657076</v>
      </c>
      <c r="P49" s="262">
        <f>IF(P$16=0,0,P$16/AGR!P$5*1000)</f>
        <v>26.921060098771573</v>
      </c>
      <c r="Q49" s="262">
        <f>IF(Q$16=0,0,Q$16/AGR!Q$5*1000)</f>
        <v>28.702114215894426</v>
      </c>
      <c r="R49" s="262">
        <f>IF(R$16=0,0,R$16/AGR!R$5*1000)</f>
        <v>27.858116622296244</v>
      </c>
      <c r="S49" s="262">
        <f>IF(S$16=0,0,S$16/AGR!S$5*1000)</f>
        <v>27.352887436189313</v>
      </c>
      <c r="T49" s="262">
        <f>IF(T$16=0,0,T$16/AGR!T$5*1000)</f>
        <v>30.951025986090333</v>
      </c>
      <c r="U49" s="262">
        <f>IF(U$16=0,0,U$16/AGR!U$5*1000)</f>
        <v>31.621564051935085</v>
      </c>
      <c r="V49" s="262">
        <f>IF(V$16=0,0,V$16/AGR!V$5*1000)</f>
        <v>33.015059450828502</v>
      </c>
      <c r="W49" s="262">
        <f>IF(W$16=0,0,W$16/AGR!W$5*1000)</f>
        <v>31.706296828586936</v>
      </c>
      <c r="X49" s="262">
        <f>IF(X$16=0,0,X$16/AGR!X$5*1000)</f>
        <v>27.812831984426769</v>
      </c>
      <c r="Y49" s="262">
        <f>IF(Y$16=0,0,Y$16/AGR!Y$5*1000)</f>
        <v>28.213766784202591</v>
      </c>
      <c r="DA49" s="284"/>
    </row>
    <row r="50" spans="1:105" x14ac:dyDescent="0.25">
      <c r="A50" s="127" t="s">
        <v>121</v>
      </c>
      <c r="B50" s="262">
        <f>IF(B$17=0,0,B$17/AGR!B$5*1000)</f>
        <v>0</v>
      </c>
      <c r="C50" s="262">
        <f>IF(C$17=0,0,C$17/AGR!C$5*1000)</f>
        <v>0</v>
      </c>
      <c r="D50" s="262">
        <f>IF(D$17=0,0,D$17/AGR!D$5*1000)</f>
        <v>0</v>
      </c>
      <c r="E50" s="262">
        <f>IF(E$17=0,0,E$17/AGR!E$5*1000)</f>
        <v>0</v>
      </c>
      <c r="F50" s="262">
        <f>IF(F$17=0,0,F$17/AGR!F$5*1000)</f>
        <v>0</v>
      </c>
      <c r="G50" s="262">
        <f>IF(G$17=0,0,G$17/AGR!G$5*1000)</f>
        <v>58.058963529605528</v>
      </c>
      <c r="H50" s="262">
        <f>IF(H$17=0,0,H$17/AGR!H$5*1000)</f>
        <v>58.704293615843568</v>
      </c>
      <c r="I50" s="262">
        <f>IF(I$17=0,0,I$17/AGR!I$5*1000)</f>
        <v>52.131756433509523</v>
      </c>
      <c r="J50" s="262">
        <f>IF(J$17=0,0,J$17/AGR!J$5*1000)</f>
        <v>54.645758837874851</v>
      </c>
      <c r="K50" s="262">
        <f>IF(K$17=0,0,K$17/AGR!K$5*1000)</f>
        <v>61.301179806150458</v>
      </c>
      <c r="L50" s="262">
        <f>IF(L$17=0,0,L$17/AGR!L$5*1000)</f>
        <v>50.560011627165117</v>
      </c>
      <c r="M50" s="262">
        <f>IF(M$17=0,0,M$17/AGR!M$5*1000)</f>
        <v>46.091337067788899</v>
      </c>
      <c r="N50" s="262">
        <f>IF(N$17=0,0,N$17/AGR!N$5*1000)</f>
        <v>46.508214128289332</v>
      </c>
      <c r="O50" s="262">
        <f>IF(O$17=0,0,O$17/AGR!O$5*1000)</f>
        <v>46.504713785079211</v>
      </c>
      <c r="P50" s="262">
        <f>IF(P$17=0,0,P$17/AGR!P$5*1000)</f>
        <v>44.512680414269973</v>
      </c>
      <c r="Q50" s="262">
        <f>IF(Q$17=0,0,Q$17/AGR!Q$5*1000)</f>
        <v>38.327056600515149</v>
      </c>
      <c r="R50" s="262">
        <f>IF(R$17=0,0,R$17/AGR!R$5*1000)</f>
        <v>46.145066584386022</v>
      </c>
      <c r="S50" s="262">
        <f>IF(S$17=0,0,S$17/AGR!S$5*1000)</f>
        <v>41.472531127656609</v>
      </c>
      <c r="T50" s="262">
        <f>IF(T$17=0,0,T$17/AGR!T$5*1000)</f>
        <v>44.545334703187308</v>
      </c>
      <c r="U50" s="262">
        <f>IF(U$17=0,0,U$17/AGR!U$5*1000)</f>
        <v>44.769991109234596</v>
      </c>
      <c r="V50" s="262">
        <f>IF(V$17=0,0,V$17/AGR!V$5*1000)</f>
        <v>46.78915355781681</v>
      </c>
      <c r="W50" s="262">
        <f>IF(W$17=0,0,W$17/AGR!W$5*1000)</f>
        <v>44.956014555341866</v>
      </c>
      <c r="X50" s="262">
        <f>IF(X$17=0,0,X$17/AGR!X$5*1000)</f>
        <v>38.799276831432657</v>
      </c>
      <c r="Y50" s="262">
        <f>IF(Y$17=0,0,Y$17/AGR!Y$5*1000)</f>
        <v>39.661065809358959</v>
      </c>
      <c r="DA50" s="284"/>
    </row>
    <row r="51" spans="1:105" x14ac:dyDescent="0.25">
      <c r="A51" s="127" t="s">
        <v>167</v>
      </c>
      <c r="B51" s="262">
        <f>IF(B$25=0,0,B$25/AGR!B$5*1000)</f>
        <v>0</v>
      </c>
      <c r="C51" s="262">
        <f>IF(C$25=0,0,C$25/AGR!C$5*1000)</f>
        <v>0</v>
      </c>
      <c r="D51" s="262">
        <f>IF(D$25=0,0,D$25/AGR!D$5*1000)</f>
        <v>0</v>
      </c>
      <c r="E51" s="262">
        <f>IF(E$25=0,0,E$25/AGR!E$5*1000)</f>
        <v>0</v>
      </c>
      <c r="F51" s="262">
        <f>IF(F$25=0,0,F$25/AGR!F$5*1000)</f>
        <v>0</v>
      </c>
      <c r="G51" s="262">
        <f>IF(G$25=0,0,G$25/AGR!G$5*1000)</f>
        <v>7.5305884621209591</v>
      </c>
      <c r="H51" s="262">
        <f>IF(H$25=0,0,H$25/AGR!H$5*1000)</f>
        <v>7.0483253997188022</v>
      </c>
      <c r="I51" s="262">
        <f>IF(I$25=0,0,I$25/AGR!I$5*1000)</f>
        <v>6.4882365608925019</v>
      </c>
      <c r="J51" s="262">
        <f>IF(J$25=0,0,J$25/AGR!J$5*1000)</f>
        <v>6.8011253532541964</v>
      </c>
      <c r="K51" s="262">
        <f>IF(K$25=0,0,K$25/AGR!K$5*1000)</f>
        <v>7.3654407599982354</v>
      </c>
      <c r="L51" s="262">
        <f>IF(L$25=0,0,L$25/AGR!L$5*1000)</f>
        <v>6.4769190167601183</v>
      </c>
      <c r="M51" s="262">
        <f>IF(M$25=0,0,M$25/AGR!M$5*1000)</f>
        <v>5.5956411720913737</v>
      </c>
      <c r="N51" s="262">
        <f>IF(N$25=0,0,N$25/AGR!N$5*1000)</f>
        <v>5.8333145199029603</v>
      </c>
      <c r="O51" s="262">
        <f>IF(O$25=0,0,O$25/AGR!O$5*1000)</f>
        <v>5.389725665843633</v>
      </c>
      <c r="P51" s="262">
        <f>IF(P$25=0,0,P$25/AGR!P$5*1000)</f>
        <v>5.1731060506961368</v>
      </c>
      <c r="Q51" s="262">
        <f>IF(Q$25=0,0,Q$25/AGR!Q$5*1000)</f>
        <v>5.5153504421168771</v>
      </c>
      <c r="R51" s="262">
        <f>IF(R$25=0,0,R$25/AGR!R$5*1000)</f>
        <v>5.3531692708629697</v>
      </c>
      <c r="S51" s="262">
        <f>IF(S$25=0,0,S$25/AGR!S$5*1000)</f>
        <v>5.2560852723113181</v>
      </c>
      <c r="T51" s="262">
        <f>IF(T$25=0,0,T$25/AGR!T$5*1000)</f>
        <v>5.9474975805727341</v>
      </c>
      <c r="U51" s="262">
        <f>IF(U$25=0,0,U$25/AGR!U$5*1000)</f>
        <v>6.0763470580047896</v>
      </c>
      <c r="V51" s="262">
        <f>IF(V$25=0,0,V$25/AGR!V$5*1000)</f>
        <v>6.3441188119098939</v>
      </c>
      <c r="W51" s="262">
        <f>IF(W$25=0,0,W$25/AGR!W$5*1000)</f>
        <v>6.0926291671781154</v>
      </c>
      <c r="X51" s="262">
        <f>IF(X$25=0,0,X$25/AGR!X$5*1000)</f>
        <v>5.344467450306623</v>
      </c>
      <c r="Y51" s="262">
        <f>IF(Y$25=0,0,Y$25/AGR!Y$5*1000)</f>
        <v>5.4215104133639951</v>
      </c>
      <c r="DA51" s="284"/>
    </row>
    <row r="52" spans="1:105" x14ac:dyDescent="0.25">
      <c r="A52" s="127" t="s">
        <v>170</v>
      </c>
      <c r="B52" s="262">
        <f>IF(B$26=0,0,B$26/AGR!B$5*1000)</f>
        <v>0</v>
      </c>
      <c r="C52" s="262">
        <f>IF(C$26=0,0,C$26/AGR!C$5*1000)</f>
        <v>0</v>
      </c>
      <c r="D52" s="262">
        <f>IF(D$26=0,0,D$26/AGR!D$5*1000)</f>
        <v>0</v>
      </c>
      <c r="E52" s="262">
        <f>IF(E$26=0,0,E$26/AGR!E$5*1000)</f>
        <v>0</v>
      </c>
      <c r="F52" s="262">
        <f>IF(F$26=0,0,F$26/AGR!F$5*1000)</f>
        <v>0</v>
      </c>
      <c r="G52" s="262">
        <f>IF(G$26=0,0,G$26/AGR!G$5*1000)</f>
        <v>0</v>
      </c>
      <c r="H52" s="262">
        <f>IF(H$26=0,0,H$26/AGR!H$5*1000)</f>
        <v>0</v>
      </c>
      <c r="I52" s="262">
        <f>IF(I$26=0,0,I$26/AGR!I$5*1000)</f>
        <v>0</v>
      </c>
      <c r="J52" s="262">
        <f>IF(J$26=0,0,J$26/AGR!J$5*1000)</f>
        <v>0</v>
      </c>
      <c r="K52" s="262">
        <f>IF(K$26=0,0,K$26/AGR!K$5*1000)</f>
        <v>0.45267223559312114</v>
      </c>
      <c r="L52" s="262">
        <f>IF(L$26=0,0,L$26/AGR!L$5*1000)</f>
        <v>2.6459009185623383</v>
      </c>
      <c r="M52" s="262">
        <f>IF(M$26=0,0,M$26/AGR!M$5*1000)</f>
        <v>2.7665954970303264</v>
      </c>
      <c r="N52" s="262">
        <f>IF(N$26=0,0,N$26/AGR!N$5*1000)</f>
        <v>2.6872656245175079</v>
      </c>
      <c r="O52" s="262">
        <f>IF(O$26=0,0,O$26/AGR!O$5*1000)</f>
        <v>3.3148675104888832</v>
      </c>
      <c r="P52" s="262">
        <f>IF(P$26=0,0,P$26/AGR!P$5*1000)</f>
        <v>3.353602915848318</v>
      </c>
      <c r="Q52" s="262">
        <f>IF(Q$26=0,0,Q$26/AGR!Q$5*1000)</f>
        <v>4.1608521561940961</v>
      </c>
      <c r="R52" s="262">
        <f>IF(R$26=0,0,R$26/AGR!R$5*1000)</f>
        <v>3.4903535641768588</v>
      </c>
      <c r="S52" s="262">
        <f>IF(S$26=0,0,S$26/AGR!S$5*1000)</f>
        <v>2.9485671033279348</v>
      </c>
      <c r="T52" s="262">
        <f>IF(T$26=0,0,T$26/AGR!T$5*1000)</f>
        <v>2.221041635048997</v>
      </c>
      <c r="U52" s="262">
        <f>IF(U$26=0,0,U$26/AGR!U$5*1000)</f>
        <v>1.766235080216104</v>
      </c>
      <c r="V52" s="262">
        <f>IF(V$26=0,0,V$26/AGR!V$5*1000)</f>
        <v>2.1763251996290687</v>
      </c>
      <c r="W52" s="262">
        <f>IF(W$26=0,0,W$26/AGR!W$5*1000)</f>
        <v>1.9621665315329713</v>
      </c>
      <c r="X52" s="262">
        <f>IF(X$26=0,0,X$26/AGR!X$5*1000)</f>
        <v>1.334074313185688</v>
      </c>
      <c r="Y52" s="262">
        <f>IF(Y$26=0,0,Y$26/AGR!Y$5*1000)</f>
        <v>1.5066149581411457</v>
      </c>
      <c r="DA52" s="284"/>
    </row>
    <row r="53" spans="1:105" x14ac:dyDescent="0.25">
      <c r="A53" s="260" t="s">
        <v>33</v>
      </c>
      <c r="B53" s="263">
        <f>IF(B$27=0,0,B$27/AGR!B$5*1000)</f>
        <v>0</v>
      </c>
      <c r="C53" s="263">
        <f>IF(C$27=0,0,C$27/AGR!C$5*1000)</f>
        <v>0</v>
      </c>
      <c r="D53" s="263">
        <f>IF(D$27=0,0,D$27/AGR!D$5*1000)</f>
        <v>0</v>
      </c>
      <c r="E53" s="263">
        <f>IF(E$27=0,0,E$27/AGR!E$5*1000)</f>
        <v>0</v>
      </c>
      <c r="F53" s="263">
        <f>IF(F$27=0,0,F$27/AGR!F$5*1000)</f>
        <v>0</v>
      </c>
      <c r="G53" s="263">
        <f>IF(G$27=0,0,G$27/AGR!G$5*1000)</f>
        <v>0</v>
      </c>
      <c r="H53" s="263">
        <f>IF(H$27=0,0,H$27/AGR!H$5*1000)</f>
        <v>0</v>
      </c>
      <c r="I53" s="263">
        <f>IF(I$27=0,0,I$27/AGR!I$5*1000)</f>
        <v>0</v>
      </c>
      <c r="J53" s="263">
        <f>IF(J$27=0,0,J$27/AGR!J$5*1000)</f>
        <v>0</v>
      </c>
      <c r="K53" s="263">
        <f>IF(K$27=0,0,K$27/AGR!K$5*1000)</f>
        <v>0.65637474161002562</v>
      </c>
      <c r="L53" s="263">
        <f>IF(L$27=0,0,L$27/AGR!L$5*1000)</f>
        <v>3.8365563319153915</v>
      </c>
      <c r="M53" s="263">
        <f>IF(M$27=0,0,M$27/AGR!M$5*1000)</f>
        <v>4.0115634706939733</v>
      </c>
      <c r="N53" s="263">
        <f>IF(N$27=0,0,N$27/AGR!N$5*1000)</f>
        <v>3.896535155550386</v>
      </c>
      <c r="O53" s="263">
        <f>IF(O$27=0,0,O$27/AGR!O$5*1000)</f>
        <v>4.8065578902088788</v>
      </c>
      <c r="P53" s="263">
        <f>IF(P$27=0,0,P$27/AGR!P$5*1000)</f>
        <v>4.8627242279800624</v>
      </c>
      <c r="Q53" s="263">
        <f>IF(Q$27=0,0,Q$27/AGR!Q$5*1000)</f>
        <v>6.0332356264814395</v>
      </c>
      <c r="R53" s="263">
        <f>IF(R$27=0,0,R$27/AGR!R$5*1000)</f>
        <v>5.0610126680564456</v>
      </c>
      <c r="S53" s="263">
        <f>IF(S$27=0,0,S$27/AGR!S$5*1000)</f>
        <v>4.2754222998255056</v>
      </c>
      <c r="T53" s="263">
        <f>IF(T$27=0,0,T$27/AGR!T$5*1000)</f>
        <v>3.220510370821045</v>
      </c>
      <c r="U53" s="263">
        <f>IF(U$27=0,0,U$27/AGR!U$5*1000)</f>
        <v>2.5610408663133515</v>
      </c>
      <c r="V53" s="263">
        <f>IF(V$27=0,0,V$27/AGR!V$5*1000)</f>
        <v>3.1556715394621486</v>
      </c>
      <c r="W53" s="263">
        <f>IF(W$27=0,0,W$27/AGR!W$5*1000)</f>
        <v>2.8451414707228087</v>
      </c>
      <c r="X53" s="263">
        <f>IF(X$27=0,0,X$27/AGR!X$5*1000)</f>
        <v>1.9344077541192475</v>
      </c>
      <c r="Y53" s="263">
        <f>IF(Y$27=0,0,Y$27/AGR!Y$5*1000)</f>
        <v>2.1845916893046611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0</v>
      </c>
      <c r="C5" s="80">
        <f t="shared" ref="C5:W5" si="1">SUM(C6:C9,C16:C17,C25:C27)</f>
        <v>0</v>
      </c>
      <c r="D5" s="80">
        <f t="shared" si="1"/>
        <v>0</v>
      </c>
      <c r="E5" s="80">
        <f t="shared" si="1"/>
        <v>0</v>
      </c>
      <c r="F5" s="80">
        <f t="shared" si="1"/>
        <v>0</v>
      </c>
      <c r="G5" s="80">
        <f t="shared" si="1"/>
        <v>3.095603374032005</v>
      </c>
      <c r="H5" s="80">
        <f t="shared" si="1"/>
        <v>1.9111979862279489</v>
      </c>
      <c r="I5" s="80">
        <f t="shared" si="1"/>
        <v>2.3064340820648033</v>
      </c>
      <c r="J5" s="80">
        <f t="shared" si="1"/>
        <v>2.3064340820648033</v>
      </c>
      <c r="K5" s="80">
        <f t="shared" si="1"/>
        <v>1.9545235672876109</v>
      </c>
      <c r="L5" s="80">
        <f t="shared" si="1"/>
        <v>3.2046551728678656</v>
      </c>
      <c r="M5" s="80">
        <f t="shared" si="1"/>
        <v>2.3834995953208744</v>
      </c>
      <c r="N5" s="80">
        <f t="shared" si="1"/>
        <v>2.8230893542655378</v>
      </c>
      <c r="O5" s="80">
        <f t="shared" si="1"/>
        <v>2.0565623819739804</v>
      </c>
      <c r="P5" s="80">
        <f t="shared" si="1"/>
        <v>2.1118630541689458</v>
      </c>
      <c r="Q5" s="80">
        <f t="shared" si="1"/>
        <v>1.7840015785208441</v>
      </c>
      <c r="R5" s="80">
        <f t="shared" si="1"/>
        <v>2.1013383770847458</v>
      </c>
      <c r="S5" s="80">
        <f t="shared" si="1"/>
        <v>2.5995865758458914</v>
      </c>
      <c r="T5" s="80">
        <f t="shared" si="1"/>
        <v>5.1964973727358608</v>
      </c>
      <c r="U5" s="80">
        <f t="shared" si="1"/>
        <v>6.5146549927958857</v>
      </c>
      <c r="V5" s="80">
        <f t="shared" si="1"/>
        <v>5.9052883959448508</v>
      </c>
      <c r="W5" s="80">
        <f t="shared" si="1"/>
        <v>6.1748438166868791</v>
      </c>
      <c r="X5" s="80">
        <f t="shared" ref="X5:Y5" si="2">SUM(X6:X9,X16:X17,X25:X27)</f>
        <v>8.1687562339808046</v>
      </c>
      <c r="Y5" s="80">
        <f t="shared" si="2"/>
        <v>6.9249900017127777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8.4495411268046654E-3</v>
      </c>
      <c r="L6" s="239">
        <v>8.2584845362791467E-2</v>
      </c>
      <c r="M6" s="239">
        <v>7.0609565544366162E-2</v>
      </c>
      <c r="N6" s="239">
        <v>7.9784199462757929E-2</v>
      </c>
      <c r="O6" s="239">
        <v>7.0389321237494751E-2</v>
      </c>
      <c r="P6" s="239">
        <v>7.4818993506228795E-2</v>
      </c>
      <c r="Q6" s="239">
        <v>7.2705789090247178E-2</v>
      </c>
      <c r="R6" s="239">
        <v>7.4678390300365077E-2</v>
      </c>
      <c r="S6" s="239">
        <v>8.5374287152358647E-2</v>
      </c>
      <c r="T6" s="239">
        <v>0.12526335082762519</v>
      </c>
      <c r="U6" s="239">
        <v>0.12676201515587859</v>
      </c>
      <c r="V6" s="239">
        <v>0.13287817641455241</v>
      </c>
      <c r="W6" s="239">
        <v>0.13150639556960711</v>
      </c>
      <c r="X6" s="239">
        <v>0.1390952298565773</v>
      </c>
      <c r="Y6" s="239">
        <v>0.1296618759378603</v>
      </c>
      <c r="DA6" s="267" t="s">
        <v>1016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5.4462205459156676E-3</v>
      </c>
      <c r="L7" s="241">
        <v>5.3230734645372778E-2</v>
      </c>
      <c r="M7" s="241">
        <v>4.5511970512336221E-2</v>
      </c>
      <c r="N7" s="241">
        <v>5.1425555522188193E-2</v>
      </c>
      <c r="O7" s="241">
        <v>4.5370010250683809E-2</v>
      </c>
      <c r="P7" s="241">
        <v>4.8225191586522269E-2</v>
      </c>
      <c r="Q7" s="241">
        <v>4.6863108470371888E-2</v>
      </c>
      <c r="R7" s="241">
        <v>4.813456464511745E-2</v>
      </c>
      <c r="S7" s="241">
        <v>5.5028692067910542E-2</v>
      </c>
      <c r="T7" s="241">
        <v>8.0739512914311862E-2</v>
      </c>
      <c r="U7" s="241">
        <v>8.1705489212133831E-2</v>
      </c>
      <c r="V7" s="241">
        <v>8.5647710761118587E-2</v>
      </c>
      <c r="W7" s="241">
        <v>8.4763518245795574E-2</v>
      </c>
      <c r="X7" s="241">
        <v>8.9654963188543157E-2</v>
      </c>
      <c r="Y7" s="241">
        <v>8.3574618095479017E-2</v>
      </c>
      <c r="DA7" s="268" t="s">
        <v>1017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1.0822905013792541E-2</v>
      </c>
      <c r="L8" s="241">
        <v>0.1057818316434713</v>
      </c>
      <c r="M8" s="241">
        <v>9.044285476373895E-2</v>
      </c>
      <c r="N8" s="241">
        <v>0.1021945215045604</v>
      </c>
      <c r="O8" s="241">
        <v>9.0160746756058383E-2</v>
      </c>
      <c r="P8" s="241">
        <v>9.5834655136082955E-2</v>
      </c>
      <c r="Q8" s="241">
        <v>9.3127879664413632E-2</v>
      </c>
      <c r="R8" s="241">
        <v>9.5654558356996336E-2</v>
      </c>
      <c r="S8" s="241">
        <v>0.1093547905860837</v>
      </c>
      <c r="T8" s="241">
        <v>0.1604481624944103</v>
      </c>
      <c r="U8" s="241">
        <v>0.16236778172921021</v>
      </c>
      <c r="V8" s="241">
        <v>0.170201891458752</v>
      </c>
      <c r="W8" s="241">
        <v>0.16844479559262451</v>
      </c>
      <c r="X8" s="241">
        <v>0.1781652326460329</v>
      </c>
      <c r="Y8" s="241">
        <v>0.16608217489276869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0</v>
      </c>
      <c r="C9" s="243">
        <f t="shared" ref="C9:W9" si="4">SUM(C10:C15)</f>
        <v>0</v>
      </c>
      <c r="D9" s="243">
        <f t="shared" si="4"/>
        <v>0</v>
      </c>
      <c r="E9" s="243">
        <f t="shared" si="4"/>
        <v>0</v>
      </c>
      <c r="F9" s="243">
        <f t="shared" si="4"/>
        <v>0</v>
      </c>
      <c r="G9" s="243">
        <f t="shared" si="4"/>
        <v>1.140475083461975</v>
      </c>
      <c r="H9" s="243">
        <f t="shared" si="4"/>
        <v>0.68887228726870808</v>
      </c>
      <c r="I9" s="243">
        <f t="shared" si="4"/>
        <v>0.84004117039319059</v>
      </c>
      <c r="J9" s="243">
        <f t="shared" si="4"/>
        <v>0.84004117039319059</v>
      </c>
      <c r="K9" s="243">
        <f t="shared" si="4"/>
        <v>0.68364869560784447</v>
      </c>
      <c r="L9" s="243">
        <f t="shared" si="4"/>
        <v>1.0062989653055348</v>
      </c>
      <c r="M9" s="243">
        <f t="shared" si="4"/>
        <v>0.73404183324829142</v>
      </c>
      <c r="N9" s="243">
        <f t="shared" si="4"/>
        <v>0.87682741199913294</v>
      </c>
      <c r="O9" s="243">
        <f t="shared" si="4"/>
        <v>0.63774155972244895</v>
      </c>
      <c r="P9" s="243">
        <f t="shared" si="4"/>
        <v>0.66168431369994896</v>
      </c>
      <c r="Q9" s="243">
        <f t="shared" si="4"/>
        <v>0.59347958228575304</v>
      </c>
      <c r="R9" s="243">
        <f t="shared" si="4"/>
        <v>0.65898267173007818</v>
      </c>
      <c r="S9" s="243">
        <f t="shared" si="4"/>
        <v>0.81099476006712035</v>
      </c>
      <c r="T9" s="243">
        <f t="shared" si="4"/>
        <v>1.6573707146000354</v>
      </c>
      <c r="U9" s="243">
        <f t="shared" si="4"/>
        <v>2.1355502523703724</v>
      </c>
      <c r="V9" s="243">
        <f t="shared" si="4"/>
        <v>1.9053262685872567</v>
      </c>
      <c r="W9" s="243">
        <f t="shared" si="4"/>
        <v>2.0038826433154311</v>
      </c>
      <c r="X9" s="243">
        <f t="shared" ref="X9:Y9" si="5">SUM(X10:X15)</f>
        <v>2.7276163439876879</v>
      </c>
      <c r="Y9" s="243">
        <f t="shared" si="5"/>
        <v>2.2841346191652372</v>
      </c>
      <c r="DA9" s="269"/>
    </row>
    <row r="10" spans="1:105" x14ac:dyDescent="0.25">
      <c r="A10" s="253" t="s">
        <v>166</v>
      </c>
      <c r="B10" s="254">
        <v>0</v>
      </c>
      <c r="C10" s="254">
        <v>0</v>
      </c>
      <c r="D10" s="254">
        <v>0</v>
      </c>
      <c r="E10" s="254">
        <v>0</v>
      </c>
      <c r="F10" s="254">
        <v>0</v>
      </c>
      <c r="G10" s="254">
        <v>1.140475083461975</v>
      </c>
      <c r="H10" s="254">
        <v>0.68887228726870808</v>
      </c>
      <c r="I10" s="254">
        <v>0.84004117039319059</v>
      </c>
      <c r="J10" s="254">
        <v>0.84004117039319059</v>
      </c>
      <c r="K10" s="254">
        <v>0.6834308122640933</v>
      </c>
      <c r="L10" s="254">
        <v>0.91212549444327218</v>
      </c>
      <c r="M10" s="254">
        <v>0.60885289321439273</v>
      </c>
      <c r="N10" s="254">
        <v>0.75784394624017415</v>
      </c>
      <c r="O10" s="254">
        <v>0.4355319775380358</v>
      </c>
      <c r="P10" s="254">
        <v>0.42364616098620722</v>
      </c>
      <c r="Q10" s="254">
        <v>0.33672125204712461</v>
      </c>
      <c r="R10" s="254">
        <v>0.4184227790880134</v>
      </c>
      <c r="S10" s="254">
        <v>0.6207450914018644</v>
      </c>
      <c r="T10" s="254">
        <v>1.542952854314336</v>
      </c>
      <c r="U10" s="254">
        <v>2.0675142441343102</v>
      </c>
      <c r="V10" s="254">
        <v>1.8049160928418719</v>
      </c>
      <c r="W10" s="254">
        <v>1.9166187608006009</v>
      </c>
      <c r="X10" s="254">
        <v>2.6736479866459848</v>
      </c>
      <c r="Y10" s="254">
        <v>2.2210683160770039</v>
      </c>
      <c r="DA10" s="270" t="s">
        <v>1019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0</v>
      </c>
      <c r="J11" s="255">
        <v>0</v>
      </c>
      <c r="K11" s="255">
        <v>0</v>
      </c>
      <c r="L11" s="255">
        <v>0</v>
      </c>
      <c r="M11" s="255">
        <v>0</v>
      </c>
      <c r="N11" s="255">
        <v>0</v>
      </c>
      <c r="O11" s="255">
        <v>0</v>
      </c>
      <c r="P11" s="255">
        <v>0</v>
      </c>
      <c r="Q11" s="255">
        <v>0</v>
      </c>
      <c r="R11" s="255">
        <v>0</v>
      </c>
      <c r="S11" s="255">
        <v>0</v>
      </c>
      <c r="T11" s="255">
        <v>0</v>
      </c>
      <c r="U11" s="255">
        <v>0</v>
      </c>
      <c r="V11" s="255">
        <v>0</v>
      </c>
      <c r="W11" s="255">
        <v>0</v>
      </c>
      <c r="X11" s="255">
        <v>0</v>
      </c>
      <c r="Y11" s="255">
        <v>0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1023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2.178833437511151E-4</v>
      </c>
      <c r="L15" s="255">
        <v>9.4173470862262465E-2</v>
      </c>
      <c r="M15" s="255">
        <v>0.12518894003389869</v>
      </c>
      <c r="N15" s="255">
        <v>0.1189834657589588</v>
      </c>
      <c r="O15" s="255">
        <v>0.20220958218441309</v>
      </c>
      <c r="P15" s="255">
        <v>0.23803815271374171</v>
      </c>
      <c r="Q15" s="255">
        <v>0.25675833023862837</v>
      </c>
      <c r="R15" s="255">
        <v>0.24055989264206479</v>
      </c>
      <c r="S15" s="255">
        <v>0.190249668665256</v>
      </c>
      <c r="T15" s="255">
        <v>0.11441786028569929</v>
      </c>
      <c r="U15" s="255">
        <v>6.8036008236062123E-2</v>
      </c>
      <c r="V15" s="255">
        <v>0.1004101757453848</v>
      </c>
      <c r="W15" s="255">
        <v>8.7263882514830235E-2</v>
      </c>
      <c r="X15" s="255">
        <v>5.396835734170307E-2</v>
      </c>
      <c r="Y15" s="255">
        <v>6.3066303088233133E-2</v>
      </c>
      <c r="DA15" s="271" t="s">
        <v>1024</v>
      </c>
    </row>
    <row r="16" spans="1:105" x14ac:dyDescent="0.25">
      <c r="A16" s="256" t="s">
        <v>168</v>
      </c>
      <c r="B16" s="257">
        <v>0</v>
      </c>
      <c r="C16" s="257">
        <v>0</v>
      </c>
      <c r="D16" s="257">
        <v>0</v>
      </c>
      <c r="E16" s="257">
        <v>0</v>
      </c>
      <c r="F16" s="257">
        <v>0</v>
      </c>
      <c r="G16" s="257">
        <v>0.84545377556371981</v>
      </c>
      <c r="H16" s="257">
        <v>0.51067286308843174</v>
      </c>
      <c r="I16" s="257">
        <v>0.62273695360532499</v>
      </c>
      <c r="J16" s="257">
        <v>0.62273695360532499</v>
      </c>
      <c r="K16" s="257">
        <v>0.51197269648062238</v>
      </c>
      <c r="L16" s="257">
        <v>0.75282501860355533</v>
      </c>
      <c r="M16" s="257">
        <v>0.53182227602887033</v>
      </c>
      <c r="N16" s="257">
        <v>0.64494173582367675</v>
      </c>
      <c r="O16" s="257">
        <v>0.42619274878373747</v>
      </c>
      <c r="P16" s="257">
        <v>0.42978415333814918</v>
      </c>
      <c r="Q16" s="257">
        <v>0.35888773274527219</v>
      </c>
      <c r="R16" s="257">
        <v>0.42651596897281713</v>
      </c>
      <c r="S16" s="257">
        <v>0.56673139370712688</v>
      </c>
      <c r="T16" s="257">
        <v>1.2491091595910511</v>
      </c>
      <c r="U16" s="257">
        <v>1.623984924069301</v>
      </c>
      <c r="V16" s="257">
        <v>1.442447349829189</v>
      </c>
      <c r="W16" s="257">
        <v>1.5205984718887839</v>
      </c>
      <c r="X16" s="257">
        <v>2.0750828663428669</v>
      </c>
      <c r="Y16" s="257">
        <v>1.7375172132319889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0</v>
      </c>
      <c r="C17" s="257">
        <f t="shared" ref="C17:W17" si="7">SUM(C18:C24)</f>
        <v>0</v>
      </c>
      <c r="D17" s="257">
        <f t="shared" si="7"/>
        <v>0</v>
      </c>
      <c r="E17" s="257">
        <f t="shared" si="7"/>
        <v>0</v>
      </c>
      <c r="F17" s="257">
        <f t="shared" si="7"/>
        <v>0</v>
      </c>
      <c r="G17" s="257">
        <f t="shared" si="7"/>
        <v>0.9959518228785027</v>
      </c>
      <c r="H17" s="257">
        <f t="shared" si="7"/>
        <v>0.64296180335598119</v>
      </c>
      <c r="I17" s="257">
        <f t="shared" si="7"/>
        <v>0.75989109131854982</v>
      </c>
      <c r="J17" s="257">
        <f t="shared" si="7"/>
        <v>0.75989109131854982</v>
      </c>
      <c r="K17" s="257">
        <f t="shared" si="7"/>
        <v>0.64416899848957343</v>
      </c>
      <c r="L17" s="257">
        <f t="shared" si="7"/>
        <v>0.89596631671228266</v>
      </c>
      <c r="M17" s="257">
        <f t="shared" si="7"/>
        <v>0.66280422153190011</v>
      </c>
      <c r="N17" s="257">
        <f t="shared" si="7"/>
        <v>0.78146976887227781</v>
      </c>
      <c r="O17" s="257">
        <f t="shared" si="7"/>
        <v>0.55320069405263728</v>
      </c>
      <c r="P17" s="257">
        <f t="shared" si="7"/>
        <v>0.55643818974061487</v>
      </c>
      <c r="Q17" s="257">
        <f t="shared" si="7"/>
        <v>0.38868547493417949</v>
      </c>
      <c r="R17" s="257">
        <f t="shared" si="7"/>
        <v>0.55308619253375224</v>
      </c>
      <c r="S17" s="257">
        <f t="shared" si="7"/>
        <v>0.6821850142079614</v>
      </c>
      <c r="T17" s="257">
        <f t="shared" si="7"/>
        <v>1.4420219758884765</v>
      </c>
      <c r="U17" s="257">
        <f t="shared" si="7"/>
        <v>1.8485641257654988</v>
      </c>
      <c r="V17" s="257">
        <f t="shared" si="7"/>
        <v>1.6421770226229555</v>
      </c>
      <c r="W17" s="257">
        <f t="shared" si="7"/>
        <v>1.7319593188570241</v>
      </c>
      <c r="X17" s="257">
        <f t="shared" ref="X17:Y17" si="8">SUM(X18:X24)</f>
        <v>2.3318744223910395</v>
      </c>
      <c r="Y17" s="257">
        <f t="shared" si="8"/>
        <v>1.9657696156162783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1.54605575308092E-2</v>
      </c>
      <c r="T19" s="55">
        <v>5.422771260735007E-2</v>
      </c>
      <c r="U19" s="55">
        <v>5.7520476941052938E-2</v>
      </c>
      <c r="V19" s="55">
        <v>4.175122275102823E-2</v>
      </c>
      <c r="W19" s="55">
        <v>4.5043987085146613E-2</v>
      </c>
      <c r="X19" s="55">
        <v>5.3250173197167447E-2</v>
      </c>
      <c r="Y19" s="55">
        <v>5.5539673396680013E-2</v>
      </c>
      <c r="DA19" s="101" t="s">
        <v>1027</v>
      </c>
    </row>
    <row r="20" spans="1:105" x14ac:dyDescent="0.25">
      <c r="A20" s="61" t="s">
        <v>166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0.72215688817494494</v>
      </c>
      <c r="H20" s="55">
        <v>0.36916686868882043</v>
      </c>
      <c r="I20" s="55">
        <v>0.48609615665215661</v>
      </c>
      <c r="J20" s="55">
        <v>0.48609615665215661</v>
      </c>
      <c r="K20" s="55">
        <v>0.37037406377189741</v>
      </c>
      <c r="L20" s="55">
        <v>0.62217138199942579</v>
      </c>
      <c r="M20" s="55">
        <v>0.38900928683169828</v>
      </c>
      <c r="N20" s="55">
        <v>0.50767483415841186</v>
      </c>
      <c r="O20" s="55">
        <v>0.27940575934836559</v>
      </c>
      <c r="P20" s="55">
        <v>0.28264325504018589</v>
      </c>
      <c r="Q20" s="55">
        <v>0.38868547493417949</v>
      </c>
      <c r="R20" s="55">
        <v>0.27929125782910991</v>
      </c>
      <c r="S20" s="55">
        <v>0.45479929161694932</v>
      </c>
      <c r="T20" s="55">
        <v>1.1344468404153349</v>
      </c>
      <c r="U20" s="55">
        <v>1.532905273061526</v>
      </c>
      <c r="V20" s="55">
        <v>1.357783520559916</v>
      </c>
      <c r="W20" s="55">
        <v>1.4300606563093581</v>
      </c>
      <c r="X20" s="55">
        <v>2.0273628393050132</v>
      </c>
      <c r="Y20" s="55">
        <v>1.6674501235810739</v>
      </c>
      <c r="DA20" s="101" t="s">
        <v>1028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0.27379493470355781</v>
      </c>
      <c r="H21" s="55">
        <v>0.27379493466716082</v>
      </c>
      <c r="I21" s="55">
        <v>0.27379493466639321</v>
      </c>
      <c r="J21" s="55">
        <v>0.27379493466639321</v>
      </c>
      <c r="K21" s="55">
        <v>0.27379493471767602</v>
      </c>
      <c r="L21" s="55">
        <v>0.27379493471285687</v>
      </c>
      <c r="M21" s="55">
        <v>0.27379493470020189</v>
      </c>
      <c r="N21" s="55">
        <v>0.27379493471386601</v>
      </c>
      <c r="O21" s="55">
        <v>0.27379493470427169</v>
      </c>
      <c r="P21" s="55">
        <v>0.27379493470042898</v>
      </c>
      <c r="Q21" s="55">
        <v>0</v>
      </c>
      <c r="R21" s="55">
        <v>0.27379493470464228</v>
      </c>
      <c r="S21" s="55">
        <v>0.2119251650602029</v>
      </c>
      <c r="T21" s="55">
        <v>0.25334742286579143</v>
      </c>
      <c r="U21" s="55">
        <v>0.25813837576291992</v>
      </c>
      <c r="V21" s="55">
        <v>0.24264227931201129</v>
      </c>
      <c r="W21" s="55">
        <v>0.25685467546251939</v>
      </c>
      <c r="X21" s="55">
        <v>0.25126140988885881</v>
      </c>
      <c r="Y21" s="55">
        <v>0.24277981863852441</v>
      </c>
      <c r="DA21" s="101" t="s">
        <v>1029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1" t="s">
        <v>1030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0</v>
      </c>
      <c r="C25" s="257">
        <v>0</v>
      </c>
      <c r="D25" s="257">
        <v>0</v>
      </c>
      <c r="E25" s="257">
        <v>0</v>
      </c>
      <c r="F25" s="257">
        <v>0</v>
      </c>
      <c r="G25" s="257">
        <v>0.1137226921278074</v>
      </c>
      <c r="H25" s="257">
        <v>6.8691032514828068E-2</v>
      </c>
      <c r="I25" s="257">
        <v>8.3764866747738045E-2</v>
      </c>
      <c r="J25" s="257">
        <v>8.3764866747738045E-2</v>
      </c>
      <c r="K25" s="257">
        <v>6.8865874187962722E-2</v>
      </c>
      <c r="L25" s="257">
        <v>0.10126312081305559</v>
      </c>
      <c r="M25" s="257">
        <v>7.1535857679758813E-2</v>
      </c>
      <c r="N25" s="257">
        <v>8.6751650514004797E-2</v>
      </c>
      <c r="O25" s="257">
        <v>5.7327541916434438E-2</v>
      </c>
      <c r="P25" s="257">
        <v>5.7810624736870708E-2</v>
      </c>
      <c r="Q25" s="257">
        <v>4.8274288103124507E-2</v>
      </c>
      <c r="R25" s="257">
        <v>5.7371018533506388E-2</v>
      </c>
      <c r="S25" s="257">
        <v>7.6231512199168489E-2</v>
      </c>
      <c r="T25" s="257">
        <v>0.16801871432353799</v>
      </c>
      <c r="U25" s="257">
        <v>0.21844356590281089</v>
      </c>
      <c r="V25" s="257">
        <v>0.19402479546066359</v>
      </c>
      <c r="W25" s="257">
        <v>0.2045369680362725</v>
      </c>
      <c r="X25" s="257">
        <v>0.27912112615672202</v>
      </c>
      <c r="Y25" s="257">
        <v>0.23371488875946839</v>
      </c>
      <c r="DA25" s="272" t="s">
        <v>1033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8.3788008398702606E-3</v>
      </c>
      <c r="L26" s="257">
        <v>8.1893437915958142E-2</v>
      </c>
      <c r="M26" s="257">
        <v>7.0018416172824977E-2</v>
      </c>
      <c r="N26" s="257">
        <v>7.9116239264904964E-2</v>
      </c>
      <c r="O26" s="257">
        <v>6.9800015770282789E-2</v>
      </c>
      <c r="P26" s="257">
        <v>7.4192602440803515E-2</v>
      </c>
      <c r="Q26" s="257">
        <v>7.2097089954418339E-2</v>
      </c>
      <c r="R26" s="257">
        <v>7.4053176377103777E-2</v>
      </c>
      <c r="S26" s="257">
        <v>8.4659526258323931E-2</v>
      </c>
      <c r="T26" s="257">
        <v>0.1242146352527875</v>
      </c>
      <c r="U26" s="257">
        <v>0.12570075263405209</v>
      </c>
      <c r="V26" s="257">
        <v>0.13176570886325939</v>
      </c>
      <c r="W26" s="257">
        <v>0.13040541268583941</v>
      </c>
      <c r="X26" s="257">
        <v>0.1379307125977588</v>
      </c>
      <c r="Y26" s="257">
        <v>0.12857633553150619</v>
      </c>
      <c r="DA26" s="272" t="s">
        <v>1034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1.2769834995225099E-2</v>
      </c>
      <c r="L27" s="258">
        <v>0.1248109018658438</v>
      </c>
      <c r="M27" s="258">
        <v>0.106712599838788</v>
      </c>
      <c r="N27" s="258">
        <v>0.1205782713020339</v>
      </c>
      <c r="O27" s="258">
        <v>0.1063797434842028</v>
      </c>
      <c r="P27" s="258">
        <v>0.1130743299837243</v>
      </c>
      <c r="Q27" s="258">
        <v>0.1098806332730638</v>
      </c>
      <c r="R27" s="258">
        <v>0.1128618356350095</v>
      </c>
      <c r="S27" s="258">
        <v>0.12902659959983759</v>
      </c>
      <c r="T27" s="258">
        <v>0.1893111468436251</v>
      </c>
      <c r="U27" s="258">
        <v>0.19157608595662801</v>
      </c>
      <c r="V27" s="258">
        <v>0.2008194719471034</v>
      </c>
      <c r="W27" s="258">
        <v>0.19874629249550091</v>
      </c>
      <c r="X27" s="258">
        <v>0.21021533681357549</v>
      </c>
      <c r="Y27" s="258">
        <v>0.19595866048219091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</v>
      </c>
      <c r="C31" s="235">
        <f t="shared" si="9"/>
        <v>0</v>
      </c>
      <c r="D31" s="235">
        <f t="shared" si="9"/>
        <v>0</v>
      </c>
      <c r="E31" s="235">
        <f t="shared" si="9"/>
        <v>0</v>
      </c>
      <c r="F31" s="235">
        <f t="shared" si="9"/>
        <v>0</v>
      </c>
      <c r="G31" s="235">
        <f t="shared" si="9"/>
        <v>1</v>
      </c>
      <c r="H31" s="235">
        <f t="shared" si="9"/>
        <v>1</v>
      </c>
      <c r="I31" s="235">
        <f t="shared" si="9"/>
        <v>1</v>
      </c>
      <c r="J31" s="235">
        <f t="shared" si="9"/>
        <v>1</v>
      </c>
      <c r="K31" s="235">
        <f t="shared" si="9"/>
        <v>1</v>
      </c>
      <c r="L31" s="235">
        <f t="shared" si="9"/>
        <v>1</v>
      </c>
      <c r="M31" s="235">
        <f t="shared" si="9"/>
        <v>1.0000000000000002</v>
      </c>
      <c r="N31" s="235">
        <f t="shared" si="9"/>
        <v>1</v>
      </c>
      <c r="O31" s="235">
        <f t="shared" si="9"/>
        <v>1.0000000000000002</v>
      </c>
      <c r="P31" s="235">
        <f t="shared" si="9"/>
        <v>1</v>
      </c>
      <c r="Q31" s="235">
        <f t="shared" si="9"/>
        <v>0.99999999999999989</v>
      </c>
      <c r="R31" s="235">
        <f t="shared" ref="R31:W31" si="10">SUM(R32:R40)</f>
        <v>1.0000000000000002</v>
      </c>
      <c r="S31" s="235">
        <f t="shared" si="10"/>
        <v>1</v>
      </c>
      <c r="T31" s="235">
        <f t="shared" si="10"/>
        <v>0.99999999999999989</v>
      </c>
      <c r="U31" s="235">
        <f t="shared" si="10"/>
        <v>0.99999999999999989</v>
      </c>
      <c r="V31" s="235">
        <f t="shared" si="10"/>
        <v>0.99999999999999989</v>
      </c>
      <c r="W31" s="235">
        <f t="shared" si="10"/>
        <v>1</v>
      </c>
      <c r="X31" s="235">
        <f t="shared" ref="X31:Y31" si="11">SUM(X32:X40)</f>
        <v>0.99999999999999989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0</v>
      </c>
      <c r="C32" s="244">
        <f t="shared" si="12"/>
        <v>0</v>
      </c>
      <c r="D32" s="244">
        <f t="shared" si="12"/>
        <v>0</v>
      </c>
      <c r="E32" s="244">
        <f t="shared" si="12"/>
        <v>0</v>
      </c>
      <c r="F32" s="244">
        <f t="shared" si="12"/>
        <v>0</v>
      </c>
      <c r="G32" s="244">
        <f t="shared" si="12"/>
        <v>0</v>
      </c>
      <c r="H32" s="244">
        <f t="shared" si="12"/>
        <v>0</v>
      </c>
      <c r="I32" s="244">
        <f t="shared" si="12"/>
        <v>0</v>
      </c>
      <c r="J32" s="244">
        <f t="shared" si="12"/>
        <v>0</v>
      </c>
      <c r="K32" s="244">
        <f t="shared" si="12"/>
        <v>4.3230694519230135E-3</v>
      </c>
      <c r="L32" s="244">
        <f t="shared" si="12"/>
        <v>2.5770275086690771E-2</v>
      </c>
      <c r="M32" s="244">
        <f t="shared" si="12"/>
        <v>2.9624324536484965E-2</v>
      </c>
      <c r="N32" s="244">
        <f t="shared" si="12"/>
        <v>2.8261308605839291E-2</v>
      </c>
      <c r="O32" s="244">
        <f t="shared" si="12"/>
        <v>3.4226689087802888E-2</v>
      </c>
      <c r="P32" s="244">
        <f t="shared" si="12"/>
        <v>3.5427957015740939E-2</v>
      </c>
      <c r="Q32" s="244">
        <f t="shared" si="12"/>
        <v>4.0754330021685957E-2</v>
      </c>
      <c r="R32" s="244">
        <f t="shared" si="12"/>
        <v>3.553848876256132E-2</v>
      </c>
      <c r="S32" s="244">
        <f t="shared" si="12"/>
        <v>3.2841486390803629E-2</v>
      </c>
      <c r="T32" s="244">
        <f t="shared" si="12"/>
        <v>2.4105342857447906E-2</v>
      </c>
      <c r="U32" s="244">
        <f t="shared" si="12"/>
        <v>1.945797824996966E-2</v>
      </c>
      <c r="V32" s="244">
        <f t="shared" si="12"/>
        <v>2.2501555809839799E-2</v>
      </c>
      <c r="W32" s="244">
        <f t="shared" si="12"/>
        <v>2.1297120943241453E-2</v>
      </c>
      <c r="X32" s="244">
        <f t="shared" si="12"/>
        <v>1.7027712159895521E-2</v>
      </c>
      <c r="Y32" s="244">
        <f t="shared" si="12"/>
        <v>1.8723763630819779E-2</v>
      </c>
      <c r="DA32" s="275"/>
    </row>
    <row r="33" spans="1:105" x14ac:dyDescent="0.25">
      <c r="A33" s="240" t="s">
        <v>124</v>
      </c>
      <c r="B33" s="245">
        <f t="shared" ref="B33:Y33" si="13">IF(B$7=0,0,B$7/B$5)</f>
        <v>0</v>
      </c>
      <c r="C33" s="245">
        <f t="shared" si="13"/>
        <v>0</v>
      </c>
      <c r="D33" s="245">
        <f t="shared" si="13"/>
        <v>0</v>
      </c>
      <c r="E33" s="245">
        <f t="shared" si="13"/>
        <v>0</v>
      </c>
      <c r="F33" s="245">
        <f t="shared" si="13"/>
        <v>0</v>
      </c>
      <c r="G33" s="245">
        <f t="shared" si="13"/>
        <v>0</v>
      </c>
      <c r="H33" s="245">
        <f t="shared" si="13"/>
        <v>0</v>
      </c>
      <c r="I33" s="245">
        <f t="shared" si="13"/>
        <v>0</v>
      </c>
      <c r="J33" s="245">
        <f t="shared" si="13"/>
        <v>0</v>
      </c>
      <c r="K33" s="245">
        <f t="shared" si="13"/>
        <v>2.7864696220949933E-3</v>
      </c>
      <c r="L33" s="245">
        <f t="shared" si="13"/>
        <v>1.6610440678937778E-2</v>
      </c>
      <c r="M33" s="245">
        <f t="shared" si="13"/>
        <v>1.909459963898557E-2</v>
      </c>
      <c r="N33" s="245">
        <f t="shared" si="13"/>
        <v>1.821605662055539E-2</v>
      </c>
      <c r="O33" s="245">
        <f t="shared" si="13"/>
        <v>2.2061091191960657E-2</v>
      </c>
      <c r="P33" s="245">
        <f t="shared" si="13"/>
        <v>2.2835378217978108E-2</v>
      </c>
      <c r="Q33" s="245">
        <f t="shared" si="13"/>
        <v>2.6268535316671157E-2</v>
      </c>
      <c r="R33" s="245">
        <f t="shared" si="13"/>
        <v>2.2906622355556117E-2</v>
      </c>
      <c r="S33" s="245">
        <f t="shared" si="13"/>
        <v>2.1168247512589382E-2</v>
      </c>
      <c r="T33" s="245">
        <f t="shared" si="13"/>
        <v>1.5537295051455782E-2</v>
      </c>
      <c r="U33" s="245">
        <f t="shared" si="13"/>
        <v>1.2541798345804402E-2</v>
      </c>
      <c r="V33" s="245">
        <f t="shared" si="13"/>
        <v>1.4503561048759734E-2</v>
      </c>
      <c r="W33" s="245">
        <f t="shared" si="13"/>
        <v>1.3727232746637397E-2</v>
      </c>
      <c r="X33" s="245">
        <f t="shared" si="13"/>
        <v>1.0975350545483523E-2</v>
      </c>
      <c r="Y33" s="245">
        <f t="shared" si="13"/>
        <v>1.2068554333624781E-2</v>
      </c>
      <c r="DA33" s="276"/>
    </row>
    <row r="34" spans="1:105" x14ac:dyDescent="0.25">
      <c r="A34" s="240" t="s">
        <v>123</v>
      </c>
      <c r="B34" s="245">
        <f t="shared" ref="B34:Y34" si="14">IF(B$8=0,0,B$8/B$5)</f>
        <v>0</v>
      </c>
      <c r="C34" s="245">
        <f t="shared" si="14"/>
        <v>0</v>
      </c>
      <c r="D34" s="245">
        <f t="shared" si="14"/>
        <v>0</v>
      </c>
      <c r="E34" s="245">
        <f t="shared" si="14"/>
        <v>0</v>
      </c>
      <c r="F34" s="245">
        <f t="shared" si="14"/>
        <v>0</v>
      </c>
      <c r="G34" s="245">
        <f t="shared" si="14"/>
        <v>0</v>
      </c>
      <c r="H34" s="245">
        <f t="shared" si="14"/>
        <v>0</v>
      </c>
      <c r="I34" s="245">
        <f t="shared" si="14"/>
        <v>0</v>
      </c>
      <c r="J34" s="245">
        <f t="shared" si="14"/>
        <v>0</v>
      </c>
      <c r="K34" s="245">
        <f t="shared" si="14"/>
        <v>5.5373622477277269E-3</v>
      </c>
      <c r="L34" s="245">
        <f t="shared" si="14"/>
        <v>3.3008803112132182E-2</v>
      </c>
      <c r="M34" s="245">
        <f t="shared" si="14"/>
        <v>3.7945403868030969E-2</v>
      </c>
      <c r="N34" s="245">
        <f t="shared" si="14"/>
        <v>3.6199534864225932E-2</v>
      </c>
      <c r="O34" s="245">
        <f t="shared" si="14"/>
        <v>4.3840511499348769E-2</v>
      </c>
      <c r="P34" s="245">
        <f t="shared" si="14"/>
        <v>4.5379199634606765E-2</v>
      </c>
      <c r="Q34" s="245">
        <f t="shared" si="14"/>
        <v>5.2201680080142115E-2</v>
      </c>
      <c r="R34" s="245">
        <f t="shared" si="14"/>
        <v>4.5520778281173818E-2</v>
      </c>
      <c r="S34" s="245">
        <f t="shared" si="14"/>
        <v>4.2066223761176427E-2</v>
      </c>
      <c r="T34" s="245">
        <f t="shared" si="14"/>
        <v>3.0876213531103407E-2</v>
      </c>
      <c r="U34" s="245">
        <f t="shared" si="14"/>
        <v>2.4923465925480583E-2</v>
      </c>
      <c r="V34" s="245">
        <f t="shared" si="14"/>
        <v>2.8821944001181939E-2</v>
      </c>
      <c r="W34" s="245">
        <f t="shared" si="14"/>
        <v>2.7279199376253019E-2</v>
      </c>
      <c r="X34" s="245">
        <f t="shared" si="14"/>
        <v>2.181057036625627E-2</v>
      </c>
      <c r="Y34" s="245">
        <f t="shared" si="14"/>
        <v>2.3983020170670444E-2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</v>
      </c>
      <c r="C35" s="246">
        <f t="shared" si="15"/>
        <v>0</v>
      </c>
      <c r="D35" s="246">
        <f t="shared" si="15"/>
        <v>0</v>
      </c>
      <c r="E35" s="246">
        <f t="shared" si="15"/>
        <v>0</v>
      </c>
      <c r="F35" s="246">
        <f t="shared" si="15"/>
        <v>0</v>
      </c>
      <c r="G35" s="246">
        <f t="shared" si="15"/>
        <v>0.36841770267762469</v>
      </c>
      <c r="H35" s="246">
        <f t="shared" si="15"/>
        <v>0.36044004453369394</v>
      </c>
      <c r="I35" s="246">
        <f t="shared" si="15"/>
        <v>0.36421642262637538</v>
      </c>
      <c r="J35" s="246">
        <f t="shared" si="15"/>
        <v>0.36421642262637538</v>
      </c>
      <c r="K35" s="246">
        <f t="shared" si="15"/>
        <v>0.34977766809769278</v>
      </c>
      <c r="L35" s="246">
        <f t="shared" si="15"/>
        <v>0.31401162091489287</v>
      </c>
      <c r="M35" s="246">
        <f t="shared" si="15"/>
        <v>0.30796809644495549</v>
      </c>
      <c r="N35" s="246">
        <f t="shared" si="15"/>
        <v>0.31059144857540316</v>
      </c>
      <c r="O35" s="246">
        <f t="shared" si="15"/>
        <v>0.3101007610137827</v>
      </c>
      <c r="P35" s="246">
        <f t="shared" si="15"/>
        <v>0.31331781310049628</v>
      </c>
      <c r="Q35" s="246">
        <f t="shared" si="15"/>
        <v>0.33266763293887908</v>
      </c>
      <c r="R35" s="246">
        <f t="shared" si="15"/>
        <v>0.31360140704435524</v>
      </c>
      <c r="S35" s="246">
        <f t="shared" si="15"/>
        <v>0.3119706677986776</v>
      </c>
      <c r="T35" s="246">
        <f t="shared" si="15"/>
        <v>0.31893996969875499</v>
      </c>
      <c r="U35" s="246">
        <f t="shared" si="15"/>
        <v>0.32780711407310631</v>
      </c>
      <c r="V35" s="246">
        <f t="shared" si="15"/>
        <v>0.32264745442333354</v>
      </c>
      <c r="W35" s="246">
        <f t="shared" si="15"/>
        <v>0.32452361594962853</v>
      </c>
      <c r="X35" s="246">
        <f t="shared" si="15"/>
        <v>0.3339084024372293</v>
      </c>
      <c r="Y35" s="246">
        <f t="shared" si="15"/>
        <v>0.32983941039630321</v>
      </c>
      <c r="DA35" s="277"/>
    </row>
    <row r="36" spans="1:105" x14ac:dyDescent="0.25">
      <c r="A36" s="127" t="s">
        <v>168</v>
      </c>
      <c r="B36" s="259">
        <f t="shared" ref="B36:Y36" si="16">IF(B$16=0,0,B$16/B$5)</f>
        <v>0</v>
      </c>
      <c r="C36" s="259">
        <f t="shared" si="16"/>
        <v>0</v>
      </c>
      <c r="D36" s="259">
        <f t="shared" si="16"/>
        <v>0</v>
      </c>
      <c r="E36" s="259">
        <f t="shared" si="16"/>
        <v>0</v>
      </c>
      <c r="F36" s="259">
        <f t="shared" si="16"/>
        <v>0</v>
      </c>
      <c r="G36" s="259">
        <f t="shared" si="16"/>
        <v>0.27311437332571492</v>
      </c>
      <c r="H36" s="259">
        <f t="shared" si="16"/>
        <v>0.26720039826764641</v>
      </c>
      <c r="I36" s="259">
        <f t="shared" si="16"/>
        <v>0.26999989223530219</v>
      </c>
      <c r="J36" s="259">
        <f t="shared" si="16"/>
        <v>0.26999989223530219</v>
      </c>
      <c r="K36" s="259">
        <f t="shared" si="16"/>
        <v>0.26194245239575814</v>
      </c>
      <c r="L36" s="259">
        <f t="shared" si="16"/>
        <v>0.23491607614364562</v>
      </c>
      <c r="M36" s="259">
        <f t="shared" si="16"/>
        <v>0.22312664834217213</v>
      </c>
      <c r="N36" s="259">
        <f t="shared" si="16"/>
        <v>0.22845246993305549</v>
      </c>
      <c r="O36" s="259">
        <f t="shared" si="16"/>
        <v>0.20723550742703883</v>
      </c>
      <c r="P36" s="259">
        <f t="shared" si="16"/>
        <v>0.20350948064067373</v>
      </c>
      <c r="Q36" s="259">
        <f t="shared" si="16"/>
        <v>0.20117007578145424</v>
      </c>
      <c r="R36" s="259">
        <f t="shared" si="16"/>
        <v>0.20297348281647834</v>
      </c>
      <c r="S36" s="259">
        <f t="shared" si="16"/>
        <v>0.21800827830583622</v>
      </c>
      <c r="T36" s="259">
        <f t="shared" si="16"/>
        <v>0.2403752123776054</v>
      </c>
      <c r="U36" s="259">
        <f t="shared" si="16"/>
        <v>0.24928180016672496</v>
      </c>
      <c r="V36" s="259">
        <f t="shared" si="16"/>
        <v>0.24426365879432993</v>
      </c>
      <c r="W36" s="259">
        <f t="shared" si="16"/>
        <v>0.24625699321811562</v>
      </c>
      <c r="X36" s="259">
        <f t="shared" si="16"/>
        <v>0.25402678289148017</v>
      </c>
      <c r="Y36" s="259">
        <f t="shared" si="16"/>
        <v>0.2509053749972554</v>
      </c>
      <c r="DA36" s="278"/>
    </row>
    <row r="37" spans="1:105" x14ac:dyDescent="0.25">
      <c r="A37" s="127" t="s">
        <v>121</v>
      </c>
      <c r="B37" s="259">
        <f t="shared" ref="B37:Y37" si="17">IF(B$17=0,0,B$17/B$5)</f>
        <v>0</v>
      </c>
      <c r="C37" s="259">
        <f t="shared" si="17"/>
        <v>0</v>
      </c>
      <c r="D37" s="259">
        <f t="shared" si="17"/>
        <v>0</v>
      </c>
      <c r="E37" s="259">
        <f t="shared" si="17"/>
        <v>0</v>
      </c>
      <c r="F37" s="259">
        <f t="shared" si="17"/>
        <v>0</v>
      </c>
      <c r="G37" s="259">
        <f t="shared" si="17"/>
        <v>0.32173108197038863</v>
      </c>
      <c r="H37" s="259">
        <f t="shared" si="17"/>
        <v>0.33641820888738372</v>
      </c>
      <c r="I37" s="259">
        <f t="shared" si="17"/>
        <v>0.32946577455977749</v>
      </c>
      <c r="J37" s="259">
        <f t="shared" si="17"/>
        <v>0.32946577455977749</v>
      </c>
      <c r="K37" s="259">
        <f t="shared" si="17"/>
        <v>0.3295785271003504</v>
      </c>
      <c r="L37" s="259">
        <f t="shared" si="17"/>
        <v>0.27958275333270161</v>
      </c>
      <c r="M37" s="259">
        <f t="shared" si="17"/>
        <v>0.27808027441375388</v>
      </c>
      <c r="N37" s="259">
        <f t="shared" si="17"/>
        <v>0.27681368557871489</v>
      </c>
      <c r="O37" s="259">
        <f t="shared" si="17"/>
        <v>0.26899290724244918</v>
      </c>
      <c r="P37" s="259">
        <f t="shared" si="17"/>
        <v>0.26348213661021824</v>
      </c>
      <c r="Q37" s="259">
        <f t="shared" si="17"/>
        <v>0.21787283128776566</v>
      </c>
      <c r="R37" s="259">
        <f t="shared" si="17"/>
        <v>0.26320662991034621</v>
      </c>
      <c r="S37" s="259">
        <f t="shared" si="17"/>
        <v>0.26242057892839443</v>
      </c>
      <c r="T37" s="259">
        <f t="shared" si="17"/>
        <v>0.27749883670763376</v>
      </c>
      <c r="U37" s="259">
        <f t="shared" si="17"/>
        <v>0.28375472343657498</v>
      </c>
      <c r="V37" s="259">
        <f t="shared" si="17"/>
        <v>0.27808582960158812</v>
      </c>
      <c r="W37" s="259">
        <f t="shared" si="17"/>
        <v>0.28048633621737645</v>
      </c>
      <c r="X37" s="259">
        <f t="shared" si="17"/>
        <v>0.28546260355900821</v>
      </c>
      <c r="Y37" s="259">
        <f t="shared" si="17"/>
        <v>0.28386605830912087</v>
      </c>
      <c r="DA37" s="278"/>
    </row>
    <row r="38" spans="1:105" x14ac:dyDescent="0.25">
      <c r="A38" s="127" t="s">
        <v>167</v>
      </c>
      <c r="B38" s="259">
        <f t="shared" ref="B38:Y38" si="18">IF(B$25=0,0,B$25/B$5)</f>
        <v>0</v>
      </c>
      <c r="C38" s="259">
        <f t="shared" si="18"/>
        <v>0</v>
      </c>
      <c r="D38" s="259">
        <f t="shared" si="18"/>
        <v>0</v>
      </c>
      <c r="E38" s="259">
        <f t="shared" si="18"/>
        <v>0</v>
      </c>
      <c r="F38" s="259">
        <f t="shared" si="18"/>
        <v>0</v>
      </c>
      <c r="G38" s="259">
        <f t="shared" si="18"/>
        <v>3.6736842026271692E-2</v>
      </c>
      <c r="H38" s="259">
        <f t="shared" si="18"/>
        <v>3.5941348311276045E-2</v>
      </c>
      <c r="I38" s="259">
        <f t="shared" si="18"/>
        <v>3.6317910578544998E-2</v>
      </c>
      <c r="J38" s="259">
        <f t="shared" si="18"/>
        <v>3.6317910578544998E-2</v>
      </c>
      <c r="K38" s="259">
        <f t="shared" si="18"/>
        <v>3.5234097628984495E-2</v>
      </c>
      <c r="L38" s="259">
        <f t="shared" si="18"/>
        <v>3.1598757229918936E-2</v>
      </c>
      <c r="M38" s="259">
        <f t="shared" si="18"/>
        <v>3.0012951468585597E-2</v>
      </c>
      <c r="N38" s="259">
        <f t="shared" si="18"/>
        <v>3.0729332170420915E-2</v>
      </c>
      <c r="O38" s="259">
        <f t="shared" si="18"/>
        <v>2.7875420857114436E-2</v>
      </c>
      <c r="P38" s="259">
        <f t="shared" si="18"/>
        <v>2.7374229888036075E-2</v>
      </c>
      <c r="Q38" s="259">
        <f t="shared" si="18"/>
        <v>2.7059554590276657E-2</v>
      </c>
      <c r="R38" s="259">
        <f t="shared" si="18"/>
        <v>2.7302132373891654E-2</v>
      </c>
      <c r="S38" s="259">
        <f t="shared" si="18"/>
        <v>2.9324475248285652E-2</v>
      </c>
      <c r="T38" s="259">
        <f t="shared" si="18"/>
        <v>3.2333070195526573E-2</v>
      </c>
      <c r="U38" s="259">
        <f t="shared" si="18"/>
        <v>3.3531102743640726E-2</v>
      </c>
      <c r="V38" s="259">
        <f t="shared" si="18"/>
        <v>3.2856108364478866E-2</v>
      </c>
      <c r="W38" s="259">
        <f t="shared" si="18"/>
        <v>3.3124233439481079E-2</v>
      </c>
      <c r="X38" s="259">
        <f t="shared" si="18"/>
        <v>3.4169354325401448E-2</v>
      </c>
      <c r="Y38" s="259">
        <f t="shared" si="18"/>
        <v>3.3749491147519781E-2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0</v>
      </c>
      <c r="C39" s="259">
        <f t="shared" si="19"/>
        <v>0</v>
      </c>
      <c r="D39" s="259">
        <f t="shared" si="19"/>
        <v>0</v>
      </c>
      <c r="E39" s="259">
        <f t="shared" si="19"/>
        <v>0</v>
      </c>
      <c r="F39" s="259">
        <f t="shared" si="19"/>
        <v>0</v>
      </c>
      <c r="G39" s="259">
        <f t="shared" si="19"/>
        <v>0</v>
      </c>
      <c r="H39" s="259">
        <f t="shared" si="19"/>
        <v>0</v>
      </c>
      <c r="I39" s="259">
        <f t="shared" si="19"/>
        <v>0</v>
      </c>
      <c r="J39" s="259">
        <f t="shared" si="19"/>
        <v>0</v>
      </c>
      <c r="K39" s="259">
        <f t="shared" si="19"/>
        <v>4.2868763416846071E-3</v>
      </c>
      <c r="L39" s="259">
        <f t="shared" si="19"/>
        <v>2.5554524121442747E-2</v>
      </c>
      <c r="M39" s="259">
        <f t="shared" si="19"/>
        <v>2.9376307136900887E-2</v>
      </c>
      <c r="N39" s="259">
        <f t="shared" si="19"/>
        <v>2.8024702493162159E-2</v>
      </c>
      <c r="O39" s="259">
        <f t="shared" si="19"/>
        <v>3.3940140295324092E-2</v>
      </c>
      <c r="P39" s="259">
        <f t="shared" si="19"/>
        <v>3.5131351104581716E-2</v>
      </c>
      <c r="Q39" s="259">
        <f t="shared" si="19"/>
        <v>4.0413131256417198E-2</v>
      </c>
      <c r="R39" s="259">
        <f t="shared" si="19"/>
        <v>3.5240957470086341E-2</v>
      </c>
      <c r="S39" s="259">
        <f t="shared" si="19"/>
        <v>3.2566534634752904E-2</v>
      </c>
      <c r="T39" s="259">
        <f t="shared" si="19"/>
        <v>2.3903530848393514E-2</v>
      </c>
      <c r="U39" s="259">
        <f t="shared" si="19"/>
        <v>1.9295074378160627E-2</v>
      </c>
      <c r="V39" s="259">
        <f t="shared" si="19"/>
        <v>2.231317084424575E-2</v>
      </c>
      <c r="W39" s="259">
        <f t="shared" si="19"/>
        <v>2.1118819610211392E-2</v>
      </c>
      <c r="X39" s="259">
        <f t="shared" si="19"/>
        <v>1.6885154685359279E-2</v>
      </c>
      <c r="Y39" s="259">
        <f t="shared" si="19"/>
        <v>1.8567006667115048E-2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0</v>
      </c>
      <c r="C40" s="261">
        <f t="shared" si="20"/>
        <v>0</v>
      </c>
      <c r="D40" s="261">
        <f t="shared" si="20"/>
        <v>0</v>
      </c>
      <c r="E40" s="261">
        <f t="shared" si="20"/>
        <v>0</v>
      </c>
      <c r="F40" s="261">
        <f t="shared" si="20"/>
        <v>0</v>
      </c>
      <c r="G40" s="261">
        <f t="shared" si="20"/>
        <v>0</v>
      </c>
      <c r="H40" s="261">
        <f t="shared" si="20"/>
        <v>0</v>
      </c>
      <c r="I40" s="261">
        <f t="shared" si="20"/>
        <v>0</v>
      </c>
      <c r="J40" s="261">
        <f t="shared" si="20"/>
        <v>0</v>
      </c>
      <c r="K40" s="261">
        <f t="shared" si="20"/>
        <v>6.5334771137840163E-3</v>
      </c>
      <c r="L40" s="261">
        <f t="shared" si="20"/>
        <v>3.8946749379637546E-2</v>
      </c>
      <c r="M40" s="261">
        <f t="shared" si="20"/>
        <v>4.4771394150130747E-2</v>
      </c>
      <c r="N40" s="261">
        <f t="shared" si="20"/>
        <v>4.2711461158622753E-2</v>
      </c>
      <c r="O40" s="261">
        <f t="shared" si="20"/>
        <v>5.1726971385178587E-2</v>
      </c>
      <c r="P40" s="261">
        <f t="shared" si="20"/>
        <v>5.3542453787668053E-2</v>
      </c>
      <c r="Q40" s="261">
        <f t="shared" si="20"/>
        <v>6.1592228726707915E-2</v>
      </c>
      <c r="R40" s="261">
        <f t="shared" si="20"/>
        <v>5.3709500985551099E-2</v>
      </c>
      <c r="S40" s="261">
        <f t="shared" si="20"/>
        <v>4.9633507419483823E-2</v>
      </c>
      <c r="T40" s="261">
        <f t="shared" si="20"/>
        <v>3.6430528732078672E-2</v>
      </c>
      <c r="U40" s="261">
        <f t="shared" si="20"/>
        <v>2.9406942680537802E-2</v>
      </c>
      <c r="V40" s="261">
        <f t="shared" si="20"/>
        <v>3.4006717112242256E-2</v>
      </c>
      <c r="W40" s="261">
        <f t="shared" si="20"/>
        <v>3.2186448499055074E-2</v>
      </c>
      <c r="X40" s="261">
        <f t="shared" si="20"/>
        <v>2.5734069029886227E-2</v>
      </c>
      <c r="Y40" s="261">
        <f t="shared" si="20"/>
        <v>2.8297320347570737E-2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</v>
      </c>
      <c r="C44" s="237">
        <f>IF(C$5=0,0,C$5/AGR_fec!C$5)</f>
        <v>0</v>
      </c>
      <c r="D44" s="237">
        <f>IF(D$5=0,0,D$5/AGR_fec!D$5)</f>
        <v>0</v>
      </c>
      <c r="E44" s="237">
        <f>IF(E$5=0,0,E$5/AGR_fec!E$5)</f>
        <v>0</v>
      </c>
      <c r="F44" s="237">
        <f>IF(F$5=0,0,F$5/AGR_fec!F$5)</f>
        <v>0</v>
      </c>
      <c r="G44" s="237">
        <f>IF(G$5=0,0,G$5/AGR_fec!G$5)</f>
        <v>0.37676591742967108</v>
      </c>
      <c r="H44" s="237">
        <f>IF(H$5=0,0,H$5/AGR_fec!H$5)</f>
        <v>0.37218453441554988</v>
      </c>
      <c r="I44" s="237">
        <f>IF(I$5=0,0,I$5/AGR_fec!I$5)</f>
        <v>0.37428945907980998</v>
      </c>
      <c r="J44" s="237">
        <f>IF(J$5=0,0,J$5/AGR_fec!J$5)</f>
        <v>0.37428945907980998</v>
      </c>
      <c r="K44" s="237">
        <f>IF(K$5=0,0,K$5/AGR_fec!K$5)</f>
        <v>0.37435333883755068</v>
      </c>
      <c r="L44" s="237">
        <f>IF(L$5=0,0,L$5/AGR_fec!L$5)</f>
        <v>0.39380126857476888</v>
      </c>
      <c r="M44" s="237">
        <f>IF(M$5=0,0,M$5/AGR_fec!M$5)</f>
        <v>0.3966474013905758</v>
      </c>
      <c r="N44" s="237">
        <f>IF(N$5=0,0,N$5/AGR_fec!N$5)</f>
        <v>0.39603547748704165</v>
      </c>
      <c r="O44" s="237">
        <f>IF(O$5=0,0,O$5/AGR_fec!O$5)</f>
        <v>0.40481044787687698</v>
      </c>
      <c r="P44" s="237">
        <f>IF(P$5=0,0,P$5/AGR_fec!P$5)</f>
        <v>0.40841011207530759</v>
      </c>
      <c r="Q44" s="237">
        <f>IF(Q$5=0,0,Q$5/AGR_fec!Q$5)</f>
        <v>0.43118871021649746</v>
      </c>
      <c r="R44" s="237">
        <f>IF(R$5=0,0,R$5/AGR_fec!R$5)</f>
        <v>0.40871266892155739</v>
      </c>
      <c r="S44" s="237">
        <f>IF(S$5=0,0,S$5/AGR_fec!S$5)</f>
        <v>0.40492328132818645</v>
      </c>
      <c r="T44" s="237">
        <f>IF(T$5=0,0,T$5/AGR_fec!T$5)</f>
        <v>0.39467670052713499</v>
      </c>
      <c r="U44" s="237">
        <f>IF(U$5=0,0,U$5/AGR_fec!U$5)</f>
        <v>0.39129987122642318</v>
      </c>
      <c r="V44" s="237">
        <f>IF(V$5=0,0,V$5/AGR_fec!V$5)</f>
        <v>0.39381231031364977</v>
      </c>
      <c r="W44" s="237">
        <f>IF(W$5=0,0,W$5/AGR_fec!W$5)</f>
        <v>0.39269351350147325</v>
      </c>
      <c r="X44" s="237">
        <f>IF(X$5=0,0,X$5/AGR_fec!X$5)</f>
        <v>0.39026194066209902</v>
      </c>
      <c r="Y44" s="237">
        <f>IF(Y$5=0,0,Y$5/AGR_fec!Y$5)</f>
        <v>0.39111697295473236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0.49277104108748182</v>
      </c>
      <c r="L45" s="250">
        <f>IF(L$6=0,0,L$6/AGR_fec!L$6)</f>
        <v>0.49277104108748182</v>
      </c>
      <c r="M45" s="250">
        <f>IF(M$6=0,0,M$6/AGR_fec!M$6)</f>
        <v>0.49277104108748182</v>
      </c>
      <c r="N45" s="250">
        <f>IF(N$6=0,0,N$6/AGR_fec!N$6)</f>
        <v>0.49277104108748188</v>
      </c>
      <c r="O45" s="250">
        <f>IF(O$6=0,0,O$6/AGR_fec!O$6)</f>
        <v>0.49277104108748171</v>
      </c>
      <c r="P45" s="250">
        <f>IF(P$6=0,0,P$6/AGR_fec!P$6)</f>
        <v>0.49277104108748193</v>
      </c>
      <c r="Q45" s="250">
        <f>IF(Q$6=0,0,Q$6/AGR_fec!Q$6)</f>
        <v>0.49277104108748193</v>
      </c>
      <c r="R45" s="250">
        <f>IF(R$6=0,0,R$6/AGR_fec!R$6)</f>
        <v>0.49277104108748204</v>
      </c>
      <c r="S45" s="250">
        <f>IF(S$6=0,0,S$6/AGR_fec!S$6)</f>
        <v>0.49277104108748193</v>
      </c>
      <c r="T45" s="250">
        <f>IF(T$6=0,0,T$6/AGR_fec!T$6)</f>
        <v>0.49277104108748188</v>
      </c>
      <c r="U45" s="250">
        <f>IF(U$6=0,0,U$6/AGR_fec!U$6)</f>
        <v>0.4927710410874816</v>
      </c>
      <c r="V45" s="250">
        <f>IF(V$6=0,0,V$6/AGR_fec!V$6)</f>
        <v>0.49277104108748176</v>
      </c>
      <c r="W45" s="250">
        <f>IF(W$6=0,0,W$6/AGR_fec!W$6)</f>
        <v>0.4927710410874821</v>
      </c>
      <c r="X45" s="250">
        <f>IF(X$6=0,0,X$6/AGR_fec!X$6)</f>
        <v>0.49277104108748182</v>
      </c>
      <c r="Y45" s="250">
        <f>IF(Y$6=0,0,Y$6/AGR_fec!Y$6)</f>
        <v>0.49277104108748188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0.48864551943886719</v>
      </c>
      <c r="L46" s="251">
        <f>IF(L$7=0,0,L$7/AGR_fec!L$7)</f>
        <v>0.48864551943886714</v>
      </c>
      <c r="M46" s="251">
        <f>IF(M$7=0,0,M$7/AGR_fec!M$7)</f>
        <v>0.48864551943886708</v>
      </c>
      <c r="N46" s="251">
        <f>IF(N$7=0,0,N$7/AGR_fec!N$7)</f>
        <v>0.48864551943886736</v>
      </c>
      <c r="O46" s="251">
        <f>IF(O$7=0,0,O$7/AGR_fec!O$7)</f>
        <v>0.48864551943886708</v>
      </c>
      <c r="P46" s="251">
        <f>IF(P$7=0,0,P$7/AGR_fec!P$7)</f>
        <v>0.48864551943886708</v>
      </c>
      <c r="Q46" s="251">
        <f>IF(Q$7=0,0,Q$7/AGR_fec!Q$7)</f>
        <v>0.48864551943886703</v>
      </c>
      <c r="R46" s="251">
        <f>IF(R$7=0,0,R$7/AGR_fec!R$7)</f>
        <v>0.48864551943886714</v>
      </c>
      <c r="S46" s="251">
        <f>IF(S$7=0,0,S$7/AGR_fec!S$7)</f>
        <v>0.48864551943886703</v>
      </c>
      <c r="T46" s="251">
        <f>IF(T$7=0,0,T$7/AGR_fec!T$7)</f>
        <v>0.48864551943886708</v>
      </c>
      <c r="U46" s="251">
        <f>IF(U$7=0,0,U$7/AGR_fec!U$7)</f>
        <v>0.48864551943886714</v>
      </c>
      <c r="V46" s="251">
        <f>IF(V$7=0,0,V$7/AGR_fec!V$7)</f>
        <v>0.48864551943886703</v>
      </c>
      <c r="W46" s="251">
        <f>IF(W$7=0,0,W$7/AGR_fec!W$7)</f>
        <v>0.48864551943886708</v>
      </c>
      <c r="X46" s="251">
        <f>IF(X$7=0,0,X$7/AGR_fec!X$7)</f>
        <v>0.48864551943886714</v>
      </c>
      <c r="Y46" s="251">
        <f>IF(Y$7=0,0,Y$7/AGR_fec!Y$7)</f>
        <v>0.48864551943886725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0.70131542466829</v>
      </c>
      <c r="L47" s="251">
        <f>IF(L$8=0,0,L$8/AGR_fec!L$8)</f>
        <v>0.70131542466829067</v>
      </c>
      <c r="M47" s="251">
        <f>IF(M$8=0,0,M$8/AGR_fec!M$8)</f>
        <v>0.70131542466829033</v>
      </c>
      <c r="N47" s="251">
        <f>IF(N$8=0,0,N$8/AGR_fec!N$8)</f>
        <v>0.70131542466829044</v>
      </c>
      <c r="O47" s="251">
        <f>IF(O$8=0,0,O$8/AGR_fec!O$8)</f>
        <v>0.70131542466829033</v>
      </c>
      <c r="P47" s="251">
        <f>IF(P$8=0,0,P$8/AGR_fec!P$8)</f>
        <v>0.70131542466829022</v>
      </c>
      <c r="Q47" s="251">
        <f>IF(Q$8=0,0,Q$8/AGR_fec!Q$8)</f>
        <v>0.70131542466829</v>
      </c>
      <c r="R47" s="251">
        <f>IF(R$8=0,0,R$8/AGR_fec!R$8)</f>
        <v>0.70131542466829033</v>
      </c>
      <c r="S47" s="251">
        <f>IF(S$8=0,0,S$8/AGR_fec!S$8)</f>
        <v>0.70131542466829011</v>
      </c>
      <c r="T47" s="251">
        <f>IF(T$8=0,0,T$8/AGR_fec!T$8)</f>
        <v>0.70131542466829</v>
      </c>
      <c r="U47" s="251">
        <f>IF(U$8=0,0,U$8/AGR_fec!U$8)</f>
        <v>0.70131542466829</v>
      </c>
      <c r="V47" s="251">
        <f>IF(V$8=0,0,V$8/AGR_fec!V$8)</f>
        <v>0.70131542466829011</v>
      </c>
      <c r="W47" s="251">
        <f>IF(W$8=0,0,W$8/AGR_fec!W$8)</f>
        <v>0.70131542466829022</v>
      </c>
      <c r="X47" s="251">
        <f>IF(X$8=0,0,X$8/AGR_fec!X$8)</f>
        <v>0.70131542466829044</v>
      </c>
      <c r="Y47" s="251">
        <f>IF(Y$8=0,0,Y$8/AGR_fec!Y$8)</f>
        <v>0.70131542466829022</v>
      </c>
      <c r="DA47" s="288"/>
    </row>
    <row r="48" spans="1:105" x14ac:dyDescent="0.25">
      <c r="A48" s="242" t="s">
        <v>122</v>
      </c>
      <c r="B48" s="252">
        <f>IF(B$9=0,0,B$9/AGR_fec!B$9)</f>
        <v>0</v>
      </c>
      <c r="C48" s="252">
        <f>IF(C$9=0,0,C$9/AGR_fec!C$9)</f>
        <v>0</v>
      </c>
      <c r="D48" s="252">
        <f>IF(D$9=0,0,D$9/AGR_fec!D$9)</f>
        <v>0</v>
      </c>
      <c r="E48" s="252">
        <f>IF(E$9=0,0,E$9/AGR_fec!E$9)</f>
        <v>0</v>
      </c>
      <c r="F48" s="252">
        <f>IF(F$9=0,0,F$9/AGR_fec!F$9)</f>
        <v>0</v>
      </c>
      <c r="G48" s="252">
        <f>IF(G$9=0,0,G$9/AGR_fec!G$9)</f>
        <v>0.63157692149677935</v>
      </c>
      <c r="H48" s="252">
        <f>IF(H$9=0,0,H$9/AGR_fec!H$9)</f>
        <v>0.63157692149677913</v>
      </c>
      <c r="I48" s="252">
        <f>IF(I$9=0,0,I$9/AGR_fec!I$9)</f>
        <v>0.63157692149677946</v>
      </c>
      <c r="J48" s="252">
        <f>IF(J$9=0,0,J$9/AGR_fec!J$9)</f>
        <v>0.63157692149677946</v>
      </c>
      <c r="K48" s="252">
        <f>IF(K$9=0,0,K$9/AGR_fec!K$9)</f>
        <v>0.63163260121577347</v>
      </c>
      <c r="L48" s="252">
        <f>IF(L$9=0,0,L$9/AGR_fec!L$9)</f>
        <v>0.64835950782871232</v>
      </c>
      <c r="M48" s="252">
        <f>IF(M$9=0,0,M$9/AGR_fec!M$9)</f>
        <v>0.66284480332685702</v>
      </c>
      <c r="N48" s="252">
        <f>IF(N$9=0,0,N$9/AGR_fec!N$9)</f>
        <v>0.65620635267669469</v>
      </c>
      <c r="O48" s="252">
        <f>IF(O$9=0,0,O$9/AGR_fec!O$9)</f>
        <v>0.69229065447150229</v>
      </c>
      <c r="P48" s="252">
        <f>IF(P$9=0,0,P$9/AGR_fec!P$9)</f>
        <v>0.70136500641227528</v>
      </c>
      <c r="Q48" s="252">
        <f>IF(Q$9=0,0,Q$9/AGR_fec!Q$9)</f>
        <v>0.71742637933091913</v>
      </c>
      <c r="R48" s="252">
        <f>IF(R$9=0,0,R$9/AGR_fec!R$9)</f>
        <v>0.70250897965126591</v>
      </c>
      <c r="S48" s="252">
        <f>IF(S$9=0,0,S$9/AGR_fec!S$9)</f>
        <v>0.67540059235944716</v>
      </c>
      <c r="T48" s="252">
        <f>IF(T$9=0,0,T$9/AGR_fec!T$9)</f>
        <v>0.64387153388159934</v>
      </c>
      <c r="U48" s="252">
        <f>IF(U$9=0,0,U$9/AGR_fec!U$9)</f>
        <v>0.6371918039087261</v>
      </c>
      <c r="V48" s="252">
        <f>IF(V$9=0,0,V$9/AGR_fec!V$9)</f>
        <v>0.64091920653139067</v>
      </c>
      <c r="W48" s="252">
        <f>IF(W$9=0,0,W$9/AGR_fec!W$9)</f>
        <v>0.6392769574624767</v>
      </c>
      <c r="X48" s="252">
        <f>IF(X$9=0,0,X$9/AGR_fec!X$9)</f>
        <v>0.63505233824647533</v>
      </c>
      <c r="Y48" s="252">
        <f>IF(Y$9=0,0,Y$9/AGR_fec!Y$9)</f>
        <v>0.63643733006370684</v>
      </c>
      <c r="DA48" s="289"/>
    </row>
    <row r="49" spans="1:105" x14ac:dyDescent="0.25">
      <c r="A49" s="127" t="s">
        <v>168</v>
      </c>
      <c r="B49" s="264">
        <f>IF(B$16=0,0,B$16/AGR_fec!B$16)</f>
        <v>0</v>
      </c>
      <c r="C49" s="264">
        <f>IF(C$16=0,0,C$16/AGR_fec!C$16)</f>
        <v>0</v>
      </c>
      <c r="D49" s="264">
        <f>IF(D$16=0,0,D$16/AGR_fec!D$16)</f>
        <v>0</v>
      </c>
      <c r="E49" s="264">
        <f>IF(E$16=0,0,E$16/AGR_fec!E$16)</f>
        <v>0</v>
      </c>
      <c r="F49" s="264">
        <f>IF(F$16=0,0,F$16/AGR_fec!F$16)</f>
        <v>0</v>
      </c>
      <c r="G49" s="264">
        <f>IF(G$16=0,0,G$16/AGR_fec!G$16)</f>
        <v>0.35261695874919446</v>
      </c>
      <c r="H49" s="264">
        <f>IF(H$16=0,0,H$16/AGR_fec!H$16)</f>
        <v>0.35261695874919446</v>
      </c>
      <c r="I49" s="264">
        <f>IF(I$16=0,0,I$16/AGR_fec!I$16)</f>
        <v>0.35261695874919446</v>
      </c>
      <c r="J49" s="264">
        <f>IF(J$16=0,0,J$16/AGR_fec!J$16)</f>
        <v>0.35261695874919446</v>
      </c>
      <c r="K49" s="264">
        <f>IF(K$16=0,0,K$16/AGR_fec!K$16)</f>
        <v>0.35261695874919435</v>
      </c>
      <c r="L49" s="264">
        <f>IF(L$16=0,0,L$16/AGR_fec!L$16)</f>
        <v>0.35261695874919441</v>
      </c>
      <c r="M49" s="264">
        <f>IF(M$16=0,0,M$16/AGR_fec!M$16)</f>
        <v>0.35261695874919435</v>
      </c>
      <c r="N49" s="264">
        <f>IF(N$16=0,0,N$16/AGR_fec!N$16)</f>
        <v>0.35261695874919446</v>
      </c>
      <c r="O49" s="264">
        <f>IF(O$16=0,0,O$16/AGR_fec!O$16)</f>
        <v>0.35261695874919446</v>
      </c>
      <c r="P49" s="264">
        <f>IF(P$16=0,0,P$16/AGR_fec!P$16)</f>
        <v>0.35261695874919446</v>
      </c>
      <c r="Q49" s="264">
        <f>IF(Q$16=0,0,Q$16/AGR_fec!Q$16)</f>
        <v>0.35261695874919424</v>
      </c>
      <c r="R49" s="264">
        <f>IF(R$16=0,0,R$16/AGR_fec!R$16)</f>
        <v>0.3526169587491943</v>
      </c>
      <c r="S49" s="264">
        <f>IF(S$16=0,0,S$16/AGR_fec!S$16)</f>
        <v>0.35261695874919435</v>
      </c>
      <c r="T49" s="264">
        <f>IF(T$16=0,0,T$16/AGR_fec!T$16)</f>
        <v>0.35261695874919452</v>
      </c>
      <c r="U49" s="264">
        <f>IF(U$16=0,0,U$16/AGR_fec!U$16)</f>
        <v>0.35261695874919446</v>
      </c>
      <c r="V49" s="264">
        <f>IF(V$16=0,0,V$16/AGR_fec!V$16)</f>
        <v>0.35261695874919435</v>
      </c>
      <c r="W49" s="264">
        <f>IF(W$16=0,0,W$16/AGR_fec!W$16)</f>
        <v>0.3526169587491943</v>
      </c>
      <c r="X49" s="264">
        <f>IF(X$16=0,0,X$16/AGR_fec!X$16)</f>
        <v>0.35261695874919441</v>
      </c>
      <c r="Y49" s="264">
        <f>IF(Y$16=0,0,Y$16/AGR_fec!Y$16)</f>
        <v>0.3526169587491943</v>
      </c>
      <c r="DA49" s="290"/>
    </row>
    <row r="50" spans="1:105" x14ac:dyDescent="0.25">
      <c r="A50" s="127" t="s">
        <v>121</v>
      </c>
      <c r="B50" s="264">
        <f>IF(B$17=0,0,B$17/AGR_fec!B$17)</f>
        <v>0</v>
      </c>
      <c r="C50" s="264">
        <f>IF(C$17=0,0,C$17/AGR_fec!C$17)</f>
        <v>0</v>
      </c>
      <c r="D50" s="264">
        <f>IF(D$17=0,0,D$17/AGR_fec!D$17)</f>
        <v>0</v>
      </c>
      <c r="E50" s="264">
        <f>IF(E$17=0,0,E$17/AGR_fec!E$17)</f>
        <v>0</v>
      </c>
      <c r="F50" s="264">
        <f>IF(F$17=0,0,F$17/AGR_fec!F$17)</f>
        <v>0</v>
      </c>
      <c r="G50" s="264">
        <f>IF(G$17=0,0,G$17/AGR_fec!G$17)</f>
        <v>0.28038325306353606</v>
      </c>
      <c r="H50" s="264">
        <f>IF(H$17=0,0,H$17/AGR_fec!H$17)</f>
        <v>0.27739743676226569</v>
      </c>
      <c r="I50" s="264">
        <f>IF(I$17=0,0,I$17/AGR_fec!I$17)</f>
        <v>0.2786859054715965</v>
      </c>
      <c r="J50" s="264">
        <f>IF(J$17=0,0,J$17/AGR_fec!J$17)</f>
        <v>0.2786859054715965</v>
      </c>
      <c r="K50" s="264">
        <f>IF(K$17=0,0,K$17/AGR_fec!K$17)</f>
        <v>0.27741305713637288</v>
      </c>
      <c r="L50" s="264">
        <f>IF(L$17=0,0,L$17/AGR_fec!L$17)</f>
        <v>0.27977113997276026</v>
      </c>
      <c r="M50" s="264">
        <f>IF(M$17=0,0,M$17/AGR_fec!M$17)</f>
        <v>0.27764717757041568</v>
      </c>
      <c r="N50" s="264">
        <f>IF(N$17=0,0,N$17/AGR_fec!N$17)</f>
        <v>0.27888258870648808</v>
      </c>
      <c r="O50" s="264">
        <f>IF(O$17=0,0,O$17/AGR_fec!O$17)</f>
        <v>0.2760516299255189</v>
      </c>
      <c r="P50" s="264">
        <f>IF(P$17=0,0,P$17/AGR_fec!P$17)</f>
        <v>0.27610745735808345</v>
      </c>
      <c r="Q50" s="264">
        <f>IF(Q$17=0,0,Q$17/AGR_fec!Q$17)</f>
        <v>0.28599030658525415</v>
      </c>
      <c r="R50" s="264">
        <f>IF(R$17=0,0,R$17/AGR_fec!R$17)</f>
        <v>0.27604964390892217</v>
      </c>
      <c r="S50" s="264">
        <f>IF(S$17=0,0,S$17/AGR_fec!S$17)</f>
        <v>0.27994372426910274</v>
      </c>
      <c r="T50" s="264">
        <f>IF(T$17=0,0,T$17/AGR_fec!T$17)</f>
        <v>0.28284434798000552</v>
      </c>
      <c r="U50" s="264">
        <f>IF(U$17=0,0,U$17/AGR_fec!U$17)</f>
        <v>0.28349934620189327</v>
      </c>
      <c r="V50" s="264">
        <f>IF(V$17=0,0,V$17/AGR_fec!V$17)</f>
        <v>0.28326315725585155</v>
      </c>
      <c r="W50" s="264">
        <f>IF(W$17=0,0,W$17/AGR_fec!W$17)</f>
        <v>0.28325921712606661</v>
      </c>
      <c r="X50" s="264">
        <f>IF(X$17=0,0,X$17/AGR_fec!X$17)</f>
        <v>0.28404980207107644</v>
      </c>
      <c r="Y50" s="264">
        <f>IF(Y$17=0,0,Y$17/AGR_fec!Y$17)</f>
        <v>0.28379411741490546</v>
      </c>
      <c r="DA50" s="290"/>
    </row>
    <row r="51" spans="1:105" x14ac:dyDescent="0.25">
      <c r="A51" s="127" t="s">
        <v>167</v>
      </c>
      <c r="B51" s="264">
        <f>IF(B$25=0,0,B$25/AGR_fec!B$25)</f>
        <v>0</v>
      </c>
      <c r="C51" s="264">
        <f>IF(C$25=0,0,C$25/AGR_fec!C$25)</f>
        <v>0</v>
      </c>
      <c r="D51" s="264">
        <f>IF(D$25=0,0,D$25/AGR_fec!D$25)</f>
        <v>0</v>
      </c>
      <c r="E51" s="264">
        <f>IF(E$25=0,0,E$25/AGR_fec!E$25)</f>
        <v>0</v>
      </c>
      <c r="F51" s="264">
        <f>IF(F$25=0,0,F$25/AGR_fec!F$25)</f>
        <v>0</v>
      </c>
      <c r="G51" s="264">
        <f>IF(G$25=0,0,G$25/AGR_fec!G$25)</f>
        <v>0.24683187112443614</v>
      </c>
      <c r="H51" s="264">
        <f>IF(H$25=0,0,H$25/AGR_fec!H$25)</f>
        <v>0.24683187112443608</v>
      </c>
      <c r="I51" s="264">
        <f>IF(I$25=0,0,I$25/AGR_fec!I$25)</f>
        <v>0.24683187112443603</v>
      </c>
      <c r="J51" s="264">
        <f>IF(J$25=0,0,J$25/AGR_fec!J$25)</f>
        <v>0.24683187112443603</v>
      </c>
      <c r="K51" s="264">
        <f>IF(K$25=0,0,K$25/AGR_fec!K$25)</f>
        <v>0.24683187112443616</v>
      </c>
      <c r="L51" s="264">
        <f>IF(L$25=0,0,L$25/AGR_fec!L$25)</f>
        <v>0.24683187112443611</v>
      </c>
      <c r="M51" s="264">
        <f>IF(M$25=0,0,M$25/AGR_fec!M$25)</f>
        <v>0.24683187112443603</v>
      </c>
      <c r="N51" s="264">
        <f>IF(N$25=0,0,N$25/AGR_fec!N$25)</f>
        <v>0.24683187112443605</v>
      </c>
      <c r="O51" s="264">
        <f>IF(O$25=0,0,O$25/AGR_fec!O$25)</f>
        <v>0.24683187112443597</v>
      </c>
      <c r="P51" s="264">
        <f>IF(P$25=0,0,P$25/AGR_fec!P$25)</f>
        <v>0.24683187112443611</v>
      </c>
      <c r="Q51" s="264">
        <f>IF(Q$25=0,0,Q$25/AGR_fec!Q$25)</f>
        <v>0.24683187112443605</v>
      </c>
      <c r="R51" s="264">
        <f>IF(R$25=0,0,R$25/AGR_fec!R$25)</f>
        <v>0.24683187112443605</v>
      </c>
      <c r="S51" s="264">
        <f>IF(S$25=0,0,S$25/AGR_fec!S$25)</f>
        <v>0.24683187112443608</v>
      </c>
      <c r="T51" s="264">
        <f>IF(T$25=0,0,T$25/AGR_fec!T$25)</f>
        <v>0.24683187112443614</v>
      </c>
      <c r="U51" s="264">
        <f>IF(U$25=0,0,U$25/AGR_fec!U$25)</f>
        <v>0.24683187112443608</v>
      </c>
      <c r="V51" s="264">
        <f>IF(V$25=0,0,V$25/AGR_fec!V$25)</f>
        <v>0.24683187112443603</v>
      </c>
      <c r="W51" s="264">
        <f>IF(W$25=0,0,W$25/AGR_fec!W$25)</f>
        <v>0.24683187112443605</v>
      </c>
      <c r="X51" s="264">
        <f>IF(X$25=0,0,X$25/AGR_fec!X$25)</f>
        <v>0.24683187112443616</v>
      </c>
      <c r="Y51" s="264">
        <f>IF(Y$25=0,0,Y$25/AGR_fec!Y$25)</f>
        <v>0.24683187112443605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0.48864551943886703</v>
      </c>
      <c r="L52" s="264">
        <f>IF(L$26=0,0,L$26/AGR_fec!L$26)</f>
        <v>0.48864551943886708</v>
      </c>
      <c r="M52" s="264">
        <f>IF(M$26=0,0,M$26/AGR_fec!M$26)</f>
        <v>0.48864551943886714</v>
      </c>
      <c r="N52" s="264">
        <f>IF(N$26=0,0,N$26/AGR_fec!N$26)</f>
        <v>0.48864551943886708</v>
      </c>
      <c r="O52" s="264">
        <f>IF(O$26=0,0,O$26/AGR_fec!O$26)</f>
        <v>0.48864551943886692</v>
      </c>
      <c r="P52" s="264">
        <f>IF(P$26=0,0,P$26/AGR_fec!P$26)</f>
        <v>0.48864551943886719</v>
      </c>
      <c r="Q52" s="264">
        <f>IF(Q$26=0,0,Q$26/AGR_fec!Q$26)</f>
        <v>0.48864551943886725</v>
      </c>
      <c r="R52" s="264">
        <f>IF(R$26=0,0,R$26/AGR_fec!R$26)</f>
        <v>0.48864551943886725</v>
      </c>
      <c r="S52" s="264">
        <f>IF(S$26=0,0,S$26/AGR_fec!S$26)</f>
        <v>0.48864551943886719</v>
      </c>
      <c r="T52" s="264">
        <f>IF(T$26=0,0,T$26/AGR_fec!T$26)</f>
        <v>0.48864551943886686</v>
      </c>
      <c r="U52" s="264">
        <f>IF(U$26=0,0,U$26/AGR_fec!U$26)</f>
        <v>0.48864551943886714</v>
      </c>
      <c r="V52" s="264">
        <f>IF(V$26=0,0,V$26/AGR_fec!V$26)</f>
        <v>0.48864551943886692</v>
      </c>
      <c r="W52" s="264">
        <f>IF(W$26=0,0,W$26/AGR_fec!W$26)</f>
        <v>0.48864551943886736</v>
      </c>
      <c r="X52" s="264">
        <f>IF(X$26=0,0,X$26/AGR_fec!X$26)</f>
        <v>0.48864551943886719</v>
      </c>
      <c r="Y52" s="264">
        <f>IF(Y$26=0,0,Y$26/AGR_fec!Y$26)</f>
        <v>0.48864551943886714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0.51360511083934213</v>
      </c>
      <c r="L53" s="265">
        <f>IF(L$27=0,0,L$27/AGR_fec!L$27)</f>
        <v>0.51360511083934235</v>
      </c>
      <c r="M53" s="265">
        <f>IF(M$27=0,0,M$27/AGR_fec!M$27)</f>
        <v>0.51360511083934257</v>
      </c>
      <c r="N53" s="265">
        <f>IF(N$27=0,0,N$27/AGR_fec!N$27)</f>
        <v>0.51360511083934246</v>
      </c>
      <c r="O53" s="265">
        <f>IF(O$27=0,0,O$27/AGR_fec!O$27)</f>
        <v>0.51360511083934246</v>
      </c>
      <c r="P53" s="265">
        <f>IF(P$27=0,0,P$27/AGR_fec!P$27)</f>
        <v>0.51360511083934235</v>
      </c>
      <c r="Q53" s="265">
        <f>IF(Q$27=0,0,Q$27/AGR_fec!Q$27)</f>
        <v>0.51360511083934224</v>
      </c>
      <c r="R53" s="265">
        <f>IF(R$27=0,0,R$27/AGR_fec!R$27)</f>
        <v>0.51360511083934257</v>
      </c>
      <c r="S53" s="265">
        <f>IF(S$27=0,0,S$27/AGR_fec!S$27)</f>
        <v>0.51360511083934224</v>
      </c>
      <c r="T53" s="265">
        <f>IF(T$27=0,0,T$27/AGR_fec!T$27)</f>
        <v>0.51360511083934246</v>
      </c>
      <c r="U53" s="265">
        <f>IF(U$27=0,0,U$27/AGR_fec!U$27)</f>
        <v>0.51360511083934224</v>
      </c>
      <c r="V53" s="265">
        <f>IF(V$27=0,0,V$27/AGR_fec!V$27)</f>
        <v>0.51360511083934224</v>
      </c>
      <c r="W53" s="265">
        <f>IF(W$27=0,0,W$27/AGR_fec!W$27)</f>
        <v>0.51360511083934257</v>
      </c>
      <c r="X53" s="265">
        <f>IF(X$27=0,0,X$27/AGR_fec!X$27)</f>
        <v>0.51360511083934246</v>
      </c>
      <c r="Y53" s="265">
        <f>IF(Y$27=0,0,Y$27/AGR_fec!Y$27)</f>
        <v>0.51360511083934235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0</v>
      </c>
      <c r="C5" s="80">
        <f t="shared" ref="C5:W5" si="0">SUM(C6:C9,C16:C17,C25:C27)</f>
        <v>0</v>
      </c>
      <c r="D5" s="80">
        <f t="shared" si="0"/>
        <v>0</v>
      </c>
      <c r="E5" s="80">
        <f t="shared" si="0"/>
        <v>0</v>
      </c>
      <c r="F5" s="80">
        <f t="shared" si="0"/>
        <v>0</v>
      </c>
      <c r="G5" s="80">
        <f t="shared" si="0"/>
        <v>25.283859480034824</v>
      </c>
      <c r="H5" s="80">
        <f t="shared" si="0"/>
        <v>15.724781640062259</v>
      </c>
      <c r="I5" s="80">
        <f t="shared" si="0"/>
        <v>18.911229840062845</v>
      </c>
      <c r="J5" s="80">
        <f t="shared" si="0"/>
        <v>18.911229840062845</v>
      </c>
      <c r="K5" s="80">
        <f t="shared" si="0"/>
        <v>15.724781638165425</v>
      </c>
      <c r="L5" s="80">
        <f t="shared" si="0"/>
        <v>22.09767803747572</v>
      </c>
      <c r="M5" s="80">
        <f t="shared" si="0"/>
        <v>15.724781637832255</v>
      </c>
      <c r="N5" s="80">
        <f t="shared" si="0"/>
        <v>18.911229838009668</v>
      </c>
      <c r="O5" s="80">
        <f t="shared" si="0"/>
        <v>12.538600198627783</v>
      </c>
      <c r="P5" s="80">
        <f t="shared" si="0"/>
        <v>12.538600198536381</v>
      </c>
      <c r="Q5" s="80">
        <f t="shared" si="0"/>
        <v>9.5588110818476224</v>
      </c>
      <c r="R5" s="80">
        <f t="shared" si="0"/>
        <v>12.538600198668194</v>
      </c>
      <c r="S5" s="80">
        <f t="shared" si="0"/>
        <v>16.410809158635175</v>
      </c>
      <c r="T5" s="80">
        <f t="shared" si="0"/>
        <v>35.093396518509408</v>
      </c>
      <c r="U5" s="80">
        <f t="shared" si="0"/>
        <v>45.929408758547147</v>
      </c>
      <c r="V5" s="80">
        <f t="shared" si="0"/>
        <v>40.159164957194569</v>
      </c>
      <c r="W5" s="80">
        <f t="shared" si="0"/>
        <v>42.915240718119733</v>
      </c>
      <c r="X5" s="80">
        <f t="shared" ref="X5:Y5" si="1">SUM(X6:X9,X16:X17,X25:X27)</f>
        <v>58.676016958520208</v>
      </c>
      <c r="Y5" s="80">
        <f t="shared" si="1"/>
        <v>48.846259438163813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0</v>
      </c>
      <c r="C9" s="243">
        <f t="shared" ref="C9:W9" si="2">SUM(C10:C15)</f>
        <v>0</v>
      </c>
      <c r="D9" s="243">
        <f t="shared" si="2"/>
        <v>0</v>
      </c>
      <c r="E9" s="243">
        <f t="shared" si="2"/>
        <v>0</v>
      </c>
      <c r="F9" s="243">
        <f t="shared" si="2"/>
        <v>0</v>
      </c>
      <c r="G9" s="243">
        <f t="shared" si="2"/>
        <v>5.6022175912931029</v>
      </c>
      <c r="H9" s="243">
        <f t="shared" si="2"/>
        <v>3.3838638843175959</v>
      </c>
      <c r="I9" s="243">
        <f t="shared" si="2"/>
        <v>4.126432475755256</v>
      </c>
      <c r="J9" s="243">
        <f t="shared" si="2"/>
        <v>4.126432475755256</v>
      </c>
      <c r="K9" s="243">
        <f t="shared" si="2"/>
        <v>3.3571343858520111</v>
      </c>
      <c r="L9" s="243">
        <f t="shared" si="2"/>
        <v>4.4785863282762683</v>
      </c>
      <c r="M9" s="243">
        <f t="shared" si="2"/>
        <v>2.980501015572298</v>
      </c>
      <c r="N9" s="243">
        <f t="shared" si="2"/>
        <v>3.7079504274611201</v>
      </c>
      <c r="O9" s="243">
        <f t="shared" si="2"/>
        <v>2.1212372257097738</v>
      </c>
      <c r="P9" s="243">
        <f t="shared" si="2"/>
        <v>2.0602695041099981</v>
      </c>
      <c r="Q9" s="243">
        <f t="shared" si="2"/>
        <v>1.640983351409131</v>
      </c>
      <c r="R9" s="243">
        <f t="shared" si="2"/>
        <v>2.0553675284943411</v>
      </c>
      <c r="S9" s="243">
        <f t="shared" si="2"/>
        <v>3.0492109132310712</v>
      </c>
      <c r="T9" s="243">
        <f t="shared" si="2"/>
        <v>7.30332774745035</v>
      </c>
      <c r="U9" s="243">
        <f t="shared" si="2"/>
        <v>9.8597215258554822</v>
      </c>
      <c r="V9" s="243">
        <f t="shared" si="2"/>
        <v>8.4782472591714981</v>
      </c>
      <c r="W9" s="243">
        <f t="shared" si="2"/>
        <v>9.1189439188307695</v>
      </c>
      <c r="X9" s="243">
        <f t="shared" ref="X9:Y9" si="3">SUM(X10:X15)</f>
        <v>12.7839617728328</v>
      </c>
      <c r="Y9" s="243">
        <f t="shared" si="3"/>
        <v>10.54160833390628</v>
      </c>
      <c r="DA9" s="269"/>
    </row>
    <row r="10" spans="1:105" x14ac:dyDescent="0.25">
      <c r="A10" s="253" t="s">
        <v>166</v>
      </c>
      <c r="B10" s="254">
        <v>0</v>
      </c>
      <c r="C10" s="254">
        <v>0</v>
      </c>
      <c r="D10" s="254">
        <v>0</v>
      </c>
      <c r="E10" s="254">
        <v>0</v>
      </c>
      <c r="F10" s="254">
        <v>0</v>
      </c>
      <c r="G10" s="254">
        <v>5.6022175912931029</v>
      </c>
      <c r="H10" s="254">
        <v>3.3838638843175959</v>
      </c>
      <c r="I10" s="254">
        <v>4.126432475755256</v>
      </c>
      <c r="J10" s="254">
        <v>4.126432475755256</v>
      </c>
      <c r="K10" s="254">
        <v>3.3571343858520111</v>
      </c>
      <c r="L10" s="254">
        <v>4.4785863282762683</v>
      </c>
      <c r="M10" s="254">
        <v>2.980501015572298</v>
      </c>
      <c r="N10" s="254">
        <v>3.7079504274611201</v>
      </c>
      <c r="O10" s="254">
        <v>2.1212372257097738</v>
      </c>
      <c r="P10" s="254">
        <v>2.0602695041099981</v>
      </c>
      <c r="Q10" s="254">
        <v>1.640983351409131</v>
      </c>
      <c r="R10" s="254">
        <v>2.0553675284943411</v>
      </c>
      <c r="S10" s="254">
        <v>3.0492109132310712</v>
      </c>
      <c r="T10" s="254">
        <v>7.30332774745035</v>
      </c>
      <c r="U10" s="254">
        <v>9.8597215258554822</v>
      </c>
      <c r="V10" s="254">
        <v>8.4782472591714981</v>
      </c>
      <c r="W10" s="254">
        <v>9.1189439188307695</v>
      </c>
      <c r="X10" s="254">
        <v>12.7839617728328</v>
      </c>
      <c r="Y10" s="254">
        <v>10.54160833390628</v>
      </c>
      <c r="DA10" s="270" t="s">
        <v>1040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0</v>
      </c>
      <c r="J11" s="255">
        <v>0</v>
      </c>
      <c r="K11" s="255">
        <v>0</v>
      </c>
      <c r="L11" s="255">
        <v>0</v>
      </c>
      <c r="M11" s="255">
        <v>0</v>
      </c>
      <c r="N11" s="255">
        <v>0</v>
      </c>
      <c r="O11" s="255">
        <v>0</v>
      </c>
      <c r="P11" s="255">
        <v>0</v>
      </c>
      <c r="Q11" s="255">
        <v>0</v>
      </c>
      <c r="R11" s="255">
        <v>0</v>
      </c>
      <c r="S11" s="255">
        <v>0</v>
      </c>
      <c r="T11" s="255">
        <v>0</v>
      </c>
      <c r="U11" s="255">
        <v>0</v>
      </c>
      <c r="V11" s="255">
        <v>0</v>
      </c>
      <c r="W11" s="255">
        <v>0</v>
      </c>
      <c r="X11" s="255">
        <v>0</v>
      </c>
      <c r="Y11" s="255">
        <v>0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0</v>
      </c>
      <c r="C16" s="257">
        <v>0</v>
      </c>
      <c r="D16" s="257">
        <v>0</v>
      </c>
      <c r="E16" s="257">
        <v>0</v>
      </c>
      <c r="F16" s="257">
        <v>0</v>
      </c>
      <c r="G16" s="257">
        <v>7.4385296077194338</v>
      </c>
      <c r="H16" s="257">
        <v>4.4930371378486518</v>
      </c>
      <c r="I16" s="257">
        <v>5.4790071333297776</v>
      </c>
      <c r="J16" s="257">
        <v>5.4790071333297776</v>
      </c>
      <c r="K16" s="257">
        <v>4.5044734214780737</v>
      </c>
      <c r="L16" s="257">
        <v>6.6206930804701649</v>
      </c>
      <c r="M16" s="257">
        <v>4.663011440723424</v>
      </c>
      <c r="N16" s="257">
        <v>5.6519416856676532</v>
      </c>
      <c r="O16" s="257">
        <v>3.7179051482011509</v>
      </c>
      <c r="P16" s="257">
        <v>3.74364116445002</v>
      </c>
      <c r="Q16" s="257">
        <v>3.1326748308248158</v>
      </c>
      <c r="R16" s="257">
        <v>3.752602158827699</v>
      </c>
      <c r="S16" s="257">
        <v>4.9862551609089589</v>
      </c>
      <c r="T16" s="257">
        <v>10.589893294905229</v>
      </c>
      <c r="U16" s="257">
        <v>13.871428531056649</v>
      </c>
      <c r="V16" s="257">
        <v>12.135902753109329</v>
      </c>
      <c r="W16" s="257">
        <v>12.958251844630571</v>
      </c>
      <c r="X16" s="257">
        <v>17.771322047333481</v>
      </c>
      <c r="Y16" s="257">
        <v>14.770565803302871</v>
      </c>
      <c r="DA16" s="272" t="s">
        <v>1046</v>
      </c>
    </row>
    <row r="17" spans="1:105" x14ac:dyDescent="0.25">
      <c r="A17" s="256" t="s">
        <v>121</v>
      </c>
      <c r="B17" s="257">
        <f>SUM(B18:B24)</f>
        <v>0</v>
      </c>
      <c r="C17" s="257">
        <f t="shared" ref="C17:W17" si="4">SUM(C18:C24)</f>
        <v>0</v>
      </c>
      <c r="D17" s="257">
        <f t="shared" si="4"/>
        <v>0</v>
      </c>
      <c r="E17" s="257">
        <f t="shared" si="4"/>
        <v>0</v>
      </c>
      <c r="F17" s="257">
        <f t="shared" si="4"/>
        <v>0</v>
      </c>
      <c r="G17" s="257">
        <f t="shared" si="4"/>
        <v>10.813736826237298</v>
      </c>
      <c r="H17" s="257">
        <f t="shared" si="4"/>
        <v>6.9845060881215364</v>
      </c>
      <c r="I17" s="257">
        <f t="shared" si="4"/>
        <v>8.2529533497686298</v>
      </c>
      <c r="J17" s="257">
        <f t="shared" si="4"/>
        <v>8.2529533497686298</v>
      </c>
      <c r="K17" s="257">
        <f t="shared" si="4"/>
        <v>6.9976017238546255</v>
      </c>
      <c r="L17" s="257">
        <f t="shared" si="4"/>
        <v>9.7261772782801259</v>
      </c>
      <c r="M17" s="257">
        <f t="shared" si="4"/>
        <v>7.1852326729455367</v>
      </c>
      <c r="N17" s="257">
        <f t="shared" si="4"/>
        <v>8.4652700282509556</v>
      </c>
      <c r="O17" s="257">
        <f t="shared" si="4"/>
        <v>5.9850313664901531</v>
      </c>
      <c r="P17" s="257">
        <f t="shared" si="4"/>
        <v>6.0153176817505498</v>
      </c>
      <c r="Q17" s="257">
        <f t="shared" si="4"/>
        <v>4.1831833240194811</v>
      </c>
      <c r="R17" s="257">
        <f t="shared" si="4"/>
        <v>6.0095367333722045</v>
      </c>
      <c r="S17" s="257">
        <f t="shared" si="4"/>
        <v>7.4171926012461604</v>
      </c>
      <c r="T17" s="257">
        <f t="shared" si="4"/>
        <v>15.165239226277087</v>
      </c>
      <c r="U17" s="257">
        <f t="shared" si="4"/>
        <v>19.532748108718856</v>
      </c>
      <c r="V17" s="257">
        <f t="shared" si="4"/>
        <v>17.213000093625084</v>
      </c>
      <c r="W17" s="257">
        <f t="shared" si="4"/>
        <v>18.34800887220258</v>
      </c>
      <c r="X17" s="257">
        <f t="shared" ref="X17:Y17" si="5">SUM(X18:X24)</f>
        <v>24.70582550564427</v>
      </c>
      <c r="Y17" s="257">
        <f t="shared" si="5"/>
        <v>20.695797988013446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0.13652315998476661</v>
      </c>
      <c r="T19" s="55">
        <v>0.47885327997700711</v>
      </c>
      <c r="U19" s="55">
        <v>0.50792975998275258</v>
      </c>
      <c r="V19" s="55">
        <v>0.36868067997156639</v>
      </c>
      <c r="W19" s="55">
        <v>0.39775715998098099</v>
      </c>
      <c r="X19" s="55">
        <v>0.47022119998753531</v>
      </c>
      <c r="Y19" s="55">
        <v>0.4904384399803578</v>
      </c>
      <c r="DA19" s="101" t="s">
        <v>1048</v>
      </c>
    </row>
    <row r="20" spans="1:105" x14ac:dyDescent="0.25">
      <c r="A20" s="61" t="s">
        <v>166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7.8339477067400924</v>
      </c>
      <c r="H20" s="55">
        <v>4.0047169690204498</v>
      </c>
      <c r="I20" s="55">
        <v>5.2731642306758983</v>
      </c>
      <c r="J20" s="55">
        <v>5.2731642306758983</v>
      </c>
      <c r="K20" s="55">
        <v>4.0178126042037681</v>
      </c>
      <c r="L20" s="55">
        <v>6.7463881586817163</v>
      </c>
      <c r="M20" s="55">
        <v>4.2054435534848542</v>
      </c>
      <c r="N20" s="55">
        <v>5.4854809086415646</v>
      </c>
      <c r="O20" s="55">
        <v>3.0052422469851789</v>
      </c>
      <c r="P20" s="55">
        <v>3.035528562287396</v>
      </c>
      <c r="Q20" s="55">
        <v>4.1831833240194811</v>
      </c>
      <c r="R20" s="55">
        <v>3.0297476138631971</v>
      </c>
      <c r="S20" s="55">
        <v>4.933656281523275</v>
      </c>
      <c r="T20" s="55">
        <v>11.85843078643587</v>
      </c>
      <c r="U20" s="55">
        <v>16.14382330883393</v>
      </c>
      <c r="V20" s="55">
        <v>14.08492481386633</v>
      </c>
      <c r="W20" s="55">
        <v>15.025820872361431</v>
      </c>
      <c r="X20" s="55">
        <v>21.407583985731701</v>
      </c>
      <c r="Y20" s="55">
        <v>17.47723598814235</v>
      </c>
      <c r="DA20" s="101" t="s">
        <v>1049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2.9797891194972048</v>
      </c>
      <c r="H21" s="55">
        <v>2.9797891191010861</v>
      </c>
      <c r="I21" s="55">
        <v>2.979789119092731</v>
      </c>
      <c r="J21" s="55">
        <v>2.979789119092731</v>
      </c>
      <c r="K21" s="55">
        <v>2.979789119650857</v>
      </c>
      <c r="L21" s="55">
        <v>2.9797891195984092</v>
      </c>
      <c r="M21" s="55">
        <v>2.979789119460682</v>
      </c>
      <c r="N21" s="55">
        <v>2.979789119609392</v>
      </c>
      <c r="O21" s="55">
        <v>2.9797891195049742</v>
      </c>
      <c r="P21" s="55">
        <v>2.9797891194631538</v>
      </c>
      <c r="Q21" s="55">
        <v>0</v>
      </c>
      <c r="R21" s="55">
        <v>2.9797891195090069</v>
      </c>
      <c r="S21" s="55">
        <v>2.3470131597381192</v>
      </c>
      <c r="T21" s="55">
        <v>2.8279551598642101</v>
      </c>
      <c r="U21" s="55">
        <v>2.8809950399021731</v>
      </c>
      <c r="V21" s="55">
        <v>2.7593945997871892</v>
      </c>
      <c r="W21" s="55">
        <v>2.9244308398601682</v>
      </c>
      <c r="X21" s="55">
        <v>2.828020319925034</v>
      </c>
      <c r="Y21" s="55">
        <v>2.7281235598907378</v>
      </c>
      <c r="DA21" s="101" t="s">
        <v>1050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0</v>
      </c>
      <c r="C25" s="257">
        <v>0</v>
      </c>
      <c r="D25" s="257">
        <v>0</v>
      </c>
      <c r="E25" s="257">
        <v>0</v>
      </c>
      <c r="F25" s="257">
        <v>0</v>
      </c>
      <c r="G25" s="257">
        <v>1.4293754547849931</v>
      </c>
      <c r="H25" s="257">
        <v>0.86337452977447526</v>
      </c>
      <c r="I25" s="257">
        <v>1.05283688120918</v>
      </c>
      <c r="J25" s="257">
        <v>1.05283688120918</v>
      </c>
      <c r="K25" s="257">
        <v>0.86557210698071418</v>
      </c>
      <c r="L25" s="257">
        <v>1.272221350449162</v>
      </c>
      <c r="M25" s="257">
        <v>0.89603650859099548</v>
      </c>
      <c r="N25" s="257">
        <v>1.086067696629941</v>
      </c>
      <c r="O25" s="257">
        <v>0.71442645822670636</v>
      </c>
      <c r="P25" s="257">
        <v>0.71937184822581413</v>
      </c>
      <c r="Q25" s="257">
        <v>0.60196957559419495</v>
      </c>
      <c r="R25" s="257">
        <v>0.72109377797394969</v>
      </c>
      <c r="S25" s="257">
        <v>0.95815048324898522</v>
      </c>
      <c r="T25" s="257">
        <v>2.0349362498767429</v>
      </c>
      <c r="U25" s="257">
        <v>2.6655105929161582</v>
      </c>
      <c r="V25" s="257">
        <v>2.332014851288656</v>
      </c>
      <c r="W25" s="257">
        <v>2.4900360824558141</v>
      </c>
      <c r="X25" s="257">
        <v>3.4149076327096579</v>
      </c>
      <c r="Y25" s="257">
        <v>2.8382873129412212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0</v>
      </c>
      <c r="C31" s="235">
        <f t="shared" si="6"/>
        <v>0</v>
      </c>
      <c r="D31" s="235">
        <f t="shared" si="6"/>
        <v>0</v>
      </c>
      <c r="E31" s="235">
        <f t="shared" si="6"/>
        <v>0</v>
      </c>
      <c r="F31" s="235">
        <f t="shared" si="6"/>
        <v>0</v>
      </c>
      <c r="G31" s="235">
        <f t="shared" si="6"/>
        <v>1</v>
      </c>
      <c r="H31" s="235">
        <f t="shared" si="6"/>
        <v>1</v>
      </c>
      <c r="I31" s="235">
        <f t="shared" si="6"/>
        <v>1</v>
      </c>
      <c r="J31" s="235">
        <f t="shared" si="6"/>
        <v>1</v>
      </c>
      <c r="K31" s="235">
        <f t="shared" si="6"/>
        <v>1</v>
      </c>
      <c r="L31" s="235">
        <f t="shared" si="6"/>
        <v>1</v>
      </c>
      <c r="M31" s="235">
        <f t="shared" si="6"/>
        <v>0.99999999999999989</v>
      </c>
      <c r="N31" s="235">
        <f t="shared" si="6"/>
        <v>1.0000000000000002</v>
      </c>
      <c r="O31" s="235">
        <f t="shared" si="6"/>
        <v>1</v>
      </c>
      <c r="P31" s="235">
        <f t="shared" si="6"/>
        <v>1.0000000000000002</v>
      </c>
      <c r="Q31" s="235">
        <f t="shared" si="6"/>
        <v>1</v>
      </c>
      <c r="R31" s="235">
        <f t="shared" ref="R31:W31" si="7">SUM(R32:R40)</f>
        <v>1</v>
      </c>
      <c r="S31" s="235">
        <f t="shared" si="7"/>
        <v>1</v>
      </c>
      <c r="T31" s="235">
        <f t="shared" si="7"/>
        <v>1</v>
      </c>
      <c r="U31" s="235">
        <f t="shared" si="7"/>
        <v>1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1.0000000000000002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</v>
      </c>
      <c r="C35" s="246">
        <f t="shared" si="12"/>
        <v>0</v>
      </c>
      <c r="D35" s="246">
        <f t="shared" si="12"/>
        <v>0</v>
      </c>
      <c r="E35" s="246">
        <f t="shared" si="12"/>
        <v>0</v>
      </c>
      <c r="F35" s="246">
        <f t="shared" si="12"/>
        <v>0</v>
      </c>
      <c r="G35" s="246">
        <f t="shared" si="12"/>
        <v>0.22157288113853205</v>
      </c>
      <c r="H35" s="246">
        <f t="shared" si="12"/>
        <v>0.21519306034091282</v>
      </c>
      <c r="I35" s="246">
        <f t="shared" si="12"/>
        <v>0.21820011234877695</v>
      </c>
      <c r="J35" s="246">
        <f t="shared" si="12"/>
        <v>0.21820011234877695</v>
      </c>
      <c r="K35" s="246">
        <f t="shared" si="12"/>
        <v>0.21349322763910128</v>
      </c>
      <c r="L35" s="246">
        <f t="shared" si="12"/>
        <v>0.20267225907993497</v>
      </c>
      <c r="M35" s="246">
        <f t="shared" si="12"/>
        <v>0.18954164733210094</v>
      </c>
      <c r="N35" s="246">
        <f t="shared" si="12"/>
        <v>0.19607135332935954</v>
      </c>
      <c r="O35" s="246">
        <f t="shared" si="12"/>
        <v>0.1691765581569401</v>
      </c>
      <c r="P35" s="246">
        <f t="shared" si="12"/>
        <v>0.16431415560649995</v>
      </c>
      <c r="Q35" s="246">
        <f t="shared" si="12"/>
        <v>0.17167232800796658</v>
      </c>
      <c r="R35" s="246">
        <f t="shared" si="12"/>
        <v>0.16392320481776387</v>
      </c>
      <c r="S35" s="246">
        <f t="shared" si="12"/>
        <v>0.185805031534756</v>
      </c>
      <c r="T35" s="246">
        <f t="shared" si="12"/>
        <v>0.20811116825350134</v>
      </c>
      <c r="U35" s="246">
        <f t="shared" si="12"/>
        <v>0.21467120505923465</v>
      </c>
      <c r="V35" s="246">
        <f t="shared" si="12"/>
        <v>0.21111612425727513</v>
      </c>
      <c r="W35" s="246">
        <f t="shared" si="12"/>
        <v>0.2124873067525532</v>
      </c>
      <c r="X35" s="246">
        <f t="shared" si="12"/>
        <v>0.21787371460251223</v>
      </c>
      <c r="Y35" s="246">
        <f t="shared" si="12"/>
        <v>0.21581198755354586</v>
      </c>
      <c r="DA35" s="277"/>
    </row>
    <row r="36" spans="1:105" x14ac:dyDescent="0.25">
      <c r="A36" s="127" t="s">
        <v>168</v>
      </c>
      <c r="B36" s="259">
        <f t="shared" ref="B36:Y36" si="13">IF(B$16=0,0,B$16/B$5)</f>
        <v>0</v>
      </c>
      <c r="C36" s="259">
        <f t="shared" si="13"/>
        <v>0</v>
      </c>
      <c r="D36" s="259">
        <f t="shared" si="13"/>
        <v>0</v>
      </c>
      <c r="E36" s="259">
        <f t="shared" si="13"/>
        <v>0</v>
      </c>
      <c r="F36" s="259">
        <f t="shared" si="13"/>
        <v>0</v>
      </c>
      <c r="G36" s="259">
        <f t="shared" si="13"/>
        <v>0.29420071779758161</v>
      </c>
      <c r="H36" s="259">
        <f t="shared" si="13"/>
        <v>0.28572969982627133</v>
      </c>
      <c r="I36" s="259">
        <f t="shared" si="13"/>
        <v>0.28972241253832542</v>
      </c>
      <c r="J36" s="259">
        <f t="shared" si="13"/>
        <v>0.28972241253832542</v>
      </c>
      <c r="K36" s="259">
        <f t="shared" si="13"/>
        <v>0.28645697759931504</v>
      </c>
      <c r="L36" s="259">
        <f t="shared" si="13"/>
        <v>0.29961035133383929</v>
      </c>
      <c r="M36" s="259">
        <f t="shared" si="13"/>
        <v>0.29653902662181864</v>
      </c>
      <c r="N36" s="259">
        <f t="shared" si="13"/>
        <v>0.29886695545880465</v>
      </c>
      <c r="O36" s="259">
        <f t="shared" si="13"/>
        <v>0.29651676337906013</v>
      </c>
      <c r="P36" s="259">
        <f t="shared" si="13"/>
        <v>0.29856930639570212</v>
      </c>
      <c r="Q36" s="259">
        <f t="shared" si="13"/>
        <v>0.32772640906920208</v>
      </c>
      <c r="R36" s="259">
        <f t="shared" si="13"/>
        <v>0.29928397902233833</v>
      </c>
      <c r="S36" s="259">
        <f t="shared" si="13"/>
        <v>0.30383968960392488</v>
      </c>
      <c r="T36" s="259">
        <f t="shared" si="13"/>
        <v>0.3017631333951894</v>
      </c>
      <c r="U36" s="259">
        <f t="shared" si="13"/>
        <v>0.30201626596108255</v>
      </c>
      <c r="V36" s="259">
        <f t="shared" si="13"/>
        <v>0.30219509708543296</v>
      </c>
      <c r="W36" s="259">
        <f t="shared" si="13"/>
        <v>0.30194988138932466</v>
      </c>
      <c r="X36" s="259">
        <f t="shared" si="13"/>
        <v>0.30287199044026025</v>
      </c>
      <c r="Y36" s="259">
        <f t="shared" si="13"/>
        <v>0.3023888824486437</v>
      </c>
      <c r="DA36" s="278"/>
    </row>
    <row r="37" spans="1:105" x14ac:dyDescent="0.25">
      <c r="A37" s="127" t="s">
        <v>121</v>
      </c>
      <c r="B37" s="259">
        <f t="shared" ref="B37:Y37" si="14">IF(B$17=0,0,B$17/B$5)</f>
        <v>0</v>
      </c>
      <c r="C37" s="259">
        <f t="shared" si="14"/>
        <v>0</v>
      </c>
      <c r="D37" s="259">
        <f t="shared" si="14"/>
        <v>0</v>
      </c>
      <c r="E37" s="259">
        <f t="shared" si="14"/>
        <v>0</v>
      </c>
      <c r="F37" s="259">
        <f t="shared" si="14"/>
        <v>0</v>
      </c>
      <c r="G37" s="259">
        <f t="shared" si="14"/>
        <v>0.42769328135114298</v>
      </c>
      <c r="H37" s="259">
        <f t="shared" si="14"/>
        <v>0.44417189681839564</v>
      </c>
      <c r="I37" s="259">
        <f t="shared" si="14"/>
        <v>0.43640489907668556</v>
      </c>
      <c r="J37" s="259">
        <f t="shared" si="14"/>
        <v>0.43640489907668556</v>
      </c>
      <c r="K37" s="259">
        <f t="shared" si="14"/>
        <v>0.44500469926213998</v>
      </c>
      <c r="L37" s="259">
        <f t="shared" si="14"/>
        <v>0.44014476370709105</v>
      </c>
      <c r="M37" s="259">
        <f t="shared" si="14"/>
        <v>0.45693688080593653</v>
      </c>
      <c r="N37" s="259">
        <f t="shared" si="14"/>
        <v>0.447631915045346</v>
      </c>
      <c r="O37" s="259">
        <f t="shared" si="14"/>
        <v>0.47732851129148779</v>
      </c>
      <c r="P37" s="259">
        <f t="shared" si="14"/>
        <v>0.47974395757930877</v>
      </c>
      <c r="Q37" s="259">
        <f t="shared" si="14"/>
        <v>0.43762590223834757</v>
      </c>
      <c r="R37" s="259">
        <f t="shared" si="14"/>
        <v>0.47928290544031515</v>
      </c>
      <c r="S37" s="259">
        <f t="shared" si="14"/>
        <v>0.45196995038744453</v>
      </c>
      <c r="T37" s="259">
        <f t="shared" si="14"/>
        <v>0.43213939745839203</v>
      </c>
      <c r="U37" s="259">
        <f t="shared" si="14"/>
        <v>0.42527758655469183</v>
      </c>
      <c r="V37" s="259">
        <f t="shared" si="14"/>
        <v>0.42861947234142755</v>
      </c>
      <c r="W37" s="259">
        <f t="shared" si="14"/>
        <v>0.42754062578182528</v>
      </c>
      <c r="X37" s="259">
        <f t="shared" si="14"/>
        <v>0.42105491794218991</v>
      </c>
      <c r="Y37" s="259">
        <f t="shared" si="14"/>
        <v>0.42369258620945133</v>
      </c>
      <c r="DA37" s="278"/>
    </row>
    <row r="38" spans="1:105" x14ac:dyDescent="0.25">
      <c r="A38" s="127" t="s">
        <v>167</v>
      </c>
      <c r="B38" s="259">
        <f t="shared" ref="B38:Y38" si="15">IF(B$25=0,0,B$25/B$5)</f>
        <v>0</v>
      </c>
      <c r="C38" s="259">
        <f t="shared" si="15"/>
        <v>0</v>
      </c>
      <c r="D38" s="259">
        <f t="shared" si="15"/>
        <v>0</v>
      </c>
      <c r="E38" s="259">
        <f t="shared" si="15"/>
        <v>0</v>
      </c>
      <c r="F38" s="259">
        <f t="shared" si="15"/>
        <v>0</v>
      </c>
      <c r="G38" s="259">
        <f t="shared" si="15"/>
        <v>5.6533119712743489E-2</v>
      </c>
      <c r="H38" s="259">
        <f t="shared" si="15"/>
        <v>5.490534301442019E-2</v>
      </c>
      <c r="I38" s="259">
        <f t="shared" si="15"/>
        <v>5.5672576036211993E-2</v>
      </c>
      <c r="J38" s="259">
        <f t="shared" si="15"/>
        <v>5.5672576036211993E-2</v>
      </c>
      <c r="K38" s="259">
        <f t="shared" si="15"/>
        <v>5.5045095499443676E-2</v>
      </c>
      <c r="L38" s="259">
        <f t="shared" si="15"/>
        <v>5.757262587913474E-2</v>
      </c>
      <c r="M38" s="259">
        <f t="shared" si="15"/>
        <v>5.6982445240143821E-2</v>
      </c>
      <c r="N38" s="259">
        <f t="shared" si="15"/>
        <v>5.7429776166489935E-2</v>
      </c>
      <c r="O38" s="259">
        <f t="shared" si="15"/>
        <v>5.6978167172512029E-2</v>
      </c>
      <c r="P38" s="259">
        <f t="shared" si="15"/>
        <v>5.7372580418489277E-2</v>
      </c>
      <c r="Q38" s="259">
        <f t="shared" si="15"/>
        <v>6.2975360684483811E-2</v>
      </c>
      <c r="R38" s="259">
        <f t="shared" si="15"/>
        <v>5.7509910719582696E-2</v>
      </c>
      <c r="S38" s="259">
        <f t="shared" si="15"/>
        <v>5.8385328473874655E-2</v>
      </c>
      <c r="T38" s="259">
        <f t="shared" si="15"/>
        <v>5.79863008929173E-2</v>
      </c>
      <c r="U38" s="259">
        <f t="shared" si="15"/>
        <v>5.8034942424990937E-2</v>
      </c>
      <c r="V38" s="259">
        <f t="shared" si="15"/>
        <v>5.8069306315864329E-2</v>
      </c>
      <c r="W38" s="259">
        <f t="shared" si="15"/>
        <v>5.802218607629684E-2</v>
      </c>
      <c r="X38" s="259">
        <f t="shared" si="15"/>
        <v>5.8199377015037607E-2</v>
      </c>
      <c r="Y38" s="259">
        <f t="shared" si="15"/>
        <v>5.8106543788359236E-2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</v>
      </c>
      <c r="C44" s="237">
        <f>IF(C$5=0,0,C$5/AGR_fec!C$5)</f>
        <v>0</v>
      </c>
      <c r="D44" s="237">
        <f>IF(D$5=0,0,D$5/AGR_fec!D$5)</f>
        <v>0</v>
      </c>
      <c r="E44" s="237">
        <f>IF(E$5=0,0,E$5/AGR_fec!E$5)</f>
        <v>0</v>
      </c>
      <c r="F44" s="237">
        <f>IF(F$5=0,0,F$5/AGR_fec!F$5)</f>
        <v>0</v>
      </c>
      <c r="G44" s="237">
        <f>IF(G$5=0,0,G$5/AGR_fec!G$5)</f>
        <v>3.0772987886851033</v>
      </c>
      <c r="H44" s="237">
        <f>IF(H$5=0,0,H$5/AGR_fec!H$5)</f>
        <v>3.062226193029657</v>
      </c>
      <c r="I44" s="237">
        <f>IF(I$5=0,0,I$5/AGR_fec!I$5)</f>
        <v>3.0689253347463357</v>
      </c>
      <c r="J44" s="237">
        <f>IF(J$5=0,0,J$5/AGR_fec!J$5)</f>
        <v>3.0689253347463357</v>
      </c>
      <c r="K44" s="237">
        <f>IF(K$5=0,0,K$5/AGR_fec!K$5)</f>
        <v>3.0117951030428332</v>
      </c>
      <c r="L44" s="237">
        <f>IF(L$5=0,0,L$5/AGR_fec!L$5)</f>
        <v>2.7154539800072128</v>
      </c>
      <c r="M44" s="237">
        <f>IF(M$5=0,0,M$5/AGR_fec!M$5)</f>
        <v>2.6168218305238415</v>
      </c>
      <c r="N44" s="237">
        <f>IF(N$5=0,0,N$5/AGR_fec!N$5)</f>
        <v>2.6529510755467531</v>
      </c>
      <c r="O44" s="237">
        <f>IF(O$5=0,0,O$5/AGR_fec!O$5)</f>
        <v>2.4680779959048329</v>
      </c>
      <c r="P44" s="237">
        <f>IF(P$5=0,0,P$5/AGR_fec!P$5)</f>
        <v>2.4248215821772949</v>
      </c>
      <c r="Q44" s="237">
        <f>IF(Q$5=0,0,Q$5/AGR_fec!Q$5)</f>
        <v>2.3103406808655369</v>
      </c>
      <c r="R44" s="237">
        <f>IF(R$5=0,0,R$5/AGR_fec!R$5)</f>
        <v>2.4387717883150675</v>
      </c>
      <c r="S44" s="237">
        <f>IF(S$5=0,0,S$5/AGR_fec!S$5)</f>
        <v>2.5562213451586717</v>
      </c>
      <c r="T44" s="237">
        <f>IF(T$5=0,0,T$5/AGR_fec!T$5)</f>
        <v>2.6653618687242173</v>
      </c>
      <c r="U44" s="237">
        <f>IF(U$5=0,0,U$5/AGR_fec!U$5)</f>
        <v>2.75872962614282</v>
      </c>
      <c r="V44" s="237">
        <f>IF(V$5=0,0,V$5/AGR_fec!V$5)</f>
        <v>2.678137369704078</v>
      </c>
      <c r="W44" s="237">
        <f>IF(W$5=0,0,W$5/AGR_fec!W$5)</f>
        <v>2.7292247643280758</v>
      </c>
      <c r="X44" s="237">
        <f>IF(X$5=0,0,X$5/AGR_fec!X$5)</f>
        <v>2.8032439202063402</v>
      </c>
      <c r="Y44" s="237">
        <f>IF(Y$5=0,0,Y$5/AGR_fec!Y$5)</f>
        <v>2.7587911501519802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0</v>
      </c>
      <c r="C48" s="252">
        <f>IF(C$9=0,0,C$9/AGR_fec!C$9)</f>
        <v>0</v>
      </c>
      <c r="D48" s="252">
        <f>IF(D$9=0,0,D$9/AGR_fec!D$9)</f>
        <v>0</v>
      </c>
      <c r="E48" s="252">
        <f>IF(E$9=0,0,E$9/AGR_fec!E$9)</f>
        <v>0</v>
      </c>
      <c r="F48" s="252">
        <f>IF(F$9=0,0,F$9/AGR_fec!F$9)</f>
        <v>0</v>
      </c>
      <c r="G48" s="252">
        <f>IF(G$9=0,0,G$9/AGR_fec!G$9)</f>
        <v>3.1024188000000001</v>
      </c>
      <c r="H48" s="252">
        <f>IF(H$9=0,0,H$9/AGR_fec!H$9)</f>
        <v>3.1024187999999997</v>
      </c>
      <c r="I48" s="252">
        <f>IF(I$9=0,0,I$9/AGR_fec!I$9)</f>
        <v>3.1024188000000006</v>
      </c>
      <c r="J48" s="252">
        <f>IF(J$9=0,0,J$9/AGR_fec!J$9)</f>
        <v>3.1024188000000006</v>
      </c>
      <c r="K48" s="252">
        <f>IF(K$9=0,0,K$9/AGR_fec!K$9)</f>
        <v>3.1017034602563975</v>
      </c>
      <c r="L48" s="252">
        <f>IF(L$9=0,0,L$9/AGR_fec!L$9)</f>
        <v>2.8855579978540105</v>
      </c>
      <c r="M48" s="252">
        <f>IF(M$9=0,0,M$9/AGR_fec!M$9)</f>
        <v>2.6914128323450237</v>
      </c>
      <c r="N48" s="252">
        <f>IF(N$9=0,0,N$9/AGR_fec!N$9)</f>
        <v>2.7749823883387656</v>
      </c>
      <c r="O48" s="252">
        <f>IF(O$9=0,0,O$9/AGR_fec!O$9)</f>
        <v>2.3026768208661883</v>
      </c>
      <c r="P48" s="252">
        <f>IF(P$9=0,0,P$9/AGR_fec!P$9)</f>
        <v>2.1838222609224225</v>
      </c>
      <c r="Q48" s="252">
        <f>IF(Q$9=0,0,Q$9/AGR_fec!Q$9)</f>
        <v>1.983698815399048</v>
      </c>
      <c r="R48" s="252">
        <f>IF(R$9=0,0,R$9/AGR_fec!R$9)</f>
        <v>2.1911261209040358</v>
      </c>
      <c r="S48" s="252">
        <f>IF(S$9=0,0,S$9/AGR_fec!S$9)</f>
        <v>2.5393984750958327</v>
      </c>
      <c r="T48" s="252">
        <f>IF(T$9=0,0,T$9/AGR_fec!T$9)</f>
        <v>2.8372679677314738</v>
      </c>
      <c r="U48" s="252">
        <f>IF(U$9=0,0,U$9/AGR_fec!U$9)</f>
        <v>2.9418805472379774</v>
      </c>
      <c r="V48" s="252">
        <f>IF(V$9=0,0,V$9/AGR_fec!V$9)</f>
        <v>2.8519375372671423</v>
      </c>
      <c r="W48" s="252">
        <f>IF(W$9=0,0,W$9/AGR_fec!W$9)</f>
        <v>2.9091178284054142</v>
      </c>
      <c r="X48" s="252">
        <f>IF(X$9=0,0,X$9/AGR_fec!X$9)</f>
        <v>2.9764027605224204</v>
      </c>
      <c r="Y48" s="252">
        <f>IF(Y$9=0,0,Y$9/AGR_fec!Y$9)</f>
        <v>2.9372494100459545</v>
      </c>
      <c r="DA48" s="289"/>
    </row>
    <row r="49" spans="1:105" x14ac:dyDescent="0.25">
      <c r="A49" s="127" t="s">
        <v>168</v>
      </c>
      <c r="B49" s="264">
        <f>IF(B$16=0,0,B$16/AGR_fec!B$16)</f>
        <v>0</v>
      </c>
      <c r="C49" s="264">
        <f>IF(C$16=0,0,C$16/AGR_fec!C$16)</f>
        <v>0</v>
      </c>
      <c r="D49" s="264">
        <f>IF(D$16=0,0,D$16/AGR_fec!D$16)</f>
        <v>0</v>
      </c>
      <c r="E49" s="264">
        <f>IF(E$16=0,0,E$16/AGR_fec!E$16)</f>
        <v>0</v>
      </c>
      <c r="F49" s="264">
        <f>IF(F$16=0,0,F$16/AGR_fec!F$16)</f>
        <v>0</v>
      </c>
      <c r="G49" s="264">
        <f>IF(G$16=0,0,G$16/AGR_fec!G$16)</f>
        <v>3.1024188000000006</v>
      </c>
      <c r="H49" s="264">
        <f>IF(H$16=0,0,H$16/AGR_fec!H$16)</f>
        <v>3.1024188000000001</v>
      </c>
      <c r="I49" s="264">
        <f>IF(I$16=0,0,I$16/AGR_fec!I$16)</f>
        <v>3.1024188000000006</v>
      </c>
      <c r="J49" s="264">
        <f>IF(J$16=0,0,J$16/AGR_fec!J$16)</f>
        <v>3.1024188000000006</v>
      </c>
      <c r="K49" s="264">
        <f>IF(K$16=0,0,K$16/AGR_fec!K$16)</f>
        <v>3.1024187999999993</v>
      </c>
      <c r="L49" s="264">
        <f>IF(L$16=0,0,L$16/AGR_fec!L$16)</f>
        <v>3.1010774099640153</v>
      </c>
      <c r="M49" s="264">
        <f>IF(M$16=0,0,M$16/AGR_fec!M$16)</f>
        <v>3.0917413334362349</v>
      </c>
      <c r="N49" s="264">
        <f>IF(N$16=0,0,N$16/AGR_fec!N$16)</f>
        <v>3.0901558660684816</v>
      </c>
      <c r="O49" s="264">
        <f>IF(O$16=0,0,O$16/AGR_fec!O$16)</f>
        <v>3.0760645506474829</v>
      </c>
      <c r="P49" s="264">
        <f>IF(P$16=0,0,P$16/AGR_fec!P$16)</f>
        <v>3.0714751854008964</v>
      </c>
      <c r="Q49" s="264">
        <f>IF(Q$16=0,0,Q$16/AGR_fec!Q$16)</f>
        <v>3.0779382263801969</v>
      </c>
      <c r="R49" s="264">
        <f>IF(R$16=0,0,R$16/AGR_fec!R$16)</f>
        <v>3.1024187999999993</v>
      </c>
      <c r="S49" s="264">
        <f>IF(S$16=0,0,S$16/AGR_fec!S$16)</f>
        <v>3.1024187999999993</v>
      </c>
      <c r="T49" s="264">
        <f>IF(T$16=0,0,T$16/AGR_fec!T$16)</f>
        <v>2.9894712871615718</v>
      </c>
      <c r="U49" s="264">
        <f>IF(U$16=0,0,U$16/AGR_fec!U$16)</f>
        <v>3.0119127767957492</v>
      </c>
      <c r="V49" s="264">
        <f>IF(V$16=0,0,V$16/AGR_fec!V$16)</f>
        <v>2.9667114858536316</v>
      </c>
      <c r="W49" s="264">
        <f>IF(W$16=0,0,W$16/AGR_fec!W$16)</f>
        <v>3.0049348599463581</v>
      </c>
      <c r="X49" s="264">
        <f>IF(X$16=0,0,X$16/AGR_fec!X$16)</f>
        <v>3.0198647171750235</v>
      </c>
      <c r="Y49" s="264">
        <f>IF(Y$16=0,0,Y$16/AGR_fec!Y$16)</f>
        <v>2.997582960848689</v>
      </c>
      <c r="DA49" s="290"/>
    </row>
    <row r="50" spans="1:105" x14ac:dyDescent="0.25">
      <c r="A50" s="127" t="s">
        <v>121</v>
      </c>
      <c r="B50" s="264">
        <f>IF(B$17=0,0,B$17/AGR_fec!B$17)</f>
        <v>0</v>
      </c>
      <c r="C50" s="264">
        <f>IF(C$17=0,0,C$17/AGR_fec!C$17)</f>
        <v>0</v>
      </c>
      <c r="D50" s="264">
        <f>IF(D$17=0,0,D$17/AGR_fec!D$17)</f>
        <v>0</v>
      </c>
      <c r="E50" s="264">
        <f>IF(E$17=0,0,E$17/AGR_fec!E$17)</f>
        <v>0</v>
      </c>
      <c r="F50" s="264">
        <f>IF(F$17=0,0,F$17/AGR_fec!F$17)</f>
        <v>0</v>
      </c>
      <c r="G50" s="264">
        <f>IF(G$17=0,0,G$17/AGR_fec!G$17)</f>
        <v>3.0443146339652292</v>
      </c>
      <c r="H50" s="264">
        <f>IF(H$17=0,0,H$17/AGR_fec!H$17)</f>
        <v>3.0133735406715125</v>
      </c>
      <c r="I50" s="264">
        <f>IF(I$17=0,0,I$17/AGR_fec!I$17)</f>
        <v>3.0267255444516761</v>
      </c>
      <c r="J50" s="264">
        <f>IF(J$17=0,0,J$17/AGR_fec!J$17)</f>
        <v>3.0267255444516761</v>
      </c>
      <c r="K50" s="264">
        <f>IF(K$17=0,0,K$17/AGR_fec!K$17)</f>
        <v>3.0135354097899598</v>
      </c>
      <c r="L50" s="264">
        <f>IF(L$17=0,0,L$17/AGR_fec!L$17)</f>
        <v>3.0370602710898615</v>
      </c>
      <c r="M50" s="264">
        <f>IF(M$17=0,0,M$17/AGR_fec!M$17)</f>
        <v>3.0098775883159434</v>
      </c>
      <c r="N50" s="264">
        <f>IF(N$17=0,0,N$17/AGR_fec!N$17)</f>
        <v>3.0209951985537655</v>
      </c>
      <c r="O50" s="264">
        <f>IF(O$17=0,0,O$17/AGR_fec!O$17)</f>
        <v>2.9865791594935294</v>
      </c>
      <c r="P50" s="264">
        <f>IF(P$17=0,0,P$17/AGR_fec!P$17)</f>
        <v>2.9848312012579261</v>
      </c>
      <c r="Q50" s="264">
        <f>IF(Q$17=0,0,Q$17/AGR_fec!Q$17)</f>
        <v>3.0779382263801995</v>
      </c>
      <c r="R50" s="264">
        <f>IF(R$17=0,0,R$17/AGR_fec!R$17)</f>
        <v>2.999406779086693</v>
      </c>
      <c r="S50" s="264">
        <f>IF(S$17=0,0,S$17/AGR_fec!S$17)</f>
        <v>3.0437439655939182</v>
      </c>
      <c r="T50" s="264">
        <f>IF(T$17=0,0,T$17/AGR_fec!T$17)</f>
        <v>2.9745747794684658</v>
      </c>
      <c r="U50" s="264">
        <f>IF(U$17=0,0,U$17/AGR_fec!U$17)</f>
        <v>2.9955797806337667</v>
      </c>
      <c r="V50" s="264">
        <f>IF(V$17=0,0,V$17/AGR_fec!V$17)</f>
        <v>2.9691127601929654</v>
      </c>
      <c r="W50" s="264">
        <f>IF(W$17=0,0,W$17/AGR_fec!W$17)</f>
        <v>3.0007879355919602</v>
      </c>
      <c r="X50" s="264">
        <f>IF(X$17=0,0,X$17/AGR_fec!X$17)</f>
        <v>3.0094608772650231</v>
      </c>
      <c r="Y50" s="264">
        <f>IF(Y$17=0,0,Y$17/AGR_fec!Y$17)</f>
        <v>2.9878098010809517</v>
      </c>
      <c r="DA50" s="290"/>
    </row>
    <row r="51" spans="1:105" x14ac:dyDescent="0.25">
      <c r="A51" s="127" t="s">
        <v>167</v>
      </c>
      <c r="B51" s="264">
        <f>IF(B$25=0,0,B$25/AGR_fec!B$25)</f>
        <v>0</v>
      </c>
      <c r="C51" s="264">
        <f>IF(C$25=0,0,C$25/AGR_fec!C$25)</f>
        <v>0</v>
      </c>
      <c r="D51" s="264">
        <f>IF(D$25=0,0,D$25/AGR_fec!D$25)</f>
        <v>0</v>
      </c>
      <c r="E51" s="264">
        <f>IF(E$25=0,0,E$25/AGR_fec!E$25)</f>
        <v>0</v>
      </c>
      <c r="F51" s="264">
        <f>IF(F$25=0,0,F$25/AGR_fec!F$25)</f>
        <v>0</v>
      </c>
      <c r="G51" s="264">
        <f>IF(G$25=0,0,G$25/AGR_fec!G$25)</f>
        <v>3.1024188000000001</v>
      </c>
      <c r="H51" s="264">
        <f>IF(H$25=0,0,H$25/AGR_fec!H$25)</f>
        <v>3.1024188000000001</v>
      </c>
      <c r="I51" s="264">
        <f>IF(I$25=0,0,I$25/AGR_fec!I$25)</f>
        <v>3.102418800000001</v>
      </c>
      <c r="J51" s="264">
        <f>IF(J$25=0,0,J$25/AGR_fec!J$25)</f>
        <v>3.102418800000001</v>
      </c>
      <c r="K51" s="264">
        <f>IF(K$25=0,0,K$25/AGR_fec!K$25)</f>
        <v>3.1024188000000001</v>
      </c>
      <c r="L51" s="264">
        <f>IF(L$25=0,0,L$25/AGR_fec!L$25)</f>
        <v>3.1010774099640153</v>
      </c>
      <c r="M51" s="264">
        <f>IF(M$25=0,0,M$25/AGR_fec!M$25)</f>
        <v>3.0917413334362345</v>
      </c>
      <c r="N51" s="264">
        <f>IF(N$25=0,0,N$25/AGR_fec!N$25)</f>
        <v>3.0901558660684811</v>
      </c>
      <c r="O51" s="264">
        <f>IF(O$25=0,0,O$25/AGR_fec!O$25)</f>
        <v>3.0760645506474829</v>
      </c>
      <c r="P51" s="264">
        <f>IF(P$25=0,0,P$25/AGR_fec!P$25)</f>
        <v>3.0714751854008955</v>
      </c>
      <c r="Q51" s="264">
        <f>IF(Q$25=0,0,Q$25/AGR_fec!Q$25)</f>
        <v>3.0779382263801991</v>
      </c>
      <c r="R51" s="264">
        <f>IF(R$25=0,0,R$25/AGR_fec!R$25)</f>
        <v>3.1024188000000001</v>
      </c>
      <c r="S51" s="264">
        <f>IF(S$25=0,0,S$25/AGR_fec!S$25)</f>
        <v>3.1024188000000001</v>
      </c>
      <c r="T51" s="264">
        <f>IF(T$25=0,0,T$25/AGR_fec!T$25)</f>
        <v>2.9894712871615718</v>
      </c>
      <c r="U51" s="264">
        <f>IF(U$25=0,0,U$25/AGR_fec!U$25)</f>
        <v>3.0119127767957492</v>
      </c>
      <c r="V51" s="264">
        <f>IF(V$25=0,0,V$25/AGR_fec!V$25)</f>
        <v>2.9667114858536325</v>
      </c>
      <c r="W51" s="264">
        <f>IF(W$25=0,0,W$25/AGR_fec!W$25)</f>
        <v>3.0049348599463577</v>
      </c>
      <c r="X51" s="264">
        <f>IF(X$25=0,0,X$25/AGR_fec!X$25)</f>
        <v>3.0198647171750244</v>
      </c>
      <c r="Y51" s="264">
        <f>IF(Y$25=0,0,Y$25/AGR_fec!Y$25)</f>
        <v>2.9975829608486895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2025-11-06T10:28:26Z</dcterms:created>
  <dcterms:modified xsi:type="dcterms:W3CDTF">2025-11-06T10:28:26Z</dcterms:modified>
</cp:coreProperties>
</file>